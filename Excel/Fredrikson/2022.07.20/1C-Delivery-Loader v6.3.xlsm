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2022.07.20\"/>
    </mc:Choice>
  </mc:AlternateContent>
  <xr:revisionPtr revIDLastSave="0" documentId="13_ncr:1_{A3DC49DD-1EAA-4471-A89B-DDB9A57893CF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49" i="42" l="1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A24" i="43" l="1"/>
  <c r="A25" i="43"/>
  <c r="A23" i="43"/>
  <c r="C1" i="43"/>
  <c r="C2" i="43"/>
  <c r="AA1" i="39" a="1"/>
  <c r="T8" i="39" l="1"/>
  <c r="T16" i="39"/>
  <c r="T24" i="39"/>
  <c r="T32" i="39"/>
  <c r="T40" i="39"/>
  <c r="T48" i="39"/>
  <c r="T56" i="39"/>
  <c r="T64" i="39"/>
  <c r="T72" i="39"/>
  <c r="T80" i="39"/>
  <c r="T88" i="39"/>
  <c r="T96" i="39"/>
  <c r="T104" i="39"/>
  <c r="T112" i="39"/>
  <c r="T120" i="39"/>
  <c r="T128" i="39"/>
  <c r="T136" i="39"/>
  <c r="T144" i="39"/>
  <c r="T10" i="39"/>
  <c r="T18" i="39"/>
  <c r="T34" i="39"/>
  <c r="T50" i="39"/>
  <c r="T66" i="39"/>
  <c r="T82" i="39"/>
  <c r="T98" i="39"/>
  <c r="T114" i="39"/>
  <c r="T130" i="39"/>
  <c r="T146" i="39"/>
  <c r="T11" i="39"/>
  <c r="T19" i="39"/>
  <c r="T35" i="39"/>
  <c r="T51" i="39"/>
  <c r="T67" i="39"/>
  <c r="T83" i="39"/>
  <c r="T99" i="39"/>
  <c r="T115" i="39"/>
  <c r="T131" i="39"/>
  <c r="T147" i="39"/>
  <c r="T12" i="39"/>
  <c r="T20" i="39"/>
  <c r="T36" i="39"/>
  <c r="T52" i="39"/>
  <c r="T68" i="39"/>
  <c r="T84" i="39"/>
  <c r="T100" i="39"/>
  <c r="T116" i="39"/>
  <c r="T132" i="39"/>
  <c r="T148" i="39"/>
  <c r="T13" i="39"/>
  <c r="T21" i="39"/>
  <c r="T37" i="39"/>
  <c r="T53" i="39"/>
  <c r="T69" i="39"/>
  <c r="T77" i="39"/>
  <c r="T93" i="39"/>
  <c r="T109" i="39"/>
  <c r="T125" i="39"/>
  <c r="T141" i="39"/>
  <c r="T6" i="39"/>
  <c r="T30" i="39"/>
  <c r="T46" i="39"/>
  <c r="T62" i="39"/>
  <c r="T78" i="39"/>
  <c r="T94" i="39"/>
  <c r="T126" i="39"/>
  <c r="T134" i="39"/>
  <c r="T7" i="39"/>
  <c r="T31" i="39"/>
  <c r="T47" i="39"/>
  <c r="T63" i="39"/>
  <c r="T79" i="39"/>
  <c r="T95" i="39"/>
  <c r="T119" i="39"/>
  <c r="T135" i="39"/>
  <c r="T9" i="39"/>
  <c r="T17" i="39"/>
  <c r="T25" i="39"/>
  <c r="T33" i="39"/>
  <c r="T41" i="39"/>
  <c r="T49" i="39"/>
  <c r="T57" i="39"/>
  <c r="T65" i="39"/>
  <c r="T73" i="39"/>
  <c r="T81" i="39"/>
  <c r="T89" i="39"/>
  <c r="T97" i="39"/>
  <c r="T105" i="39"/>
  <c r="T113" i="39"/>
  <c r="T121" i="39"/>
  <c r="T129" i="39"/>
  <c r="T137" i="39"/>
  <c r="T145" i="39"/>
  <c r="T2" i="39"/>
  <c r="T26" i="39"/>
  <c r="T42" i="39"/>
  <c r="T58" i="39"/>
  <c r="T74" i="39"/>
  <c r="T90" i="39"/>
  <c r="T106" i="39"/>
  <c r="T122" i="39"/>
  <c r="T138" i="39"/>
  <c r="T3" i="39"/>
  <c r="T27" i="39"/>
  <c r="T43" i="39"/>
  <c r="T59" i="39"/>
  <c r="T75" i="39"/>
  <c r="T91" i="39"/>
  <c r="T107" i="39"/>
  <c r="T123" i="39"/>
  <c r="T139" i="39"/>
  <c r="T4" i="39"/>
  <c r="T28" i="39"/>
  <c r="T44" i="39"/>
  <c r="T60" i="39"/>
  <c r="T76" i="39"/>
  <c r="T92" i="39"/>
  <c r="T108" i="39"/>
  <c r="T124" i="39"/>
  <c r="T140" i="39"/>
  <c r="T5" i="39"/>
  <c r="T29" i="39"/>
  <c r="T45" i="39"/>
  <c r="T61" i="39"/>
  <c r="T85" i="39"/>
  <c r="T101" i="39"/>
  <c r="T117" i="39"/>
  <c r="T133" i="39"/>
  <c r="T149" i="39"/>
  <c r="T14" i="39"/>
  <c r="T22" i="39"/>
  <c r="T38" i="39"/>
  <c r="T54" i="39"/>
  <c r="T70" i="39"/>
  <c r="T86" i="39"/>
  <c r="T102" i="39"/>
  <c r="T110" i="39"/>
  <c r="T118" i="39"/>
  <c r="T142" i="39"/>
  <c r="T15" i="39"/>
  <c r="T23" i="39"/>
  <c r="T39" i="39"/>
  <c r="T55" i="39"/>
  <c r="T71" i="39"/>
  <c r="T87" i="39"/>
  <c r="T103" i="39"/>
  <c r="T111" i="39"/>
  <c r="T127" i="39"/>
  <c r="T143" i="39"/>
  <c r="S2" i="39"/>
  <c r="AJ2" i="39" s="1"/>
  <c r="S10" i="39"/>
  <c r="AJ10" i="39" s="1"/>
  <c r="S18" i="39"/>
  <c r="AJ18" i="39" s="1"/>
  <c r="S26" i="39"/>
  <c r="AJ26" i="39" s="1"/>
  <c r="S34" i="39"/>
  <c r="AJ34" i="39" s="1"/>
  <c r="S42" i="39"/>
  <c r="AJ42" i="39" s="1"/>
  <c r="S50" i="39"/>
  <c r="AJ50" i="39" s="1"/>
  <c r="S58" i="39"/>
  <c r="AJ58" i="39" s="1"/>
  <c r="S66" i="39"/>
  <c r="AJ66" i="39" s="1"/>
  <c r="S74" i="39"/>
  <c r="AJ74" i="39" s="1"/>
  <c r="S82" i="39"/>
  <c r="AJ82" i="39" s="1"/>
  <c r="S90" i="39"/>
  <c r="AJ90" i="39" s="1"/>
  <c r="S98" i="39"/>
  <c r="AJ98" i="39" s="1"/>
  <c r="S106" i="39"/>
  <c r="AJ106" i="39" s="1"/>
  <c r="S114" i="39"/>
  <c r="AJ114" i="39" s="1"/>
  <c r="S122" i="39"/>
  <c r="AJ122" i="39" s="1"/>
  <c r="S130" i="39"/>
  <c r="AJ130" i="39" s="1"/>
  <c r="S138" i="39"/>
  <c r="AJ138" i="39" s="1"/>
  <c r="S146" i="39"/>
  <c r="AJ146" i="39" s="1"/>
  <c r="S13" i="39"/>
  <c r="AJ13" i="39" s="1"/>
  <c r="S3" i="39"/>
  <c r="AJ3" i="39" s="1"/>
  <c r="S11" i="39"/>
  <c r="AJ11" i="39" s="1"/>
  <c r="S19" i="39"/>
  <c r="AJ19" i="39" s="1"/>
  <c r="S27" i="39"/>
  <c r="AJ27" i="39" s="1"/>
  <c r="S35" i="39"/>
  <c r="AJ35" i="39" s="1"/>
  <c r="S43" i="39"/>
  <c r="AJ43" i="39" s="1"/>
  <c r="S51" i="39"/>
  <c r="AJ51" i="39" s="1"/>
  <c r="S59" i="39"/>
  <c r="AJ59" i="39" s="1"/>
  <c r="S67" i="39"/>
  <c r="AJ67" i="39" s="1"/>
  <c r="S75" i="39"/>
  <c r="AJ75" i="39" s="1"/>
  <c r="S83" i="39"/>
  <c r="AJ83" i="39" s="1"/>
  <c r="S91" i="39"/>
  <c r="AJ91" i="39" s="1"/>
  <c r="S99" i="39"/>
  <c r="AJ99" i="39" s="1"/>
  <c r="S107" i="39"/>
  <c r="AJ107" i="39" s="1"/>
  <c r="S115" i="39"/>
  <c r="AJ115" i="39" s="1"/>
  <c r="S123" i="39"/>
  <c r="AJ123" i="39" s="1"/>
  <c r="S131" i="39"/>
  <c r="AJ131" i="39" s="1"/>
  <c r="S139" i="39"/>
  <c r="AJ139" i="39" s="1"/>
  <c r="S147" i="39"/>
  <c r="AJ147" i="39" s="1"/>
  <c r="S29" i="39"/>
  <c r="AJ29" i="39" s="1"/>
  <c r="S69" i="39"/>
  <c r="AJ69" i="39" s="1"/>
  <c r="S101" i="39"/>
  <c r="AJ101" i="39" s="1"/>
  <c r="S141" i="39"/>
  <c r="AJ141" i="39" s="1"/>
  <c r="S4" i="39"/>
  <c r="AJ4" i="39" s="1"/>
  <c r="S12" i="39"/>
  <c r="AJ12" i="39" s="1"/>
  <c r="S20" i="39"/>
  <c r="AJ20" i="39" s="1"/>
  <c r="S28" i="39"/>
  <c r="AJ28" i="39" s="1"/>
  <c r="S36" i="39"/>
  <c r="AJ36" i="39" s="1"/>
  <c r="S44" i="39"/>
  <c r="AJ44" i="39" s="1"/>
  <c r="S52" i="39"/>
  <c r="AJ52" i="39" s="1"/>
  <c r="S60" i="39"/>
  <c r="AJ60" i="39" s="1"/>
  <c r="S68" i="39"/>
  <c r="AJ68" i="39" s="1"/>
  <c r="S76" i="39"/>
  <c r="AJ76" i="39" s="1"/>
  <c r="S84" i="39"/>
  <c r="AJ84" i="39" s="1"/>
  <c r="S92" i="39"/>
  <c r="AJ92" i="39" s="1"/>
  <c r="S100" i="39"/>
  <c r="AJ100" i="39" s="1"/>
  <c r="S108" i="39"/>
  <c r="AJ108" i="39" s="1"/>
  <c r="S116" i="39"/>
  <c r="AJ116" i="39" s="1"/>
  <c r="S124" i="39"/>
  <c r="AJ124" i="39" s="1"/>
  <c r="S132" i="39"/>
  <c r="AJ132" i="39" s="1"/>
  <c r="S140" i="39"/>
  <c r="AJ140" i="39" s="1"/>
  <c r="S148" i="39"/>
  <c r="AJ148" i="39" s="1"/>
  <c r="S21" i="39"/>
  <c r="AJ21" i="39" s="1"/>
  <c r="S117" i="39"/>
  <c r="AJ117" i="39" s="1"/>
  <c r="S5" i="39"/>
  <c r="AJ5" i="39" s="1"/>
  <c r="S6" i="39"/>
  <c r="AJ6" i="39" s="1"/>
  <c r="S14" i="39"/>
  <c r="AJ14" i="39" s="1"/>
  <c r="S22" i="39"/>
  <c r="AJ22" i="39" s="1"/>
  <c r="S30" i="39"/>
  <c r="AJ30" i="39" s="1"/>
  <c r="S38" i="39"/>
  <c r="AJ38" i="39" s="1"/>
  <c r="S46" i="39"/>
  <c r="AJ46" i="39" s="1"/>
  <c r="S54" i="39"/>
  <c r="AJ54" i="39" s="1"/>
  <c r="S62" i="39"/>
  <c r="AJ62" i="39" s="1"/>
  <c r="S70" i="39"/>
  <c r="AJ70" i="39" s="1"/>
  <c r="S78" i="39"/>
  <c r="AJ78" i="39" s="1"/>
  <c r="S86" i="39"/>
  <c r="AJ86" i="39" s="1"/>
  <c r="S94" i="39"/>
  <c r="AJ94" i="39" s="1"/>
  <c r="S102" i="39"/>
  <c r="AJ102" i="39" s="1"/>
  <c r="S110" i="39"/>
  <c r="AJ110" i="39" s="1"/>
  <c r="S118" i="39"/>
  <c r="AJ118" i="39" s="1"/>
  <c r="S126" i="39"/>
  <c r="AJ126" i="39" s="1"/>
  <c r="S134" i="39"/>
  <c r="AJ134" i="39" s="1"/>
  <c r="S142" i="39"/>
  <c r="AJ142" i="39" s="1"/>
  <c r="S45" i="39"/>
  <c r="AJ45" i="39" s="1"/>
  <c r="S77" i="39"/>
  <c r="AJ77" i="39" s="1"/>
  <c r="S7" i="39"/>
  <c r="AJ7" i="39" s="1"/>
  <c r="S15" i="39"/>
  <c r="AJ15" i="39" s="1"/>
  <c r="S23" i="39"/>
  <c r="AJ23" i="39" s="1"/>
  <c r="S31" i="39"/>
  <c r="AJ31" i="39" s="1"/>
  <c r="S39" i="39"/>
  <c r="AJ39" i="39" s="1"/>
  <c r="S47" i="39"/>
  <c r="AJ47" i="39" s="1"/>
  <c r="S55" i="39"/>
  <c r="AJ55" i="39" s="1"/>
  <c r="S63" i="39"/>
  <c r="AJ63" i="39" s="1"/>
  <c r="S71" i="39"/>
  <c r="AJ71" i="39" s="1"/>
  <c r="S79" i="39"/>
  <c r="AJ79" i="39" s="1"/>
  <c r="S87" i="39"/>
  <c r="AJ87" i="39" s="1"/>
  <c r="S95" i="39"/>
  <c r="AJ95" i="39" s="1"/>
  <c r="S103" i="39"/>
  <c r="AJ103" i="39" s="1"/>
  <c r="S111" i="39"/>
  <c r="AJ111" i="39" s="1"/>
  <c r="S119" i="39"/>
  <c r="AJ119" i="39" s="1"/>
  <c r="S127" i="39"/>
  <c r="AJ127" i="39" s="1"/>
  <c r="S135" i="39"/>
  <c r="AJ135" i="39" s="1"/>
  <c r="S143" i="39"/>
  <c r="AJ143" i="39" s="1"/>
  <c r="S37" i="39"/>
  <c r="AJ37" i="39" s="1"/>
  <c r="S109" i="39"/>
  <c r="AJ109" i="39" s="1"/>
  <c r="S8" i="39"/>
  <c r="AJ8" i="39" s="1"/>
  <c r="S16" i="39"/>
  <c r="AJ16" i="39" s="1"/>
  <c r="S24" i="39"/>
  <c r="AJ24" i="39" s="1"/>
  <c r="S32" i="39"/>
  <c r="AJ32" i="39" s="1"/>
  <c r="S40" i="39"/>
  <c r="AJ40" i="39" s="1"/>
  <c r="S48" i="39"/>
  <c r="AJ48" i="39" s="1"/>
  <c r="S56" i="39"/>
  <c r="AJ56" i="39" s="1"/>
  <c r="S64" i="39"/>
  <c r="AJ64" i="39" s="1"/>
  <c r="S72" i="39"/>
  <c r="AJ72" i="39" s="1"/>
  <c r="S80" i="39"/>
  <c r="AJ80" i="39" s="1"/>
  <c r="S88" i="39"/>
  <c r="AJ88" i="39" s="1"/>
  <c r="S96" i="39"/>
  <c r="AJ96" i="39" s="1"/>
  <c r="S104" i="39"/>
  <c r="AJ104" i="39" s="1"/>
  <c r="S112" i="39"/>
  <c r="AJ112" i="39" s="1"/>
  <c r="S120" i="39"/>
  <c r="AJ120" i="39" s="1"/>
  <c r="S128" i="39"/>
  <c r="AJ128" i="39" s="1"/>
  <c r="S136" i="39"/>
  <c r="AJ136" i="39" s="1"/>
  <c r="S144" i="39"/>
  <c r="AJ144" i="39" s="1"/>
  <c r="S53" i="39"/>
  <c r="AJ53" i="39" s="1"/>
  <c r="S93" i="39"/>
  <c r="AJ93" i="39" s="1"/>
  <c r="S125" i="39"/>
  <c r="AJ125" i="39" s="1"/>
  <c r="S9" i="39"/>
  <c r="AJ9" i="39" s="1"/>
  <c r="S17" i="39"/>
  <c r="AJ17" i="39" s="1"/>
  <c r="S25" i="39"/>
  <c r="AJ25" i="39" s="1"/>
  <c r="S33" i="39"/>
  <c r="AJ33" i="39" s="1"/>
  <c r="S41" i="39"/>
  <c r="AJ41" i="39" s="1"/>
  <c r="S49" i="39"/>
  <c r="AJ49" i="39" s="1"/>
  <c r="S57" i="39"/>
  <c r="AJ57" i="39" s="1"/>
  <c r="S65" i="39"/>
  <c r="AJ65" i="39" s="1"/>
  <c r="S73" i="39"/>
  <c r="AJ73" i="39" s="1"/>
  <c r="S81" i="39"/>
  <c r="AJ81" i="39" s="1"/>
  <c r="S89" i="39"/>
  <c r="AJ89" i="39" s="1"/>
  <c r="S97" i="39"/>
  <c r="AJ97" i="39" s="1"/>
  <c r="S105" i="39"/>
  <c r="AJ105" i="39" s="1"/>
  <c r="S113" i="39"/>
  <c r="AJ113" i="39" s="1"/>
  <c r="S121" i="39"/>
  <c r="AJ121" i="39" s="1"/>
  <c r="S129" i="39"/>
  <c r="AJ129" i="39" s="1"/>
  <c r="S137" i="39"/>
  <c r="AJ137" i="39" s="1"/>
  <c r="S145" i="39"/>
  <c r="AJ145" i="39" s="1"/>
  <c r="S61" i="39"/>
  <c r="AJ61" i="39" s="1"/>
  <c r="S85" i="39"/>
  <c r="AJ85" i="39" s="1"/>
  <c r="S133" i="39"/>
  <c r="AJ133" i="39" s="1"/>
  <c r="S149" i="39"/>
  <c r="AJ149" i="39" s="1"/>
  <c r="A2" i="39"/>
  <c r="AU2" i="39" s="1"/>
  <c r="A10" i="39"/>
  <c r="AU10" i="39" s="1"/>
  <c r="A18" i="39"/>
  <c r="AU18" i="39" s="1"/>
  <c r="A26" i="39"/>
  <c r="AU26" i="39" s="1"/>
  <c r="A34" i="39"/>
  <c r="AU34" i="39" s="1"/>
  <c r="A42" i="39"/>
  <c r="AU42" i="39" s="1"/>
  <c r="A50" i="39"/>
  <c r="AU50" i="39" s="1"/>
  <c r="A58" i="39"/>
  <c r="AU58" i="39" s="1"/>
  <c r="A66" i="39"/>
  <c r="AU66" i="39" s="1"/>
  <c r="A74" i="39"/>
  <c r="AU74" i="39" s="1"/>
  <c r="A82" i="39"/>
  <c r="AU82" i="39" s="1"/>
  <c r="A90" i="39"/>
  <c r="AU90" i="39" s="1"/>
  <c r="A98" i="39"/>
  <c r="AU98" i="39" s="1"/>
  <c r="A106" i="39"/>
  <c r="AU106" i="39" s="1"/>
  <c r="A114" i="39"/>
  <c r="AU114" i="39" s="1"/>
  <c r="A122" i="39"/>
  <c r="AU122" i="39" s="1"/>
  <c r="A130" i="39"/>
  <c r="AU130" i="39" s="1"/>
  <c r="A138" i="39"/>
  <c r="AU138" i="39" s="1"/>
  <c r="A146" i="39"/>
  <c r="AU146" i="39" s="1"/>
  <c r="A3" i="39"/>
  <c r="AU3" i="39" s="1"/>
  <c r="A35" i="39"/>
  <c r="AU35" i="39" s="1"/>
  <c r="A51" i="39"/>
  <c r="AU51" i="39" s="1"/>
  <c r="A67" i="39"/>
  <c r="AU67" i="39" s="1"/>
  <c r="A83" i="39"/>
  <c r="AU83" i="39" s="1"/>
  <c r="A99" i="39"/>
  <c r="AU99" i="39" s="1"/>
  <c r="A107" i="39"/>
  <c r="AU107" i="39" s="1"/>
  <c r="A123" i="39"/>
  <c r="AU123" i="39" s="1"/>
  <c r="A139" i="39"/>
  <c r="AU139" i="39" s="1"/>
  <c r="A12" i="39"/>
  <c r="AU12" i="39" s="1"/>
  <c r="A20" i="39"/>
  <c r="AU20" i="39" s="1"/>
  <c r="A28" i="39"/>
  <c r="AU28" i="39" s="1"/>
  <c r="A44" i="39"/>
  <c r="AU44" i="39" s="1"/>
  <c r="A60" i="39"/>
  <c r="AU60" i="39" s="1"/>
  <c r="A68" i="39"/>
  <c r="AU68" i="39" s="1"/>
  <c r="A84" i="39"/>
  <c r="AU84" i="39" s="1"/>
  <c r="A108" i="39"/>
  <c r="AU108" i="39" s="1"/>
  <c r="A132" i="39"/>
  <c r="AU132" i="39" s="1"/>
  <c r="A148" i="39"/>
  <c r="AU148" i="39" s="1"/>
  <c r="A5" i="39"/>
  <c r="AU5" i="39" s="1"/>
  <c r="A13" i="39"/>
  <c r="AU13" i="39" s="1"/>
  <c r="A21" i="39"/>
  <c r="AU21" i="39" s="1"/>
  <c r="A29" i="39"/>
  <c r="AU29" i="39" s="1"/>
  <c r="A37" i="39"/>
  <c r="AU37" i="39" s="1"/>
  <c r="A45" i="39"/>
  <c r="AU45" i="39" s="1"/>
  <c r="A53" i="39"/>
  <c r="AU53" i="39" s="1"/>
  <c r="A61" i="39"/>
  <c r="AU61" i="39" s="1"/>
  <c r="A69" i="39"/>
  <c r="AU69" i="39" s="1"/>
  <c r="A77" i="39"/>
  <c r="AU77" i="39" s="1"/>
  <c r="A85" i="39"/>
  <c r="AU85" i="39" s="1"/>
  <c r="A93" i="39"/>
  <c r="AU93" i="39" s="1"/>
  <c r="A101" i="39"/>
  <c r="AU101" i="39" s="1"/>
  <c r="A109" i="39"/>
  <c r="AU109" i="39" s="1"/>
  <c r="A117" i="39"/>
  <c r="AU117" i="39" s="1"/>
  <c r="A125" i="39"/>
  <c r="AU125" i="39" s="1"/>
  <c r="A133" i="39"/>
  <c r="AU133" i="39" s="1"/>
  <c r="A141" i="39"/>
  <c r="AU141" i="39" s="1"/>
  <c r="A149" i="39"/>
  <c r="AU149" i="39" s="1"/>
  <c r="A15" i="39"/>
  <c r="AU15" i="39" s="1"/>
  <c r="A31" i="39"/>
  <c r="AU31" i="39" s="1"/>
  <c r="A39" i="39"/>
  <c r="AU39" i="39" s="1"/>
  <c r="A55" i="39"/>
  <c r="AU55" i="39" s="1"/>
  <c r="A71" i="39"/>
  <c r="AU71" i="39" s="1"/>
  <c r="A87" i="39"/>
  <c r="AU87" i="39" s="1"/>
  <c r="A103" i="39"/>
  <c r="AU103" i="39" s="1"/>
  <c r="A119" i="39"/>
  <c r="AU119" i="39" s="1"/>
  <c r="A135" i="39"/>
  <c r="AU135" i="39" s="1"/>
  <c r="A16" i="39"/>
  <c r="AU16" i="39" s="1"/>
  <c r="A32" i="39"/>
  <c r="AU32" i="39" s="1"/>
  <c r="A48" i="39"/>
  <c r="AU48" i="39" s="1"/>
  <c r="A56" i="39"/>
  <c r="AU56" i="39" s="1"/>
  <c r="A72" i="39"/>
  <c r="AU72" i="39" s="1"/>
  <c r="A88" i="39"/>
  <c r="AU88" i="39" s="1"/>
  <c r="A104" i="39"/>
  <c r="AU104" i="39" s="1"/>
  <c r="A120" i="39"/>
  <c r="AU120" i="39" s="1"/>
  <c r="A136" i="39"/>
  <c r="AU136" i="39" s="1"/>
  <c r="A6" i="39"/>
  <c r="AU6" i="39" s="1"/>
  <c r="A14" i="39"/>
  <c r="AU14" i="39" s="1"/>
  <c r="A22" i="39"/>
  <c r="AU22" i="39" s="1"/>
  <c r="A30" i="39"/>
  <c r="AU30" i="39" s="1"/>
  <c r="A38" i="39"/>
  <c r="AU38" i="39" s="1"/>
  <c r="A46" i="39"/>
  <c r="AU46" i="39" s="1"/>
  <c r="A54" i="39"/>
  <c r="AU54" i="39" s="1"/>
  <c r="A62" i="39"/>
  <c r="AU62" i="39" s="1"/>
  <c r="A70" i="39"/>
  <c r="AU70" i="39" s="1"/>
  <c r="A78" i="39"/>
  <c r="AU78" i="39" s="1"/>
  <c r="A86" i="39"/>
  <c r="AU86" i="39" s="1"/>
  <c r="A94" i="39"/>
  <c r="AU94" i="39" s="1"/>
  <c r="A102" i="39"/>
  <c r="AU102" i="39" s="1"/>
  <c r="A110" i="39"/>
  <c r="AU110" i="39" s="1"/>
  <c r="A118" i="39"/>
  <c r="AU118" i="39" s="1"/>
  <c r="A126" i="39"/>
  <c r="AU126" i="39" s="1"/>
  <c r="A134" i="39"/>
  <c r="AU134" i="39" s="1"/>
  <c r="A142" i="39"/>
  <c r="AU142" i="39" s="1"/>
  <c r="A7" i="39"/>
  <c r="AU7" i="39" s="1"/>
  <c r="A23" i="39"/>
  <c r="AU23" i="39" s="1"/>
  <c r="A47" i="39"/>
  <c r="AU47" i="39" s="1"/>
  <c r="A63" i="39"/>
  <c r="AU63" i="39" s="1"/>
  <c r="A79" i="39"/>
  <c r="AU79" i="39" s="1"/>
  <c r="A95" i="39"/>
  <c r="AU95" i="39" s="1"/>
  <c r="A111" i="39"/>
  <c r="AU111" i="39" s="1"/>
  <c r="A127" i="39"/>
  <c r="AU127" i="39" s="1"/>
  <c r="A143" i="39"/>
  <c r="AU143" i="39" s="1"/>
  <c r="A8" i="39"/>
  <c r="AU8" i="39" s="1"/>
  <c r="A24" i="39"/>
  <c r="AU24" i="39" s="1"/>
  <c r="A40" i="39"/>
  <c r="AU40" i="39" s="1"/>
  <c r="A64" i="39"/>
  <c r="AU64" i="39" s="1"/>
  <c r="A80" i="39"/>
  <c r="AU80" i="39" s="1"/>
  <c r="A96" i="39"/>
  <c r="AU96" i="39" s="1"/>
  <c r="A112" i="39"/>
  <c r="AU112" i="39" s="1"/>
  <c r="A128" i="39"/>
  <c r="AU128" i="39" s="1"/>
  <c r="A144" i="39"/>
  <c r="AU144" i="39" s="1"/>
  <c r="A9" i="39"/>
  <c r="AU9" i="39" s="1"/>
  <c r="A17" i="39"/>
  <c r="AU17" i="39" s="1"/>
  <c r="A25" i="39"/>
  <c r="AU25" i="39" s="1"/>
  <c r="A33" i="39"/>
  <c r="AU33" i="39" s="1"/>
  <c r="A41" i="39"/>
  <c r="AU41" i="39" s="1"/>
  <c r="A49" i="39"/>
  <c r="AU49" i="39" s="1"/>
  <c r="A57" i="39"/>
  <c r="AU57" i="39" s="1"/>
  <c r="A65" i="39"/>
  <c r="AU65" i="39" s="1"/>
  <c r="A73" i="39"/>
  <c r="AU73" i="39" s="1"/>
  <c r="A81" i="39"/>
  <c r="AU81" i="39" s="1"/>
  <c r="A89" i="39"/>
  <c r="AU89" i="39" s="1"/>
  <c r="A97" i="39"/>
  <c r="AU97" i="39" s="1"/>
  <c r="A105" i="39"/>
  <c r="AU105" i="39" s="1"/>
  <c r="A113" i="39"/>
  <c r="AU113" i="39" s="1"/>
  <c r="A121" i="39"/>
  <c r="AU121" i="39" s="1"/>
  <c r="A129" i="39"/>
  <c r="AU129" i="39" s="1"/>
  <c r="A137" i="39"/>
  <c r="AU137" i="39" s="1"/>
  <c r="A145" i="39"/>
  <c r="AU145" i="39" s="1"/>
  <c r="A11" i="39"/>
  <c r="AU11" i="39" s="1"/>
  <c r="A19" i="39"/>
  <c r="AU19" i="39" s="1"/>
  <c r="A27" i="39"/>
  <c r="AU27" i="39" s="1"/>
  <c r="A43" i="39"/>
  <c r="AU43" i="39" s="1"/>
  <c r="A59" i="39"/>
  <c r="AU59" i="39" s="1"/>
  <c r="A75" i="39"/>
  <c r="AU75" i="39" s="1"/>
  <c r="A91" i="39"/>
  <c r="AU91" i="39" s="1"/>
  <c r="A115" i="39"/>
  <c r="AU115" i="39" s="1"/>
  <c r="A131" i="39"/>
  <c r="AU131" i="39" s="1"/>
  <c r="A147" i="39"/>
  <c r="AU147" i="39" s="1"/>
  <c r="A4" i="39"/>
  <c r="AU4" i="39" s="1"/>
  <c r="A36" i="39"/>
  <c r="AU36" i="39" s="1"/>
  <c r="A52" i="39"/>
  <c r="AU52" i="39" s="1"/>
  <c r="A76" i="39"/>
  <c r="AU76" i="39" s="1"/>
  <c r="A92" i="39"/>
  <c r="AU92" i="39" s="1"/>
  <c r="A100" i="39"/>
  <c r="AU100" i="39" s="1"/>
  <c r="A116" i="39"/>
  <c r="AU116" i="39" s="1"/>
  <c r="A124" i="39"/>
  <c r="AU124" i="39" s="1"/>
  <c r="A140" i="39"/>
  <c r="AU140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C135" i="39" l="1"/>
  <c r="AE135" i="39"/>
  <c r="AC88" i="39"/>
  <c r="AE88" i="39"/>
  <c r="AC86" i="39"/>
  <c r="AE86" i="39"/>
  <c r="AC4" i="39"/>
  <c r="AE4" i="39"/>
  <c r="AC13" i="39"/>
  <c r="AE13" i="39"/>
  <c r="AC133" i="39"/>
  <c r="AE133" i="39"/>
  <c r="AC105" i="39"/>
  <c r="AE105" i="39"/>
  <c r="AC41" i="39"/>
  <c r="AE41" i="39"/>
  <c r="AC144" i="39"/>
  <c r="AE144" i="39"/>
  <c r="AC80" i="39"/>
  <c r="AE80" i="39"/>
  <c r="AC16" i="39"/>
  <c r="AE16" i="39"/>
  <c r="AC111" i="39"/>
  <c r="AE111" i="39"/>
  <c r="AC47" i="39"/>
  <c r="AE47" i="39"/>
  <c r="AC142" i="39"/>
  <c r="AE142" i="39"/>
  <c r="AC78" i="39"/>
  <c r="AE78" i="39"/>
  <c r="AC14" i="39"/>
  <c r="AE14" i="39"/>
  <c r="AC124" i="39"/>
  <c r="AE124" i="39"/>
  <c r="AC60" i="39"/>
  <c r="AE60" i="39"/>
  <c r="AC141" i="39"/>
  <c r="AE141" i="39"/>
  <c r="AC115" i="39"/>
  <c r="AE115" i="39"/>
  <c r="AC51" i="39"/>
  <c r="AE51" i="39"/>
  <c r="AC146" i="39"/>
  <c r="AE146" i="39"/>
  <c r="AC82" i="39"/>
  <c r="AE82" i="39"/>
  <c r="AC18" i="39"/>
  <c r="AE18" i="39"/>
  <c r="AC129" i="39"/>
  <c r="AE129" i="39"/>
  <c r="AC102" i="39"/>
  <c r="AE102" i="39"/>
  <c r="AC149" i="39"/>
  <c r="AE149" i="39"/>
  <c r="AC119" i="39"/>
  <c r="AE119" i="39"/>
  <c r="AC22" i="39"/>
  <c r="AE22" i="39"/>
  <c r="AC123" i="39"/>
  <c r="AE123" i="39"/>
  <c r="AC90" i="39"/>
  <c r="AE90" i="39"/>
  <c r="AC85" i="39"/>
  <c r="AE85" i="39"/>
  <c r="AC97" i="39"/>
  <c r="AE97" i="39"/>
  <c r="AC33" i="39"/>
  <c r="AE33" i="39"/>
  <c r="AC136" i="39"/>
  <c r="AE136" i="39"/>
  <c r="AC72" i="39"/>
  <c r="AE72" i="39"/>
  <c r="AC8" i="39"/>
  <c r="AE8" i="39"/>
  <c r="AC103" i="39"/>
  <c r="AE103" i="39"/>
  <c r="AC39" i="39"/>
  <c r="AE39" i="39"/>
  <c r="AC134" i="39"/>
  <c r="AE134" i="39"/>
  <c r="AC70" i="39"/>
  <c r="AE70" i="39"/>
  <c r="AC6" i="39"/>
  <c r="AE6" i="39"/>
  <c r="AC116" i="39"/>
  <c r="AE116" i="39"/>
  <c r="AC52" i="39"/>
  <c r="AE52" i="39"/>
  <c r="AC101" i="39"/>
  <c r="AE101" i="39"/>
  <c r="AC107" i="39"/>
  <c r="AE107" i="39"/>
  <c r="AC43" i="39"/>
  <c r="AE43" i="39"/>
  <c r="AC138" i="39"/>
  <c r="AE138" i="39"/>
  <c r="AC74" i="39"/>
  <c r="AE74" i="39"/>
  <c r="AC10" i="39"/>
  <c r="AE10" i="39"/>
  <c r="AC65" i="39"/>
  <c r="AE65" i="39"/>
  <c r="AC71" i="39"/>
  <c r="AE71" i="39"/>
  <c r="AC49" i="39"/>
  <c r="AE49" i="39"/>
  <c r="AC55" i="39"/>
  <c r="AE55" i="39"/>
  <c r="AC68" i="39"/>
  <c r="AE68" i="39"/>
  <c r="AC25" i="39"/>
  <c r="AE25" i="39"/>
  <c r="AC64" i="39"/>
  <c r="AE64" i="39"/>
  <c r="AC31" i="39"/>
  <c r="AE31" i="39"/>
  <c r="AC62" i="39"/>
  <c r="AE62" i="39"/>
  <c r="AC69" i="39"/>
  <c r="AE69" i="39"/>
  <c r="AC40" i="39"/>
  <c r="AE40" i="39"/>
  <c r="AC113" i="39"/>
  <c r="AE113" i="39"/>
  <c r="AC24" i="39"/>
  <c r="AE24" i="39"/>
  <c r="AC132" i="39"/>
  <c r="AE132" i="39"/>
  <c r="AC59" i="39"/>
  <c r="AE59" i="39"/>
  <c r="AC26" i="39"/>
  <c r="AE26" i="39"/>
  <c r="AC89" i="39"/>
  <c r="AE89" i="39"/>
  <c r="AC128" i="39"/>
  <c r="AE128" i="39"/>
  <c r="AC95" i="39"/>
  <c r="AE95" i="39"/>
  <c r="AC126" i="39"/>
  <c r="AE126" i="39"/>
  <c r="AC5" i="39"/>
  <c r="AE5" i="39"/>
  <c r="AC108" i="39"/>
  <c r="AE108" i="39"/>
  <c r="AC44" i="39"/>
  <c r="AE44" i="39"/>
  <c r="AC99" i="39"/>
  <c r="AE99" i="39"/>
  <c r="AC35" i="39"/>
  <c r="AE35" i="39"/>
  <c r="AC130" i="39"/>
  <c r="AE130" i="39"/>
  <c r="AC66" i="39"/>
  <c r="AE66" i="39"/>
  <c r="AC2" i="39"/>
  <c r="AE2" i="39"/>
  <c r="AC145" i="39"/>
  <c r="AE145" i="39"/>
  <c r="AC81" i="39"/>
  <c r="AE81" i="39"/>
  <c r="AC17" i="39"/>
  <c r="AE17" i="39"/>
  <c r="AC120" i="39"/>
  <c r="AE120" i="39"/>
  <c r="AC56" i="39"/>
  <c r="AE56" i="39"/>
  <c r="AC37" i="39"/>
  <c r="AE37" i="39"/>
  <c r="AC87" i="39"/>
  <c r="AE87" i="39"/>
  <c r="AC23" i="39"/>
  <c r="AE23" i="39"/>
  <c r="AC118" i="39"/>
  <c r="AE118" i="39"/>
  <c r="AC54" i="39"/>
  <c r="AE54" i="39"/>
  <c r="AC117" i="39"/>
  <c r="AE117" i="39"/>
  <c r="AC100" i="39"/>
  <c r="AE100" i="39"/>
  <c r="AC36" i="39"/>
  <c r="AE36" i="39"/>
  <c r="AC29" i="39"/>
  <c r="AE29" i="39"/>
  <c r="AC91" i="39"/>
  <c r="AE91" i="39"/>
  <c r="AC27" i="39"/>
  <c r="AE27" i="39"/>
  <c r="AC122" i="39"/>
  <c r="AE122" i="39"/>
  <c r="AC58" i="39"/>
  <c r="AE58" i="39"/>
  <c r="AC7" i="39"/>
  <c r="AE7" i="39"/>
  <c r="AC53" i="39"/>
  <c r="AE53" i="39"/>
  <c r="AC45" i="39"/>
  <c r="AE45" i="39"/>
  <c r="AC61" i="39"/>
  <c r="AE61" i="39"/>
  <c r="AC109" i="39"/>
  <c r="AE109" i="39"/>
  <c r="AC137" i="39"/>
  <c r="AE137" i="39"/>
  <c r="AC73" i="39"/>
  <c r="AE73" i="39"/>
  <c r="AC9" i="39"/>
  <c r="AE9" i="39"/>
  <c r="AC112" i="39"/>
  <c r="AE112" i="39"/>
  <c r="AC48" i="39"/>
  <c r="AE48" i="39"/>
  <c r="AC143" i="39"/>
  <c r="AE143" i="39"/>
  <c r="AC79" i="39"/>
  <c r="AE79" i="39"/>
  <c r="AC15" i="39"/>
  <c r="AE15" i="39"/>
  <c r="AC110" i="39"/>
  <c r="AE110" i="39"/>
  <c r="AC46" i="39"/>
  <c r="AE46" i="39"/>
  <c r="AC21" i="39"/>
  <c r="AE21" i="39"/>
  <c r="AC92" i="39"/>
  <c r="AE92" i="39"/>
  <c r="AC28" i="39"/>
  <c r="AE28" i="39"/>
  <c r="AC147" i="39"/>
  <c r="AE147" i="39"/>
  <c r="AC83" i="39"/>
  <c r="AE83" i="39"/>
  <c r="AC19" i="39"/>
  <c r="AE19" i="39"/>
  <c r="AC114" i="39"/>
  <c r="AE114" i="39"/>
  <c r="AC50" i="39"/>
  <c r="AE50" i="39"/>
  <c r="AC125" i="39"/>
  <c r="AE125" i="39"/>
  <c r="AC38" i="39"/>
  <c r="AE38" i="39"/>
  <c r="AC148" i="39"/>
  <c r="AE148" i="39"/>
  <c r="AC84" i="39"/>
  <c r="AE84" i="39"/>
  <c r="AC20" i="39"/>
  <c r="AE20" i="39"/>
  <c r="AC139" i="39"/>
  <c r="AE139" i="39"/>
  <c r="AC75" i="39"/>
  <c r="AE75" i="39"/>
  <c r="AC11" i="39"/>
  <c r="AE11" i="39"/>
  <c r="AC106" i="39"/>
  <c r="AE106" i="39"/>
  <c r="AC42" i="39"/>
  <c r="AE42" i="39"/>
  <c r="AC104" i="39"/>
  <c r="AE104" i="39"/>
  <c r="AC121" i="39"/>
  <c r="AE121" i="39"/>
  <c r="AC57" i="39"/>
  <c r="AE57" i="39"/>
  <c r="AC93" i="39"/>
  <c r="AE93" i="39"/>
  <c r="AC96" i="39"/>
  <c r="AE96" i="39"/>
  <c r="AC32" i="39"/>
  <c r="AE32" i="39"/>
  <c r="AC127" i="39"/>
  <c r="AE127" i="39"/>
  <c r="AC63" i="39"/>
  <c r="AE63" i="39"/>
  <c r="AC77" i="39"/>
  <c r="AE77" i="39"/>
  <c r="AC94" i="39"/>
  <c r="AE94" i="39"/>
  <c r="AC30" i="39"/>
  <c r="AE30" i="39"/>
  <c r="AC140" i="39"/>
  <c r="AE140" i="39"/>
  <c r="AC76" i="39"/>
  <c r="AE76" i="39"/>
  <c r="AC12" i="39"/>
  <c r="AE12" i="39"/>
  <c r="AC131" i="39"/>
  <c r="AE131" i="39"/>
  <c r="AC67" i="39"/>
  <c r="AE67" i="39"/>
  <c r="AC3" i="39"/>
  <c r="AE3" i="39"/>
  <c r="AC98" i="39"/>
  <c r="AE98" i="39"/>
  <c r="AC34" i="39"/>
  <c r="AE34" i="39"/>
  <c r="Q2" i="39"/>
  <c r="P92" i="39"/>
  <c r="Q92" i="39"/>
  <c r="P91" i="39"/>
  <c r="Q91" i="39"/>
  <c r="P137" i="39"/>
  <c r="Q137" i="39"/>
  <c r="P73" i="39"/>
  <c r="Q73" i="39"/>
  <c r="P9" i="39"/>
  <c r="Q9" i="39"/>
  <c r="P24" i="39"/>
  <c r="Q24" i="39"/>
  <c r="P47" i="39"/>
  <c r="Q47" i="39"/>
  <c r="P102" i="39"/>
  <c r="Q102" i="39"/>
  <c r="P38" i="39"/>
  <c r="Q38" i="39"/>
  <c r="P88" i="39"/>
  <c r="Q88" i="39"/>
  <c r="P103" i="39"/>
  <c r="Q103" i="39"/>
  <c r="P141" i="39"/>
  <c r="Q141" i="39"/>
  <c r="P77" i="39"/>
  <c r="Q77" i="39"/>
  <c r="P13" i="39"/>
  <c r="Q13" i="39"/>
  <c r="P44" i="39"/>
  <c r="Q44" i="39"/>
  <c r="P83" i="39"/>
  <c r="Q83" i="39"/>
  <c r="P122" i="39"/>
  <c r="Q122" i="39"/>
  <c r="P58" i="39"/>
  <c r="Q58" i="39"/>
  <c r="P115" i="39"/>
  <c r="Q115" i="39"/>
  <c r="P17" i="39"/>
  <c r="Q17" i="39"/>
  <c r="P63" i="39"/>
  <c r="Q63" i="39"/>
  <c r="P46" i="39"/>
  <c r="Q46" i="39"/>
  <c r="P149" i="39"/>
  <c r="Q149" i="39"/>
  <c r="P60" i="39"/>
  <c r="Q60" i="39"/>
  <c r="P66" i="39"/>
  <c r="Q66" i="39"/>
  <c r="P129" i="39"/>
  <c r="Q129" i="39"/>
  <c r="P65" i="39"/>
  <c r="Q65" i="39"/>
  <c r="P144" i="39"/>
  <c r="Q144" i="39"/>
  <c r="P8" i="39"/>
  <c r="Q8" i="39"/>
  <c r="P23" i="39"/>
  <c r="Q23" i="39"/>
  <c r="P94" i="39"/>
  <c r="Q94" i="39"/>
  <c r="P30" i="39"/>
  <c r="Q30" i="39"/>
  <c r="P72" i="39"/>
  <c r="Q72" i="39"/>
  <c r="P87" i="39"/>
  <c r="Q87" i="39"/>
  <c r="P133" i="39"/>
  <c r="Q133" i="39"/>
  <c r="P69" i="39"/>
  <c r="Q69" i="39"/>
  <c r="P5" i="39"/>
  <c r="Q5" i="39"/>
  <c r="P28" i="39"/>
  <c r="Q28" i="39"/>
  <c r="P67" i="39"/>
  <c r="Q67" i="39"/>
  <c r="P114" i="39"/>
  <c r="Q114" i="39"/>
  <c r="P50" i="39"/>
  <c r="Q50" i="39"/>
  <c r="P52" i="39"/>
  <c r="Q52" i="39"/>
  <c r="P59" i="39"/>
  <c r="Q59" i="39"/>
  <c r="P121" i="39"/>
  <c r="Q121" i="39"/>
  <c r="P57" i="39"/>
  <c r="Q57" i="39"/>
  <c r="P128" i="39"/>
  <c r="Q128" i="39"/>
  <c r="P143" i="39"/>
  <c r="Q143" i="39"/>
  <c r="P7" i="39"/>
  <c r="Q7" i="39"/>
  <c r="P86" i="39"/>
  <c r="Q86" i="39"/>
  <c r="P22" i="39"/>
  <c r="Q22" i="39"/>
  <c r="P56" i="39"/>
  <c r="Q56" i="39"/>
  <c r="P71" i="39"/>
  <c r="Q71" i="39"/>
  <c r="P125" i="39"/>
  <c r="Q125" i="39"/>
  <c r="P61" i="39"/>
  <c r="Q61" i="39"/>
  <c r="P148" i="39"/>
  <c r="Q148" i="39"/>
  <c r="P20" i="39"/>
  <c r="Q20" i="39"/>
  <c r="P51" i="39"/>
  <c r="Q51" i="39"/>
  <c r="P106" i="39"/>
  <c r="Q106" i="39"/>
  <c r="P42" i="39"/>
  <c r="Q42" i="39"/>
  <c r="P81" i="39"/>
  <c r="Q81" i="39"/>
  <c r="P110" i="39"/>
  <c r="Q110" i="39"/>
  <c r="P119" i="39"/>
  <c r="Q119" i="39"/>
  <c r="P99" i="39"/>
  <c r="Q99" i="39"/>
  <c r="P75" i="39"/>
  <c r="Q75" i="39"/>
  <c r="P49" i="39"/>
  <c r="Q49" i="39"/>
  <c r="P142" i="39"/>
  <c r="Q142" i="39"/>
  <c r="P48" i="39"/>
  <c r="Q48" i="39"/>
  <c r="P53" i="39"/>
  <c r="Q53" i="39"/>
  <c r="P12" i="39"/>
  <c r="Q12" i="39"/>
  <c r="P98" i="39"/>
  <c r="Q98" i="39"/>
  <c r="P4" i="39"/>
  <c r="Q4" i="39"/>
  <c r="P27" i="39"/>
  <c r="Q27" i="39"/>
  <c r="P105" i="39"/>
  <c r="Q105" i="39"/>
  <c r="P41" i="39"/>
  <c r="Q41" i="39"/>
  <c r="P96" i="39"/>
  <c r="Q96" i="39"/>
  <c r="P111" i="39"/>
  <c r="Q111" i="39"/>
  <c r="P134" i="39"/>
  <c r="Q134" i="39"/>
  <c r="P70" i="39"/>
  <c r="Q70" i="39"/>
  <c r="P6" i="39"/>
  <c r="Q6" i="39"/>
  <c r="P32" i="39"/>
  <c r="Q32" i="39"/>
  <c r="P39" i="39"/>
  <c r="Q39" i="39"/>
  <c r="P109" i="39"/>
  <c r="Q109" i="39"/>
  <c r="P45" i="39"/>
  <c r="Q45" i="39"/>
  <c r="P108" i="39"/>
  <c r="Q108" i="39"/>
  <c r="P139" i="39"/>
  <c r="Q139" i="39"/>
  <c r="P3" i="39"/>
  <c r="Q3" i="39"/>
  <c r="P90" i="39"/>
  <c r="Q90" i="39"/>
  <c r="P26" i="39"/>
  <c r="Q26" i="39"/>
  <c r="P100" i="39"/>
  <c r="Q100" i="39"/>
  <c r="P145" i="39"/>
  <c r="Q145" i="39"/>
  <c r="P40" i="39"/>
  <c r="Q40" i="39"/>
  <c r="P104" i="39"/>
  <c r="Q104" i="39"/>
  <c r="P85" i="39"/>
  <c r="Q85" i="39"/>
  <c r="P21" i="39"/>
  <c r="Q21" i="39"/>
  <c r="P130" i="39"/>
  <c r="Q130" i="39"/>
  <c r="P76" i="39"/>
  <c r="Q76" i="39"/>
  <c r="P36" i="39"/>
  <c r="Q36" i="39"/>
  <c r="P113" i="39"/>
  <c r="Q113" i="39"/>
  <c r="P127" i="39"/>
  <c r="Q127" i="39"/>
  <c r="P14" i="39"/>
  <c r="Q14" i="39"/>
  <c r="P117" i="39"/>
  <c r="Q117" i="39"/>
  <c r="P35" i="39"/>
  <c r="Q35" i="39"/>
  <c r="P140" i="39"/>
  <c r="Q140" i="39"/>
  <c r="P147" i="39"/>
  <c r="Q147" i="39"/>
  <c r="P97" i="39"/>
  <c r="Q97" i="39"/>
  <c r="P33" i="39"/>
  <c r="Q33" i="39"/>
  <c r="P80" i="39"/>
  <c r="Q80" i="39"/>
  <c r="P95" i="39"/>
  <c r="Q95" i="39"/>
  <c r="P126" i="39"/>
  <c r="Q126" i="39"/>
  <c r="P62" i="39"/>
  <c r="Q62" i="39"/>
  <c r="P136" i="39"/>
  <c r="Q136" i="39"/>
  <c r="P16" i="39"/>
  <c r="Q16" i="39"/>
  <c r="P31" i="39"/>
  <c r="Q31" i="39"/>
  <c r="P101" i="39"/>
  <c r="Q101" i="39"/>
  <c r="P37" i="39"/>
  <c r="Q37" i="39"/>
  <c r="P84" i="39"/>
  <c r="Q84" i="39"/>
  <c r="P123" i="39"/>
  <c r="Q123" i="39"/>
  <c r="P146" i="39"/>
  <c r="Q146" i="39"/>
  <c r="P82" i="39"/>
  <c r="Q82" i="39"/>
  <c r="P18" i="39"/>
  <c r="Q18" i="39"/>
  <c r="P43" i="39"/>
  <c r="Q43" i="39"/>
  <c r="P112" i="39"/>
  <c r="Q112" i="39"/>
  <c r="P78" i="39"/>
  <c r="Q78" i="39"/>
  <c r="P55" i="39"/>
  <c r="Q55" i="39"/>
  <c r="P132" i="39"/>
  <c r="Q132" i="39"/>
  <c r="P34" i="39"/>
  <c r="Q34" i="39"/>
  <c r="P124" i="39"/>
  <c r="Q124" i="39"/>
  <c r="P19" i="39"/>
  <c r="Q19" i="39"/>
  <c r="P116" i="39"/>
  <c r="Q116" i="39"/>
  <c r="P131" i="39"/>
  <c r="Q131" i="39"/>
  <c r="P11" i="39"/>
  <c r="Q11" i="39"/>
  <c r="P89" i="39"/>
  <c r="Q89" i="39"/>
  <c r="P25" i="39"/>
  <c r="Q25" i="39"/>
  <c r="P64" i="39"/>
  <c r="Q64" i="39"/>
  <c r="P79" i="39"/>
  <c r="Q79" i="39"/>
  <c r="P118" i="39"/>
  <c r="Q118" i="39"/>
  <c r="P54" i="39"/>
  <c r="Q54" i="39"/>
  <c r="P120" i="39"/>
  <c r="Q120" i="39"/>
  <c r="P135" i="39"/>
  <c r="Q135" i="39"/>
  <c r="P15" i="39"/>
  <c r="Q15" i="39"/>
  <c r="P93" i="39"/>
  <c r="Q93" i="39"/>
  <c r="P29" i="39"/>
  <c r="Q29" i="39"/>
  <c r="P68" i="39"/>
  <c r="Q68" i="39"/>
  <c r="P107" i="39"/>
  <c r="Q107" i="39"/>
  <c r="P138" i="39"/>
  <c r="Q138" i="39"/>
  <c r="P74" i="39"/>
  <c r="Q74" i="39"/>
  <c r="P10" i="39"/>
  <c r="Q10" i="39"/>
  <c r="O2" i="39"/>
  <c r="P2" i="39"/>
  <c r="N124" i="39"/>
  <c r="O124" i="39"/>
  <c r="N100" i="39"/>
  <c r="O100" i="39"/>
  <c r="N17" i="39"/>
  <c r="O17" i="39"/>
  <c r="N92" i="39"/>
  <c r="O92" i="39"/>
  <c r="N91" i="39"/>
  <c r="O91" i="39"/>
  <c r="N137" i="39"/>
  <c r="O137" i="39"/>
  <c r="N73" i="39"/>
  <c r="O73" i="39"/>
  <c r="N9" i="39"/>
  <c r="O9" i="39"/>
  <c r="N24" i="39"/>
  <c r="O24" i="39"/>
  <c r="N47" i="39"/>
  <c r="O47" i="39"/>
  <c r="N102" i="39"/>
  <c r="O102" i="39"/>
  <c r="N38" i="39"/>
  <c r="O38" i="39"/>
  <c r="N88" i="39"/>
  <c r="O88" i="39"/>
  <c r="N103" i="39"/>
  <c r="O103" i="39"/>
  <c r="N141" i="39"/>
  <c r="O141" i="39"/>
  <c r="N77" i="39"/>
  <c r="O77" i="39"/>
  <c r="N13" i="39"/>
  <c r="O13" i="39"/>
  <c r="N44" i="39"/>
  <c r="O44" i="39"/>
  <c r="N83" i="39"/>
  <c r="O83" i="39"/>
  <c r="N122" i="39"/>
  <c r="O122" i="39"/>
  <c r="N58" i="39"/>
  <c r="O58" i="39"/>
  <c r="N147" i="39"/>
  <c r="O147" i="39"/>
  <c r="N75" i="39"/>
  <c r="O75" i="39"/>
  <c r="N65" i="39"/>
  <c r="O65" i="39"/>
  <c r="N8" i="39"/>
  <c r="O8" i="39"/>
  <c r="N23" i="39"/>
  <c r="O23" i="39"/>
  <c r="N30" i="39"/>
  <c r="O30" i="39"/>
  <c r="N72" i="39"/>
  <c r="O72" i="39"/>
  <c r="N87" i="39"/>
  <c r="O87" i="39"/>
  <c r="N133" i="39"/>
  <c r="O133" i="39"/>
  <c r="N69" i="39"/>
  <c r="O69" i="39"/>
  <c r="N5" i="39"/>
  <c r="O5" i="39"/>
  <c r="N28" i="39"/>
  <c r="O28" i="39"/>
  <c r="N67" i="39"/>
  <c r="O67" i="39"/>
  <c r="N114" i="39"/>
  <c r="O114" i="39"/>
  <c r="N50" i="39"/>
  <c r="O50" i="39"/>
  <c r="N116" i="39"/>
  <c r="O116" i="39"/>
  <c r="N129" i="39"/>
  <c r="O129" i="39"/>
  <c r="N144" i="39"/>
  <c r="O144" i="39"/>
  <c r="N94" i="39"/>
  <c r="O94" i="39"/>
  <c r="N52" i="39"/>
  <c r="O52" i="39"/>
  <c r="N121" i="39"/>
  <c r="O121" i="39"/>
  <c r="N128" i="39"/>
  <c r="O128" i="39"/>
  <c r="N7" i="39"/>
  <c r="O7" i="39"/>
  <c r="N56" i="39"/>
  <c r="O56" i="39"/>
  <c r="N125" i="39"/>
  <c r="O125" i="39"/>
  <c r="N20" i="39"/>
  <c r="O20" i="39"/>
  <c r="N42" i="39"/>
  <c r="O42" i="39"/>
  <c r="N59" i="39"/>
  <c r="O59" i="39"/>
  <c r="N57" i="39"/>
  <c r="O57" i="39"/>
  <c r="N143" i="39"/>
  <c r="O143" i="39"/>
  <c r="N86" i="39"/>
  <c r="O86" i="39"/>
  <c r="N22" i="39"/>
  <c r="O22" i="39"/>
  <c r="N71" i="39"/>
  <c r="O71" i="39"/>
  <c r="N61" i="39"/>
  <c r="O61" i="39"/>
  <c r="N148" i="39"/>
  <c r="O148" i="39"/>
  <c r="N51" i="39"/>
  <c r="O51" i="39"/>
  <c r="N106" i="39"/>
  <c r="O106" i="39"/>
  <c r="N131" i="39"/>
  <c r="O131" i="39"/>
  <c r="N76" i="39"/>
  <c r="O76" i="39"/>
  <c r="N36" i="39"/>
  <c r="O36" i="39"/>
  <c r="N43" i="39"/>
  <c r="O43" i="39"/>
  <c r="N113" i="39"/>
  <c r="O113" i="39"/>
  <c r="N49" i="39"/>
  <c r="O49" i="39"/>
  <c r="N112" i="39"/>
  <c r="O112" i="39"/>
  <c r="N127" i="39"/>
  <c r="O127" i="39"/>
  <c r="N142" i="39"/>
  <c r="O142" i="39"/>
  <c r="N78" i="39"/>
  <c r="O78" i="39"/>
  <c r="N14" i="39"/>
  <c r="O14" i="39"/>
  <c r="N48" i="39"/>
  <c r="O48" i="39"/>
  <c r="N55" i="39"/>
  <c r="O55" i="39"/>
  <c r="N117" i="39"/>
  <c r="O117" i="39"/>
  <c r="N53" i="39"/>
  <c r="O53" i="39"/>
  <c r="N132" i="39"/>
  <c r="O132" i="39"/>
  <c r="N12" i="39"/>
  <c r="O12" i="39"/>
  <c r="N35" i="39"/>
  <c r="O35" i="39"/>
  <c r="N98" i="39"/>
  <c r="O98" i="39"/>
  <c r="N34" i="39"/>
  <c r="O34" i="39"/>
  <c r="N140" i="39"/>
  <c r="O140" i="39"/>
  <c r="N4" i="39"/>
  <c r="O4" i="39"/>
  <c r="N27" i="39"/>
  <c r="O27" i="39"/>
  <c r="N105" i="39"/>
  <c r="O105" i="39"/>
  <c r="N41" i="39"/>
  <c r="O41" i="39"/>
  <c r="N96" i="39"/>
  <c r="O96" i="39"/>
  <c r="N111" i="39"/>
  <c r="O111" i="39"/>
  <c r="N134" i="39"/>
  <c r="O134" i="39"/>
  <c r="N70" i="39"/>
  <c r="O70" i="39"/>
  <c r="N6" i="39"/>
  <c r="O6" i="39"/>
  <c r="N32" i="39"/>
  <c r="O32" i="39"/>
  <c r="N39" i="39"/>
  <c r="O39" i="39"/>
  <c r="N109" i="39"/>
  <c r="O109" i="39"/>
  <c r="N45" i="39"/>
  <c r="O45" i="39"/>
  <c r="N108" i="39"/>
  <c r="O108" i="39"/>
  <c r="N139" i="39"/>
  <c r="O139" i="39"/>
  <c r="N3" i="39"/>
  <c r="O3" i="39"/>
  <c r="N90" i="39"/>
  <c r="O90" i="39"/>
  <c r="N26" i="39"/>
  <c r="O26" i="39"/>
  <c r="N19" i="39"/>
  <c r="O19" i="39"/>
  <c r="N97" i="39"/>
  <c r="O97" i="39"/>
  <c r="N33" i="39"/>
  <c r="O33" i="39"/>
  <c r="N80" i="39"/>
  <c r="O80" i="39"/>
  <c r="N95" i="39"/>
  <c r="O95" i="39"/>
  <c r="N126" i="39"/>
  <c r="O126" i="39"/>
  <c r="N62" i="39"/>
  <c r="O62" i="39"/>
  <c r="N136" i="39"/>
  <c r="O136" i="39"/>
  <c r="N16" i="39"/>
  <c r="O16" i="39"/>
  <c r="N31" i="39"/>
  <c r="O31" i="39"/>
  <c r="N101" i="39"/>
  <c r="O101" i="39"/>
  <c r="N37" i="39"/>
  <c r="O37" i="39"/>
  <c r="N84" i="39"/>
  <c r="O84" i="39"/>
  <c r="N123" i="39"/>
  <c r="O123" i="39"/>
  <c r="N146" i="39"/>
  <c r="O146" i="39"/>
  <c r="N82" i="39"/>
  <c r="O82" i="39"/>
  <c r="N18" i="39"/>
  <c r="O18" i="39"/>
  <c r="N89" i="39"/>
  <c r="O89" i="39"/>
  <c r="N25" i="39"/>
  <c r="O25" i="39"/>
  <c r="N64" i="39"/>
  <c r="O64" i="39"/>
  <c r="N79" i="39"/>
  <c r="O79" i="39"/>
  <c r="N118" i="39"/>
  <c r="O118" i="39"/>
  <c r="N54" i="39"/>
  <c r="O54" i="39"/>
  <c r="N120" i="39"/>
  <c r="O120" i="39"/>
  <c r="N135" i="39"/>
  <c r="O135" i="39"/>
  <c r="N15" i="39"/>
  <c r="O15" i="39"/>
  <c r="N93" i="39"/>
  <c r="O93" i="39"/>
  <c r="N29" i="39"/>
  <c r="O29" i="39"/>
  <c r="N68" i="39"/>
  <c r="O68" i="39"/>
  <c r="N107" i="39"/>
  <c r="O107" i="39"/>
  <c r="N138" i="39"/>
  <c r="O138" i="39"/>
  <c r="N74" i="39"/>
  <c r="O74" i="39"/>
  <c r="N10" i="39"/>
  <c r="O10" i="39"/>
  <c r="N11" i="39"/>
  <c r="O11" i="39"/>
  <c r="N115" i="39"/>
  <c r="O115" i="39"/>
  <c r="N145" i="39"/>
  <c r="O145" i="39"/>
  <c r="N81" i="39"/>
  <c r="O81" i="39"/>
  <c r="N40" i="39"/>
  <c r="O40" i="39"/>
  <c r="N63" i="39"/>
  <c r="O63" i="39"/>
  <c r="N110" i="39"/>
  <c r="O110" i="39"/>
  <c r="N46" i="39"/>
  <c r="O46" i="39"/>
  <c r="N104" i="39"/>
  <c r="O104" i="39"/>
  <c r="N119" i="39"/>
  <c r="O119" i="39"/>
  <c r="N149" i="39"/>
  <c r="O149" i="39"/>
  <c r="N85" i="39"/>
  <c r="O85" i="39"/>
  <c r="N21" i="39"/>
  <c r="O21" i="39"/>
  <c r="N60" i="39"/>
  <c r="O60" i="39"/>
  <c r="N99" i="39"/>
  <c r="O99" i="39"/>
  <c r="N130" i="39"/>
  <c r="O130" i="39"/>
  <c r="N66" i="39"/>
  <c r="O66" i="39"/>
  <c r="M2" i="39"/>
  <c r="AP2" i="39" s="1"/>
  <c r="N2" i="39"/>
  <c r="L33" i="39"/>
  <c r="AN33" i="39" s="1"/>
  <c r="M33" i="39"/>
  <c r="AP33" i="39" s="1"/>
  <c r="L11" i="39"/>
  <c r="AN11" i="39" s="1"/>
  <c r="M11" i="39"/>
  <c r="AP11" i="39" s="1"/>
  <c r="L64" i="39"/>
  <c r="AN64" i="39" s="1"/>
  <c r="M64" i="39"/>
  <c r="AP64" i="39" s="1"/>
  <c r="L54" i="39"/>
  <c r="AN54" i="39" s="1"/>
  <c r="M54" i="39"/>
  <c r="AP54" i="39" s="1"/>
  <c r="L15" i="39"/>
  <c r="AN15" i="39" s="1"/>
  <c r="M15" i="39"/>
  <c r="AP15" i="39" s="1"/>
  <c r="L115" i="39"/>
  <c r="AN115" i="39" s="1"/>
  <c r="M115" i="39"/>
  <c r="AP115" i="39" s="1"/>
  <c r="L145" i="39"/>
  <c r="AN145" i="39" s="1"/>
  <c r="M145" i="39"/>
  <c r="AP145" i="39" s="1"/>
  <c r="L81" i="39"/>
  <c r="AN81" i="39" s="1"/>
  <c r="M81" i="39"/>
  <c r="AP81" i="39" s="1"/>
  <c r="L17" i="39"/>
  <c r="AN17" i="39" s="1"/>
  <c r="M17" i="39"/>
  <c r="AP17" i="39" s="1"/>
  <c r="L40" i="39"/>
  <c r="AN40" i="39" s="1"/>
  <c r="M40" i="39"/>
  <c r="AP40" i="39" s="1"/>
  <c r="L63" i="39"/>
  <c r="AN63" i="39" s="1"/>
  <c r="M63" i="39"/>
  <c r="AP63" i="39" s="1"/>
  <c r="L110" i="39"/>
  <c r="AN110" i="39" s="1"/>
  <c r="M110" i="39"/>
  <c r="AP110" i="39" s="1"/>
  <c r="L46" i="39"/>
  <c r="AN46" i="39" s="1"/>
  <c r="M46" i="39"/>
  <c r="AP46" i="39" s="1"/>
  <c r="L104" i="39"/>
  <c r="AN104" i="39" s="1"/>
  <c r="M104" i="39"/>
  <c r="AP104" i="39" s="1"/>
  <c r="L119" i="39"/>
  <c r="AN119" i="39" s="1"/>
  <c r="M119" i="39"/>
  <c r="AP119" i="39" s="1"/>
  <c r="L149" i="39"/>
  <c r="AN149" i="39" s="1"/>
  <c r="M149" i="39"/>
  <c r="AP149" i="39" s="1"/>
  <c r="L85" i="39"/>
  <c r="AN85" i="39" s="1"/>
  <c r="M85" i="39"/>
  <c r="AP85" i="39" s="1"/>
  <c r="L21" i="39"/>
  <c r="AN21" i="39" s="1"/>
  <c r="M21" i="39"/>
  <c r="AP21" i="39" s="1"/>
  <c r="L60" i="39"/>
  <c r="AN60" i="39" s="1"/>
  <c r="M60" i="39"/>
  <c r="AP60" i="39" s="1"/>
  <c r="L99" i="39"/>
  <c r="AN99" i="39" s="1"/>
  <c r="M99" i="39"/>
  <c r="AP99" i="39" s="1"/>
  <c r="L130" i="39"/>
  <c r="AN130" i="39" s="1"/>
  <c r="M130" i="39"/>
  <c r="AP130" i="39" s="1"/>
  <c r="L66" i="39"/>
  <c r="AN66" i="39" s="1"/>
  <c r="M66" i="39"/>
  <c r="AP66" i="39" s="1"/>
  <c r="L92" i="39"/>
  <c r="AN92" i="39" s="1"/>
  <c r="M92" i="39"/>
  <c r="AP92" i="39" s="1"/>
  <c r="L91" i="39"/>
  <c r="AN91" i="39" s="1"/>
  <c r="M91" i="39"/>
  <c r="AP91" i="39" s="1"/>
  <c r="L137" i="39"/>
  <c r="AN137" i="39" s="1"/>
  <c r="M137" i="39"/>
  <c r="AP137" i="39" s="1"/>
  <c r="L73" i="39"/>
  <c r="AN73" i="39" s="1"/>
  <c r="M73" i="39"/>
  <c r="AP73" i="39" s="1"/>
  <c r="L9" i="39"/>
  <c r="AN9" i="39" s="1"/>
  <c r="M9" i="39"/>
  <c r="AP9" i="39" s="1"/>
  <c r="L24" i="39"/>
  <c r="AN24" i="39" s="1"/>
  <c r="M24" i="39"/>
  <c r="AP24" i="39" s="1"/>
  <c r="L47" i="39"/>
  <c r="AN47" i="39" s="1"/>
  <c r="M47" i="39"/>
  <c r="AP47" i="39" s="1"/>
  <c r="L102" i="39"/>
  <c r="AN102" i="39" s="1"/>
  <c r="M102" i="39"/>
  <c r="AP102" i="39" s="1"/>
  <c r="L38" i="39"/>
  <c r="AN38" i="39" s="1"/>
  <c r="M38" i="39"/>
  <c r="AP38" i="39" s="1"/>
  <c r="L88" i="39"/>
  <c r="AN88" i="39" s="1"/>
  <c r="M88" i="39"/>
  <c r="AP88" i="39" s="1"/>
  <c r="L103" i="39"/>
  <c r="AN103" i="39" s="1"/>
  <c r="M103" i="39"/>
  <c r="AP103" i="39" s="1"/>
  <c r="L141" i="39"/>
  <c r="AN141" i="39" s="1"/>
  <c r="M141" i="39"/>
  <c r="AP141" i="39" s="1"/>
  <c r="L77" i="39"/>
  <c r="AN77" i="39" s="1"/>
  <c r="M77" i="39"/>
  <c r="AP77" i="39" s="1"/>
  <c r="L13" i="39"/>
  <c r="AN13" i="39" s="1"/>
  <c r="M13" i="39"/>
  <c r="AP13" i="39" s="1"/>
  <c r="L44" i="39"/>
  <c r="AN44" i="39" s="1"/>
  <c r="M44" i="39"/>
  <c r="AP44" i="39" s="1"/>
  <c r="L83" i="39"/>
  <c r="AN83" i="39" s="1"/>
  <c r="M83" i="39"/>
  <c r="AP83" i="39" s="1"/>
  <c r="L122" i="39"/>
  <c r="AN122" i="39" s="1"/>
  <c r="M122" i="39"/>
  <c r="AP122" i="39" s="1"/>
  <c r="L58" i="39"/>
  <c r="AN58" i="39" s="1"/>
  <c r="M58" i="39"/>
  <c r="AP58" i="39" s="1"/>
  <c r="L76" i="39"/>
  <c r="AN76" i="39" s="1"/>
  <c r="M76" i="39"/>
  <c r="AP76" i="39" s="1"/>
  <c r="L75" i="39"/>
  <c r="AN75" i="39" s="1"/>
  <c r="M75" i="39"/>
  <c r="AP75" i="39" s="1"/>
  <c r="L129" i="39"/>
  <c r="AN129" i="39" s="1"/>
  <c r="M129" i="39"/>
  <c r="AP129" i="39" s="1"/>
  <c r="L65" i="39"/>
  <c r="AN65" i="39" s="1"/>
  <c r="M65" i="39"/>
  <c r="AP65" i="39" s="1"/>
  <c r="L144" i="39"/>
  <c r="AN144" i="39" s="1"/>
  <c r="M144" i="39"/>
  <c r="AP144" i="39" s="1"/>
  <c r="L8" i="39"/>
  <c r="AN8" i="39" s="1"/>
  <c r="M8" i="39"/>
  <c r="AP8" i="39" s="1"/>
  <c r="L23" i="39"/>
  <c r="AN23" i="39" s="1"/>
  <c r="M23" i="39"/>
  <c r="AP23" i="39" s="1"/>
  <c r="L94" i="39"/>
  <c r="AN94" i="39" s="1"/>
  <c r="M94" i="39"/>
  <c r="AP94" i="39" s="1"/>
  <c r="L30" i="39"/>
  <c r="AN30" i="39" s="1"/>
  <c r="M30" i="39"/>
  <c r="AP30" i="39" s="1"/>
  <c r="L72" i="39"/>
  <c r="AN72" i="39" s="1"/>
  <c r="M72" i="39"/>
  <c r="AP72" i="39" s="1"/>
  <c r="L87" i="39"/>
  <c r="AN87" i="39" s="1"/>
  <c r="M87" i="39"/>
  <c r="AP87" i="39" s="1"/>
  <c r="L133" i="39"/>
  <c r="AN133" i="39" s="1"/>
  <c r="M133" i="39"/>
  <c r="AP133" i="39" s="1"/>
  <c r="L69" i="39"/>
  <c r="AN69" i="39" s="1"/>
  <c r="M69" i="39"/>
  <c r="AP69" i="39" s="1"/>
  <c r="L5" i="39"/>
  <c r="AN5" i="39" s="1"/>
  <c r="M5" i="39"/>
  <c r="AP5" i="39" s="1"/>
  <c r="L28" i="39"/>
  <c r="AN28" i="39" s="1"/>
  <c r="M28" i="39"/>
  <c r="AP28" i="39" s="1"/>
  <c r="L67" i="39"/>
  <c r="AN67" i="39" s="1"/>
  <c r="M67" i="39"/>
  <c r="AP67" i="39" s="1"/>
  <c r="L114" i="39"/>
  <c r="AN114" i="39" s="1"/>
  <c r="M114" i="39"/>
  <c r="AP114" i="39" s="1"/>
  <c r="L50" i="39"/>
  <c r="AN50" i="39" s="1"/>
  <c r="M50" i="39"/>
  <c r="AP50" i="39" s="1"/>
  <c r="L124" i="39"/>
  <c r="AN124" i="39" s="1"/>
  <c r="M124" i="39"/>
  <c r="AP124" i="39" s="1"/>
  <c r="L80" i="39"/>
  <c r="AN80" i="39" s="1"/>
  <c r="M80" i="39"/>
  <c r="AP80" i="39" s="1"/>
  <c r="L89" i="39"/>
  <c r="AN89" i="39" s="1"/>
  <c r="M89" i="39"/>
  <c r="AP89" i="39" s="1"/>
  <c r="L79" i="39"/>
  <c r="AN79" i="39" s="1"/>
  <c r="M79" i="39"/>
  <c r="AP79" i="39" s="1"/>
  <c r="L120" i="39"/>
  <c r="AN120" i="39" s="1"/>
  <c r="M120" i="39"/>
  <c r="AP120" i="39" s="1"/>
  <c r="L100" i="39"/>
  <c r="AN100" i="39" s="1"/>
  <c r="M100" i="39"/>
  <c r="AP100" i="39" s="1"/>
  <c r="L52" i="39"/>
  <c r="AN52" i="39" s="1"/>
  <c r="M52" i="39"/>
  <c r="AP52" i="39" s="1"/>
  <c r="L57" i="39"/>
  <c r="AN57" i="39" s="1"/>
  <c r="M57" i="39"/>
  <c r="AP57" i="39" s="1"/>
  <c r="L22" i="39"/>
  <c r="AN22" i="39" s="1"/>
  <c r="M22" i="39"/>
  <c r="AP22" i="39" s="1"/>
  <c r="L42" i="39"/>
  <c r="AN42" i="39" s="1"/>
  <c r="M42" i="39"/>
  <c r="AP42" i="39" s="1"/>
  <c r="L59" i="39"/>
  <c r="AN59" i="39" s="1"/>
  <c r="M59" i="39"/>
  <c r="AP59" i="39" s="1"/>
  <c r="L121" i="39"/>
  <c r="AN121" i="39" s="1"/>
  <c r="M121" i="39"/>
  <c r="AP121" i="39" s="1"/>
  <c r="L128" i="39"/>
  <c r="AN128" i="39" s="1"/>
  <c r="M128" i="39"/>
  <c r="AP128" i="39" s="1"/>
  <c r="L143" i="39"/>
  <c r="AN143" i="39" s="1"/>
  <c r="M143" i="39"/>
  <c r="AP143" i="39" s="1"/>
  <c r="L7" i="39"/>
  <c r="AN7" i="39" s="1"/>
  <c r="M7" i="39"/>
  <c r="AP7" i="39" s="1"/>
  <c r="L86" i="39"/>
  <c r="AN86" i="39" s="1"/>
  <c r="M86" i="39"/>
  <c r="AP86" i="39" s="1"/>
  <c r="L56" i="39"/>
  <c r="AN56" i="39" s="1"/>
  <c r="M56" i="39"/>
  <c r="AP56" i="39" s="1"/>
  <c r="L71" i="39"/>
  <c r="AN71" i="39" s="1"/>
  <c r="M71" i="39"/>
  <c r="AP71" i="39" s="1"/>
  <c r="L125" i="39"/>
  <c r="AN125" i="39" s="1"/>
  <c r="M125" i="39"/>
  <c r="AP125" i="39" s="1"/>
  <c r="L61" i="39"/>
  <c r="AN61" i="39" s="1"/>
  <c r="M61" i="39"/>
  <c r="AP61" i="39" s="1"/>
  <c r="L148" i="39"/>
  <c r="AN148" i="39" s="1"/>
  <c r="M148" i="39"/>
  <c r="AP148" i="39" s="1"/>
  <c r="L20" i="39"/>
  <c r="AN20" i="39" s="1"/>
  <c r="M20" i="39"/>
  <c r="AP20" i="39" s="1"/>
  <c r="L51" i="39"/>
  <c r="AN51" i="39" s="1"/>
  <c r="M51" i="39"/>
  <c r="AP51" i="39" s="1"/>
  <c r="L106" i="39"/>
  <c r="AN106" i="39" s="1"/>
  <c r="M106" i="39"/>
  <c r="AP106" i="39" s="1"/>
  <c r="L36" i="39"/>
  <c r="AN36" i="39" s="1"/>
  <c r="M36" i="39"/>
  <c r="AP36" i="39" s="1"/>
  <c r="L43" i="39"/>
  <c r="AN43" i="39" s="1"/>
  <c r="M43" i="39"/>
  <c r="AP43" i="39" s="1"/>
  <c r="L113" i="39"/>
  <c r="AN113" i="39" s="1"/>
  <c r="M113" i="39"/>
  <c r="AP113" i="39" s="1"/>
  <c r="L49" i="39"/>
  <c r="AN49" i="39" s="1"/>
  <c r="M49" i="39"/>
  <c r="AP49" i="39" s="1"/>
  <c r="L112" i="39"/>
  <c r="AN112" i="39" s="1"/>
  <c r="M112" i="39"/>
  <c r="AP112" i="39" s="1"/>
  <c r="L127" i="39"/>
  <c r="AN127" i="39" s="1"/>
  <c r="M127" i="39"/>
  <c r="AP127" i="39" s="1"/>
  <c r="L142" i="39"/>
  <c r="AN142" i="39" s="1"/>
  <c r="M142" i="39"/>
  <c r="AP142" i="39" s="1"/>
  <c r="L78" i="39"/>
  <c r="AN78" i="39" s="1"/>
  <c r="M78" i="39"/>
  <c r="AP78" i="39" s="1"/>
  <c r="L14" i="39"/>
  <c r="AN14" i="39" s="1"/>
  <c r="M14" i="39"/>
  <c r="AP14" i="39" s="1"/>
  <c r="L48" i="39"/>
  <c r="AN48" i="39" s="1"/>
  <c r="M48" i="39"/>
  <c r="AP48" i="39" s="1"/>
  <c r="L55" i="39"/>
  <c r="AN55" i="39" s="1"/>
  <c r="M55" i="39"/>
  <c r="AP55" i="39" s="1"/>
  <c r="L117" i="39"/>
  <c r="AN117" i="39" s="1"/>
  <c r="M117" i="39"/>
  <c r="AP117" i="39" s="1"/>
  <c r="L53" i="39"/>
  <c r="AN53" i="39" s="1"/>
  <c r="M53" i="39"/>
  <c r="AP53" i="39" s="1"/>
  <c r="L132" i="39"/>
  <c r="AN132" i="39" s="1"/>
  <c r="M132" i="39"/>
  <c r="AP132" i="39" s="1"/>
  <c r="L12" i="39"/>
  <c r="AN12" i="39" s="1"/>
  <c r="M12" i="39"/>
  <c r="AP12" i="39" s="1"/>
  <c r="L35" i="39"/>
  <c r="AN35" i="39" s="1"/>
  <c r="M35" i="39"/>
  <c r="AP35" i="39" s="1"/>
  <c r="L98" i="39"/>
  <c r="AN98" i="39" s="1"/>
  <c r="M98" i="39"/>
  <c r="AP98" i="39" s="1"/>
  <c r="L34" i="39"/>
  <c r="AN34" i="39" s="1"/>
  <c r="M34" i="39"/>
  <c r="AP34" i="39" s="1"/>
  <c r="L140" i="39"/>
  <c r="AN140" i="39" s="1"/>
  <c r="M140" i="39"/>
  <c r="AP140" i="39" s="1"/>
  <c r="L4" i="39"/>
  <c r="AN4" i="39" s="1"/>
  <c r="M4" i="39"/>
  <c r="AP4" i="39" s="1"/>
  <c r="L27" i="39"/>
  <c r="AN27" i="39" s="1"/>
  <c r="M27" i="39"/>
  <c r="AP27" i="39" s="1"/>
  <c r="L105" i="39"/>
  <c r="AN105" i="39" s="1"/>
  <c r="M105" i="39"/>
  <c r="AP105" i="39" s="1"/>
  <c r="L41" i="39"/>
  <c r="AN41" i="39" s="1"/>
  <c r="M41" i="39"/>
  <c r="AP41" i="39" s="1"/>
  <c r="L96" i="39"/>
  <c r="AN96" i="39" s="1"/>
  <c r="M96" i="39"/>
  <c r="AP96" i="39" s="1"/>
  <c r="L111" i="39"/>
  <c r="AN111" i="39" s="1"/>
  <c r="M111" i="39"/>
  <c r="AP111" i="39" s="1"/>
  <c r="L134" i="39"/>
  <c r="AN134" i="39" s="1"/>
  <c r="M134" i="39"/>
  <c r="AP134" i="39" s="1"/>
  <c r="L70" i="39"/>
  <c r="AN70" i="39" s="1"/>
  <c r="M70" i="39"/>
  <c r="AP70" i="39" s="1"/>
  <c r="L6" i="39"/>
  <c r="AN6" i="39" s="1"/>
  <c r="M6" i="39"/>
  <c r="AP6" i="39" s="1"/>
  <c r="L32" i="39"/>
  <c r="AN32" i="39" s="1"/>
  <c r="M32" i="39"/>
  <c r="AP32" i="39" s="1"/>
  <c r="L39" i="39"/>
  <c r="AN39" i="39" s="1"/>
  <c r="M39" i="39"/>
  <c r="AP39" i="39" s="1"/>
  <c r="L109" i="39"/>
  <c r="AN109" i="39" s="1"/>
  <c r="M109" i="39"/>
  <c r="AP109" i="39" s="1"/>
  <c r="L45" i="39"/>
  <c r="AN45" i="39" s="1"/>
  <c r="M45" i="39"/>
  <c r="AP45" i="39" s="1"/>
  <c r="L108" i="39"/>
  <c r="AN108" i="39" s="1"/>
  <c r="M108" i="39"/>
  <c r="AP108" i="39" s="1"/>
  <c r="L139" i="39"/>
  <c r="AN139" i="39" s="1"/>
  <c r="M139" i="39"/>
  <c r="AP139" i="39" s="1"/>
  <c r="L3" i="39"/>
  <c r="AN3" i="39" s="1"/>
  <c r="M3" i="39"/>
  <c r="AP3" i="39" s="1"/>
  <c r="L90" i="39"/>
  <c r="AN90" i="39" s="1"/>
  <c r="M90" i="39"/>
  <c r="AP90" i="39" s="1"/>
  <c r="L26" i="39"/>
  <c r="AN26" i="39" s="1"/>
  <c r="M26" i="39"/>
  <c r="AP26" i="39" s="1"/>
  <c r="L97" i="39"/>
  <c r="AN97" i="39" s="1"/>
  <c r="M97" i="39"/>
  <c r="AP97" i="39" s="1"/>
  <c r="L95" i="39"/>
  <c r="AN95" i="39" s="1"/>
  <c r="M95" i="39"/>
  <c r="AP95" i="39" s="1"/>
  <c r="L126" i="39"/>
  <c r="AN126" i="39" s="1"/>
  <c r="M126" i="39"/>
  <c r="AP126" i="39" s="1"/>
  <c r="L62" i="39"/>
  <c r="AN62" i="39" s="1"/>
  <c r="M62" i="39"/>
  <c r="AP62" i="39" s="1"/>
  <c r="L136" i="39"/>
  <c r="AN136" i="39" s="1"/>
  <c r="M136" i="39"/>
  <c r="AP136" i="39" s="1"/>
  <c r="L16" i="39"/>
  <c r="AN16" i="39" s="1"/>
  <c r="M16" i="39"/>
  <c r="AP16" i="39" s="1"/>
  <c r="L31" i="39"/>
  <c r="AN31" i="39" s="1"/>
  <c r="M31" i="39"/>
  <c r="AP31" i="39" s="1"/>
  <c r="L101" i="39"/>
  <c r="AN101" i="39" s="1"/>
  <c r="M101" i="39"/>
  <c r="AP101" i="39" s="1"/>
  <c r="L37" i="39"/>
  <c r="AN37" i="39" s="1"/>
  <c r="M37" i="39"/>
  <c r="AP37" i="39" s="1"/>
  <c r="L84" i="39"/>
  <c r="AN84" i="39" s="1"/>
  <c r="M84" i="39"/>
  <c r="AP84" i="39" s="1"/>
  <c r="L123" i="39"/>
  <c r="AN123" i="39" s="1"/>
  <c r="M123" i="39"/>
  <c r="AP123" i="39" s="1"/>
  <c r="L146" i="39"/>
  <c r="AN146" i="39" s="1"/>
  <c r="M146" i="39"/>
  <c r="AP146" i="39" s="1"/>
  <c r="L82" i="39"/>
  <c r="AN82" i="39" s="1"/>
  <c r="M82" i="39"/>
  <c r="AP82" i="39" s="1"/>
  <c r="L18" i="39"/>
  <c r="AN18" i="39" s="1"/>
  <c r="M18" i="39"/>
  <c r="AP18" i="39" s="1"/>
  <c r="L147" i="39"/>
  <c r="AN147" i="39" s="1"/>
  <c r="M147" i="39"/>
  <c r="AP147" i="39" s="1"/>
  <c r="L116" i="39"/>
  <c r="AN116" i="39" s="1"/>
  <c r="M116" i="39"/>
  <c r="AP116" i="39" s="1"/>
  <c r="L25" i="39"/>
  <c r="AN25" i="39" s="1"/>
  <c r="M25" i="39"/>
  <c r="AP25" i="39" s="1"/>
  <c r="L118" i="39"/>
  <c r="AN118" i="39" s="1"/>
  <c r="M118" i="39"/>
  <c r="AP118" i="39" s="1"/>
  <c r="L135" i="39"/>
  <c r="AN135" i="39" s="1"/>
  <c r="M135" i="39"/>
  <c r="AP135" i="39" s="1"/>
  <c r="L93" i="39"/>
  <c r="AN93" i="39" s="1"/>
  <c r="M93" i="39"/>
  <c r="AP93" i="39" s="1"/>
  <c r="L29" i="39"/>
  <c r="AN29" i="39" s="1"/>
  <c r="M29" i="39"/>
  <c r="AP29" i="39" s="1"/>
  <c r="L68" i="39"/>
  <c r="AN68" i="39" s="1"/>
  <c r="M68" i="39"/>
  <c r="AP68" i="39" s="1"/>
  <c r="L107" i="39"/>
  <c r="AN107" i="39" s="1"/>
  <c r="M107" i="39"/>
  <c r="AP107" i="39" s="1"/>
  <c r="L138" i="39"/>
  <c r="AN138" i="39" s="1"/>
  <c r="M138" i="39"/>
  <c r="AP138" i="39" s="1"/>
  <c r="L74" i="39"/>
  <c r="AN74" i="39" s="1"/>
  <c r="M74" i="39"/>
  <c r="AP74" i="39" s="1"/>
  <c r="L10" i="39"/>
  <c r="AN10" i="39" s="1"/>
  <c r="M10" i="39"/>
  <c r="AP10" i="39" s="1"/>
  <c r="L19" i="39"/>
  <c r="AN19" i="39" s="1"/>
  <c r="M19" i="39"/>
  <c r="AP19" i="39" s="1"/>
  <c r="L131" i="39"/>
  <c r="AN131" i="39" s="1"/>
  <c r="M131" i="39"/>
  <c r="AP131" i="39" s="1"/>
  <c r="K2" i="39"/>
  <c r="L2" i="39"/>
  <c r="AN2" i="39" s="1"/>
  <c r="J92" i="39"/>
  <c r="K92" i="39"/>
  <c r="J91" i="39"/>
  <c r="K91" i="39"/>
  <c r="J137" i="39"/>
  <c r="K137" i="39"/>
  <c r="J73" i="39"/>
  <c r="K73" i="39"/>
  <c r="J9" i="39"/>
  <c r="K9" i="39"/>
  <c r="J24" i="39"/>
  <c r="K24" i="39"/>
  <c r="J47" i="39"/>
  <c r="K47" i="39"/>
  <c r="J102" i="39"/>
  <c r="K102" i="39"/>
  <c r="J38" i="39"/>
  <c r="K38" i="39"/>
  <c r="J88" i="39"/>
  <c r="K88" i="39"/>
  <c r="J103" i="39"/>
  <c r="K103" i="39"/>
  <c r="J141" i="39"/>
  <c r="K141" i="39"/>
  <c r="J77" i="39"/>
  <c r="K77" i="39"/>
  <c r="J13" i="39"/>
  <c r="K13" i="39"/>
  <c r="J44" i="39"/>
  <c r="K44" i="39"/>
  <c r="J83" i="39"/>
  <c r="K83" i="39"/>
  <c r="J122" i="39"/>
  <c r="K122" i="39"/>
  <c r="J58" i="39"/>
  <c r="K58" i="39"/>
  <c r="J124" i="39"/>
  <c r="K124" i="39"/>
  <c r="J97" i="39"/>
  <c r="K97" i="39"/>
  <c r="J126" i="39"/>
  <c r="K126" i="39"/>
  <c r="J16" i="39"/>
  <c r="K16" i="39"/>
  <c r="J84" i="39"/>
  <c r="K84" i="39"/>
  <c r="J131" i="39"/>
  <c r="K131" i="39"/>
  <c r="J25" i="39"/>
  <c r="K25" i="39"/>
  <c r="J118" i="39"/>
  <c r="K118" i="39"/>
  <c r="J115" i="39"/>
  <c r="K115" i="39"/>
  <c r="J81" i="39"/>
  <c r="K81" i="39"/>
  <c r="J17" i="39"/>
  <c r="K17" i="39"/>
  <c r="J63" i="39"/>
  <c r="K63" i="39"/>
  <c r="J46" i="39"/>
  <c r="K46" i="39"/>
  <c r="J119" i="39"/>
  <c r="K119" i="39"/>
  <c r="J85" i="39"/>
  <c r="K85" i="39"/>
  <c r="J21" i="39"/>
  <c r="K21" i="39"/>
  <c r="J99" i="39"/>
  <c r="K99" i="39"/>
  <c r="J130" i="39"/>
  <c r="K130" i="39"/>
  <c r="J76" i="39"/>
  <c r="K76" i="39"/>
  <c r="J75" i="39"/>
  <c r="K75" i="39"/>
  <c r="J129" i="39"/>
  <c r="K129" i="39"/>
  <c r="J65" i="39"/>
  <c r="K65" i="39"/>
  <c r="J144" i="39"/>
  <c r="K144" i="39"/>
  <c r="J8" i="39"/>
  <c r="K8" i="39"/>
  <c r="J23" i="39"/>
  <c r="K23" i="39"/>
  <c r="J94" i="39"/>
  <c r="K94" i="39"/>
  <c r="J30" i="39"/>
  <c r="K30" i="39"/>
  <c r="J72" i="39"/>
  <c r="K72" i="39"/>
  <c r="J87" i="39"/>
  <c r="K87" i="39"/>
  <c r="J133" i="39"/>
  <c r="K133" i="39"/>
  <c r="J69" i="39"/>
  <c r="K69" i="39"/>
  <c r="J5" i="39"/>
  <c r="K5" i="39"/>
  <c r="J28" i="39"/>
  <c r="K28" i="39"/>
  <c r="J67" i="39"/>
  <c r="K67" i="39"/>
  <c r="J114" i="39"/>
  <c r="K114" i="39"/>
  <c r="J50" i="39"/>
  <c r="K50" i="39"/>
  <c r="J52" i="39"/>
  <c r="K52" i="39"/>
  <c r="J59" i="39"/>
  <c r="K59" i="39"/>
  <c r="J121" i="39"/>
  <c r="K121" i="39"/>
  <c r="J57" i="39"/>
  <c r="K57" i="39"/>
  <c r="J128" i="39"/>
  <c r="K128" i="39"/>
  <c r="J143" i="39"/>
  <c r="K143" i="39"/>
  <c r="J7" i="39"/>
  <c r="K7" i="39"/>
  <c r="J86" i="39"/>
  <c r="K86" i="39"/>
  <c r="J22" i="39"/>
  <c r="K22" i="39"/>
  <c r="J56" i="39"/>
  <c r="K56" i="39"/>
  <c r="J71" i="39"/>
  <c r="K71" i="39"/>
  <c r="J125" i="39"/>
  <c r="K125" i="39"/>
  <c r="J61" i="39"/>
  <c r="K61" i="39"/>
  <c r="J148" i="39"/>
  <c r="K148" i="39"/>
  <c r="J20" i="39"/>
  <c r="K20" i="39"/>
  <c r="J106" i="39"/>
  <c r="K106" i="39"/>
  <c r="J42" i="39"/>
  <c r="K42" i="39"/>
  <c r="J51" i="39"/>
  <c r="K51" i="39"/>
  <c r="J142" i="39"/>
  <c r="K142" i="39"/>
  <c r="J36" i="39"/>
  <c r="K36" i="39"/>
  <c r="J43" i="39"/>
  <c r="K43" i="39"/>
  <c r="J113" i="39"/>
  <c r="K113" i="39"/>
  <c r="J49" i="39"/>
  <c r="K49" i="39"/>
  <c r="J112" i="39"/>
  <c r="K112" i="39"/>
  <c r="J127" i="39"/>
  <c r="K127" i="39"/>
  <c r="J78" i="39"/>
  <c r="K78" i="39"/>
  <c r="J14" i="39"/>
  <c r="K14" i="39"/>
  <c r="J48" i="39"/>
  <c r="K48" i="39"/>
  <c r="J55" i="39"/>
  <c r="K55" i="39"/>
  <c r="J117" i="39"/>
  <c r="K117" i="39"/>
  <c r="J53" i="39"/>
  <c r="K53" i="39"/>
  <c r="J132" i="39"/>
  <c r="K132" i="39"/>
  <c r="J12" i="39"/>
  <c r="K12" i="39"/>
  <c r="J35" i="39"/>
  <c r="K35" i="39"/>
  <c r="J98" i="39"/>
  <c r="K98" i="39"/>
  <c r="J34" i="39"/>
  <c r="K34" i="39"/>
  <c r="J140" i="39"/>
  <c r="K140" i="39"/>
  <c r="J4" i="39"/>
  <c r="K4" i="39"/>
  <c r="J27" i="39"/>
  <c r="K27" i="39"/>
  <c r="J105" i="39"/>
  <c r="K105" i="39"/>
  <c r="J41" i="39"/>
  <c r="K41" i="39"/>
  <c r="J96" i="39"/>
  <c r="K96" i="39"/>
  <c r="J111" i="39"/>
  <c r="K111" i="39"/>
  <c r="J134" i="39"/>
  <c r="K134" i="39"/>
  <c r="J70" i="39"/>
  <c r="K70" i="39"/>
  <c r="J6" i="39"/>
  <c r="K6" i="39"/>
  <c r="J32" i="39"/>
  <c r="K32" i="39"/>
  <c r="J39" i="39"/>
  <c r="K39" i="39"/>
  <c r="J109" i="39"/>
  <c r="K109" i="39"/>
  <c r="J45" i="39"/>
  <c r="K45" i="39"/>
  <c r="J108" i="39"/>
  <c r="K108" i="39"/>
  <c r="J139" i="39"/>
  <c r="K139" i="39"/>
  <c r="J3" i="39"/>
  <c r="K3" i="39"/>
  <c r="J90" i="39"/>
  <c r="K90" i="39"/>
  <c r="J26" i="39"/>
  <c r="K26" i="39"/>
  <c r="J19" i="39"/>
  <c r="K19" i="39"/>
  <c r="J95" i="39"/>
  <c r="K95" i="39"/>
  <c r="J136" i="39"/>
  <c r="K136" i="39"/>
  <c r="J101" i="39"/>
  <c r="K101" i="39"/>
  <c r="J123" i="39"/>
  <c r="K123" i="39"/>
  <c r="J146" i="39"/>
  <c r="K146" i="39"/>
  <c r="J82" i="39"/>
  <c r="K82" i="39"/>
  <c r="J18" i="39"/>
  <c r="K18" i="39"/>
  <c r="J147" i="39"/>
  <c r="K147" i="39"/>
  <c r="J80" i="39"/>
  <c r="K80" i="39"/>
  <c r="J62" i="39"/>
  <c r="K62" i="39"/>
  <c r="J37" i="39"/>
  <c r="K37" i="39"/>
  <c r="J11" i="39"/>
  <c r="K11" i="39"/>
  <c r="J64" i="39"/>
  <c r="K64" i="39"/>
  <c r="J54" i="39"/>
  <c r="K54" i="39"/>
  <c r="J120" i="39"/>
  <c r="K120" i="39"/>
  <c r="J135" i="39"/>
  <c r="K135" i="39"/>
  <c r="J15" i="39"/>
  <c r="K15" i="39"/>
  <c r="J93" i="39"/>
  <c r="K93" i="39"/>
  <c r="J29" i="39"/>
  <c r="K29" i="39"/>
  <c r="J68" i="39"/>
  <c r="K68" i="39"/>
  <c r="J107" i="39"/>
  <c r="K107" i="39"/>
  <c r="J138" i="39"/>
  <c r="K138" i="39"/>
  <c r="J74" i="39"/>
  <c r="K74" i="39"/>
  <c r="J10" i="39"/>
  <c r="K10" i="39"/>
  <c r="J33" i="39"/>
  <c r="K33" i="39"/>
  <c r="J31" i="39"/>
  <c r="K31" i="39"/>
  <c r="J116" i="39"/>
  <c r="K116" i="39"/>
  <c r="J89" i="39"/>
  <c r="K89" i="39"/>
  <c r="J79" i="39"/>
  <c r="K79" i="39"/>
  <c r="J100" i="39"/>
  <c r="K100" i="39"/>
  <c r="J145" i="39"/>
  <c r="K145" i="39"/>
  <c r="J40" i="39"/>
  <c r="K40" i="39"/>
  <c r="J110" i="39"/>
  <c r="K110" i="39"/>
  <c r="J104" i="39"/>
  <c r="K104" i="39"/>
  <c r="J149" i="39"/>
  <c r="K149" i="39"/>
  <c r="J60" i="39"/>
  <c r="K60" i="39"/>
  <c r="J66" i="39"/>
  <c r="K66" i="39"/>
  <c r="I2" i="39"/>
  <c r="AL2" i="39" s="1"/>
  <c r="J2" i="39"/>
  <c r="H100" i="39"/>
  <c r="I100" i="39"/>
  <c r="AL100" i="39" s="1"/>
  <c r="H115" i="39"/>
  <c r="I115" i="39"/>
  <c r="AL115" i="39" s="1"/>
  <c r="H81" i="39"/>
  <c r="I81" i="39"/>
  <c r="AL81" i="39" s="1"/>
  <c r="H40" i="39"/>
  <c r="I40" i="39"/>
  <c r="AL40" i="39" s="1"/>
  <c r="H110" i="39"/>
  <c r="I110" i="39"/>
  <c r="AL110" i="39" s="1"/>
  <c r="H104" i="39"/>
  <c r="I104" i="39"/>
  <c r="AL104" i="39" s="1"/>
  <c r="H149" i="39"/>
  <c r="I149" i="39"/>
  <c r="AL149" i="39" s="1"/>
  <c r="H21" i="39"/>
  <c r="I21" i="39"/>
  <c r="AL21" i="39" s="1"/>
  <c r="H99" i="39"/>
  <c r="I99" i="39"/>
  <c r="AL99" i="39" s="1"/>
  <c r="H66" i="39"/>
  <c r="I66" i="39"/>
  <c r="AL66" i="39" s="1"/>
  <c r="H91" i="39"/>
  <c r="I91" i="39"/>
  <c r="AL91" i="39" s="1"/>
  <c r="H9" i="39"/>
  <c r="I9" i="39"/>
  <c r="AL9" i="39" s="1"/>
  <c r="H24" i="39"/>
  <c r="I24" i="39"/>
  <c r="AL24" i="39" s="1"/>
  <c r="H47" i="39"/>
  <c r="I47" i="39"/>
  <c r="AL47" i="39" s="1"/>
  <c r="H102" i="39"/>
  <c r="I102" i="39"/>
  <c r="AL102" i="39" s="1"/>
  <c r="H38" i="39"/>
  <c r="I38" i="39"/>
  <c r="AL38" i="39" s="1"/>
  <c r="H88" i="39"/>
  <c r="I88" i="39"/>
  <c r="AL88" i="39" s="1"/>
  <c r="H103" i="39"/>
  <c r="I103" i="39"/>
  <c r="AL103" i="39" s="1"/>
  <c r="H141" i="39"/>
  <c r="I141" i="39"/>
  <c r="AL141" i="39" s="1"/>
  <c r="H77" i="39"/>
  <c r="I77" i="39"/>
  <c r="AL77" i="39" s="1"/>
  <c r="H13" i="39"/>
  <c r="I13" i="39"/>
  <c r="AL13" i="39" s="1"/>
  <c r="H44" i="39"/>
  <c r="I44" i="39"/>
  <c r="AL44" i="39" s="1"/>
  <c r="H83" i="39"/>
  <c r="I83" i="39"/>
  <c r="AL83" i="39" s="1"/>
  <c r="H122" i="39"/>
  <c r="I122" i="39"/>
  <c r="AL122" i="39" s="1"/>
  <c r="H58" i="39"/>
  <c r="I58" i="39"/>
  <c r="AL58" i="39" s="1"/>
  <c r="H76" i="39"/>
  <c r="I76" i="39"/>
  <c r="AL76" i="39" s="1"/>
  <c r="H75" i="39"/>
  <c r="I75" i="39"/>
  <c r="AL75" i="39" s="1"/>
  <c r="H129" i="39"/>
  <c r="I129" i="39"/>
  <c r="AL129" i="39" s="1"/>
  <c r="H65" i="39"/>
  <c r="I65" i="39"/>
  <c r="AL65" i="39" s="1"/>
  <c r="H144" i="39"/>
  <c r="I144" i="39"/>
  <c r="AL144" i="39" s="1"/>
  <c r="H8" i="39"/>
  <c r="I8" i="39"/>
  <c r="AL8" i="39" s="1"/>
  <c r="H23" i="39"/>
  <c r="I23" i="39"/>
  <c r="AL23" i="39" s="1"/>
  <c r="H94" i="39"/>
  <c r="I94" i="39"/>
  <c r="AL94" i="39" s="1"/>
  <c r="H30" i="39"/>
  <c r="I30" i="39"/>
  <c r="AL30" i="39" s="1"/>
  <c r="H72" i="39"/>
  <c r="I72" i="39"/>
  <c r="AL72" i="39" s="1"/>
  <c r="H87" i="39"/>
  <c r="I87" i="39"/>
  <c r="AL87" i="39" s="1"/>
  <c r="H133" i="39"/>
  <c r="I133" i="39"/>
  <c r="AL133" i="39" s="1"/>
  <c r="H69" i="39"/>
  <c r="I69" i="39"/>
  <c r="AL69" i="39" s="1"/>
  <c r="H5" i="39"/>
  <c r="I5" i="39"/>
  <c r="AL5" i="39" s="1"/>
  <c r="H28" i="39"/>
  <c r="I28" i="39"/>
  <c r="AL28" i="39" s="1"/>
  <c r="H67" i="39"/>
  <c r="I67" i="39"/>
  <c r="AL67" i="39" s="1"/>
  <c r="H114" i="39"/>
  <c r="I114" i="39"/>
  <c r="AL114" i="39" s="1"/>
  <c r="H50" i="39"/>
  <c r="I50" i="39"/>
  <c r="AL50" i="39" s="1"/>
  <c r="H52" i="39"/>
  <c r="I52" i="39"/>
  <c r="AL52" i="39" s="1"/>
  <c r="H59" i="39"/>
  <c r="I59" i="39"/>
  <c r="AL59" i="39" s="1"/>
  <c r="H121" i="39"/>
  <c r="I121" i="39"/>
  <c r="AL121" i="39" s="1"/>
  <c r="H57" i="39"/>
  <c r="I57" i="39"/>
  <c r="AL57" i="39" s="1"/>
  <c r="H128" i="39"/>
  <c r="I128" i="39"/>
  <c r="AL128" i="39" s="1"/>
  <c r="H143" i="39"/>
  <c r="I143" i="39"/>
  <c r="AL143" i="39" s="1"/>
  <c r="H7" i="39"/>
  <c r="I7" i="39"/>
  <c r="AL7" i="39" s="1"/>
  <c r="H86" i="39"/>
  <c r="I86" i="39"/>
  <c r="AL86" i="39" s="1"/>
  <c r="H22" i="39"/>
  <c r="I22" i="39"/>
  <c r="AL22" i="39" s="1"/>
  <c r="H56" i="39"/>
  <c r="I56" i="39"/>
  <c r="AL56" i="39" s="1"/>
  <c r="H71" i="39"/>
  <c r="I71" i="39"/>
  <c r="AL71" i="39" s="1"/>
  <c r="H125" i="39"/>
  <c r="I125" i="39"/>
  <c r="AL125" i="39" s="1"/>
  <c r="H61" i="39"/>
  <c r="I61" i="39"/>
  <c r="AL61" i="39" s="1"/>
  <c r="H148" i="39"/>
  <c r="I148" i="39"/>
  <c r="AL148" i="39" s="1"/>
  <c r="H20" i="39"/>
  <c r="I20" i="39"/>
  <c r="AL20" i="39" s="1"/>
  <c r="H51" i="39"/>
  <c r="I51" i="39"/>
  <c r="AL51" i="39" s="1"/>
  <c r="H106" i="39"/>
  <c r="I106" i="39"/>
  <c r="AL106" i="39" s="1"/>
  <c r="H42" i="39"/>
  <c r="I42" i="39"/>
  <c r="AL42" i="39" s="1"/>
  <c r="H113" i="39"/>
  <c r="I113" i="39"/>
  <c r="AL113" i="39" s="1"/>
  <c r="H127" i="39"/>
  <c r="I127" i="39"/>
  <c r="AL127" i="39" s="1"/>
  <c r="H14" i="39"/>
  <c r="I14" i="39"/>
  <c r="AL14" i="39" s="1"/>
  <c r="H55" i="39"/>
  <c r="I55" i="39"/>
  <c r="AL55" i="39" s="1"/>
  <c r="H132" i="39"/>
  <c r="I132" i="39"/>
  <c r="AL132" i="39" s="1"/>
  <c r="H98" i="39"/>
  <c r="I98" i="39"/>
  <c r="AL98" i="39" s="1"/>
  <c r="H140" i="39"/>
  <c r="I140" i="39"/>
  <c r="AL140" i="39" s="1"/>
  <c r="H27" i="39"/>
  <c r="I27" i="39"/>
  <c r="AL27" i="39" s="1"/>
  <c r="H105" i="39"/>
  <c r="I105" i="39"/>
  <c r="AL105" i="39" s="1"/>
  <c r="H41" i="39"/>
  <c r="I41" i="39"/>
  <c r="AL41" i="39" s="1"/>
  <c r="H96" i="39"/>
  <c r="I96" i="39"/>
  <c r="AL96" i="39" s="1"/>
  <c r="H111" i="39"/>
  <c r="I111" i="39"/>
  <c r="AL111" i="39" s="1"/>
  <c r="H134" i="39"/>
  <c r="I134" i="39"/>
  <c r="AL134" i="39" s="1"/>
  <c r="H70" i="39"/>
  <c r="I70" i="39"/>
  <c r="AL70" i="39" s="1"/>
  <c r="H6" i="39"/>
  <c r="I6" i="39"/>
  <c r="AL6" i="39" s="1"/>
  <c r="H32" i="39"/>
  <c r="I32" i="39"/>
  <c r="AL32" i="39" s="1"/>
  <c r="H39" i="39"/>
  <c r="I39" i="39"/>
  <c r="AL39" i="39" s="1"/>
  <c r="H109" i="39"/>
  <c r="I109" i="39"/>
  <c r="AL109" i="39" s="1"/>
  <c r="H45" i="39"/>
  <c r="I45" i="39"/>
  <c r="AL45" i="39" s="1"/>
  <c r="H108" i="39"/>
  <c r="I108" i="39"/>
  <c r="AL108" i="39" s="1"/>
  <c r="H139" i="39"/>
  <c r="I139" i="39"/>
  <c r="AL139" i="39" s="1"/>
  <c r="H3" i="39"/>
  <c r="I3" i="39"/>
  <c r="AL3" i="39" s="1"/>
  <c r="H90" i="39"/>
  <c r="I90" i="39"/>
  <c r="AL90" i="39" s="1"/>
  <c r="H26" i="39"/>
  <c r="I26" i="39"/>
  <c r="AL26" i="39" s="1"/>
  <c r="H137" i="39"/>
  <c r="I137" i="39"/>
  <c r="AL137" i="39" s="1"/>
  <c r="H43" i="39"/>
  <c r="I43" i="39"/>
  <c r="AL43" i="39" s="1"/>
  <c r="H112" i="39"/>
  <c r="I112" i="39"/>
  <c r="AL112" i="39" s="1"/>
  <c r="H142" i="39"/>
  <c r="I142" i="39"/>
  <c r="AL142" i="39" s="1"/>
  <c r="H48" i="39"/>
  <c r="I48" i="39"/>
  <c r="AL48" i="39" s="1"/>
  <c r="H117" i="39"/>
  <c r="I117" i="39"/>
  <c r="AL117" i="39" s="1"/>
  <c r="H12" i="39"/>
  <c r="I12" i="39"/>
  <c r="AL12" i="39" s="1"/>
  <c r="H35" i="39"/>
  <c r="I35" i="39"/>
  <c r="AL35" i="39" s="1"/>
  <c r="H34" i="39"/>
  <c r="I34" i="39"/>
  <c r="AL34" i="39" s="1"/>
  <c r="H4" i="39"/>
  <c r="I4" i="39"/>
  <c r="AL4" i="39" s="1"/>
  <c r="H124" i="39"/>
  <c r="I124" i="39"/>
  <c r="AL124" i="39" s="1"/>
  <c r="H147" i="39"/>
  <c r="I147" i="39"/>
  <c r="AL147" i="39" s="1"/>
  <c r="H19" i="39"/>
  <c r="I19" i="39"/>
  <c r="AL19" i="39" s="1"/>
  <c r="H97" i="39"/>
  <c r="I97" i="39"/>
  <c r="AL97" i="39" s="1"/>
  <c r="H33" i="39"/>
  <c r="I33" i="39"/>
  <c r="AL33" i="39" s="1"/>
  <c r="H80" i="39"/>
  <c r="I80" i="39"/>
  <c r="AL80" i="39" s="1"/>
  <c r="H95" i="39"/>
  <c r="I95" i="39"/>
  <c r="AL95" i="39" s="1"/>
  <c r="H126" i="39"/>
  <c r="I126" i="39"/>
  <c r="AL126" i="39" s="1"/>
  <c r="H62" i="39"/>
  <c r="I62" i="39"/>
  <c r="AL62" i="39" s="1"/>
  <c r="H136" i="39"/>
  <c r="I136" i="39"/>
  <c r="AL136" i="39" s="1"/>
  <c r="H16" i="39"/>
  <c r="I16" i="39"/>
  <c r="AL16" i="39" s="1"/>
  <c r="H31" i="39"/>
  <c r="I31" i="39"/>
  <c r="AL31" i="39" s="1"/>
  <c r="H101" i="39"/>
  <c r="I101" i="39"/>
  <c r="AL101" i="39" s="1"/>
  <c r="H37" i="39"/>
  <c r="I37" i="39"/>
  <c r="AL37" i="39" s="1"/>
  <c r="H84" i="39"/>
  <c r="I84" i="39"/>
  <c r="AL84" i="39" s="1"/>
  <c r="H123" i="39"/>
  <c r="I123" i="39"/>
  <c r="AL123" i="39" s="1"/>
  <c r="H146" i="39"/>
  <c r="I146" i="39"/>
  <c r="AL146" i="39" s="1"/>
  <c r="H82" i="39"/>
  <c r="I82" i="39"/>
  <c r="AL82" i="39" s="1"/>
  <c r="H18" i="39"/>
  <c r="I18" i="39"/>
  <c r="AL18" i="39" s="1"/>
  <c r="H145" i="39"/>
  <c r="I145" i="39"/>
  <c r="AL145" i="39" s="1"/>
  <c r="H17" i="39"/>
  <c r="I17" i="39"/>
  <c r="AL17" i="39" s="1"/>
  <c r="H63" i="39"/>
  <c r="I63" i="39"/>
  <c r="AL63" i="39" s="1"/>
  <c r="H46" i="39"/>
  <c r="I46" i="39"/>
  <c r="AL46" i="39" s="1"/>
  <c r="H119" i="39"/>
  <c r="I119" i="39"/>
  <c r="AL119" i="39" s="1"/>
  <c r="H85" i="39"/>
  <c r="I85" i="39"/>
  <c r="AL85" i="39" s="1"/>
  <c r="H60" i="39"/>
  <c r="I60" i="39"/>
  <c r="AL60" i="39" s="1"/>
  <c r="H130" i="39"/>
  <c r="I130" i="39"/>
  <c r="AL130" i="39" s="1"/>
  <c r="H92" i="39"/>
  <c r="I92" i="39"/>
  <c r="AL92" i="39" s="1"/>
  <c r="H73" i="39"/>
  <c r="I73" i="39"/>
  <c r="AL73" i="39" s="1"/>
  <c r="H36" i="39"/>
  <c r="I36" i="39"/>
  <c r="AL36" i="39" s="1"/>
  <c r="H49" i="39"/>
  <c r="I49" i="39"/>
  <c r="AL49" i="39" s="1"/>
  <c r="H78" i="39"/>
  <c r="I78" i="39"/>
  <c r="AL78" i="39" s="1"/>
  <c r="H53" i="39"/>
  <c r="I53" i="39"/>
  <c r="AL53" i="39" s="1"/>
  <c r="H116" i="39"/>
  <c r="I116" i="39"/>
  <c r="AL116" i="39" s="1"/>
  <c r="H131" i="39"/>
  <c r="I131" i="39"/>
  <c r="AL131" i="39" s="1"/>
  <c r="H11" i="39"/>
  <c r="I11" i="39"/>
  <c r="AL11" i="39" s="1"/>
  <c r="H89" i="39"/>
  <c r="I89" i="39"/>
  <c r="AL89" i="39" s="1"/>
  <c r="H25" i="39"/>
  <c r="I25" i="39"/>
  <c r="AL25" i="39" s="1"/>
  <c r="H64" i="39"/>
  <c r="I64" i="39"/>
  <c r="AL64" i="39" s="1"/>
  <c r="H79" i="39"/>
  <c r="I79" i="39"/>
  <c r="AL79" i="39" s="1"/>
  <c r="H118" i="39"/>
  <c r="I118" i="39"/>
  <c r="AL118" i="39" s="1"/>
  <c r="H54" i="39"/>
  <c r="I54" i="39"/>
  <c r="AL54" i="39" s="1"/>
  <c r="H120" i="39"/>
  <c r="I120" i="39"/>
  <c r="AL120" i="39" s="1"/>
  <c r="H135" i="39"/>
  <c r="I135" i="39"/>
  <c r="AL135" i="39" s="1"/>
  <c r="H15" i="39"/>
  <c r="I15" i="39"/>
  <c r="AL15" i="39" s="1"/>
  <c r="H93" i="39"/>
  <c r="I93" i="39"/>
  <c r="AL93" i="39" s="1"/>
  <c r="H29" i="39"/>
  <c r="I29" i="39"/>
  <c r="AL29" i="39" s="1"/>
  <c r="H68" i="39"/>
  <c r="I68" i="39"/>
  <c r="AL68" i="39" s="1"/>
  <c r="H107" i="39"/>
  <c r="I107" i="39"/>
  <c r="AL107" i="39" s="1"/>
  <c r="H138" i="39"/>
  <c r="I138" i="39"/>
  <c r="AL138" i="39" s="1"/>
  <c r="H74" i="39"/>
  <c r="I74" i="39"/>
  <c r="AL74" i="39" s="1"/>
  <c r="H10" i="39"/>
  <c r="I10" i="39"/>
  <c r="AL10" i="39" s="1"/>
  <c r="G2" i="39"/>
  <c r="H2" i="39"/>
  <c r="F115" i="39"/>
  <c r="AK115" i="39" s="1"/>
  <c r="G115" i="39"/>
  <c r="AO115" i="39" s="1"/>
  <c r="F17" i="39"/>
  <c r="AK17" i="39" s="1"/>
  <c r="G17" i="39"/>
  <c r="AO17" i="39" s="1"/>
  <c r="F110" i="39"/>
  <c r="AK110" i="39" s="1"/>
  <c r="G110" i="39"/>
  <c r="AO110" i="39" s="1"/>
  <c r="F104" i="39"/>
  <c r="AK104" i="39" s="1"/>
  <c r="G104" i="39"/>
  <c r="AO104" i="39" s="1"/>
  <c r="F149" i="39"/>
  <c r="AK149" i="39" s="1"/>
  <c r="G149" i="39"/>
  <c r="AO149" i="39" s="1"/>
  <c r="F85" i="39"/>
  <c r="AK85" i="39" s="1"/>
  <c r="G85" i="39"/>
  <c r="AO85" i="39" s="1"/>
  <c r="F21" i="39"/>
  <c r="AK21" i="39" s="1"/>
  <c r="G21" i="39"/>
  <c r="F60" i="39"/>
  <c r="AK60" i="39" s="1"/>
  <c r="G60" i="39"/>
  <c r="AO60" i="39" s="1"/>
  <c r="F99" i="39"/>
  <c r="AK99" i="39" s="1"/>
  <c r="G99" i="39"/>
  <c r="AO99" i="39" s="1"/>
  <c r="F130" i="39"/>
  <c r="AK130" i="39" s="1"/>
  <c r="G130" i="39"/>
  <c r="AO130" i="39" s="1"/>
  <c r="F66" i="39"/>
  <c r="AK66" i="39" s="1"/>
  <c r="G66" i="39"/>
  <c r="F91" i="39"/>
  <c r="AK91" i="39" s="1"/>
  <c r="G91" i="39"/>
  <c r="AO91" i="39" s="1"/>
  <c r="F73" i="39"/>
  <c r="AK73" i="39" s="1"/>
  <c r="G73" i="39"/>
  <c r="AO73" i="39" s="1"/>
  <c r="F24" i="39"/>
  <c r="AK24" i="39" s="1"/>
  <c r="G24" i="39"/>
  <c r="AO24" i="39" s="1"/>
  <c r="F102" i="39"/>
  <c r="AK102" i="39" s="1"/>
  <c r="G102" i="39"/>
  <c r="AO102" i="39" s="1"/>
  <c r="F88" i="39"/>
  <c r="AK88" i="39" s="1"/>
  <c r="G88" i="39"/>
  <c r="AO88" i="39" s="1"/>
  <c r="F141" i="39"/>
  <c r="AK141" i="39" s="1"/>
  <c r="G141" i="39"/>
  <c r="AO141" i="39" s="1"/>
  <c r="F13" i="39"/>
  <c r="AK13" i="39" s="1"/>
  <c r="G13" i="39"/>
  <c r="AO13" i="39" s="1"/>
  <c r="F83" i="39"/>
  <c r="AK83" i="39" s="1"/>
  <c r="G83" i="39"/>
  <c r="F58" i="39"/>
  <c r="AK58" i="39" s="1"/>
  <c r="G58" i="39"/>
  <c r="AO58" i="39" s="1"/>
  <c r="F76" i="39"/>
  <c r="AK76" i="39" s="1"/>
  <c r="G76" i="39"/>
  <c r="F75" i="39"/>
  <c r="AK75" i="39" s="1"/>
  <c r="G75" i="39"/>
  <c r="F129" i="39"/>
  <c r="AK129" i="39" s="1"/>
  <c r="G129" i="39"/>
  <c r="F65" i="39"/>
  <c r="AK65" i="39" s="1"/>
  <c r="G65" i="39"/>
  <c r="AO65" i="39" s="1"/>
  <c r="F144" i="39"/>
  <c r="AK144" i="39" s="1"/>
  <c r="G144" i="39"/>
  <c r="F8" i="39"/>
  <c r="AK8" i="39" s="1"/>
  <c r="G8" i="39"/>
  <c r="F23" i="39"/>
  <c r="AK23" i="39" s="1"/>
  <c r="G23" i="39"/>
  <c r="AO23" i="39" s="1"/>
  <c r="F94" i="39"/>
  <c r="AK94" i="39" s="1"/>
  <c r="G94" i="39"/>
  <c r="AO94" i="39" s="1"/>
  <c r="F30" i="39"/>
  <c r="AK30" i="39" s="1"/>
  <c r="G30" i="39"/>
  <c r="AO30" i="39" s="1"/>
  <c r="F72" i="39"/>
  <c r="AK72" i="39" s="1"/>
  <c r="G72" i="39"/>
  <c r="F87" i="39"/>
  <c r="AK87" i="39" s="1"/>
  <c r="G87" i="39"/>
  <c r="F133" i="39"/>
  <c r="AK133" i="39" s="1"/>
  <c r="G133" i="39"/>
  <c r="AO133" i="39" s="1"/>
  <c r="F69" i="39"/>
  <c r="AK69" i="39" s="1"/>
  <c r="G69" i="39"/>
  <c r="F5" i="39"/>
  <c r="AK5" i="39" s="1"/>
  <c r="G5" i="39"/>
  <c r="F28" i="39"/>
  <c r="AK28" i="39" s="1"/>
  <c r="G28" i="39"/>
  <c r="F67" i="39"/>
  <c r="AK67" i="39" s="1"/>
  <c r="G67" i="39"/>
  <c r="AO67" i="39" s="1"/>
  <c r="F114" i="39"/>
  <c r="AK114" i="39" s="1"/>
  <c r="G114" i="39"/>
  <c r="AO114" i="39" s="1"/>
  <c r="F50" i="39"/>
  <c r="AK50" i="39" s="1"/>
  <c r="G50" i="39"/>
  <c r="AO50" i="39" s="1"/>
  <c r="F81" i="39"/>
  <c r="AK81" i="39" s="1"/>
  <c r="G81" i="39"/>
  <c r="F63" i="39"/>
  <c r="AK63" i="39" s="1"/>
  <c r="G63" i="39"/>
  <c r="AO63" i="39" s="1"/>
  <c r="F119" i="39"/>
  <c r="AK119" i="39" s="1"/>
  <c r="G119" i="39"/>
  <c r="AO119" i="39" s="1"/>
  <c r="F52" i="39"/>
  <c r="AK52" i="39" s="1"/>
  <c r="G52" i="39"/>
  <c r="AO52" i="39" s="1"/>
  <c r="F59" i="39"/>
  <c r="AK59" i="39" s="1"/>
  <c r="G59" i="39"/>
  <c r="F121" i="39"/>
  <c r="AK121" i="39" s="1"/>
  <c r="G121" i="39"/>
  <c r="AO121" i="39" s="1"/>
  <c r="F57" i="39"/>
  <c r="AK57" i="39" s="1"/>
  <c r="G57" i="39"/>
  <c r="F128" i="39"/>
  <c r="AK128" i="39" s="1"/>
  <c r="G128" i="39"/>
  <c r="AO128" i="39" s="1"/>
  <c r="F143" i="39"/>
  <c r="AK143" i="39" s="1"/>
  <c r="G143" i="39"/>
  <c r="F7" i="39"/>
  <c r="AK7" i="39" s="1"/>
  <c r="G7" i="39"/>
  <c r="AO7" i="39" s="1"/>
  <c r="F86" i="39"/>
  <c r="AK86" i="39" s="1"/>
  <c r="G86" i="39"/>
  <c r="F22" i="39"/>
  <c r="AK22" i="39" s="1"/>
  <c r="G22" i="39"/>
  <c r="AO22" i="39" s="1"/>
  <c r="F56" i="39"/>
  <c r="AK56" i="39" s="1"/>
  <c r="G56" i="39"/>
  <c r="F71" i="39"/>
  <c r="AK71" i="39" s="1"/>
  <c r="G71" i="39"/>
  <c r="AO71" i="39" s="1"/>
  <c r="F125" i="39"/>
  <c r="AK125" i="39" s="1"/>
  <c r="G125" i="39"/>
  <c r="F61" i="39"/>
  <c r="AK61" i="39" s="1"/>
  <c r="G61" i="39"/>
  <c r="AO61" i="39" s="1"/>
  <c r="F148" i="39"/>
  <c r="AK148" i="39" s="1"/>
  <c r="G148" i="39"/>
  <c r="F20" i="39"/>
  <c r="AK20" i="39" s="1"/>
  <c r="G20" i="39"/>
  <c r="AO20" i="39" s="1"/>
  <c r="F51" i="39"/>
  <c r="AK51" i="39" s="1"/>
  <c r="G51" i="39"/>
  <c r="F106" i="39"/>
  <c r="AK106" i="39" s="1"/>
  <c r="G106" i="39"/>
  <c r="AO106" i="39" s="1"/>
  <c r="F42" i="39"/>
  <c r="AK42" i="39" s="1"/>
  <c r="G42" i="39"/>
  <c r="F92" i="39"/>
  <c r="AK92" i="39" s="1"/>
  <c r="G92" i="39"/>
  <c r="AO92" i="39" s="1"/>
  <c r="F137" i="39"/>
  <c r="AK137" i="39" s="1"/>
  <c r="G137" i="39"/>
  <c r="F9" i="39"/>
  <c r="AK9" i="39" s="1"/>
  <c r="G9" i="39"/>
  <c r="AO9" i="39" s="1"/>
  <c r="F47" i="39"/>
  <c r="AK47" i="39" s="1"/>
  <c r="G47" i="39"/>
  <c r="F38" i="39"/>
  <c r="AK38" i="39" s="1"/>
  <c r="G38" i="39"/>
  <c r="AO38" i="39" s="1"/>
  <c r="F103" i="39"/>
  <c r="AK103" i="39" s="1"/>
  <c r="G103" i="39"/>
  <c r="F77" i="39"/>
  <c r="AK77" i="39" s="1"/>
  <c r="G77" i="39"/>
  <c r="AO77" i="39" s="1"/>
  <c r="F44" i="39"/>
  <c r="AK44" i="39" s="1"/>
  <c r="G44" i="39"/>
  <c r="F122" i="39"/>
  <c r="AK122" i="39" s="1"/>
  <c r="G122" i="39"/>
  <c r="AO122" i="39" s="1"/>
  <c r="F36" i="39"/>
  <c r="AK36" i="39" s="1"/>
  <c r="G36" i="39"/>
  <c r="F43" i="39"/>
  <c r="AK43" i="39" s="1"/>
  <c r="G43" i="39"/>
  <c r="F113" i="39"/>
  <c r="AK113" i="39" s="1"/>
  <c r="G113" i="39"/>
  <c r="F49" i="39"/>
  <c r="AK49" i="39" s="1"/>
  <c r="G49" i="39"/>
  <c r="AO49" i="39" s="1"/>
  <c r="F112" i="39"/>
  <c r="AK112" i="39" s="1"/>
  <c r="G112" i="39"/>
  <c r="F127" i="39"/>
  <c r="AK127" i="39" s="1"/>
  <c r="G127" i="39"/>
  <c r="AO127" i="39" s="1"/>
  <c r="F142" i="39"/>
  <c r="AK142" i="39" s="1"/>
  <c r="G142" i="39"/>
  <c r="F78" i="39"/>
  <c r="AK78" i="39" s="1"/>
  <c r="G78" i="39"/>
  <c r="AO78" i="39" s="1"/>
  <c r="F14" i="39"/>
  <c r="AK14" i="39" s="1"/>
  <c r="G14" i="39"/>
  <c r="F48" i="39"/>
  <c r="AK48" i="39" s="1"/>
  <c r="G48" i="39"/>
  <c r="AO48" i="39" s="1"/>
  <c r="F55" i="39"/>
  <c r="AK55" i="39" s="1"/>
  <c r="G55" i="39"/>
  <c r="F117" i="39"/>
  <c r="AK117" i="39" s="1"/>
  <c r="G117" i="39"/>
  <c r="AO117" i="39" s="1"/>
  <c r="F53" i="39"/>
  <c r="AK53" i="39" s="1"/>
  <c r="G53" i="39"/>
  <c r="F132" i="39"/>
  <c r="AK132" i="39" s="1"/>
  <c r="G132" i="39"/>
  <c r="AO132" i="39" s="1"/>
  <c r="F12" i="39"/>
  <c r="AK12" i="39" s="1"/>
  <c r="G12" i="39"/>
  <c r="F35" i="39"/>
  <c r="AK35" i="39" s="1"/>
  <c r="G35" i="39"/>
  <c r="AO35" i="39" s="1"/>
  <c r="F98" i="39"/>
  <c r="AK98" i="39" s="1"/>
  <c r="G98" i="39"/>
  <c r="F34" i="39"/>
  <c r="AK34" i="39" s="1"/>
  <c r="G34" i="39"/>
  <c r="AO34" i="39" s="1"/>
  <c r="F140" i="39"/>
  <c r="AK140" i="39" s="1"/>
  <c r="G140" i="39"/>
  <c r="F4" i="39"/>
  <c r="AK4" i="39" s="1"/>
  <c r="G4" i="39"/>
  <c r="AO4" i="39" s="1"/>
  <c r="F27" i="39"/>
  <c r="AK27" i="39" s="1"/>
  <c r="G27" i="39"/>
  <c r="F105" i="39"/>
  <c r="AK105" i="39" s="1"/>
  <c r="G105" i="39"/>
  <c r="AO105" i="39" s="1"/>
  <c r="F41" i="39"/>
  <c r="AK41" i="39" s="1"/>
  <c r="G41" i="39"/>
  <c r="F96" i="39"/>
  <c r="AK96" i="39" s="1"/>
  <c r="G96" i="39"/>
  <c r="AO96" i="39" s="1"/>
  <c r="F111" i="39"/>
  <c r="AK111" i="39" s="1"/>
  <c r="G111" i="39"/>
  <c r="F134" i="39"/>
  <c r="AK134" i="39" s="1"/>
  <c r="G134" i="39"/>
  <c r="AO134" i="39" s="1"/>
  <c r="F70" i="39"/>
  <c r="AK70" i="39" s="1"/>
  <c r="G70" i="39"/>
  <c r="F6" i="39"/>
  <c r="AK6" i="39" s="1"/>
  <c r="G6" i="39"/>
  <c r="AO6" i="39" s="1"/>
  <c r="F32" i="39"/>
  <c r="AK32" i="39" s="1"/>
  <c r="G32" i="39"/>
  <c r="AO32" i="39" s="1"/>
  <c r="F39" i="39"/>
  <c r="AK39" i="39" s="1"/>
  <c r="G39" i="39"/>
  <c r="AO39" i="39" s="1"/>
  <c r="F109" i="39"/>
  <c r="AK109" i="39" s="1"/>
  <c r="G109" i="39"/>
  <c r="F45" i="39"/>
  <c r="AK45" i="39" s="1"/>
  <c r="G45" i="39"/>
  <c r="AO45" i="39" s="1"/>
  <c r="F108" i="39"/>
  <c r="AK108" i="39" s="1"/>
  <c r="G108" i="39"/>
  <c r="F139" i="39"/>
  <c r="AK139" i="39" s="1"/>
  <c r="G139" i="39"/>
  <c r="F3" i="39"/>
  <c r="AK3" i="39" s="1"/>
  <c r="G3" i="39"/>
  <c r="F90" i="39"/>
  <c r="AK90" i="39" s="1"/>
  <c r="G90" i="39"/>
  <c r="AO90" i="39" s="1"/>
  <c r="F26" i="39"/>
  <c r="AK26" i="39" s="1"/>
  <c r="G26" i="39"/>
  <c r="F100" i="39"/>
  <c r="AK100" i="39" s="1"/>
  <c r="G100" i="39"/>
  <c r="AO100" i="39" s="1"/>
  <c r="F145" i="39"/>
  <c r="AK145" i="39" s="1"/>
  <c r="G145" i="39"/>
  <c r="F40" i="39"/>
  <c r="AK40" i="39" s="1"/>
  <c r="G40" i="39"/>
  <c r="AO40" i="39" s="1"/>
  <c r="F46" i="39"/>
  <c r="AK46" i="39" s="1"/>
  <c r="G46" i="39"/>
  <c r="F124" i="39"/>
  <c r="AK124" i="39" s="1"/>
  <c r="G124" i="39"/>
  <c r="F147" i="39"/>
  <c r="AK147" i="39" s="1"/>
  <c r="G147" i="39"/>
  <c r="F19" i="39"/>
  <c r="AK19" i="39" s="1"/>
  <c r="G19" i="39"/>
  <c r="AO19" i="39" s="1"/>
  <c r="F97" i="39"/>
  <c r="AK97" i="39" s="1"/>
  <c r="G97" i="39"/>
  <c r="F33" i="39"/>
  <c r="AK33" i="39" s="1"/>
  <c r="G33" i="39"/>
  <c r="AO33" i="39" s="1"/>
  <c r="F80" i="39"/>
  <c r="AK80" i="39" s="1"/>
  <c r="G80" i="39"/>
  <c r="F95" i="39"/>
  <c r="AK95" i="39" s="1"/>
  <c r="G95" i="39"/>
  <c r="AO95" i="39" s="1"/>
  <c r="F126" i="39"/>
  <c r="AK126" i="39" s="1"/>
  <c r="G126" i="39"/>
  <c r="F62" i="39"/>
  <c r="AK62" i="39" s="1"/>
  <c r="G62" i="39"/>
  <c r="AO62" i="39" s="1"/>
  <c r="F136" i="39"/>
  <c r="AK136" i="39" s="1"/>
  <c r="G136" i="39"/>
  <c r="F16" i="39"/>
  <c r="AK16" i="39" s="1"/>
  <c r="G16" i="39"/>
  <c r="AO16" i="39" s="1"/>
  <c r="F31" i="39"/>
  <c r="AK31" i="39" s="1"/>
  <c r="G31" i="39"/>
  <c r="F101" i="39"/>
  <c r="AK101" i="39" s="1"/>
  <c r="G101" i="39"/>
  <c r="AO101" i="39" s="1"/>
  <c r="F37" i="39"/>
  <c r="AK37" i="39" s="1"/>
  <c r="G37" i="39"/>
  <c r="F84" i="39"/>
  <c r="AK84" i="39" s="1"/>
  <c r="G84" i="39"/>
  <c r="AO84" i="39" s="1"/>
  <c r="F123" i="39"/>
  <c r="AK123" i="39" s="1"/>
  <c r="G123" i="39"/>
  <c r="F146" i="39"/>
  <c r="AK146" i="39" s="1"/>
  <c r="G146" i="39"/>
  <c r="AO146" i="39" s="1"/>
  <c r="F82" i="39"/>
  <c r="AK82" i="39" s="1"/>
  <c r="G82" i="39"/>
  <c r="F18" i="39"/>
  <c r="AK18" i="39" s="1"/>
  <c r="G18" i="39"/>
  <c r="AO18" i="39" s="1"/>
  <c r="F116" i="39"/>
  <c r="AK116" i="39" s="1"/>
  <c r="G116" i="39"/>
  <c r="AO116" i="39" s="1"/>
  <c r="F131" i="39"/>
  <c r="AK131" i="39" s="1"/>
  <c r="G131" i="39"/>
  <c r="AO131" i="39" s="1"/>
  <c r="F11" i="39"/>
  <c r="AK11" i="39" s="1"/>
  <c r="G11" i="39"/>
  <c r="F89" i="39"/>
  <c r="AK89" i="39" s="1"/>
  <c r="G89" i="39"/>
  <c r="AO89" i="39" s="1"/>
  <c r="F25" i="39"/>
  <c r="AK25" i="39" s="1"/>
  <c r="G25" i="39"/>
  <c r="F64" i="39"/>
  <c r="AK64" i="39" s="1"/>
  <c r="G64" i="39"/>
  <c r="AO64" i="39" s="1"/>
  <c r="F79" i="39"/>
  <c r="AK79" i="39" s="1"/>
  <c r="G79" i="39"/>
  <c r="F118" i="39"/>
  <c r="AK118" i="39" s="1"/>
  <c r="G118" i="39"/>
  <c r="AO118" i="39" s="1"/>
  <c r="F54" i="39"/>
  <c r="AK54" i="39" s="1"/>
  <c r="G54" i="39"/>
  <c r="F120" i="39"/>
  <c r="AK120" i="39" s="1"/>
  <c r="G120" i="39"/>
  <c r="AO120" i="39" s="1"/>
  <c r="F135" i="39"/>
  <c r="AK135" i="39" s="1"/>
  <c r="G135" i="39"/>
  <c r="F15" i="39"/>
  <c r="AK15" i="39" s="1"/>
  <c r="G15" i="39"/>
  <c r="AO15" i="39" s="1"/>
  <c r="F93" i="39"/>
  <c r="AK93" i="39" s="1"/>
  <c r="G93" i="39"/>
  <c r="F29" i="39"/>
  <c r="AK29" i="39" s="1"/>
  <c r="G29" i="39"/>
  <c r="AO29" i="39" s="1"/>
  <c r="F68" i="39"/>
  <c r="AK68" i="39" s="1"/>
  <c r="G68" i="39"/>
  <c r="F107" i="39"/>
  <c r="AK107" i="39" s="1"/>
  <c r="G107" i="39"/>
  <c r="AO107" i="39" s="1"/>
  <c r="F138" i="39"/>
  <c r="AK138" i="39" s="1"/>
  <c r="G138" i="39"/>
  <c r="F74" i="39"/>
  <c r="AK74" i="39" s="1"/>
  <c r="G74" i="39"/>
  <c r="AO74" i="39" s="1"/>
  <c r="F10" i="39"/>
  <c r="AK10" i="39" s="1"/>
  <c r="G10" i="39"/>
  <c r="E2" i="39"/>
  <c r="F2" i="39"/>
  <c r="AK2" i="39" s="1"/>
  <c r="D124" i="39"/>
  <c r="AH124" i="39" s="1"/>
  <c r="E124" i="39"/>
  <c r="D95" i="39"/>
  <c r="AH95" i="39" s="1"/>
  <c r="E95" i="39"/>
  <c r="D31" i="39"/>
  <c r="AH31" i="39" s="1"/>
  <c r="E31" i="39"/>
  <c r="D11" i="39"/>
  <c r="AH11" i="39" s="1"/>
  <c r="E11" i="39"/>
  <c r="D89" i="39"/>
  <c r="AH89" i="39" s="1"/>
  <c r="E89" i="39"/>
  <c r="D79" i="39"/>
  <c r="AH79" i="39" s="1"/>
  <c r="E79" i="39"/>
  <c r="D118" i="39"/>
  <c r="AH118" i="39" s="1"/>
  <c r="E118" i="39"/>
  <c r="D120" i="39"/>
  <c r="AH120" i="39" s="1"/>
  <c r="E120" i="39"/>
  <c r="D15" i="39"/>
  <c r="AH15" i="39" s="1"/>
  <c r="E15" i="39"/>
  <c r="D29" i="39"/>
  <c r="AH29" i="39" s="1"/>
  <c r="E29" i="39"/>
  <c r="D68" i="39"/>
  <c r="AH68" i="39" s="1"/>
  <c r="E68" i="39"/>
  <c r="D138" i="39"/>
  <c r="AH138" i="39" s="1"/>
  <c r="E138" i="39"/>
  <c r="D100" i="39"/>
  <c r="AH100" i="39" s="1"/>
  <c r="E100" i="39"/>
  <c r="D115" i="39"/>
  <c r="AH115" i="39" s="1"/>
  <c r="E115" i="39"/>
  <c r="D145" i="39"/>
  <c r="AH145" i="39" s="1"/>
  <c r="E145" i="39"/>
  <c r="D17" i="39"/>
  <c r="AH17" i="39" s="1"/>
  <c r="E17" i="39"/>
  <c r="D40" i="39"/>
  <c r="AH40" i="39" s="1"/>
  <c r="E40" i="39"/>
  <c r="D63" i="39"/>
  <c r="AH63" i="39" s="1"/>
  <c r="E63" i="39"/>
  <c r="D110" i="39"/>
  <c r="AH110" i="39" s="1"/>
  <c r="E110" i="39"/>
  <c r="D46" i="39"/>
  <c r="AH46" i="39" s="1"/>
  <c r="E46" i="39"/>
  <c r="D104" i="39"/>
  <c r="AH104" i="39" s="1"/>
  <c r="E104" i="39"/>
  <c r="D119" i="39"/>
  <c r="AH119" i="39" s="1"/>
  <c r="E119" i="39"/>
  <c r="D149" i="39"/>
  <c r="AH149" i="39" s="1"/>
  <c r="E149" i="39"/>
  <c r="D85" i="39"/>
  <c r="AH85" i="39" s="1"/>
  <c r="E85" i="39"/>
  <c r="D21" i="39"/>
  <c r="AH21" i="39" s="1"/>
  <c r="E21" i="39"/>
  <c r="D60" i="39"/>
  <c r="AH60" i="39" s="1"/>
  <c r="E60" i="39"/>
  <c r="D99" i="39"/>
  <c r="AH99" i="39" s="1"/>
  <c r="E99" i="39"/>
  <c r="D66" i="39"/>
  <c r="AH66" i="39" s="1"/>
  <c r="E66" i="39"/>
  <c r="D92" i="39"/>
  <c r="AH92" i="39" s="1"/>
  <c r="E92" i="39"/>
  <c r="D91" i="39"/>
  <c r="AH91" i="39" s="1"/>
  <c r="E91" i="39"/>
  <c r="D137" i="39"/>
  <c r="AH137" i="39" s="1"/>
  <c r="E137" i="39"/>
  <c r="D73" i="39"/>
  <c r="AH73" i="39" s="1"/>
  <c r="E73" i="39"/>
  <c r="D9" i="39"/>
  <c r="AH9" i="39" s="1"/>
  <c r="E9" i="39"/>
  <c r="D24" i="39"/>
  <c r="AH24" i="39" s="1"/>
  <c r="E24" i="39"/>
  <c r="D47" i="39"/>
  <c r="AH47" i="39" s="1"/>
  <c r="E47" i="39"/>
  <c r="D102" i="39"/>
  <c r="AH102" i="39" s="1"/>
  <c r="E102" i="39"/>
  <c r="D38" i="39"/>
  <c r="AH38" i="39" s="1"/>
  <c r="E38" i="39"/>
  <c r="D88" i="39"/>
  <c r="AH88" i="39" s="1"/>
  <c r="E88" i="39"/>
  <c r="D103" i="39"/>
  <c r="AH103" i="39" s="1"/>
  <c r="E103" i="39"/>
  <c r="D141" i="39"/>
  <c r="AH141" i="39" s="1"/>
  <c r="E141" i="39"/>
  <c r="D77" i="39"/>
  <c r="AH77" i="39" s="1"/>
  <c r="E77" i="39"/>
  <c r="D13" i="39"/>
  <c r="AH13" i="39" s="1"/>
  <c r="E13" i="39"/>
  <c r="D44" i="39"/>
  <c r="AH44" i="39" s="1"/>
  <c r="E44" i="39"/>
  <c r="D83" i="39"/>
  <c r="AH83" i="39" s="1"/>
  <c r="E83" i="39"/>
  <c r="D122" i="39"/>
  <c r="AH122" i="39" s="1"/>
  <c r="E122" i="39"/>
  <c r="D58" i="39"/>
  <c r="AH58" i="39" s="1"/>
  <c r="E58" i="39"/>
  <c r="D147" i="39"/>
  <c r="AH147" i="39" s="1"/>
  <c r="E147" i="39"/>
  <c r="D65" i="39"/>
  <c r="AH65" i="39" s="1"/>
  <c r="E65" i="39"/>
  <c r="D23" i="39"/>
  <c r="AH23" i="39" s="1"/>
  <c r="E23" i="39"/>
  <c r="D87" i="39"/>
  <c r="AH87" i="39" s="1"/>
  <c r="E87" i="39"/>
  <c r="D50" i="39"/>
  <c r="AH50" i="39" s="1"/>
  <c r="E50" i="39"/>
  <c r="D129" i="39"/>
  <c r="AH129" i="39" s="1"/>
  <c r="E129" i="39"/>
  <c r="D8" i="39"/>
  <c r="AH8" i="39" s="1"/>
  <c r="E8" i="39"/>
  <c r="D133" i="39"/>
  <c r="AH133" i="39" s="1"/>
  <c r="E133" i="39"/>
  <c r="D86" i="39"/>
  <c r="AH86" i="39" s="1"/>
  <c r="E86" i="39"/>
  <c r="D59" i="39"/>
  <c r="AH59" i="39" s="1"/>
  <c r="E59" i="39"/>
  <c r="D143" i="39"/>
  <c r="AH143" i="39" s="1"/>
  <c r="E143" i="39"/>
  <c r="D20" i="39"/>
  <c r="AH20" i="39" s="1"/>
  <c r="E20" i="39"/>
  <c r="D19" i="39"/>
  <c r="AH19" i="39" s="1"/>
  <c r="E19" i="39"/>
  <c r="D76" i="39"/>
  <c r="AH76" i="39" s="1"/>
  <c r="E76" i="39"/>
  <c r="D75" i="39"/>
  <c r="AH75" i="39" s="1"/>
  <c r="E75" i="39"/>
  <c r="D144" i="39"/>
  <c r="AH144" i="39" s="1"/>
  <c r="E144" i="39"/>
  <c r="D94" i="39"/>
  <c r="AH94" i="39" s="1"/>
  <c r="E94" i="39"/>
  <c r="D30" i="39"/>
  <c r="AH30" i="39" s="1"/>
  <c r="E30" i="39"/>
  <c r="D72" i="39"/>
  <c r="AH72" i="39" s="1"/>
  <c r="E72" i="39"/>
  <c r="D69" i="39"/>
  <c r="AH69" i="39" s="1"/>
  <c r="E69" i="39"/>
  <c r="D5" i="39"/>
  <c r="AH5" i="39" s="1"/>
  <c r="E5" i="39"/>
  <c r="D28" i="39"/>
  <c r="AH28" i="39" s="1"/>
  <c r="E28" i="39"/>
  <c r="D67" i="39"/>
  <c r="AH67" i="39" s="1"/>
  <c r="E67" i="39"/>
  <c r="D114" i="39"/>
  <c r="AH114" i="39" s="1"/>
  <c r="E114" i="39"/>
  <c r="D52" i="39"/>
  <c r="AH52" i="39" s="1"/>
  <c r="E52" i="39"/>
  <c r="D121" i="39"/>
  <c r="AH121" i="39" s="1"/>
  <c r="E121" i="39"/>
  <c r="D57" i="39"/>
  <c r="AH57" i="39" s="1"/>
  <c r="E57" i="39"/>
  <c r="D128" i="39"/>
  <c r="AH128" i="39" s="1"/>
  <c r="E128" i="39"/>
  <c r="D7" i="39"/>
  <c r="AH7" i="39" s="1"/>
  <c r="E7" i="39"/>
  <c r="D22" i="39"/>
  <c r="AH22" i="39" s="1"/>
  <c r="E22" i="39"/>
  <c r="D56" i="39"/>
  <c r="AH56" i="39" s="1"/>
  <c r="E56" i="39"/>
  <c r="D71" i="39"/>
  <c r="AH71" i="39" s="1"/>
  <c r="E71" i="39"/>
  <c r="D125" i="39"/>
  <c r="AH125" i="39" s="1"/>
  <c r="E125" i="39"/>
  <c r="D61" i="39"/>
  <c r="AH61" i="39" s="1"/>
  <c r="E61" i="39"/>
  <c r="D148" i="39"/>
  <c r="AH148" i="39" s="1"/>
  <c r="E148" i="39"/>
  <c r="D51" i="39"/>
  <c r="AH51" i="39" s="1"/>
  <c r="E51" i="39"/>
  <c r="D106" i="39"/>
  <c r="AH106" i="39" s="1"/>
  <c r="E106" i="39"/>
  <c r="D42" i="39"/>
  <c r="AH42" i="39" s="1"/>
  <c r="E42" i="39"/>
  <c r="D36" i="39"/>
  <c r="AH36" i="39" s="1"/>
  <c r="E36" i="39"/>
  <c r="D43" i="39"/>
  <c r="AH43" i="39" s="1"/>
  <c r="E43" i="39"/>
  <c r="D113" i="39"/>
  <c r="AH113" i="39" s="1"/>
  <c r="E113" i="39"/>
  <c r="D49" i="39"/>
  <c r="AH49" i="39" s="1"/>
  <c r="E49" i="39"/>
  <c r="D112" i="39"/>
  <c r="AH112" i="39" s="1"/>
  <c r="E112" i="39"/>
  <c r="D127" i="39"/>
  <c r="AH127" i="39" s="1"/>
  <c r="E127" i="39"/>
  <c r="D142" i="39"/>
  <c r="AH142" i="39" s="1"/>
  <c r="E142" i="39"/>
  <c r="D78" i="39"/>
  <c r="AH78" i="39" s="1"/>
  <c r="E78" i="39"/>
  <c r="D14" i="39"/>
  <c r="AH14" i="39" s="1"/>
  <c r="E14" i="39"/>
  <c r="D48" i="39"/>
  <c r="AH48" i="39" s="1"/>
  <c r="E48" i="39"/>
  <c r="D55" i="39"/>
  <c r="AH55" i="39" s="1"/>
  <c r="E55" i="39"/>
  <c r="D117" i="39"/>
  <c r="AH117" i="39" s="1"/>
  <c r="E117" i="39"/>
  <c r="D53" i="39"/>
  <c r="AH53" i="39" s="1"/>
  <c r="E53" i="39"/>
  <c r="D132" i="39"/>
  <c r="AH132" i="39" s="1"/>
  <c r="E132" i="39"/>
  <c r="D12" i="39"/>
  <c r="AH12" i="39" s="1"/>
  <c r="E12" i="39"/>
  <c r="D35" i="39"/>
  <c r="AH35" i="39" s="1"/>
  <c r="E35" i="39"/>
  <c r="D98" i="39"/>
  <c r="AH98" i="39" s="1"/>
  <c r="E98" i="39"/>
  <c r="D34" i="39"/>
  <c r="AH34" i="39" s="1"/>
  <c r="E34" i="39"/>
  <c r="D140" i="39"/>
  <c r="AH140" i="39" s="1"/>
  <c r="E140" i="39"/>
  <c r="D4" i="39"/>
  <c r="AH4" i="39" s="1"/>
  <c r="E4" i="39"/>
  <c r="D27" i="39"/>
  <c r="AH27" i="39" s="1"/>
  <c r="E27" i="39"/>
  <c r="D105" i="39"/>
  <c r="AH105" i="39" s="1"/>
  <c r="E105" i="39"/>
  <c r="D41" i="39"/>
  <c r="AH41" i="39" s="1"/>
  <c r="E41" i="39"/>
  <c r="D96" i="39"/>
  <c r="AH96" i="39" s="1"/>
  <c r="E96" i="39"/>
  <c r="D111" i="39"/>
  <c r="AH111" i="39" s="1"/>
  <c r="E111" i="39"/>
  <c r="D134" i="39"/>
  <c r="AH134" i="39" s="1"/>
  <c r="E134" i="39"/>
  <c r="D70" i="39"/>
  <c r="AH70" i="39" s="1"/>
  <c r="E70" i="39"/>
  <c r="D6" i="39"/>
  <c r="AH6" i="39" s="1"/>
  <c r="E6" i="39"/>
  <c r="D32" i="39"/>
  <c r="AH32" i="39" s="1"/>
  <c r="E32" i="39"/>
  <c r="D39" i="39"/>
  <c r="AH39" i="39" s="1"/>
  <c r="E39" i="39"/>
  <c r="D109" i="39"/>
  <c r="AH109" i="39" s="1"/>
  <c r="E109" i="39"/>
  <c r="D45" i="39"/>
  <c r="AH45" i="39" s="1"/>
  <c r="E45" i="39"/>
  <c r="D108" i="39"/>
  <c r="AH108" i="39" s="1"/>
  <c r="E108" i="39"/>
  <c r="D139" i="39"/>
  <c r="AH139" i="39" s="1"/>
  <c r="E139" i="39"/>
  <c r="D3" i="39"/>
  <c r="AH3" i="39" s="1"/>
  <c r="E3" i="39"/>
  <c r="D90" i="39"/>
  <c r="AH90" i="39" s="1"/>
  <c r="E90" i="39"/>
  <c r="D26" i="39"/>
  <c r="AH26" i="39" s="1"/>
  <c r="E26" i="39"/>
  <c r="D80" i="39"/>
  <c r="AH80" i="39" s="1"/>
  <c r="E80" i="39"/>
  <c r="D126" i="39"/>
  <c r="AH126" i="39" s="1"/>
  <c r="E126" i="39"/>
  <c r="D16" i="39"/>
  <c r="AH16" i="39" s="1"/>
  <c r="E16" i="39"/>
  <c r="D101" i="39"/>
  <c r="AH101" i="39" s="1"/>
  <c r="E101" i="39"/>
  <c r="D37" i="39"/>
  <c r="AH37" i="39" s="1"/>
  <c r="E37" i="39"/>
  <c r="D84" i="39"/>
  <c r="AH84" i="39" s="1"/>
  <c r="E84" i="39"/>
  <c r="D123" i="39"/>
  <c r="AH123" i="39" s="1"/>
  <c r="E123" i="39"/>
  <c r="D146" i="39"/>
  <c r="AH146" i="39" s="1"/>
  <c r="E146" i="39"/>
  <c r="D82" i="39"/>
  <c r="AH82" i="39" s="1"/>
  <c r="E82" i="39"/>
  <c r="D18" i="39"/>
  <c r="AH18" i="39" s="1"/>
  <c r="E18" i="39"/>
  <c r="D33" i="39"/>
  <c r="AH33" i="39" s="1"/>
  <c r="E33" i="39"/>
  <c r="D136" i="39"/>
  <c r="AH136" i="39" s="1"/>
  <c r="E136" i="39"/>
  <c r="D116" i="39"/>
  <c r="AH116" i="39" s="1"/>
  <c r="E116" i="39"/>
  <c r="D64" i="39"/>
  <c r="AH64" i="39" s="1"/>
  <c r="E64" i="39"/>
  <c r="D135" i="39"/>
  <c r="AH135" i="39" s="1"/>
  <c r="E135" i="39"/>
  <c r="D10" i="39"/>
  <c r="AH10" i="39" s="1"/>
  <c r="E10" i="39"/>
  <c r="D97" i="39"/>
  <c r="AH97" i="39" s="1"/>
  <c r="E97" i="39"/>
  <c r="D62" i="39"/>
  <c r="AH62" i="39" s="1"/>
  <c r="E62" i="39"/>
  <c r="D131" i="39"/>
  <c r="AH131" i="39" s="1"/>
  <c r="E131" i="39"/>
  <c r="D25" i="39"/>
  <c r="AH25" i="39" s="1"/>
  <c r="E25" i="39"/>
  <c r="D54" i="39"/>
  <c r="AH54" i="39" s="1"/>
  <c r="E54" i="39"/>
  <c r="D93" i="39"/>
  <c r="AH93" i="39" s="1"/>
  <c r="E93" i="39"/>
  <c r="D107" i="39"/>
  <c r="AH107" i="39" s="1"/>
  <c r="E107" i="39"/>
  <c r="D74" i="39"/>
  <c r="AH74" i="39" s="1"/>
  <c r="E74" i="39"/>
  <c r="D81" i="39"/>
  <c r="AH81" i="39" s="1"/>
  <c r="E81" i="39"/>
  <c r="D130" i="39"/>
  <c r="AH130" i="39" s="1"/>
  <c r="E130" i="39"/>
  <c r="C2" i="39"/>
  <c r="D2" i="39"/>
  <c r="AH2" i="39" s="1"/>
  <c r="C16" i="39"/>
  <c r="B116" i="39"/>
  <c r="C116" i="39"/>
  <c r="C11" i="39"/>
  <c r="C64" i="39"/>
  <c r="C79" i="39"/>
  <c r="C120" i="39"/>
  <c r="C15" i="39"/>
  <c r="C29" i="39"/>
  <c r="C68" i="39"/>
  <c r="C107" i="39"/>
  <c r="B74" i="39"/>
  <c r="C74" i="39"/>
  <c r="C100" i="39"/>
  <c r="C115" i="39"/>
  <c r="C145" i="39"/>
  <c r="C81" i="39"/>
  <c r="C17" i="39"/>
  <c r="C40" i="39"/>
  <c r="C63" i="39"/>
  <c r="C110" i="39"/>
  <c r="C46" i="39"/>
  <c r="C104" i="39"/>
  <c r="C119" i="39"/>
  <c r="C149" i="39"/>
  <c r="C85" i="39"/>
  <c r="C60" i="39"/>
  <c r="C99" i="39"/>
  <c r="C130" i="39"/>
  <c r="C66" i="39"/>
  <c r="C92" i="39"/>
  <c r="C91" i="39"/>
  <c r="C137" i="39"/>
  <c r="C73" i="39"/>
  <c r="C9" i="39"/>
  <c r="C24" i="39"/>
  <c r="C47" i="39"/>
  <c r="B102" i="39"/>
  <c r="C102" i="39"/>
  <c r="C38" i="39"/>
  <c r="C88" i="39"/>
  <c r="C103" i="39"/>
  <c r="C141" i="39"/>
  <c r="C77" i="39"/>
  <c r="C13" i="39"/>
  <c r="C44" i="39"/>
  <c r="C83" i="39"/>
  <c r="C122" i="39"/>
  <c r="C58" i="39"/>
  <c r="C147" i="39"/>
  <c r="C76" i="39"/>
  <c r="C65" i="39"/>
  <c r="C23" i="39"/>
  <c r="C72" i="39"/>
  <c r="C133" i="39"/>
  <c r="C67" i="39"/>
  <c r="C50" i="39"/>
  <c r="C33" i="39"/>
  <c r="C75" i="39"/>
  <c r="C144" i="39"/>
  <c r="C94" i="39"/>
  <c r="C5" i="39"/>
  <c r="C86" i="39"/>
  <c r="C129" i="39"/>
  <c r="C8" i="39"/>
  <c r="C30" i="39"/>
  <c r="C87" i="39"/>
  <c r="C69" i="39"/>
  <c r="C28" i="39"/>
  <c r="C114" i="39"/>
  <c r="C52" i="39"/>
  <c r="C125" i="39"/>
  <c r="C59" i="39"/>
  <c r="C121" i="39"/>
  <c r="C57" i="39"/>
  <c r="C128" i="39"/>
  <c r="C143" i="39"/>
  <c r="C7" i="39"/>
  <c r="C22" i="39"/>
  <c r="C56" i="39"/>
  <c r="C71" i="39"/>
  <c r="C61" i="39"/>
  <c r="C148" i="39"/>
  <c r="C20" i="39"/>
  <c r="C51" i="39"/>
  <c r="C106" i="39"/>
  <c r="C42" i="39"/>
  <c r="C36" i="39"/>
  <c r="C43" i="39"/>
  <c r="C113" i="39"/>
  <c r="C49" i="39"/>
  <c r="C112" i="39"/>
  <c r="C127" i="39"/>
  <c r="C142" i="39"/>
  <c r="C78" i="39"/>
  <c r="C14" i="39"/>
  <c r="C48" i="39"/>
  <c r="C55" i="39"/>
  <c r="C117" i="39"/>
  <c r="C53" i="39"/>
  <c r="C132" i="39"/>
  <c r="C12" i="39"/>
  <c r="C35" i="39"/>
  <c r="C98" i="39"/>
  <c r="C34" i="39"/>
  <c r="C140" i="39"/>
  <c r="C4" i="39"/>
  <c r="C27" i="39"/>
  <c r="C105" i="39"/>
  <c r="C41" i="39"/>
  <c r="C96" i="39"/>
  <c r="C111" i="39"/>
  <c r="C134" i="39"/>
  <c r="C70" i="39"/>
  <c r="C6" i="39"/>
  <c r="C32" i="39"/>
  <c r="C39" i="39"/>
  <c r="C109" i="39"/>
  <c r="C45" i="39"/>
  <c r="C108" i="39"/>
  <c r="C139" i="39"/>
  <c r="C3" i="39"/>
  <c r="C90" i="39"/>
  <c r="C26" i="39"/>
  <c r="C97" i="39"/>
  <c r="C126" i="39"/>
  <c r="C136" i="39"/>
  <c r="C101" i="39"/>
  <c r="C37" i="39"/>
  <c r="C84" i="39"/>
  <c r="C123" i="39"/>
  <c r="C146" i="39"/>
  <c r="C82" i="39"/>
  <c r="C18" i="39"/>
  <c r="C19" i="39"/>
  <c r="C95" i="39"/>
  <c r="C62" i="39"/>
  <c r="C89" i="39"/>
  <c r="C54" i="39"/>
  <c r="C10" i="39"/>
  <c r="C124" i="39"/>
  <c r="C80" i="39"/>
  <c r="C31" i="39"/>
  <c r="C131" i="39"/>
  <c r="C25" i="39"/>
  <c r="C118" i="39"/>
  <c r="C135" i="39"/>
  <c r="C93" i="39"/>
  <c r="C138" i="39"/>
  <c r="C21" i="39"/>
  <c r="A26" i="43"/>
  <c r="A17" i="43"/>
  <c r="B114" i="39" l="1"/>
  <c r="B23" i="39"/>
  <c r="B30" i="39"/>
  <c r="B110" i="39"/>
  <c r="B32" i="39"/>
  <c r="B119" i="39"/>
  <c r="B106" i="39"/>
  <c r="B52" i="39"/>
  <c r="B50" i="39"/>
  <c r="B77" i="39"/>
  <c r="B13" i="39"/>
  <c r="B141" i="39"/>
  <c r="AI74" i="39"/>
  <c r="AI104" i="39"/>
  <c r="AI100" i="39"/>
  <c r="AI31" i="39"/>
  <c r="AI138" i="39"/>
  <c r="AI93" i="39"/>
  <c r="AI54" i="39"/>
  <c r="AI62" i="39"/>
  <c r="AI82" i="39"/>
  <c r="AI136" i="39"/>
  <c r="AI90" i="39"/>
  <c r="AI45" i="39"/>
  <c r="B99" i="39"/>
  <c r="AI29" i="39"/>
  <c r="AI149" i="39"/>
  <c r="AI145" i="39"/>
  <c r="AI120" i="39"/>
  <c r="B149" i="39"/>
  <c r="AI37" i="39"/>
  <c r="AI18" i="39"/>
  <c r="AI101" i="39"/>
  <c r="AI26" i="39"/>
  <c r="AI108" i="39"/>
  <c r="AI32" i="39"/>
  <c r="AI111" i="39"/>
  <c r="AI27" i="39"/>
  <c r="AI98" i="39"/>
  <c r="AI53" i="39"/>
  <c r="AI14" i="39"/>
  <c r="AI49" i="39"/>
  <c r="AI142" i="39"/>
  <c r="AI20" i="39"/>
  <c r="AI71" i="39"/>
  <c r="AI7" i="39"/>
  <c r="AI116" i="39"/>
  <c r="B73" i="39"/>
  <c r="B115" i="39"/>
  <c r="B10" i="39"/>
  <c r="AO10" i="39"/>
  <c r="B68" i="39"/>
  <c r="AO68" i="39"/>
  <c r="B135" i="39"/>
  <c r="AO135" i="39"/>
  <c r="B79" i="39"/>
  <c r="AO79" i="39"/>
  <c r="B11" i="39"/>
  <c r="AO11" i="39"/>
  <c r="B82" i="39"/>
  <c r="AO82" i="39"/>
  <c r="B37" i="39"/>
  <c r="AO37" i="39"/>
  <c r="B136" i="39"/>
  <c r="AO136" i="39"/>
  <c r="B80" i="39"/>
  <c r="AO80" i="39"/>
  <c r="B147" i="39"/>
  <c r="AO147" i="39"/>
  <c r="B145" i="39"/>
  <c r="AO145" i="39"/>
  <c r="B3" i="39"/>
  <c r="AO3" i="39"/>
  <c r="B109" i="39"/>
  <c r="AO109" i="39"/>
  <c r="B70" i="39"/>
  <c r="AO70" i="39"/>
  <c r="B41" i="39"/>
  <c r="AO41" i="39"/>
  <c r="B140" i="39"/>
  <c r="AO140" i="39"/>
  <c r="B12" i="39"/>
  <c r="AO12" i="39"/>
  <c r="B55" i="39"/>
  <c r="AO55" i="39"/>
  <c r="B142" i="39"/>
  <c r="AO142" i="39"/>
  <c r="B113" i="39"/>
  <c r="AO113" i="39"/>
  <c r="B44" i="39"/>
  <c r="AO44" i="39"/>
  <c r="B47" i="39"/>
  <c r="AO47" i="39"/>
  <c r="B42" i="39"/>
  <c r="AO42" i="39"/>
  <c r="B148" i="39"/>
  <c r="AO148" i="39"/>
  <c r="B56" i="39"/>
  <c r="AO56" i="39"/>
  <c r="B143" i="39"/>
  <c r="AO143" i="39"/>
  <c r="B59" i="39"/>
  <c r="AO59" i="39"/>
  <c r="B81" i="39"/>
  <c r="AO81" i="39"/>
  <c r="B28" i="39"/>
  <c r="AO28" i="39"/>
  <c r="B87" i="39"/>
  <c r="AO87" i="39"/>
  <c r="B129" i="39"/>
  <c r="AO129" i="39"/>
  <c r="R2" i="39"/>
  <c r="AO2" i="39"/>
  <c r="B83" i="39"/>
  <c r="AO83" i="39"/>
  <c r="B66" i="39"/>
  <c r="AO66" i="39"/>
  <c r="B21" i="39"/>
  <c r="AO21" i="39"/>
  <c r="B124" i="39"/>
  <c r="AO124" i="39"/>
  <c r="B139" i="39"/>
  <c r="AO139" i="39"/>
  <c r="B43" i="39"/>
  <c r="AO43" i="39"/>
  <c r="B5" i="39"/>
  <c r="AO5" i="39"/>
  <c r="B72" i="39"/>
  <c r="AO72" i="39"/>
  <c r="B8" i="39"/>
  <c r="AO8" i="39"/>
  <c r="B75" i="39"/>
  <c r="AO75" i="39"/>
  <c r="B138" i="39"/>
  <c r="AO138" i="39"/>
  <c r="B93" i="39"/>
  <c r="AO93" i="39"/>
  <c r="B54" i="39"/>
  <c r="AO54" i="39"/>
  <c r="B25" i="39"/>
  <c r="AO25" i="39"/>
  <c r="B123" i="39"/>
  <c r="AO123" i="39"/>
  <c r="B31" i="39"/>
  <c r="AO31" i="39"/>
  <c r="B126" i="39"/>
  <c r="AO126" i="39"/>
  <c r="B97" i="39"/>
  <c r="AO97" i="39"/>
  <c r="B46" i="39"/>
  <c r="AO46" i="39"/>
  <c r="B26" i="39"/>
  <c r="AO26" i="39"/>
  <c r="B108" i="39"/>
  <c r="AO108" i="39"/>
  <c r="B111" i="39"/>
  <c r="AO111" i="39"/>
  <c r="B27" i="39"/>
  <c r="AO27" i="39"/>
  <c r="B98" i="39"/>
  <c r="AO98" i="39"/>
  <c r="B53" i="39"/>
  <c r="AO53" i="39"/>
  <c r="B14" i="39"/>
  <c r="AO14" i="39"/>
  <c r="B112" i="39"/>
  <c r="AO112" i="39"/>
  <c r="B36" i="39"/>
  <c r="AO36" i="39"/>
  <c r="B103" i="39"/>
  <c r="AO103" i="39"/>
  <c r="B137" i="39"/>
  <c r="AO137" i="39"/>
  <c r="B51" i="39"/>
  <c r="AO51" i="39"/>
  <c r="B125" i="39"/>
  <c r="AO125" i="39"/>
  <c r="B86" i="39"/>
  <c r="AO86" i="39"/>
  <c r="B57" i="39"/>
  <c r="AO57" i="39"/>
  <c r="B69" i="39"/>
  <c r="AO69" i="39"/>
  <c r="B144" i="39"/>
  <c r="AO144" i="39"/>
  <c r="B76" i="39"/>
  <c r="AO76" i="39"/>
  <c r="AI6" i="39"/>
  <c r="AI96" i="39"/>
  <c r="AI4" i="39"/>
  <c r="AI35" i="39"/>
  <c r="AI117" i="39"/>
  <c r="AI78" i="39"/>
  <c r="AI113" i="39"/>
  <c r="AI51" i="39"/>
  <c r="AI148" i="39"/>
  <c r="AI56" i="39"/>
  <c r="AI143" i="39"/>
  <c r="AI59" i="39"/>
  <c r="AI60" i="39"/>
  <c r="AI40" i="39"/>
  <c r="AI89" i="39"/>
  <c r="AI10" i="39"/>
  <c r="AI68" i="39"/>
  <c r="AI135" i="39"/>
  <c r="AI11" i="39"/>
  <c r="AI147" i="39"/>
  <c r="AI123" i="39"/>
  <c r="AI19" i="39"/>
  <c r="AI139" i="39"/>
  <c r="AI39" i="39"/>
  <c r="AI121" i="39"/>
  <c r="AI114" i="39"/>
  <c r="AI69" i="39"/>
  <c r="AI30" i="39"/>
  <c r="AI144" i="39"/>
  <c r="AI76" i="39"/>
  <c r="AI85" i="39"/>
  <c r="AI17" i="39"/>
  <c r="AI25" i="39"/>
  <c r="AI126" i="39"/>
  <c r="AI122" i="39"/>
  <c r="AI77" i="39"/>
  <c r="AI38" i="39"/>
  <c r="AI9" i="39"/>
  <c r="AI92" i="39"/>
  <c r="AI67" i="39"/>
  <c r="AI133" i="39"/>
  <c r="AI94" i="39"/>
  <c r="AI65" i="39"/>
  <c r="AI130" i="39"/>
  <c r="AI119" i="39"/>
  <c r="AI81" i="39"/>
  <c r="AI131" i="39"/>
  <c r="AI97" i="39"/>
  <c r="AI83" i="39"/>
  <c r="AI141" i="39"/>
  <c r="AI102" i="39"/>
  <c r="AI73" i="39"/>
  <c r="AI66" i="39"/>
  <c r="AI127" i="39"/>
  <c r="AI43" i="39"/>
  <c r="AI42" i="39"/>
  <c r="AI61" i="39"/>
  <c r="AI22" i="39"/>
  <c r="AI128" i="39"/>
  <c r="AI52" i="39"/>
  <c r="AI28" i="39"/>
  <c r="AI87" i="39"/>
  <c r="AI23" i="39"/>
  <c r="AI129" i="39"/>
  <c r="AI99" i="39"/>
  <c r="AI46" i="39"/>
  <c r="AI115" i="39"/>
  <c r="AI84" i="39"/>
  <c r="AI124" i="39"/>
  <c r="AI110" i="39"/>
  <c r="AI79" i="39"/>
  <c r="AI33" i="39"/>
  <c r="AI107" i="39"/>
  <c r="AI15" i="39"/>
  <c r="AI64" i="39"/>
  <c r="AI80" i="39"/>
  <c r="AI146" i="39"/>
  <c r="AI95" i="39"/>
  <c r="AI3" i="39"/>
  <c r="AI109" i="39"/>
  <c r="AI70" i="39"/>
  <c r="AI41" i="39"/>
  <c r="AI140" i="39"/>
  <c r="AI12" i="39"/>
  <c r="AI55" i="39"/>
  <c r="AI134" i="39"/>
  <c r="AI105" i="39"/>
  <c r="AI34" i="39"/>
  <c r="AI132" i="39"/>
  <c r="AI48" i="39"/>
  <c r="AI112" i="39"/>
  <c r="AI36" i="39"/>
  <c r="AI106" i="39"/>
  <c r="AI125" i="39"/>
  <c r="AI86" i="39"/>
  <c r="B2" i="39"/>
  <c r="AI44" i="39"/>
  <c r="AI103" i="39"/>
  <c r="AI47" i="39"/>
  <c r="AI137" i="39"/>
  <c r="AI57" i="39"/>
  <c r="AI50" i="39"/>
  <c r="AI5" i="39"/>
  <c r="AI72" i="39"/>
  <c r="AI8" i="39"/>
  <c r="AI75" i="39"/>
  <c r="AI21" i="39"/>
  <c r="AI63" i="39"/>
  <c r="AI118" i="39"/>
  <c r="AI16" i="39"/>
  <c r="AI58" i="39"/>
  <c r="AI13" i="39"/>
  <c r="AI88" i="39"/>
  <c r="AI24" i="39"/>
  <c r="AI91" i="39"/>
  <c r="AI2" i="39"/>
  <c r="AB131" i="39"/>
  <c r="AG131" i="39" s="1"/>
  <c r="AF131" i="39"/>
  <c r="AB43" i="39"/>
  <c r="AG43" i="39" s="1"/>
  <c r="AF43" i="39"/>
  <c r="AB13" i="39"/>
  <c r="AG13" i="39" s="1"/>
  <c r="AF13" i="39"/>
  <c r="AB80" i="39"/>
  <c r="AG80" i="39" s="1"/>
  <c r="AF80" i="39"/>
  <c r="AB36" i="39"/>
  <c r="AG36" i="39" s="1"/>
  <c r="AF36" i="39"/>
  <c r="AB58" i="39"/>
  <c r="AG58" i="39" s="1"/>
  <c r="AF58" i="39"/>
  <c r="AB92" i="39"/>
  <c r="AG92" i="39" s="1"/>
  <c r="AF92" i="39"/>
  <c r="AB4" i="39"/>
  <c r="AG4" i="39" s="1"/>
  <c r="AF4" i="39"/>
  <c r="AB64" i="39"/>
  <c r="AG64" i="39" s="1"/>
  <c r="AF64" i="39"/>
  <c r="AB41" i="39"/>
  <c r="AG41" i="39" s="1"/>
  <c r="AF41" i="39"/>
  <c r="AB148" i="39"/>
  <c r="AG148" i="39" s="1"/>
  <c r="AF148" i="39"/>
  <c r="AB38" i="39"/>
  <c r="AG38" i="39" s="1"/>
  <c r="AF38" i="39"/>
  <c r="AB27" i="39"/>
  <c r="AG27" i="39" s="1"/>
  <c r="AF27" i="39"/>
  <c r="AB132" i="39"/>
  <c r="AG132" i="39" s="1"/>
  <c r="AF132" i="39"/>
  <c r="AB128" i="39"/>
  <c r="AG128" i="39" s="1"/>
  <c r="AF128" i="39"/>
  <c r="AB77" i="39"/>
  <c r="AG77" i="39" s="1"/>
  <c r="AF77" i="39"/>
  <c r="AB79" i="39"/>
  <c r="AG79" i="39" s="1"/>
  <c r="AF79" i="39"/>
  <c r="AB19" i="39"/>
  <c r="AG19" i="39" s="1"/>
  <c r="AF19" i="39"/>
  <c r="AB136" i="39"/>
  <c r="AG136" i="39" s="1"/>
  <c r="AF136" i="39"/>
  <c r="AB28" i="39"/>
  <c r="AG28" i="39" s="1"/>
  <c r="AF28" i="39"/>
  <c r="AB72" i="39"/>
  <c r="AG72" i="39" s="1"/>
  <c r="AF72" i="39"/>
  <c r="AB122" i="39"/>
  <c r="AG122" i="39" s="1"/>
  <c r="AF122" i="39"/>
  <c r="AB66" i="39"/>
  <c r="AG66" i="39" s="1"/>
  <c r="AF66" i="39"/>
  <c r="AB74" i="39"/>
  <c r="AG74" i="39" s="1"/>
  <c r="AF74" i="39"/>
  <c r="AB135" i="39"/>
  <c r="AG135" i="39" s="1"/>
  <c r="AF135" i="39"/>
  <c r="AB124" i="39"/>
  <c r="AG124" i="39" s="1"/>
  <c r="AF124" i="39"/>
  <c r="AB18" i="39"/>
  <c r="AG18" i="39" s="1"/>
  <c r="AF18" i="39"/>
  <c r="AB126" i="39"/>
  <c r="AG126" i="39" s="1"/>
  <c r="AF126" i="39"/>
  <c r="AB108" i="39"/>
  <c r="AG108" i="39" s="1"/>
  <c r="AF108" i="39"/>
  <c r="AB70" i="39"/>
  <c r="AG70" i="39" s="1"/>
  <c r="AF70" i="39"/>
  <c r="AB140" i="39"/>
  <c r="AG140" i="39" s="1"/>
  <c r="AF140" i="39"/>
  <c r="AB127" i="39"/>
  <c r="AG127" i="39" s="1"/>
  <c r="AF127" i="39"/>
  <c r="AB106" i="39"/>
  <c r="AG106" i="39" s="1"/>
  <c r="AF106" i="39"/>
  <c r="AB56" i="39"/>
  <c r="AG56" i="39" s="1"/>
  <c r="AF56" i="39"/>
  <c r="AB121" i="39"/>
  <c r="AG121" i="39" s="1"/>
  <c r="AF121" i="39"/>
  <c r="AB129" i="39"/>
  <c r="AG129" i="39" s="1"/>
  <c r="AF129" i="39"/>
  <c r="AB75" i="39"/>
  <c r="AG75" i="39" s="1"/>
  <c r="AF75" i="39"/>
  <c r="AB83" i="39"/>
  <c r="AG83" i="39" s="1"/>
  <c r="AF83" i="39"/>
  <c r="AB141" i="39"/>
  <c r="AG141" i="39" s="1"/>
  <c r="AF141" i="39"/>
  <c r="AB24" i="39"/>
  <c r="AG24" i="39" s="1"/>
  <c r="AF24" i="39"/>
  <c r="AB119" i="39"/>
  <c r="AG119" i="39" s="1"/>
  <c r="AF119" i="39"/>
  <c r="AB17" i="39"/>
  <c r="AG17" i="39" s="1"/>
  <c r="AF17" i="39"/>
  <c r="AB11" i="39"/>
  <c r="AG11" i="39" s="1"/>
  <c r="AF11" i="39"/>
  <c r="AB89" i="39"/>
  <c r="AG89" i="39" s="1"/>
  <c r="AF89" i="39"/>
  <c r="AB48" i="39"/>
  <c r="AG48" i="39" s="1"/>
  <c r="AF48" i="39"/>
  <c r="AB115" i="39"/>
  <c r="AG115" i="39" s="1"/>
  <c r="AF115" i="39"/>
  <c r="AB8" i="39"/>
  <c r="AG8" i="39" s="1"/>
  <c r="AF8" i="39"/>
  <c r="AB133" i="39"/>
  <c r="AG133" i="39" s="1"/>
  <c r="AF133" i="39"/>
  <c r="AB149" i="39"/>
  <c r="AG149" i="39" s="1"/>
  <c r="AF149" i="39"/>
  <c r="AB53" i="39"/>
  <c r="AG53" i="39" s="1"/>
  <c r="AF53" i="39"/>
  <c r="AB57" i="39"/>
  <c r="AG57" i="39" s="1"/>
  <c r="AF57" i="39"/>
  <c r="AB47" i="39"/>
  <c r="AG47" i="39" s="1"/>
  <c r="AF47" i="39"/>
  <c r="AB40" i="39"/>
  <c r="AG40" i="39" s="1"/>
  <c r="AF40" i="39"/>
  <c r="AB118" i="39"/>
  <c r="AG118" i="39" s="1"/>
  <c r="AF118" i="39"/>
  <c r="AB82" i="39"/>
  <c r="AG82" i="39" s="1"/>
  <c r="AF82" i="39"/>
  <c r="AB97" i="39"/>
  <c r="AG97" i="39" s="1"/>
  <c r="AF97" i="39"/>
  <c r="AB134" i="39"/>
  <c r="AG134" i="39" s="1"/>
  <c r="AF134" i="39"/>
  <c r="AB34" i="39"/>
  <c r="AG34" i="39" s="1"/>
  <c r="AF34" i="39"/>
  <c r="AB117" i="39"/>
  <c r="AG117" i="39" s="1"/>
  <c r="AF117" i="39"/>
  <c r="AB112" i="39"/>
  <c r="AG112" i="39" s="1"/>
  <c r="AF112" i="39"/>
  <c r="AB59" i="39"/>
  <c r="AG59" i="39" s="1"/>
  <c r="AF59" i="39"/>
  <c r="AB69" i="39"/>
  <c r="AG69" i="39" s="1"/>
  <c r="AF69" i="39"/>
  <c r="AB23" i="39"/>
  <c r="AG23" i="39" s="1"/>
  <c r="AF23" i="39"/>
  <c r="AB9" i="39"/>
  <c r="AG9" i="39" s="1"/>
  <c r="AF9" i="39"/>
  <c r="AB130" i="39"/>
  <c r="AG130" i="39" s="1"/>
  <c r="AF130" i="39"/>
  <c r="AB81" i="39"/>
  <c r="AG81" i="39" s="1"/>
  <c r="AF81" i="39"/>
  <c r="AB107" i="39"/>
  <c r="AG107" i="39" s="1"/>
  <c r="AF107" i="39"/>
  <c r="AB116" i="39"/>
  <c r="AG116" i="39" s="1"/>
  <c r="AF116" i="39"/>
  <c r="AB39" i="39"/>
  <c r="AG39" i="39" s="1"/>
  <c r="AF39" i="39"/>
  <c r="AB30" i="39"/>
  <c r="AG30" i="39" s="1"/>
  <c r="AF30" i="39"/>
  <c r="AB60" i="39"/>
  <c r="AG60" i="39" s="1"/>
  <c r="AF60" i="39"/>
  <c r="AB95" i="39"/>
  <c r="AG95" i="39" s="1"/>
  <c r="AF95" i="39"/>
  <c r="AB139" i="39"/>
  <c r="AG139" i="39" s="1"/>
  <c r="AF139" i="39"/>
  <c r="AB61" i="39"/>
  <c r="AG61" i="39" s="1"/>
  <c r="AF61" i="39"/>
  <c r="AB144" i="39"/>
  <c r="AG144" i="39" s="1"/>
  <c r="AF144" i="39"/>
  <c r="AB63" i="39"/>
  <c r="AG63" i="39" s="1"/>
  <c r="AF63" i="39"/>
  <c r="AB6" i="39"/>
  <c r="AG6" i="39" s="1"/>
  <c r="AF6" i="39"/>
  <c r="AB142" i="39"/>
  <c r="AG142" i="39" s="1"/>
  <c r="AF142" i="39"/>
  <c r="AB71" i="39"/>
  <c r="AG71" i="39" s="1"/>
  <c r="AF71" i="39"/>
  <c r="AB25" i="39"/>
  <c r="AG25" i="39" s="1"/>
  <c r="AF25" i="39"/>
  <c r="AB10" i="39"/>
  <c r="AG10" i="39" s="1"/>
  <c r="AF10" i="39"/>
  <c r="AB146" i="39"/>
  <c r="AG146" i="39" s="1"/>
  <c r="AF146" i="39"/>
  <c r="AB26" i="39"/>
  <c r="AG26" i="39" s="1"/>
  <c r="AF26" i="39"/>
  <c r="AB45" i="39"/>
  <c r="AG45" i="39" s="1"/>
  <c r="AF45" i="39"/>
  <c r="AB111" i="39"/>
  <c r="AG111" i="39" s="1"/>
  <c r="AF111" i="39"/>
  <c r="AB98" i="39"/>
  <c r="AG98" i="39" s="1"/>
  <c r="AF98" i="39"/>
  <c r="AB55" i="39"/>
  <c r="AG55" i="39" s="1"/>
  <c r="AF55" i="39"/>
  <c r="AB49" i="39"/>
  <c r="AG49" i="39" s="1"/>
  <c r="AF49" i="39"/>
  <c r="AB51" i="39"/>
  <c r="AG51" i="39" s="1"/>
  <c r="AF51" i="39"/>
  <c r="AB22" i="39"/>
  <c r="AG22" i="39" s="1"/>
  <c r="AF22" i="39"/>
  <c r="AB125" i="39"/>
  <c r="AG125" i="39" s="1"/>
  <c r="AF125" i="39"/>
  <c r="AB87" i="39"/>
  <c r="AG87" i="39" s="1"/>
  <c r="AF87" i="39"/>
  <c r="AB86" i="39"/>
  <c r="AG86" i="39" s="1"/>
  <c r="AF86" i="39"/>
  <c r="AB33" i="39"/>
  <c r="AG33" i="39" s="1"/>
  <c r="AF33" i="39"/>
  <c r="AB44" i="39"/>
  <c r="AG44" i="39" s="1"/>
  <c r="AF44" i="39"/>
  <c r="AB103" i="39"/>
  <c r="AG103" i="39" s="1"/>
  <c r="AF103" i="39"/>
  <c r="AB73" i="39"/>
  <c r="AG73" i="39" s="1"/>
  <c r="AF73" i="39"/>
  <c r="AB99" i="39"/>
  <c r="AG99" i="39" s="1"/>
  <c r="AF99" i="39"/>
  <c r="AB104" i="39"/>
  <c r="AG104" i="39" s="1"/>
  <c r="AF104" i="39"/>
  <c r="AB68" i="39"/>
  <c r="AG68" i="39" s="1"/>
  <c r="AF68" i="39"/>
  <c r="AB3" i="39"/>
  <c r="AG3" i="39" s="1"/>
  <c r="AF3" i="39"/>
  <c r="AB137" i="39"/>
  <c r="AG137" i="39" s="1"/>
  <c r="AF137" i="39"/>
  <c r="AB138" i="39"/>
  <c r="AG138" i="39" s="1"/>
  <c r="AF138" i="39"/>
  <c r="AB101" i="39"/>
  <c r="AG101" i="39" s="1"/>
  <c r="AF101" i="39"/>
  <c r="AB78" i="39"/>
  <c r="AG78" i="39" s="1"/>
  <c r="AF78" i="39"/>
  <c r="AB100" i="39"/>
  <c r="AG100" i="39" s="1"/>
  <c r="AF100" i="39"/>
  <c r="AB93" i="39"/>
  <c r="AG93" i="39" s="1"/>
  <c r="AF93" i="39"/>
  <c r="AB42" i="39"/>
  <c r="AG42" i="39" s="1"/>
  <c r="AF42" i="39"/>
  <c r="AB54" i="39"/>
  <c r="AG54" i="39" s="1"/>
  <c r="AF54" i="39"/>
  <c r="AB123" i="39"/>
  <c r="AG123" i="39" s="1"/>
  <c r="AF123" i="39"/>
  <c r="AB90" i="39"/>
  <c r="AG90" i="39" s="1"/>
  <c r="AF90" i="39"/>
  <c r="AB109" i="39"/>
  <c r="AG109" i="39" s="1"/>
  <c r="AF109" i="39"/>
  <c r="AB96" i="39"/>
  <c r="AG96" i="39" s="1"/>
  <c r="AF96" i="39"/>
  <c r="AB113" i="39"/>
  <c r="AG113" i="39" s="1"/>
  <c r="AF113" i="39"/>
  <c r="AB20" i="39"/>
  <c r="AG20" i="39" s="1"/>
  <c r="AF20" i="39"/>
  <c r="AB7" i="39"/>
  <c r="AG7" i="39" s="1"/>
  <c r="AF7" i="39"/>
  <c r="AB52" i="39"/>
  <c r="AG52" i="39" s="1"/>
  <c r="AF52" i="39"/>
  <c r="AB5" i="39"/>
  <c r="AG5" i="39" s="1"/>
  <c r="AF5" i="39"/>
  <c r="AB50" i="39"/>
  <c r="AG50" i="39" s="1"/>
  <c r="AF50" i="39"/>
  <c r="AB65" i="39"/>
  <c r="AG65" i="39" s="1"/>
  <c r="AF65" i="39"/>
  <c r="AB88" i="39"/>
  <c r="AG88" i="39" s="1"/>
  <c r="AF88" i="39"/>
  <c r="AB46" i="39"/>
  <c r="AG46" i="39" s="1"/>
  <c r="AF46" i="39"/>
  <c r="AB145" i="39"/>
  <c r="AG145" i="39" s="1"/>
  <c r="AF145" i="39"/>
  <c r="AB29" i="39"/>
  <c r="AG29" i="39" s="1"/>
  <c r="AF29" i="39"/>
  <c r="AB16" i="39"/>
  <c r="AG16" i="39" s="1"/>
  <c r="AF16" i="39"/>
  <c r="AB21" i="39"/>
  <c r="AG21" i="39" s="1"/>
  <c r="AF21" i="39"/>
  <c r="AB35" i="39"/>
  <c r="AG35" i="39" s="1"/>
  <c r="AF35" i="39"/>
  <c r="AB143" i="39"/>
  <c r="AG143" i="39" s="1"/>
  <c r="AF143" i="39"/>
  <c r="AB15" i="39"/>
  <c r="AG15" i="39" s="1"/>
  <c r="AF15" i="39"/>
  <c r="AB84" i="39"/>
  <c r="AG84" i="39" s="1"/>
  <c r="AF84" i="39"/>
  <c r="AB76" i="39"/>
  <c r="AG76" i="39" s="1"/>
  <c r="AF76" i="39"/>
  <c r="AB110" i="39"/>
  <c r="AG110" i="39" s="1"/>
  <c r="AF110" i="39"/>
  <c r="AB31" i="39"/>
  <c r="AG31" i="39" s="1"/>
  <c r="AF31" i="39"/>
  <c r="AB62" i="39"/>
  <c r="AG62" i="39" s="1"/>
  <c r="AF62" i="39"/>
  <c r="AB37" i="39"/>
  <c r="AG37" i="39" s="1"/>
  <c r="AF37" i="39"/>
  <c r="AB32" i="39"/>
  <c r="AG32" i="39" s="1"/>
  <c r="AF32" i="39"/>
  <c r="AB105" i="39"/>
  <c r="AG105" i="39" s="1"/>
  <c r="AF105" i="39"/>
  <c r="AB12" i="39"/>
  <c r="AG12" i="39" s="1"/>
  <c r="AF12" i="39"/>
  <c r="AB14" i="39"/>
  <c r="AG14" i="39" s="1"/>
  <c r="AF14" i="39"/>
  <c r="AB114" i="39"/>
  <c r="AG114" i="39" s="1"/>
  <c r="AF114" i="39"/>
  <c r="AB94" i="39"/>
  <c r="AG94" i="39" s="1"/>
  <c r="AF94" i="39"/>
  <c r="AB67" i="39"/>
  <c r="AG67" i="39" s="1"/>
  <c r="AF67" i="39"/>
  <c r="AB147" i="39"/>
  <c r="AG147" i="39" s="1"/>
  <c r="AF147" i="39"/>
  <c r="AB102" i="39"/>
  <c r="AG102" i="39" s="1"/>
  <c r="AF102" i="39"/>
  <c r="AB91" i="39"/>
  <c r="AG91" i="39" s="1"/>
  <c r="AF91" i="39"/>
  <c r="AB85" i="39"/>
  <c r="AG85" i="39" s="1"/>
  <c r="AF85" i="39"/>
  <c r="AB120" i="39"/>
  <c r="AG120" i="39" s="1"/>
  <c r="AF120" i="39"/>
  <c r="AB2" i="39"/>
  <c r="AG2" i="39" s="1"/>
  <c r="AF2" i="39"/>
  <c r="Z2" i="39"/>
  <c r="AM2" i="39" s="1"/>
  <c r="AD2" i="39"/>
  <c r="Z10" i="39"/>
  <c r="AM10" i="39" s="1"/>
  <c r="AD10" i="39"/>
  <c r="Z68" i="39"/>
  <c r="AM68" i="39" s="1"/>
  <c r="AD68" i="39"/>
  <c r="Z135" i="39"/>
  <c r="AM135" i="39" s="1"/>
  <c r="AD135" i="39"/>
  <c r="Z79" i="39"/>
  <c r="AM79" i="39" s="1"/>
  <c r="AD79" i="39"/>
  <c r="Z11" i="39"/>
  <c r="AM11" i="39" s="1"/>
  <c r="AD11" i="39"/>
  <c r="Z78" i="39"/>
  <c r="AM78" i="39" s="1"/>
  <c r="AD78" i="39"/>
  <c r="Z92" i="39"/>
  <c r="AM92" i="39" s="1"/>
  <c r="AD92" i="39"/>
  <c r="Z119" i="39"/>
  <c r="AM119" i="39" s="1"/>
  <c r="AD119" i="39"/>
  <c r="Z145" i="39"/>
  <c r="AM145" i="39" s="1"/>
  <c r="AD145" i="39"/>
  <c r="Z123" i="39"/>
  <c r="AM123" i="39" s="1"/>
  <c r="AD123" i="39"/>
  <c r="Z31" i="39"/>
  <c r="AM31" i="39" s="1"/>
  <c r="AD31" i="39"/>
  <c r="Z126" i="39"/>
  <c r="AM126" i="39" s="1"/>
  <c r="AD126" i="39"/>
  <c r="Z97" i="39"/>
  <c r="AM97" i="39" s="1"/>
  <c r="AD97" i="39"/>
  <c r="Z4" i="39"/>
  <c r="AM4" i="39" s="1"/>
  <c r="AD4" i="39"/>
  <c r="Z117" i="39"/>
  <c r="AM117" i="39" s="1"/>
  <c r="AD117" i="39"/>
  <c r="Z43" i="39"/>
  <c r="AM43" i="39" s="1"/>
  <c r="AD43" i="39"/>
  <c r="Z3" i="39"/>
  <c r="AM3" i="39" s="1"/>
  <c r="AD3" i="39"/>
  <c r="Z109" i="39"/>
  <c r="AM109" i="39" s="1"/>
  <c r="AD109" i="39"/>
  <c r="Z70" i="39"/>
  <c r="AM70" i="39" s="1"/>
  <c r="AD70" i="39"/>
  <c r="Z41" i="39"/>
  <c r="AM41" i="39" s="1"/>
  <c r="AD41" i="39"/>
  <c r="Z98" i="39"/>
  <c r="AM98" i="39" s="1"/>
  <c r="AD98" i="39"/>
  <c r="Z127" i="39"/>
  <c r="AM127" i="39" s="1"/>
  <c r="AD127" i="39"/>
  <c r="Z51" i="39"/>
  <c r="AM51" i="39" s="1"/>
  <c r="AD51" i="39"/>
  <c r="Z125" i="39"/>
  <c r="AM125" i="39" s="1"/>
  <c r="AD125" i="39"/>
  <c r="Z86" i="39"/>
  <c r="AM86" i="39" s="1"/>
  <c r="AD86" i="39"/>
  <c r="Z57" i="39"/>
  <c r="AM57" i="39" s="1"/>
  <c r="AD57" i="39"/>
  <c r="Z50" i="39"/>
  <c r="AM50" i="39" s="1"/>
  <c r="AD50" i="39"/>
  <c r="Z5" i="39"/>
  <c r="AM5" i="39" s="1"/>
  <c r="AD5" i="39"/>
  <c r="Z72" i="39"/>
  <c r="AM72" i="39" s="1"/>
  <c r="AD72" i="39"/>
  <c r="Z8" i="39"/>
  <c r="AM8" i="39" s="1"/>
  <c r="AD8" i="39"/>
  <c r="Z75" i="39"/>
  <c r="AM75" i="39" s="1"/>
  <c r="AD75" i="39"/>
  <c r="Z83" i="39"/>
  <c r="AM83" i="39" s="1"/>
  <c r="AD83" i="39"/>
  <c r="Z141" i="39"/>
  <c r="AM141" i="39" s="1"/>
  <c r="AD141" i="39"/>
  <c r="Z102" i="39"/>
  <c r="AM102" i="39" s="1"/>
  <c r="AD102" i="39"/>
  <c r="Z91" i="39"/>
  <c r="AM91" i="39" s="1"/>
  <c r="AD91" i="39"/>
  <c r="Z149" i="39"/>
  <c r="AM149" i="39" s="1"/>
  <c r="AD149" i="39"/>
  <c r="Z81" i="39"/>
  <c r="AM81" i="39" s="1"/>
  <c r="AD81" i="39"/>
  <c r="Z74" i="39"/>
  <c r="AM74" i="39" s="1"/>
  <c r="AD74" i="39"/>
  <c r="Z29" i="39"/>
  <c r="AM29" i="39" s="1"/>
  <c r="AD29" i="39"/>
  <c r="Z120" i="39"/>
  <c r="AM120" i="39" s="1"/>
  <c r="AD120" i="39"/>
  <c r="Z64" i="39"/>
  <c r="AM64" i="39" s="1"/>
  <c r="AD64" i="39"/>
  <c r="Z131" i="39"/>
  <c r="AM131" i="39" s="1"/>
  <c r="AD131" i="39"/>
  <c r="Z49" i="39"/>
  <c r="AM49" i="39" s="1"/>
  <c r="AD49" i="39"/>
  <c r="Z130" i="39"/>
  <c r="AM130" i="39" s="1"/>
  <c r="AD130" i="39"/>
  <c r="Z46" i="39"/>
  <c r="AM46" i="39" s="1"/>
  <c r="AD46" i="39"/>
  <c r="Z18" i="39"/>
  <c r="AM18" i="39" s="1"/>
  <c r="AD18" i="39"/>
  <c r="Z84" i="39"/>
  <c r="AM84" i="39" s="1"/>
  <c r="AD84" i="39"/>
  <c r="Z16" i="39"/>
  <c r="AM16" i="39" s="1"/>
  <c r="AD16" i="39"/>
  <c r="Z95" i="39"/>
  <c r="AM95" i="39" s="1"/>
  <c r="AD95" i="39"/>
  <c r="Z19" i="39"/>
  <c r="AM19" i="39" s="1"/>
  <c r="AD19" i="39"/>
  <c r="Z34" i="39"/>
  <c r="AM34" i="39" s="1"/>
  <c r="AD34" i="39"/>
  <c r="Z48" i="39"/>
  <c r="AM48" i="39" s="1"/>
  <c r="AD48" i="39"/>
  <c r="Z137" i="39"/>
  <c r="AM137" i="39" s="1"/>
  <c r="AD137" i="39"/>
  <c r="Z139" i="39"/>
  <c r="AM139" i="39" s="1"/>
  <c r="AD139" i="39"/>
  <c r="Z39" i="39"/>
  <c r="AM39" i="39" s="1"/>
  <c r="AD39" i="39"/>
  <c r="Z134" i="39"/>
  <c r="AM134" i="39" s="1"/>
  <c r="AD134" i="39"/>
  <c r="Z105" i="39"/>
  <c r="AM105" i="39" s="1"/>
  <c r="AD105" i="39"/>
  <c r="Z132" i="39"/>
  <c r="AM132" i="39" s="1"/>
  <c r="AD132" i="39"/>
  <c r="Z113" i="39"/>
  <c r="AM113" i="39" s="1"/>
  <c r="AD113" i="39"/>
  <c r="Z20" i="39"/>
  <c r="AM20" i="39" s="1"/>
  <c r="AD20" i="39"/>
  <c r="Z71" i="39"/>
  <c r="AM71" i="39" s="1"/>
  <c r="AD71" i="39"/>
  <c r="Z7" i="39"/>
  <c r="AM7" i="39" s="1"/>
  <c r="AD7" i="39"/>
  <c r="Z121" i="39"/>
  <c r="AM121" i="39" s="1"/>
  <c r="AD121" i="39"/>
  <c r="Z114" i="39"/>
  <c r="AM114" i="39" s="1"/>
  <c r="AD114" i="39"/>
  <c r="Z69" i="39"/>
  <c r="AM69" i="39" s="1"/>
  <c r="AD69" i="39"/>
  <c r="Z30" i="39"/>
  <c r="AM30" i="39" s="1"/>
  <c r="AD30" i="39"/>
  <c r="Z144" i="39"/>
  <c r="AM144" i="39" s="1"/>
  <c r="AD144" i="39"/>
  <c r="Z76" i="39"/>
  <c r="AM76" i="39" s="1"/>
  <c r="AD76" i="39"/>
  <c r="Z44" i="39"/>
  <c r="AM44" i="39" s="1"/>
  <c r="AD44" i="39"/>
  <c r="Z103" i="39"/>
  <c r="AM103" i="39" s="1"/>
  <c r="AD103" i="39"/>
  <c r="Z47" i="39"/>
  <c r="AM47" i="39" s="1"/>
  <c r="AD47" i="39"/>
  <c r="Z66" i="39"/>
  <c r="AM66" i="39" s="1"/>
  <c r="AD66" i="39"/>
  <c r="Z104" i="39"/>
  <c r="AM104" i="39" s="1"/>
  <c r="AD104" i="39"/>
  <c r="Z115" i="39"/>
  <c r="AM115" i="39" s="1"/>
  <c r="AD115" i="39"/>
  <c r="Z138" i="39"/>
  <c r="AM138" i="39" s="1"/>
  <c r="AD138" i="39"/>
  <c r="Z93" i="39"/>
  <c r="AM93" i="39" s="1"/>
  <c r="AD93" i="39"/>
  <c r="Z54" i="39"/>
  <c r="AM54" i="39" s="1"/>
  <c r="AD54" i="39"/>
  <c r="Z25" i="39"/>
  <c r="AM25" i="39" s="1"/>
  <c r="AD25" i="39"/>
  <c r="Z116" i="39"/>
  <c r="AM116" i="39" s="1"/>
  <c r="AD116" i="39"/>
  <c r="Z36" i="39"/>
  <c r="AM36" i="39" s="1"/>
  <c r="AD36" i="39"/>
  <c r="Z60" i="39"/>
  <c r="AM60" i="39" s="1"/>
  <c r="AD60" i="39"/>
  <c r="Z63" i="39"/>
  <c r="AM63" i="39" s="1"/>
  <c r="AD63" i="39"/>
  <c r="Z82" i="39"/>
  <c r="AM82" i="39" s="1"/>
  <c r="AD82" i="39"/>
  <c r="Z37" i="39"/>
  <c r="AM37" i="39" s="1"/>
  <c r="AD37" i="39"/>
  <c r="Z136" i="39"/>
  <c r="AM136" i="39" s="1"/>
  <c r="AD136" i="39"/>
  <c r="Z80" i="39"/>
  <c r="AM80" i="39" s="1"/>
  <c r="AD80" i="39"/>
  <c r="Z147" i="39"/>
  <c r="AM147" i="39" s="1"/>
  <c r="AD147" i="39"/>
  <c r="Z35" i="39"/>
  <c r="AM35" i="39" s="1"/>
  <c r="AD35" i="39"/>
  <c r="Z142" i="39"/>
  <c r="AM142" i="39" s="1"/>
  <c r="AD142" i="39"/>
  <c r="Z26" i="39"/>
  <c r="AM26" i="39" s="1"/>
  <c r="AD26" i="39"/>
  <c r="Z108" i="39"/>
  <c r="AM108" i="39" s="1"/>
  <c r="AD108" i="39"/>
  <c r="Z32" i="39"/>
  <c r="AM32" i="39" s="1"/>
  <c r="AD32" i="39"/>
  <c r="Z111" i="39"/>
  <c r="AM111" i="39" s="1"/>
  <c r="AD111" i="39"/>
  <c r="Z27" i="39"/>
  <c r="AM27" i="39" s="1"/>
  <c r="AD27" i="39"/>
  <c r="Z55" i="39"/>
  <c r="AM55" i="39" s="1"/>
  <c r="AD55" i="39"/>
  <c r="Z42" i="39"/>
  <c r="AM42" i="39" s="1"/>
  <c r="AD42" i="39"/>
  <c r="Z148" i="39"/>
  <c r="AM148" i="39" s="1"/>
  <c r="AD148" i="39"/>
  <c r="Z56" i="39"/>
  <c r="AM56" i="39" s="1"/>
  <c r="AD56" i="39"/>
  <c r="Z143" i="39"/>
  <c r="AM143" i="39" s="1"/>
  <c r="AD143" i="39"/>
  <c r="Z59" i="39"/>
  <c r="AM59" i="39" s="1"/>
  <c r="AD59" i="39"/>
  <c r="Z67" i="39"/>
  <c r="AM67" i="39" s="1"/>
  <c r="AD67" i="39"/>
  <c r="Z133" i="39"/>
  <c r="AM133" i="39" s="1"/>
  <c r="AD133" i="39"/>
  <c r="Z94" i="39"/>
  <c r="AM94" i="39" s="1"/>
  <c r="AD94" i="39"/>
  <c r="Z65" i="39"/>
  <c r="AM65" i="39" s="1"/>
  <c r="AD65" i="39"/>
  <c r="Z58" i="39"/>
  <c r="AM58" i="39" s="1"/>
  <c r="AD58" i="39"/>
  <c r="Z13" i="39"/>
  <c r="AM13" i="39" s="1"/>
  <c r="AD13" i="39"/>
  <c r="Z88" i="39"/>
  <c r="AM88" i="39" s="1"/>
  <c r="AD88" i="39"/>
  <c r="Z24" i="39"/>
  <c r="AM24" i="39" s="1"/>
  <c r="AD24" i="39"/>
  <c r="Z99" i="39"/>
  <c r="AM99" i="39" s="1"/>
  <c r="AD99" i="39"/>
  <c r="Z110" i="39"/>
  <c r="AM110" i="39" s="1"/>
  <c r="AD110" i="39"/>
  <c r="Z100" i="39"/>
  <c r="AM100" i="39" s="1"/>
  <c r="AD100" i="39"/>
  <c r="Z107" i="39"/>
  <c r="AM107" i="39" s="1"/>
  <c r="AD107" i="39"/>
  <c r="Z15" i="39"/>
  <c r="AM15" i="39" s="1"/>
  <c r="AD15" i="39"/>
  <c r="Z118" i="39"/>
  <c r="AM118" i="39" s="1"/>
  <c r="AD118" i="39"/>
  <c r="Z89" i="39"/>
  <c r="AM89" i="39" s="1"/>
  <c r="AD89" i="39"/>
  <c r="Z53" i="39"/>
  <c r="AM53" i="39" s="1"/>
  <c r="AD53" i="39"/>
  <c r="Z73" i="39"/>
  <c r="AM73" i="39" s="1"/>
  <c r="AD73" i="39"/>
  <c r="Z85" i="39"/>
  <c r="AM85" i="39" s="1"/>
  <c r="AD85" i="39"/>
  <c r="Z17" i="39"/>
  <c r="AM17" i="39" s="1"/>
  <c r="AD17" i="39"/>
  <c r="Z146" i="39"/>
  <c r="AM146" i="39" s="1"/>
  <c r="AD146" i="39"/>
  <c r="Z101" i="39"/>
  <c r="AM101" i="39" s="1"/>
  <c r="AD101" i="39"/>
  <c r="Z62" i="39"/>
  <c r="AM62" i="39" s="1"/>
  <c r="AD62" i="39"/>
  <c r="Z33" i="39"/>
  <c r="AM33" i="39" s="1"/>
  <c r="AD33" i="39"/>
  <c r="Z124" i="39"/>
  <c r="AM124" i="39" s="1"/>
  <c r="AD124" i="39"/>
  <c r="Z12" i="39"/>
  <c r="AM12" i="39" s="1"/>
  <c r="AD12" i="39"/>
  <c r="Z112" i="39"/>
  <c r="AM112" i="39" s="1"/>
  <c r="AD112" i="39"/>
  <c r="Z90" i="39"/>
  <c r="AM90" i="39" s="1"/>
  <c r="AD90" i="39"/>
  <c r="Z45" i="39"/>
  <c r="AM45" i="39" s="1"/>
  <c r="AD45" i="39"/>
  <c r="Z6" i="39"/>
  <c r="AM6" i="39" s="1"/>
  <c r="AD6" i="39"/>
  <c r="Z96" i="39"/>
  <c r="AM96" i="39" s="1"/>
  <c r="AD96" i="39"/>
  <c r="Z140" i="39"/>
  <c r="AM140" i="39" s="1"/>
  <c r="AD140" i="39"/>
  <c r="Z14" i="39"/>
  <c r="AM14" i="39" s="1"/>
  <c r="AD14" i="39"/>
  <c r="Z106" i="39"/>
  <c r="AM106" i="39" s="1"/>
  <c r="AD106" i="39"/>
  <c r="Z61" i="39"/>
  <c r="AM61" i="39" s="1"/>
  <c r="AD61" i="39"/>
  <c r="Z22" i="39"/>
  <c r="AM22" i="39" s="1"/>
  <c r="AD22" i="39"/>
  <c r="Z128" i="39"/>
  <c r="AM128" i="39" s="1"/>
  <c r="AD128" i="39"/>
  <c r="Z52" i="39"/>
  <c r="AM52" i="39" s="1"/>
  <c r="AD52" i="39"/>
  <c r="Z28" i="39"/>
  <c r="AM28" i="39" s="1"/>
  <c r="AD28" i="39"/>
  <c r="Z87" i="39"/>
  <c r="AM87" i="39" s="1"/>
  <c r="AD87" i="39"/>
  <c r="Z23" i="39"/>
  <c r="AM23" i="39" s="1"/>
  <c r="AD23" i="39"/>
  <c r="Z129" i="39"/>
  <c r="AM129" i="39" s="1"/>
  <c r="AD129" i="39"/>
  <c r="Z122" i="39"/>
  <c r="AM122" i="39" s="1"/>
  <c r="AD122" i="39"/>
  <c r="Z77" i="39"/>
  <c r="AM77" i="39" s="1"/>
  <c r="AD77" i="39"/>
  <c r="Z38" i="39"/>
  <c r="AM38" i="39" s="1"/>
  <c r="AD38" i="39"/>
  <c r="Z9" i="39"/>
  <c r="AM9" i="39" s="1"/>
  <c r="AD9" i="39"/>
  <c r="Z21" i="39"/>
  <c r="AM21" i="39" s="1"/>
  <c r="AD21" i="39"/>
  <c r="Z40" i="39"/>
  <c r="AM40" i="39" s="1"/>
  <c r="AD40" i="39"/>
  <c r="X107" i="39"/>
  <c r="Y107" i="39"/>
  <c r="X15" i="39"/>
  <c r="Y15" i="39"/>
  <c r="X118" i="39"/>
  <c r="Y118" i="39"/>
  <c r="X89" i="39"/>
  <c r="Y89" i="39"/>
  <c r="X53" i="39"/>
  <c r="Y53" i="39"/>
  <c r="X73" i="39"/>
  <c r="Y73" i="39"/>
  <c r="X85" i="39"/>
  <c r="Y85" i="39"/>
  <c r="X17" i="39"/>
  <c r="Y17" i="39"/>
  <c r="X146" i="39"/>
  <c r="Y146" i="39"/>
  <c r="X101" i="39"/>
  <c r="Y101" i="39"/>
  <c r="X62" i="39"/>
  <c r="Y62" i="39"/>
  <c r="X33" i="39"/>
  <c r="Y33" i="39"/>
  <c r="X124" i="39"/>
  <c r="Y124" i="39"/>
  <c r="X12" i="39"/>
  <c r="Y12" i="39"/>
  <c r="X112" i="39"/>
  <c r="Y112" i="39"/>
  <c r="X90" i="39"/>
  <c r="Y90" i="39"/>
  <c r="X45" i="39"/>
  <c r="Y45" i="39"/>
  <c r="X6" i="39"/>
  <c r="Y6" i="39"/>
  <c r="X96" i="39"/>
  <c r="Y96" i="39"/>
  <c r="X140" i="39"/>
  <c r="Y140" i="39"/>
  <c r="X14" i="39"/>
  <c r="Y14" i="39"/>
  <c r="X106" i="39"/>
  <c r="Y106" i="39"/>
  <c r="X61" i="39"/>
  <c r="Y61" i="39"/>
  <c r="X22" i="39"/>
  <c r="Y22" i="39"/>
  <c r="X128" i="39"/>
  <c r="Y128" i="39"/>
  <c r="X52" i="39"/>
  <c r="Y52" i="39"/>
  <c r="X28" i="39"/>
  <c r="Y28" i="39"/>
  <c r="X87" i="39"/>
  <c r="Y87" i="39"/>
  <c r="X23" i="39"/>
  <c r="Y23" i="39"/>
  <c r="X129" i="39"/>
  <c r="Y129" i="39"/>
  <c r="X122" i="39"/>
  <c r="Y122" i="39"/>
  <c r="X77" i="39"/>
  <c r="Y77" i="39"/>
  <c r="X38" i="39"/>
  <c r="Y38" i="39"/>
  <c r="X9" i="39"/>
  <c r="Y9" i="39"/>
  <c r="X21" i="39"/>
  <c r="Y21" i="39"/>
  <c r="X40" i="39"/>
  <c r="Y40" i="39"/>
  <c r="X2" i="39"/>
  <c r="Y2" i="39"/>
  <c r="X10" i="39"/>
  <c r="Y10" i="39"/>
  <c r="X68" i="39"/>
  <c r="Y68" i="39"/>
  <c r="X135" i="39"/>
  <c r="Y135" i="39"/>
  <c r="X79" i="39"/>
  <c r="Y79" i="39"/>
  <c r="X11" i="39"/>
  <c r="Y11" i="39"/>
  <c r="X78" i="39"/>
  <c r="Y78" i="39"/>
  <c r="X92" i="39"/>
  <c r="Y92" i="39"/>
  <c r="X119" i="39"/>
  <c r="Y119" i="39"/>
  <c r="X145" i="39"/>
  <c r="Y145" i="39"/>
  <c r="X123" i="39"/>
  <c r="Y123" i="39"/>
  <c r="X31" i="39"/>
  <c r="Y31" i="39"/>
  <c r="X126" i="39"/>
  <c r="Y126" i="39"/>
  <c r="X97" i="39"/>
  <c r="Y97" i="39"/>
  <c r="X4" i="39"/>
  <c r="Y4" i="39"/>
  <c r="X117" i="39"/>
  <c r="Y117" i="39"/>
  <c r="X43" i="39"/>
  <c r="Y43" i="39"/>
  <c r="X3" i="39"/>
  <c r="Y3" i="39"/>
  <c r="X109" i="39"/>
  <c r="Y109" i="39"/>
  <c r="X70" i="39"/>
  <c r="Y70" i="39"/>
  <c r="X41" i="39"/>
  <c r="Y41" i="39"/>
  <c r="X98" i="39"/>
  <c r="Y98" i="39"/>
  <c r="X127" i="39"/>
  <c r="Y127" i="39"/>
  <c r="X51" i="39"/>
  <c r="Y51" i="39"/>
  <c r="X125" i="39"/>
  <c r="Y125" i="39"/>
  <c r="X86" i="39"/>
  <c r="Y86" i="39"/>
  <c r="X57" i="39"/>
  <c r="Y57" i="39"/>
  <c r="X50" i="39"/>
  <c r="Y50" i="39"/>
  <c r="X5" i="39"/>
  <c r="Y5" i="39"/>
  <c r="X72" i="39"/>
  <c r="Y72" i="39"/>
  <c r="X8" i="39"/>
  <c r="Y8" i="39"/>
  <c r="X75" i="39"/>
  <c r="Y75" i="39"/>
  <c r="X83" i="39"/>
  <c r="Y83" i="39"/>
  <c r="X141" i="39"/>
  <c r="Y141" i="39"/>
  <c r="X102" i="39"/>
  <c r="Y102" i="39"/>
  <c r="X91" i="39"/>
  <c r="Y91" i="39"/>
  <c r="X149" i="39"/>
  <c r="Y149" i="39"/>
  <c r="X81" i="39"/>
  <c r="Y81" i="39"/>
  <c r="X74" i="39"/>
  <c r="Y74" i="39"/>
  <c r="X29" i="39"/>
  <c r="Y29" i="39"/>
  <c r="X120" i="39"/>
  <c r="Y120" i="39"/>
  <c r="X64" i="39"/>
  <c r="Y64" i="39"/>
  <c r="X131" i="39"/>
  <c r="Y131" i="39"/>
  <c r="X49" i="39"/>
  <c r="Y49" i="39"/>
  <c r="X130" i="39"/>
  <c r="Y130" i="39"/>
  <c r="X46" i="39"/>
  <c r="Y46" i="39"/>
  <c r="X18" i="39"/>
  <c r="Y18" i="39"/>
  <c r="X84" i="39"/>
  <c r="Y84" i="39"/>
  <c r="X16" i="39"/>
  <c r="Y16" i="39"/>
  <c r="X95" i="39"/>
  <c r="Y95" i="39"/>
  <c r="X19" i="39"/>
  <c r="Y19" i="39"/>
  <c r="X34" i="39"/>
  <c r="Y34" i="39"/>
  <c r="X48" i="39"/>
  <c r="Y48" i="39"/>
  <c r="X137" i="39"/>
  <c r="Y137" i="39"/>
  <c r="X139" i="39"/>
  <c r="Y139" i="39"/>
  <c r="X39" i="39"/>
  <c r="Y39" i="39"/>
  <c r="X134" i="39"/>
  <c r="Y134" i="39"/>
  <c r="X105" i="39"/>
  <c r="Y105" i="39"/>
  <c r="X132" i="39"/>
  <c r="Y132" i="39"/>
  <c r="X113" i="39"/>
  <c r="Y113" i="39"/>
  <c r="X20" i="39"/>
  <c r="Y20" i="39"/>
  <c r="X71" i="39"/>
  <c r="Y71" i="39"/>
  <c r="X7" i="39"/>
  <c r="Y7" i="39"/>
  <c r="X121" i="39"/>
  <c r="Y121" i="39"/>
  <c r="X114" i="39"/>
  <c r="Y114" i="39"/>
  <c r="X69" i="39"/>
  <c r="Y69" i="39"/>
  <c r="X30" i="39"/>
  <c r="Y30" i="39"/>
  <c r="X144" i="39"/>
  <c r="Y144" i="39"/>
  <c r="X76" i="39"/>
  <c r="Y76" i="39"/>
  <c r="X44" i="39"/>
  <c r="Y44" i="39"/>
  <c r="X103" i="39"/>
  <c r="Y103" i="39"/>
  <c r="X47" i="39"/>
  <c r="Y47" i="39"/>
  <c r="X66" i="39"/>
  <c r="Y66" i="39"/>
  <c r="X104" i="39"/>
  <c r="Y104" i="39"/>
  <c r="X115" i="39"/>
  <c r="Y115" i="39"/>
  <c r="X138" i="39"/>
  <c r="Y138" i="39"/>
  <c r="X93" i="39"/>
  <c r="Y93" i="39"/>
  <c r="X54" i="39"/>
  <c r="Y54" i="39"/>
  <c r="X25" i="39"/>
  <c r="Y25" i="39"/>
  <c r="X116" i="39"/>
  <c r="Y116" i="39"/>
  <c r="X36" i="39"/>
  <c r="Y36" i="39"/>
  <c r="X60" i="39"/>
  <c r="Y60" i="39"/>
  <c r="X63" i="39"/>
  <c r="Y63" i="39"/>
  <c r="X82" i="39"/>
  <c r="Y82" i="39"/>
  <c r="X37" i="39"/>
  <c r="Y37" i="39"/>
  <c r="X136" i="39"/>
  <c r="Y136" i="39"/>
  <c r="X80" i="39"/>
  <c r="Y80" i="39"/>
  <c r="X147" i="39"/>
  <c r="Y147" i="39"/>
  <c r="X35" i="39"/>
  <c r="Y35" i="39"/>
  <c r="X142" i="39"/>
  <c r="Y142" i="39"/>
  <c r="X26" i="39"/>
  <c r="Y26" i="39"/>
  <c r="X108" i="39"/>
  <c r="Y108" i="39"/>
  <c r="X32" i="39"/>
  <c r="Y32" i="39"/>
  <c r="X111" i="39"/>
  <c r="Y111" i="39"/>
  <c r="X27" i="39"/>
  <c r="Y27" i="39"/>
  <c r="X55" i="39"/>
  <c r="Y55" i="39"/>
  <c r="X42" i="39"/>
  <c r="Y42" i="39"/>
  <c r="X148" i="39"/>
  <c r="Y148" i="39"/>
  <c r="X56" i="39"/>
  <c r="Y56" i="39"/>
  <c r="X143" i="39"/>
  <c r="Y143" i="39"/>
  <c r="X59" i="39"/>
  <c r="Y59" i="39"/>
  <c r="X67" i="39"/>
  <c r="Y67" i="39"/>
  <c r="X133" i="39"/>
  <c r="Y133" i="39"/>
  <c r="X94" i="39"/>
  <c r="Y94" i="39"/>
  <c r="X65" i="39"/>
  <c r="Y65" i="39"/>
  <c r="X58" i="39"/>
  <c r="Y58" i="39"/>
  <c r="X13" i="39"/>
  <c r="Y13" i="39"/>
  <c r="X88" i="39"/>
  <c r="Y88" i="39"/>
  <c r="X24" i="39"/>
  <c r="Y24" i="39"/>
  <c r="X99" i="39"/>
  <c r="Y99" i="39"/>
  <c r="X110" i="39"/>
  <c r="Y110" i="39"/>
  <c r="X100" i="39"/>
  <c r="Y100" i="39"/>
  <c r="W10" i="39"/>
  <c r="AW10" i="39" s="1"/>
  <c r="R10" i="39"/>
  <c r="R68" i="39"/>
  <c r="R135" i="39"/>
  <c r="R79" i="39"/>
  <c r="R11" i="39"/>
  <c r="R82" i="39"/>
  <c r="R37" i="39"/>
  <c r="R136" i="39"/>
  <c r="R80" i="39"/>
  <c r="R147" i="39"/>
  <c r="R145" i="39"/>
  <c r="R3" i="39"/>
  <c r="R109" i="39"/>
  <c r="R70" i="39"/>
  <c r="R41" i="39"/>
  <c r="R140" i="39"/>
  <c r="R12" i="39"/>
  <c r="R55" i="39"/>
  <c r="R142" i="39"/>
  <c r="R113" i="39"/>
  <c r="R44" i="39"/>
  <c r="R47" i="39"/>
  <c r="R42" i="39"/>
  <c r="R148" i="39"/>
  <c r="R56" i="39"/>
  <c r="R143" i="39"/>
  <c r="R59" i="39"/>
  <c r="R81" i="39"/>
  <c r="R28" i="39"/>
  <c r="R87" i="39"/>
  <c r="R23" i="39"/>
  <c r="R129" i="39"/>
  <c r="R83" i="39"/>
  <c r="R102" i="39"/>
  <c r="R66" i="39"/>
  <c r="R21" i="39"/>
  <c r="R110" i="39"/>
  <c r="R74" i="39"/>
  <c r="R29" i="39"/>
  <c r="R120" i="39"/>
  <c r="R64" i="39"/>
  <c r="R131" i="39"/>
  <c r="R146" i="39"/>
  <c r="R101" i="39"/>
  <c r="R62" i="39"/>
  <c r="R33" i="39"/>
  <c r="R124" i="39"/>
  <c r="R100" i="39"/>
  <c r="R139" i="39"/>
  <c r="R39" i="39"/>
  <c r="R134" i="39"/>
  <c r="R105" i="39"/>
  <c r="R34" i="39"/>
  <c r="R132" i="39"/>
  <c r="R48" i="39"/>
  <c r="R127" i="39"/>
  <c r="R43" i="39"/>
  <c r="R77" i="39"/>
  <c r="R9" i="39"/>
  <c r="R106" i="39"/>
  <c r="R61" i="39"/>
  <c r="R22" i="39"/>
  <c r="R128" i="39"/>
  <c r="R52" i="39"/>
  <c r="R50" i="39"/>
  <c r="R5" i="39"/>
  <c r="R72" i="39"/>
  <c r="R8" i="39"/>
  <c r="R75" i="39"/>
  <c r="R13" i="39"/>
  <c r="R138" i="39"/>
  <c r="R93" i="39"/>
  <c r="R54" i="39"/>
  <c r="R25" i="39"/>
  <c r="R116" i="39"/>
  <c r="R123" i="39"/>
  <c r="R31" i="39"/>
  <c r="R126" i="39"/>
  <c r="R97" i="39"/>
  <c r="R46" i="39"/>
  <c r="R26" i="39"/>
  <c r="R108" i="39"/>
  <c r="R32" i="39"/>
  <c r="R111" i="39"/>
  <c r="R27" i="39"/>
  <c r="R98" i="39"/>
  <c r="R53" i="39"/>
  <c r="R14" i="39"/>
  <c r="R112" i="39"/>
  <c r="R36" i="39"/>
  <c r="R103" i="39"/>
  <c r="R137" i="39"/>
  <c r="R51" i="39"/>
  <c r="R125" i="39"/>
  <c r="R86" i="39"/>
  <c r="R57" i="39"/>
  <c r="R119" i="39"/>
  <c r="R114" i="39"/>
  <c r="R69" i="39"/>
  <c r="R30" i="39"/>
  <c r="R144" i="39"/>
  <c r="R76" i="39"/>
  <c r="R141" i="39"/>
  <c r="R73" i="39"/>
  <c r="R99" i="39"/>
  <c r="R149" i="39"/>
  <c r="R115" i="39"/>
  <c r="B131" i="39"/>
  <c r="B134" i="39"/>
  <c r="B127" i="39"/>
  <c r="B22" i="39"/>
  <c r="B48" i="39"/>
  <c r="B100" i="39"/>
  <c r="B120" i="39"/>
  <c r="B107" i="39"/>
  <c r="R107" i="39"/>
  <c r="B89" i="39"/>
  <c r="R89" i="39"/>
  <c r="B19" i="39"/>
  <c r="R19" i="39"/>
  <c r="B90" i="39"/>
  <c r="R90" i="39"/>
  <c r="B35" i="39"/>
  <c r="R35" i="39"/>
  <c r="B117" i="39"/>
  <c r="R117" i="39"/>
  <c r="B122" i="39"/>
  <c r="R122" i="39"/>
  <c r="B20" i="39"/>
  <c r="R20" i="39"/>
  <c r="B67" i="39"/>
  <c r="R67" i="39"/>
  <c r="B94" i="39"/>
  <c r="R94" i="39"/>
  <c r="B132" i="39"/>
  <c r="B58" i="39"/>
  <c r="R58" i="39"/>
  <c r="B88" i="39"/>
  <c r="R88" i="39"/>
  <c r="B91" i="39"/>
  <c r="R91" i="39"/>
  <c r="B60" i="39"/>
  <c r="R60" i="39"/>
  <c r="B104" i="39"/>
  <c r="R104" i="39"/>
  <c r="B18" i="39"/>
  <c r="R18" i="39"/>
  <c r="B95" i="39"/>
  <c r="R95" i="39"/>
  <c r="B45" i="39"/>
  <c r="R45" i="39"/>
  <c r="B96" i="39"/>
  <c r="R96" i="39"/>
  <c r="B49" i="39"/>
  <c r="R49" i="39"/>
  <c r="B92" i="39"/>
  <c r="R92" i="39"/>
  <c r="B71" i="39"/>
  <c r="R71" i="39"/>
  <c r="B63" i="39"/>
  <c r="R63" i="39"/>
  <c r="B133" i="39"/>
  <c r="R133" i="39"/>
  <c r="B34" i="39"/>
  <c r="B64" i="39"/>
  <c r="B15" i="39"/>
  <c r="R15" i="39"/>
  <c r="B84" i="39"/>
  <c r="R84" i="39"/>
  <c r="B40" i="39"/>
  <c r="R40" i="39"/>
  <c r="B4" i="39"/>
  <c r="R4" i="39"/>
  <c r="B38" i="39"/>
  <c r="R38" i="39"/>
  <c r="B7" i="39"/>
  <c r="R7" i="39"/>
  <c r="B121" i="39"/>
  <c r="R121" i="39"/>
  <c r="B65" i="39"/>
  <c r="R65" i="39"/>
  <c r="B101" i="39"/>
  <c r="B146" i="39"/>
  <c r="B62" i="39"/>
  <c r="B105" i="39"/>
  <c r="B61" i="39"/>
  <c r="B9" i="39"/>
  <c r="B29" i="39"/>
  <c r="B39" i="39"/>
  <c r="B128" i="39"/>
  <c r="B24" i="39"/>
  <c r="V24" i="39" s="1"/>
  <c r="R24" i="39"/>
  <c r="B130" i="39"/>
  <c r="R130" i="39"/>
  <c r="B85" i="39"/>
  <c r="R85" i="39"/>
  <c r="B17" i="39"/>
  <c r="R17" i="39"/>
  <c r="B33" i="39"/>
  <c r="B118" i="39"/>
  <c r="R118" i="39"/>
  <c r="B16" i="39"/>
  <c r="R16" i="39"/>
  <c r="B6" i="39"/>
  <c r="R6" i="39"/>
  <c r="B78" i="39"/>
  <c r="R78" i="39"/>
  <c r="B2" i="43"/>
  <c r="AQ10" i="39"/>
  <c r="V40" i="39" l="1"/>
  <c r="W73" i="39"/>
  <c r="W119" i="39"/>
  <c r="AV119" i="39" s="1"/>
  <c r="V79" i="39"/>
  <c r="V149" i="39"/>
  <c r="W112" i="39"/>
  <c r="AT112" i="39" s="1"/>
  <c r="W14" i="39"/>
  <c r="AW14" i="39" s="1"/>
  <c r="AT10" i="39"/>
  <c r="AV10" i="39"/>
  <c r="AT73" i="39"/>
  <c r="AV73" i="39"/>
  <c r="V110" i="39"/>
  <c r="V42" i="39"/>
  <c r="W28" i="39"/>
  <c r="W44" i="39"/>
  <c r="V129" i="39"/>
  <c r="W97" i="39"/>
  <c r="V133" i="39"/>
  <c r="V49" i="39"/>
  <c r="W144" i="39"/>
  <c r="W82" i="39"/>
  <c r="V112" i="39"/>
  <c r="W114" i="39"/>
  <c r="V27" i="39"/>
  <c r="W3" i="39"/>
  <c r="AW3" i="39" s="1"/>
  <c r="V96" i="39"/>
  <c r="V48" i="39"/>
  <c r="V36" i="39"/>
  <c r="V73" i="39"/>
  <c r="W111" i="39"/>
  <c r="AW111" i="39" s="1"/>
  <c r="W79" i="39"/>
  <c r="AW79" i="39" s="1"/>
  <c r="W149" i="39"/>
  <c r="AW149" i="39" s="1"/>
  <c r="W108" i="39"/>
  <c r="AW108" i="39" s="1"/>
  <c r="W135" i="39"/>
  <c r="AW135" i="39" s="1"/>
  <c r="V6" i="39"/>
  <c r="V131" i="39"/>
  <c r="V3" i="39"/>
  <c r="W75" i="39"/>
  <c r="AW75" i="39" s="1"/>
  <c r="AR10" i="39"/>
  <c r="V55" i="39"/>
  <c r="V104" i="39"/>
  <c r="V78" i="39"/>
  <c r="V15" i="39"/>
  <c r="W86" i="39"/>
  <c r="AW86" i="39" s="1"/>
  <c r="W106" i="39"/>
  <c r="AW106" i="39" s="1"/>
  <c r="V86" i="39"/>
  <c r="V72" i="39"/>
  <c r="W51" i="39"/>
  <c r="AW51" i="39" s="1"/>
  <c r="V125" i="39"/>
  <c r="V66" i="39"/>
  <c r="W8" i="39"/>
  <c r="AW8" i="39" s="1"/>
  <c r="W55" i="39"/>
  <c r="AW55" i="39" s="1"/>
  <c r="W11" i="39"/>
  <c r="AW11" i="39" s="1"/>
  <c r="V60" i="39"/>
  <c r="W50" i="39"/>
  <c r="AW50" i="39" s="1"/>
  <c r="W140" i="39"/>
  <c r="AW140" i="39" s="1"/>
  <c r="V145" i="39"/>
  <c r="V117" i="39"/>
  <c r="V141" i="39"/>
  <c r="V26" i="39"/>
  <c r="V140" i="39"/>
  <c r="V82" i="39"/>
  <c r="W57" i="39"/>
  <c r="AW57" i="39" s="1"/>
  <c r="W26" i="39"/>
  <c r="AW26" i="39" s="1"/>
  <c r="V71" i="39"/>
  <c r="W66" i="39"/>
  <c r="AW66" i="39" s="1"/>
  <c r="W145" i="39"/>
  <c r="AW145" i="39" s="1"/>
  <c r="V128" i="39"/>
  <c r="V14" i="39"/>
  <c r="V92" i="39"/>
  <c r="V8" i="39"/>
  <c r="V44" i="39"/>
  <c r="V147" i="39"/>
  <c r="V35" i="39"/>
  <c r="V107" i="39"/>
  <c r="V76" i="39"/>
  <c r="V57" i="39"/>
  <c r="V93" i="39"/>
  <c r="V11" i="39"/>
  <c r="W125" i="39"/>
  <c r="AW125" i="39" s="1"/>
  <c r="W93" i="39"/>
  <c r="AW93" i="39" s="1"/>
  <c r="W23" i="39"/>
  <c r="AW23" i="39" s="1"/>
  <c r="W147" i="39"/>
  <c r="AW147" i="39" s="1"/>
  <c r="V121" i="39"/>
  <c r="V18" i="39"/>
  <c r="V13" i="39"/>
  <c r="V50" i="39"/>
  <c r="V37" i="39"/>
  <c r="V120" i="39"/>
  <c r="W141" i="39"/>
  <c r="AW141" i="39" s="1"/>
  <c r="W138" i="39"/>
  <c r="AW138" i="39" s="1"/>
  <c r="W136" i="39"/>
  <c r="AW136" i="39" s="1"/>
  <c r="V20" i="39"/>
  <c r="V90" i="39"/>
  <c r="V144" i="39"/>
  <c r="V138" i="39"/>
  <c r="V23" i="39"/>
  <c r="V148" i="39"/>
  <c r="V136" i="39"/>
  <c r="W76" i="39"/>
  <c r="AW76" i="39" s="1"/>
  <c r="W13" i="39"/>
  <c r="AW13" i="39" s="1"/>
  <c r="W148" i="39"/>
  <c r="AW148" i="39" s="1"/>
  <c r="W37" i="39"/>
  <c r="AW37" i="39" s="1"/>
  <c r="V19" i="39"/>
  <c r="V123" i="39"/>
  <c r="V124" i="39"/>
  <c r="V16" i="39"/>
  <c r="V88" i="39"/>
  <c r="V52" i="39"/>
  <c r="V10" i="39"/>
  <c r="W53" i="39"/>
  <c r="AW53" i="39" s="1"/>
  <c r="W142" i="39"/>
  <c r="AW142" i="39" s="1"/>
  <c r="V130" i="39"/>
  <c r="V105" i="39"/>
  <c r="V137" i="39"/>
  <c r="V108" i="39"/>
  <c r="V31" i="39"/>
  <c r="V139" i="39"/>
  <c r="V70" i="39"/>
  <c r="W27" i="39"/>
  <c r="AW27" i="39" s="1"/>
  <c r="W139" i="39"/>
  <c r="AW139" i="39" s="1"/>
  <c r="V33" i="39"/>
  <c r="V122" i="39"/>
  <c r="V17" i="39"/>
  <c r="V39" i="39"/>
  <c r="V64" i="39"/>
  <c r="V94" i="39"/>
  <c r="V134" i="39"/>
  <c r="V46" i="39"/>
  <c r="V106" i="39"/>
  <c r="V59" i="39"/>
  <c r="V135" i="39"/>
  <c r="W36" i="39"/>
  <c r="AW36" i="39" s="1"/>
  <c r="W72" i="39"/>
  <c r="AW72" i="39" s="1"/>
  <c r="W59" i="39"/>
  <c r="AW59" i="39" s="1"/>
  <c r="V146" i="39"/>
  <c r="V132" i="39"/>
  <c r="V91" i="39"/>
  <c r="V111" i="39"/>
  <c r="W31" i="39"/>
  <c r="AW31" i="39" s="1"/>
  <c r="V119" i="39"/>
  <c r="V51" i="39"/>
  <c r="V54" i="39"/>
  <c r="V75" i="39"/>
  <c r="V41" i="39"/>
  <c r="W54" i="39"/>
  <c r="AW54" i="39" s="1"/>
  <c r="W52" i="39"/>
  <c r="AW52" i="39" s="1"/>
  <c r="V22" i="39"/>
  <c r="V30" i="39"/>
  <c r="V143" i="39"/>
  <c r="V101" i="39"/>
  <c r="V45" i="39"/>
  <c r="V127" i="39"/>
  <c r="V103" i="39"/>
  <c r="V126" i="39"/>
  <c r="V25" i="39"/>
  <c r="V87" i="39"/>
  <c r="W25" i="39"/>
  <c r="AW25" i="39" s="1"/>
  <c r="W102" i="39"/>
  <c r="AW102" i="39" s="1"/>
  <c r="W42" i="39"/>
  <c r="AW42" i="39" s="1"/>
  <c r="W116" i="39"/>
  <c r="AW116" i="39" s="1"/>
  <c r="V38" i="39"/>
  <c r="V89" i="39"/>
  <c r="V102" i="39"/>
  <c r="W32" i="39"/>
  <c r="AW32" i="39" s="1"/>
  <c r="W129" i="39"/>
  <c r="AW129" i="39" s="1"/>
  <c r="W47" i="39"/>
  <c r="AW47" i="39" s="1"/>
  <c r="W68" i="39"/>
  <c r="AW68" i="39" s="1"/>
  <c r="V65" i="39"/>
  <c r="V95" i="39"/>
  <c r="V114" i="39"/>
  <c r="V74" i="39"/>
  <c r="V28" i="39"/>
  <c r="W103" i="39"/>
  <c r="AW103" i="39" s="1"/>
  <c r="W80" i="39"/>
  <c r="AW80" i="39" s="1"/>
  <c r="V29" i="39"/>
  <c r="V4" i="39"/>
  <c r="V9" i="39"/>
  <c r="V77" i="39"/>
  <c r="V68" i="39"/>
  <c r="W77" i="39"/>
  <c r="AW77" i="39" s="1"/>
  <c r="W87" i="39"/>
  <c r="AW87" i="39" s="1"/>
  <c r="W2" i="39"/>
  <c r="AW2" i="39" s="1"/>
  <c r="V109" i="39"/>
  <c r="V80" i="39"/>
  <c r="W126" i="39"/>
  <c r="AW126" i="39" s="1"/>
  <c r="W74" i="39"/>
  <c r="AW74" i="39" s="1"/>
  <c r="V7" i="39"/>
  <c r="V63" i="39"/>
  <c r="V32" i="39"/>
  <c r="V97" i="39"/>
  <c r="V116" i="39"/>
  <c r="V47" i="39"/>
  <c r="W110" i="39"/>
  <c r="AW110" i="39" s="1"/>
  <c r="W143" i="39"/>
  <c r="AW143" i="39" s="1"/>
  <c r="W109" i="39"/>
  <c r="AW109" i="39" s="1"/>
  <c r="V34" i="39"/>
  <c r="W98" i="39"/>
  <c r="AW98" i="39" s="1"/>
  <c r="V85" i="39"/>
  <c r="V67" i="39"/>
  <c r="V69" i="39"/>
  <c r="V53" i="39"/>
  <c r="V43" i="39"/>
  <c r="V83" i="39"/>
  <c r="V56" i="39"/>
  <c r="V12" i="39"/>
  <c r="W43" i="39"/>
  <c r="AW43" i="39" s="1"/>
  <c r="W83" i="39"/>
  <c r="AW83" i="39" s="1"/>
  <c r="W56" i="39"/>
  <c r="AW56" i="39" s="1"/>
  <c r="W12" i="39"/>
  <c r="AW12" i="39" s="1"/>
  <c r="V115" i="39"/>
  <c r="V61" i="39"/>
  <c r="W30" i="39"/>
  <c r="AW30" i="39" s="1"/>
  <c r="W137" i="39"/>
  <c r="AW137" i="39" s="1"/>
  <c r="W123" i="39"/>
  <c r="AW123" i="39" s="1"/>
  <c r="V100" i="39"/>
  <c r="V98" i="39"/>
  <c r="V5" i="39"/>
  <c r="V21" i="39"/>
  <c r="V81" i="39"/>
  <c r="V113" i="39"/>
  <c r="W115" i="39"/>
  <c r="AW115" i="39" s="1"/>
  <c r="W69" i="39"/>
  <c r="AW69" i="39" s="1"/>
  <c r="W124" i="39"/>
  <c r="AW124" i="39" s="1"/>
  <c r="W41" i="39"/>
  <c r="AW41" i="39" s="1"/>
  <c r="V118" i="39"/>
  <c r="V62" i="39"/>
  <c r="V84" i="39"/>
  <c r="V58" i="39"/>
  <c r="W5" i="39"/>
  <c r="AW5" i="39" s="1"/>
  <c r="W70" i="39"/>
  <c r="AW70" i="39" s="1"/>
  <c r="V99" i="39"/>
  <c r="W99" i="39"/>
  <c r="AW99" i="39" s="1"/>
  <c r="V142" i="39"/>
  <c r="W46" i="39"/>
  <c r="AW46" i="39" s="1"/>
  <c r="W21" i="39"/>
  <c r="AW21" i="39" s="1"/>
  <c r="W81" i="39"/>
  <c r="AW81" i="39" s="1"/>
  <c r="W113" i="39"/>
  <c r="AW113" i="39" s="1"/>
  <c r="W15" i="39"/>
  <c r="AW15" i="39" s="1"/>
  <c r="W132" i="39"/>
  <c r="AW132" i="39" s="1"/>
  <c r="W95" i="39"/>
  <c r="AW95" i="39" s="1"/>
  <c r="W24" i="39"/>
  <c r="AW24" i="39" s="1"/>
  <c r="W33" i="39"/>
  <c r="AW33" i="39" s="1"/>
  <c r="W118" i="39"/>
  <c r="AW118" i="39" s="1"/>
  <c r="W22" i="39"/>
  <c r="AW22" i="39" s="1"/>
  <c r="W35" i="39"/>
  <c r="AW35" i="39" s="1"/>
  <c r="W71" i="39"/>
  <c r="AW71" i="39" s="1"/>
  <c r="W9" i="39"/>
  <c r="AW9" i="39" s="1"/>
  <c r="W134" i="39"/>
  <c r="AW134" i="39" s="1"/>
  <c r="W146" i="39"/>
  <c r="AW146" i="39" s="1"/>
  <c r="W96" i="39"/>
  <c r="AW96" i="39" s="1"/>
  <c r="W133" i="39"/>
  <c r="AW133" i="39" s="1"/>
  <c r="W94" i="39"/>
  <c r="AW94" i="39" s="1"/>
  <c r="W91" i="39"/>
  <c r="AW91" i="39" s="1"/>
  <c r="W122" i="39"/>
  <c r="AW122" i="39" s="1"/>
  <c r="W39" i="39"/>
  <c r="AW39" i="39" s="1"/>
  <c r="W131" i="39"/>
  <c r="AW131" i="39" s="1"/>
  <c r="W90" i="39"/>
  <c r="AW90" i="39" s="1"/>
  <c r="W121" i="39"/>
  <c r="AW121" i="39" s="1"/>
  <c r="W7" i="39"/>
  <c r="AW7" i="39" s="1"/>
  <c r="W88" i="39"/>
  <c r="AW88" i="39" s="1"/>
  <c r="W17" i="39"/>
  <c r="AW17" i="39" s="1"/>
  <c r="W117" i="39"/>
  <c r="AW117" i="39" s="1"/>
  <c r="W64" i="39"/>
  <c r="AW64" i="39" s="1"/>
  <c r="W16" i="39"/>
  <c r="AW16" i="39" s="1"/>
  <c r="W20" i="39"/>
  <c r="AW20" i="39" s="1"/>
  <c r="W49" i="39"/>
  <c r="AW49" i="39" s="1"/>
  <c r="W58" i="39"/>
  <c r="AW58" i="39" s="1"/>
  <c r="W85" i="39"/>
  <c r="AW85" i="39" s="1"/>
  <c r="W4" i="39"/>
  <c r="AW4" i="39" s="1"/>
  <c r="W127" i="39"/>
  <c r="AW127" i="39" s="1"/>
  <c r="W100" i="39"/>
  <c r="AW100" i="39" s="1"/>
  <c r="W120" i="39"/>
  <c r="AW120" i="39" s="1"/>
  <c r="W78" i="39"/>
  <c r="AW78" i="39" s="1"/>
  <c r="W45" i="39"/>
  <c r="AW45" i="39" s="1"/>
  <c r="W67" i="39"/>
  <c r="AW67" i="39" s="1"/>
  <c r="W130" i="39"/>
  <c r="AW130" i="39" s="1"/>
  <c r="W19" i="39"/>
  <c r="AW19" i="39" s="1"/>
  <c r="W128" i="39"/>
  <c r="AW128" i="39" s="1"/>
  <c r="W48" i="39"/>
  <c r="AW48" i="39" s="1"/>
  <c r="W29" i="39"/>
  <c r="AW29" i="39" s="1"/>
  <c r="W6" i="39"/>
  <c r="AW6" i="39" s="1"/>
  <c r="W84" i="39"/>
  <c r="AW84" i="39" s="1"/>
  <c r="W92" i="39"/>
  <c r="AW92" i="39" s="1"/>
  <c r="W61" i="39"/>
  <c r="AW61" i="39" s="1"/>
  <c r="W34" i="39"/>
  <c r="AW34" i="39" s="1"/>
  <c r="W62" i="39"/>
  <c r="AW62" i="39" s="1"/>
  <c r="W63" i="39"/>
  <c r="AW63" i="39" s="1"/>
  <c r="W89" i="39"/>
  <c r="AW89" i="39" s="1"/>
  <c r="W104" i="39"/>
  <c r="AW104" i="39" s="1"/>
  <c r="W40" i="39"/>
  <c r="AW40" i="39" s="1"/>
  <c r="W65" i="39"/>
  <c r="AW65" i="39" s="1"/>
  <c r="W105" i="39"/>
  <c r="AW105" i="39" s="1"/>
  <c r="W101" i="39"/>
  <c r="AW101" i="39" s="1"/>
  <c r="W38" i="39"/>
  <c r="AW38" i="39" s="1"/>
  <c r="W107" i="39"/>
  <c r="AW107" i="39" s="1"/>
  <c r="W60" i="39"/>
  <c r="AW60" i="39" s="1"/>
  <c r="W18" i="39"/>
  <c r="AW18" i="39" s="1"/>
  <c r="V2" i="39"/>
  <c r="AB2" i="32"/>
  <c r="AQ73" i="39"/>
  <c r="AQ119" i="39"/>
  <c r="AQ112" i="39"/>
  <c r="AQ14" i="39"/>
  <c r="AQ144" i="39"/>
  <c r="AQ82" i="39"/>
  <c r="AQ28" i="39"/>
  <c r="AQ44" i="39"/>
  <c r="AQ114" i="39"/>
  <c r="AQ97" i="39"/>
  <c r="AQ79" i="39"/>
  <c r="AQ149" i="39"/>
  <c r="AQ108" i="39"/>
  <c r="AQ3" i="39"/>
  <c r="AQ135" i="39"/>
  <c r="AQ75" i="39"/>
  <c r="AQ111" i="39"/>
  <c r="AQ51" i="39"/>
  <c r="AQ140" i="39"/>
  <c r="AQ26" i="39"/>
  <c r="AQ125" i="39"/>
  <c r="AQ142" i="39"/>
  <c r="AQ27" i="39"/>
  <c r="AQ68" i="39"/>
  <c r="AQ9" i="39"/>
  <c r="AQ64" i="39"/>
  <c r="AQ48" i="39"/>
  <c r="AQ107" i="39"/>
  <c r="AQ134" i="39"/>
  <c r="AQ16" i="39"/>
  <c r="AQ89" i="39"/>
  <c r="AQ78" i="39"/>
  <c r="AQ17" i="39"/>
  <c r="AQ93" i="39"/>
  <c r="AQ139" i="39"/>
  <c r="AQ116" i="39"/>
  <c r="AQ56" i="39"/>
  <c r="AQ41" i="39"/>
  <c r="AQ99" i="39"/>
  <c r="AQ95" i="39"/>
  <c r="AQ131" i="39"/>
  <c r="AQ29" i="39"/>
  <c r="AQ104" i="39"/>
  <c r="AQ19" i="39"/>
  <c r="AQ66" i="39"/>
  <c r="AQ23" i="39"/>
  <c r="AQ141" i="39"/>
  <c r="AQ54" i="39"/>
  <c r="AQ126" i="39"/>
  <c r="AQ110" i="39"/>
  <c r="AQ12" i="39"/>
  <c r="AQ24" i="39"/>
  <c r="AQ146" i="39"/>
  <c r="AQ90" i="39"/>
  <c r="AQ20" i="39"/>
  <c r="AQ18" i="39"/>
  <c r="AQ34" i="39"/>
  <c r="AQ8" i="39"/>
  <c r="AQ145" i="39"/>
  <c r="AQ147" i="39"/>
  <c r="AQ138" i="39"/>
  <c r="AQ52" i="39"/>
  <c r="AQ74" i="39"/>
  <c r="AQ143" i="39"/>
  <c r="AQ46" i="39"/>
  <c r="AQ33" i="39"/>
  <c r="AQ96" i="39"/>
  <c r="AQ121" i="39"/>
  <c r="AQ49" i="39"/>
  <c r="AQ45" i="39"/>
  <c r="AQ84" i="39"/>
  <c r="AQ40" i="39"/>
  <c r="AQ21" i="39"/>
  <c r="AQ133" i="39"/>
  <c r="AQ58" i="39"/>
  <c r="AQ92" i="39"/>
  <c r="AQ65" i="39"/>
  <c r="AQ22" i="39"/>
  <c r="AQ88" i="39"/>
  <c r="AQ130" i="39"/>
  <c r="AQ105" i="39"/>
  <c r="AQ91" i="39"/>
  <c r="AQ86" i="39"/>
  <c r="AQ55" i="39"/>
  <c r="AQ136" i="39"/>
  <c r="AQ76" i="39"/>
  <c r="AQ31" i="39"/>
  <c r="AQ109" i="39"/>
  <c r="AQ118" i="39"/>
  <c r="AQ7" i="39"/>
  <c r="AQ67" i="39"/>
  <c r="AQ106" i="39"/>
  <c r="AQ11" i="39"/>
  <c r="AQ13" i="39"/>
  <c r="AQ36" i="39"/>
  <c r="AQ32" i="39"/>
  <c r="AQ77" i="39"/>
  <c r="AQ30" i="39"/>
  <c r="AQ81" i="39"/>
  <c r="AQ94" i="39"/>
  <c r="AQ85" i="39"/>
  <c r="AQ61" i="39"/>
  <c r="AQ113" i="39"/>
  <c r="AQ101" i="39"/>
  <c r="AQ148" i="39"/>
  <c r="AQ72" i="39"/>
  <c r="AQ25" i="39"/>
  <c r="AQ129" i="39"/>
  <c r="AQ103" i="39"/>
  <c r="AQ87" i="39"/>
  <c r="AQ98" i="39"/>
  <c r="AQ137" i="39"/>
  <c r="AQ115" i="39"/>
  <c r="AQ5" i="39"/>
  <c r="AQ35" i="39"/>
  <c r="AQ50" i="39"/>
  <c r="AQ57" i="39"/>
  <c r="AQ37" i="39"/>
  <c r="AQ53" i="39"/>
  <c r="AQ59" i="39"/>
  <c r="AQ102" i="39"/>
  <c r="AQ47" i="39"/>
  <c r="AQ80" i="39"/>
  <c r="AQ2" i="39"/>
  <c r="AQ43" i="39"/>
  <c r="AQ123" i="39"/>
  <c r="AQ69" i="39"/>
  <c r="AQ70" i="39"/>
  <c r="AQ15" i="39"/>
  <c r="AQ71" i="39"/>
  <c r="AQ122" i="39"/>
  <c r="AQ117" i="39"/>
  <c r="AQ127" i="39"/>
  <c r="AQ128" i="39"/>
  <c r="AQ62" i="39"/>
  <c r="AQ38" i="39"/>
  <c r="AQ42" i="39"/>
  <c r="AQ83" i="39"/>
  <c r="AQ124" i="39"/>
  <c r="AQ132" i="39"/>
  <c r="AQ39" i="39"/>
  <c r="AQ100" i="39"/>
  <c r="AQ63" i="39"/>
  <c r="AQ120" i="39"/>
  <c r="AQ60" i="39"/>
  <c r="AQ6" i="39"/>
  <c r="AQ4" i="39"/>
  <c r="AR73" i="39" l="1"/>
  <c r="AS73" i="39" s="1"/>
  <c r="AW73" i="39"/>
  <c r="AS10" i="39"/>
  <c r="AT119" i="39"/>
  <c r="AR119" i="39"/>
  <c r="AW119" i="39"/>
  <c r="AR112" i="39"/>
  <c r="AV112" i="39"/>
  <c r="AW112" i="39"/>
  <c r="AV97" i="39"/>
  <c r="AW97" i="39"/>
  <c r="AV114" i="39"/>
  <c r="AW114" i="39"/>
  <c r="AV44" i="39"/>
  <c r="AW44" i="39"/>
  <c r="AV28" i="39"/>
  <c r="AW28" i="39"/>
  <c r="AV82" i="39"/>
  <c r="AW82" i="39"/>
  <c r="AV144" i="39"/>
  <c r="AW144" i="39"/>
  <c r="AR14" i="39"/>
  <c r="AT38" i="39"/>
  <c r="AV38" i="39"/>
  <c r="AT62" i="39"/>
  <c r="AV62" i="39"/>
  <c r="AT128" i="39"/>
  <c r="AV128" i="39"/>
  <c r="AT127" i="39"/>
  <c r="AV127" i="39"/>
  <c r="AT117" i="39"/>
  <c r="AV117" i="39"/>
  <c r="AT122" i="39"/>
  <c r="AV122" i="39"/>
  <c r="AT71" i="39"/>
  <c r="AV71" i="39"/>
  <c r="AT15" i="39"/>
  <c r="AV15" i="39"/>
  <c r="AT70" i="39"/>
  <c r="AV70" i="39"/>
  <c r="AT69" i="39"/>
  <c r="AV69" i="39"/>
  <c r="AT123" i="39"/>
  <c r="AV123" i="39"/>
  <c r="AT43" i="39"/>
  <c r="AV43" i="39"/>
  <c r="AT2" i="39"/>
  <c r="AV2" i="39"/>
  <c r="AT80" i="39"/>
  <c r="AV80" i="39"/>
  <c r="AT47" i="39"/>
  <c r="AV47" i="39"/>
  <c r="AT102" i="39"/>
  <c r="AV102" i="39"/>
  <c r="AT59" i="39"/>
  <c r="AV59" i="39"/>
  <c r="AT53" i="39"/>
  <c r="AV53" i="39"/>
  <c r="AT37" i="39"/>
  <c r="AV37" i="39"/>
  <c r="AT57" i="39"/>
  <c r="AV57" i="39"/>
  <c r="AT50" i="39"/>
  <c r="AV50" i="39"/>
  <c r="AT101" i="39"/>
  <c r="AV101" i="39"/>
  <c r="AT34" i="39"/>
  <c r="AV34" i="39"/>
  <c r="AT19" i="39"/>
  <c r="AV19" i="39"/>
  <c r="AT4" i="39"/>
  <c r="AV4" i="39"/>
  <c r="AT17" i="39"/>
  <c r="AV17" i="39"/>
  <c r="AT91" i="39"/>
  <c r="AV91" i="39"/>
  <c r="AT35" i="39"/>
  <c r="AV35" i="39"/>
  <c r="AT113" i="39"/>
  <c r="AV113" i="39"/>
  <c r="AT5" i="39"/>
  <c r="AV5" i="39"/>
  <c r="AT115" i="39"/>
  <c r="AV115" i="39"/>
  <c r="AT137" i="39"/>
  <c r="AV137" i="39"/>
  <c r="AT98" i="39"/>
  <c r="AV98" i="39"/>
  <c r="AT87" i="39"/>
  <c r="AV87" i="39"/>
  <c r="AT103" i="39"/>
  <c r="AV103" i="39"/>
  <c r="AT129" i="39"/>
  <c r="AV129" i="39"/>
  <c r="AT25" i="39"/>
  <c r="AV25" i="39"/>
  <c r="AT72" i="39"/>
  <c r="AV72" i="39"/>
  <c r="AT148" i="39"/>
  <c r="AV148" i="39"/>
  <c r="AS112" i="39"/>
  <c r="AT135" i="39"/>
  <c r="AV135" i="39"/>
  <c r="AT105" i="39"/>
  <c r="AV105" i="39"/>
  <c r="AT61" i="39"/>
  <c r="AV61" i="39"/>
  <c r="AT130" i="39"/>
  <c r="AV130" i="39"/>
  <c r="AT85" i="39"/>
  <c r="AV85" i="39"/>
  <c r="AT88" i="39"/>
  <c r="AV88" i="39"/>
  <c r="AT94" i="39"/>
  <c r="AV94" i="39"/>
  <c r="AT22" i="39"/>
  <c r="AV22" i="39"/>
  <c r="AT81" i="39"/>
  <c r="AV81" i="39"/>
  <c r="AT30" i="39"/>
  <c r="AV30" i="39"/>
  <c r="AT77" i="39"/>
  <c r="AV77" i="39"/>
  <c r="AT32" i="39"/>
  <c r="AV32" i="39"/>
  <c r="AT36" i="39"/>
  <c r="AV36" i="39"/>
  <c r="AT13" i="39"/>
  <c r="AV13" i="39"/>
  <c r="AT11" i="39"/>
  <c r="AV11" i="39"/>
  <c r="AT106" i="39"/>
  <c r="AV106" i="39"/>
  <c r="AT108" i="39"/>
  <c r="AV108" i="39"/>
  <c r="AT3" i="39"/>
  <c r="AV3" i="39"/>
  <c r="AT65" i="39"/>
  <c r="AV65" i="39"/>
  <c r="AT92" i="39"/>
  <c r="AV92" i="39"/>
  <c r="AT67" i="39"/>
  <c r="AV67" i="39"/>
  <c r="AT58" i="39"/>
  <c r="AV58" i="39"/>
  <c r="AT7" i="39"/>
  <c r="AV7" i="39"/>
  <c r="AT133" i="39"/>
  <c r="AV133" i="39"/>
  <c r="AT118" i="39"/>
  <c r="AV118" i="39"/>
  <c r="AT21" i="39"/>
  <c r="AV21" i="39"/>
  <c r="AT109" i="39"/>
  <c r="AV109" i="39"/>
  <c r="AT31" i="39"/>
  <c r="AV31" i="39"/>
  <c r="AT76" i="39"/>
  <c r="AV76" i="39"/>
  <c r="AT136" i="39"/>
  <c r="AV136" i="39"/>
  <c r="AT55" i="39"/>
  <c r="AV55" i="39"/>
  <c r="AT86" i="39"/>
  <c r="AV86" i="39"/>
  <c r="AT149" i="39"/>
  <c r="AV149" i="39"/>
  <c r="AT84" i="39"/>
  <c r="AV84" i="39"/>
  <c r="AT49" i="39"/>
  <c r="AV49" i="39"/>
  <c r="AT96" i="39"/>
  <c r="AV96" i="39"/>
  <c r="AT46" i="39"/>
  <c r="AV46" i="39"/>
  <c r="AT74" i="39"/>
  <c r="AV74" i="39"/>
  <c r="AT138" i="39"/>
  <c r="AV138" i="39"/>
  <c r="AT18" i="39"/>
  <c r="AV18" i="39"/>
  <c r="AT78" i="39"/>
  <c r="AV78" i="39"/>
  <c r="AT146" i="39"/>
  <c r="AV146" i="39"/>
  <c r="AT12" i="39"/>
  <c r="AV12" i="39"/>
  <c r="AT126" i="39"/>
  <c r="AV126" i="39"/>
  <c r="AT141" i="39"/>
  <c r="AV141" i="39"/>
  <c r="AT111" i="39"/>
  <c r="AV111" i="39"/>
  <c r="AT29" i="39"/>
  <c r="AV29" i="39"/>
  <c r="AT131" i="39"/>
  <c r="AV131" i="39"/>
  <c r="AT99" i="39"/>
  <c r="AV99" i="39"/>
  <c r="AT139" i="39"/>
  <c r="AV139" i="39"/>
  <c r="AT93" i="39"/>
  <c r="AV93" i="39"/>
  <c r="AT14" i="39"/>
  <c r="AV14" i="39"/>
  <c r="AT40" i="39"/>
  <c r="AV40" i="39"/>
  <c r="AT45" i="39"/>
  <c r="AV45" i="39"/>
  <c r="AT121" i="39"/>
  <c r="AV121" i="39"/>
  <c r="AT33" i="39"/>
  <c r="AV33" i="39"/>
  <c r="AT143" i="39"/>
  <c r="AV143" i="39"/>
  <c r="AT52" i="39"/>
  <c r="AV52" i="39"/>
  <c r="AT147" i="39"/>
  <c r="AV147" i="39"/>
  <c r="AT145" i="39"/>
  <c r="AV145" i="39"/>
  <c r="AT8" i="39"/>
  <c r="AV8" i="39"/>
  <c r="AT79" i="39"/>
  <c r="AV79" i="39"/>
  <c r="AT6" i="39"/>
  <c r="AV6" i="39"/>
  <c r="AT90" i="39"/>
  <c r="AV90" i="39"/>
  <c r="AT110" i="39"/>
  <c r="AV110" i="39"/>
  <c r="AT66" i="39"/>
  <c r="AV66" i="39"/>
  <c r="AT89" i="39"/>
  <c r="AV89" i="39"/>
  <c r="AT16" i="39"/>
  <c r="AV16" i="39"/>
  <c r="AT95" i="39"/>
  <c r="AV95" i="39"/>
  <c r="AT56" i="39"/>
  <c r="AV56" i="39"/>
  <c r="AT107" i="39"/>
  <c r="AV107" i="39"/>
  <c r="AT100" i="39"/>
  <c r="AV100" i="39"/>
  <c r="AT104" i="39"/>
  <c r="AV104" i="39"/>
  <c r="AT20" i="39"/>
  <c r="AV20" i="39"/>
  <c r="AT24" i="39"/>
  <c r="AV24" i="39"/>
  <c r="AT54" i="39"/>
  <c r="AV54" i="39"/>
  <c r="AT23" i="39"/>
  <c r="AV23" i="39"/>
  <c r="AT75" i="39"/>
  <c r="AV75" i="39"/>
  <c r="AT60" i="39"/>
  <c r="AV60" i="39"/>
  <c r="AT120" i="39"/>
  <c r="AV120" i="39"/>
  <c r="AT134" i="39"/>
  <c r="AV134" i="39"/>
  <c r="AT41" i="39"/>
  <c r="AV41" i="39"/>
  <c r="AT116" i="39"/>
  <c r="AV116" i="39"/>
  <c r="AT63" i="39"/>
  <c r="AV63" i="39"/>
  <c r="AT48" i="39"/>
  <c r="AV48" i="39"/>
  <c r="AT64" i="39"/>
  <c r="AV64" i="39"/>
  <c r="AT39" i="39"/>
  <c r="AV39" i="39"/>
  <c r="AT9" i="39"/>
  <c r="AV9" i="39"/>
  <c r="AT132" i="39"/>
  <c r="AV132" i="39"/>
  <c r="AT124" i="39"/>
  <c r="AV124" i="39"/>
  <c r="AT83" i="39"/>
  <c r="AV83" i="39"/>
  <c r="AT68" i="39"/>
  <c r="AV68" i="39"/>
  <c r="AT42" i="39"/>
  <c r="AV42" i="39"/>
  <c r="AT27" i="39"/>
  <c r="AV27" i="39"/>
  <c r="AT142" i="39"/>
  <c r="AV142" i="39"/>
  <c r="AT125" i="39"/>
  <c r="AV125" i="39"/>
  <c r="AT26" i="39"/>
  <c r="AV26" i="39"/>
  <c r="AT140" i="39"/>
  <c r="AV140" i="39"/>
  <c r="AT51" i="39"/>
  <c r="AV51" i="39"/>
  <c r="AR97" i="39"/>
  <c r="AR114" i="39"/>
  <c r="AR44" i="39"/>
  <c r="AR28" i="39"/>
  <c r="AR82" i="39"/>
  <c r="AR144" i="39"/>
  <c r="AT97" i="39"/>
  <c r="AT114" i="39"/>
  <c r="AT44" i="39"/>
  <c r="AT28" i="39"/>
  <c r="AT82" i="39"/>
  <c r="AT144" i="39"/>
  <c r="AR111" i="39"/>
  <c r="AS111" i="39" s="1"/>
  <c r="AR75" i="39"/>
  <c r="AR135" i="39"/>
  <c r="AR3" i="39"/>
  <c r="AR108" i="39"/>
  <c r="AR149" i="39"/>
  <c r="AR79" i="39"/>
  <c r="AS79" i="39" s="1"/>
  <c r="AR4" i="39"/>
  <c r="AS4" i="39" s="1"/>
  <c r="AR6" i="39"/>
  <c r="AR60" i="39"/>
  <c r="AR120" i="39"/>
  <c r="AR63" i="39"/>
  <c r="AR100" i="39"/>
  <c r="AS100" i="39" s="1"/>
  <c r="AR39" i="39"/>
  <c r="AR132" i="39"/>
  <c r="AR124" i="39"/>
  <c r="AR83" i="39"/>
  <c r="AR42" i="39"/>
  <c r="AR38" i="39"/>
  <c r="AS38" i="39" s="1"/>
  <c r="AR62" i="39"/>
  <c r="AS62" i="39" s="1"/>
  <c r="AR128" i="39"/>
  <c r="AS128" i="39" s="1"/>
  <c r="AR127" i="39"/>
  <c r="AS127" i="39" s="1"/>
  <c r="AR117" i="39"/>
  <c r="AS117" i="39" s="1"/>
  <c r="AR122" i="39"/>
  <c r="AS122" i="39" s="1"/>
  <c r="AR71" i="39"/>
  <c r="AS71" i="39" s="1"/>
  <c r="AR15" i="39"/>
  <c r="AS15" i="39" s="1"/>
  <c r="AR70" i="39"/>
  <c r="AS70" i="39" s="1"/>
  <c r="AR69" i="39"/>
  <c r="AS69" i="39" s="1"/>
  <c r="AR123" i="39"/>
  <c r="AS123" i="39" s="1"/>
  <c r="AR43" i="39"/>
  <c r="AS43" i="39" s="1"/>
  <c r="AR2" i="39"/>
  <c r="AS2" i="39" s="1"/>
  <c r="AR80" i="39"/>
  <c r="AS80" i="39" s="1"/>
  <c r="AR47" i="39"/>
  <c r="AS47" i="39" s="1"/>
  <c r="AR102" i="39"/>
  <c r="AS102" i="39" s="1"/>
  <c r="AR59" i="39"/>
  <c r="AS59" i="39" s="1"/>
  <c r="AR53" i="39"/>
  <c r="AS53" i="39" s="1"/>
  <c r="AR37" i="39"/>
  <c r="AS37" i="39" s="1"/>
  <c r="AR57" i="39"/>
  <c r="AS57" i="39" s="1"/>
  <c r="AR50" i="39"/>
  <c r="AS50" i="39" s="1"/>
  <c r="AR35" i="39"/>
  <c r="AS35" i="39" s="1"/>
  <c r="AR5" i="39"/>
  <c r="AS5" i="39" s="1"/>
  <c r="AR115" i="39"/>
  <c r="AS115" i="39" s="1"/>
  <c r="AR137" i="39"/>
  <c r="AS137" i="39" s="1"/>
  <c r="AR98" i="39"/>
  <c r="AS98" i="39" s="1"/>
  <c r="AR87" i="39"/>
  <c r="AS87" i="39" s="1"/>
  <c r="AR103" i="39"/>
  <c r="AS103" i="39" s="1"/>
  <c r="AR129" i="39"/>
  <c r="AS129" i="39" s="1"/>
  <c r="AR25" i="39"/>
  <c r="AS25" i="39" s="1"/>
  <c r="AR72" i="39"/>
  <c r="AS72" i="39" s="1"/>
  <c r="AR148" i="39"/>
  <c r="AS148" i="39" s="1"/>
  <c r="AR101" i="39"/>
  <c r="AS101" i="39" s="1"/>
  <c r="AR113" i="39"/>
  <c r="AS113" i="39" s="1"/>
  <c r="AR61" i="39"/>
  <c r="AS61" i="39" s="1"/>
  <c r="AR85" i="39"/>
  <c r="AR94" i="39"/>
  <c r="AS94" i="39" s="1"/>
  <c r="AR81" i="39"/>
  <c r="AR30" i="39"/>
  <c r="AS30" i="39" s="1"/>
  <c r="AR77" i="39"/>
  <c r="AS77" i="39" s="1"/>
  <c r="AR32" i="39"/>
  <c r="AS32" i="39" s="1"/>
  <c r="AR36" i="39"/>
  <c r="AR13" i="39"/>
  <c r="AS13" i="39" s="1"/>
  <c r="AR11" i="39"/>
  <c r="AS11" i="39" s="1"/>
  <c r="AR106" i="39"/>
  <c r="AS106" i="39" s="1"/>
  <c r="AR67" i="39"/>
  <c r="AR7" i="39"/>
  <c r="AR118" i="39"/>
  <c r="AR109" i="39"/>
  <c r="AR31" i="39"/>
  <c r="AS31" i="39" s="1"/>
  <c r="AR76" i="39"/>
  <c r="AR136" i="39"/>
  <c r="AS136" i="39" s="1"/>
  <c r="AR55" i="39"/>
  <c r="AS55" i="39" s="1"/>
  <c r="AR86" i="39"/>
  <c r="AR91" i="39"/>
  <c r="AS91" i="39" s="1"/>
  <c r="AR105" i="39"/>
  <c r="AS105" i="39" s="1"/>
  <c r="AR130" i="39"/>
  <c r="AS130" i="39" s="1"/>
  <c r="AR88" i="39"/>
  <c r="AS88" i="39" s="1"/>
  <c r="AR22" i="39"/>
  <c r="AS22" i="39" s="1"/>
  <c r="AR65" i="39"/>
  <c r="AR92" i="39"/>
  <c r="AS92" i="39" s="1"/>
  <c r="AR58" i="39"/>
  <c r="AR133" i="39"/>
  <c r="AS133" i="39" s="1"/>
  <c r="AR21" i="39"/>
  <c r="AR40" i="39"/>
  <c r="AR84" i="39"/>
  <c r="AR45" i="39"/>
  <c r="AS45" i="39" s="1"/>
  <c r="AR49" i="39"/>
  <c r="AR121" i="39"/>
  <c r="AS121" i="39" s="1"/>
  <c r="AR96" i="39"/>
  <c r="AR33" i="39"/>
  <c r="AR46" i="39"/>
  <c r="AR143" i="39"/>
  <c r="AR74" i="39"/>
  <c r="AR52" i="39"/>
  <c r="AS52" i="39" s="1"/>
  <c r="AR138" i="39"/>
  <c r="AR147" i="39"/>
  <c r="AS147" i="39" s="1"/>
  <c r="AR145" i="39"/>
  <c r="AR8" i="39"/>
  <c r="AR34" i="39"/>
  <c r="AS34" i="39" s="1"/>
  <c r="AR18" i="39"/>
  <c r="AR20" i="39"/>
  <c r="AR90" i="39"/>
  <c r="AS90" i="39" s="1"/>
  <c r="AR146" i="39"/>
  <c r="AS146" i="39" s="1"/>
  <c r="AR24" i="39"/>
  <c r="AS24" i="39" s="1"/>
  <c r="AR12" i="39"/>
  <c r="AR110" i="39"/>
  <c r="AR126" i="39"/>
  <c r="AR54" i="39"/>
  <c r="AR141" i="39"/>
  <c r="AR23" i="39"/>
  <c r="AR66" i="39"/>
  <c r="AS66" i="39" s="1"/>
  <c r="AR19" i="39"/>
  <c r="AS19" i="39" s="1"/>
  <c r="AR104" i="39"/>
  <c r="AR29" i="39"/>
  <c r="AR131" i="39"/>
  <c r="AR95" i="39"/>
  <c r="AR99" i="39"/>
  <c r="AR41" i="39"/>
  <c r="AS41" i="39" s="1"/>
  <c r="AR56" i="39"/>
  <c r="AS56" i="39" s="1"/>
  <c r="AR116" i="39"/>
  <c r="AS116" i="39" s="1"/>
  <c r="AR139" i="39"/>
  <c r="AR93" i="39"/>
  <c r="AR17" i="39"/>
  <c r="AS17" i="39" s="1"/>
  <c r="AR78" i="39"/>
  <c r="AR89" i="39"/>
  <c r="AR16" i="39"/>
  <c r="AS16" i="39" s="1"/>
  <c r="AR134" i="39"/>
  <c r="AR107" i="39"/>
  <c r="AS107" i="39" s="1"/>
  <c r="AR48" i="39"/>
  <c r="AR64" i="39"/>
  <c r="AR9" i="39"/>
  <c r="AR68" i="39"/>
  <c r="AR27" i="39"/>
  <c r="AR142" i="39"/>
  <c r="AR125" i="39"/>
  <c r="AR26" i="39"/>
  <c r="AS26" i="39" s="1"/>
  <c r="AR140" i="39"/>
  <c r="AR51" i="39"/>
  <c r="D376" i="13"/>
  <c r="AS125" i="39" l="1"/>
  <c r="AS119" i="39"/>
  <c r="AS134" i="39"/>
  <c r="AS85" i="39"/>
  <c r="AS149" i="39"/>
  <c r="AS23" i="39"/>
  <c r="AS78" i="39"/>
  <c r="AS54" i="39"/>
  <c r="AS143" i="39"/>
  <c r="AS120" i="39"/>
  <c r="AS135" i="39"/>
  <c r="AS76" i="39"/>
  <c r="AS68" i="39"/>
  <c r="AS95" i="39"/>
  <c r="AS18" i="39"/>
  <c r="AS40" i="39"/>
  <c r="AS9" i="39"/>
  <c r="AS131" i="39"/>
  <c r="AS126" i="39"/>
  <c r="AS141" i="39"/>
  <c r="AS99" i="39"/>
  <c r="AS36" i="39"/>
  <c r="AS63" i="39"/>
  <c r="AS33" i="39"/>
  <c r="AS145" i="39"/>
  <c r="AS96" i="39"/>
  <c r="AS86" i="39"/>
  <c r="AS81" i="39"/>
  <c r="AS124" i="39"/>
  <c r="AS144" i="39"/>
  <c r="AS132" i="39"/>
  <c r="AS75" i="39"/>
  <c r="AS49" i="39"/>
  <c r="AS142" i="39"/>
  <c r="AS89" i="39"/>
  <c r="AS74" i="39"/>
  <c r="AS82" i="39"/>
  <c r="AS46" i="39"/>
  <c r="AS28" i="39"/>
  <c r="AS51" i="39"/>
  <c r="AS64" i="39"/>
  <c r="AS93" i="39"/>
  <c r="AS29" i="39"/>
  <c r="AS110" i="39"/>
  <c r="AS8" i="39"/>
  <c r="AS7" i="39"/>
  <c r="AS83" i="39"/>
  <c r="AS6" i="39"/>
  <c r="AS138" i="39"/>
  <c r="AS65" i="39"/>
  <c r="AS39" i="39"/>
  <c r="AS27" i="39"/>
  <c r="AS20" i="39"/>
  <c r="AS84" i="39"/>
  <c r="AS108" i="39"/>
  <c r="AS109" i="39"/>
  <c r="AS3" i="39"/>
  <c r="AS21" i="39"/>
  <c r="AS118" i="39"/>
  <c r="AS42" i="39"/>
  <c r="AS60" i="39"/>
  <c r="AS140" i="39"/>
  <c r="AS48" i="39"/>
  <c r="AS139" i="39"/>
  <c r="AS104" i="39"/>
  <c r="AS12" i="39"/>
  <c r="AS58" i="39"/>
  <c r="AS67" i="39"/>
  <c r="AS14" i="39"/>
  <c r="AS114" i="39"/>
  <c r="AS44" i="39"/>
  <c r="AS97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<sst xmlns="http://schemas.openxmlformats.org/spreadsheetml/2006/main" count="36554" uniqueCount="30473">
  <si>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</si>
  <si>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</si>
  <si>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</si>
  <si>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</si>
  <si>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</si>
  <si>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</si>
  <si>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</si>
  <si>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</si>
  <si>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</si>
  <si>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</si>
  <si>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</si>
  <si>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</si>
  <si>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</si>
  <si>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</si>
  <si>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</si>
  <si>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</si>
  <si>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</si>
  <si>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</si>
  <si>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</si>
  <si>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</si>
  <si>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</si>
  <si>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</si>
  <si>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</si>
  <si>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</si>
  <si>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</si>
  <si>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</si>
  <si>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</si>
  <si>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</si>
  <si>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</si>
  <si>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</si>
  <si>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</si>
  <si>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</si>
  <si>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</si>
  <si>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</si>
  <si>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</si>
  <si>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</si>
  <si>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</si>
  <si>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</si>
  <si>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</si>
  <si>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</si>
  <si>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</si>
  <si>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</si>
  <si>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</si>
  <si>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</si>
  <si>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</si>
  <si>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</si>
  <si>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</si>
  <si>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</si>
  <si>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</si>
  <si>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</si>
  <si>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</si>
  <si>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</si>
  <si>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</si>
  <si>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</si>
  <si>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</si>
  <si>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</si>
  <si>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</si>
  <si>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</si>
  <si>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</si>
  <si>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</si>
  <si>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</si>
  <si>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</si>
  <si>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</si>
  <si>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</si>
  <si>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</si>
  <si>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</si>
  <si>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</si>
  <si>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</si>
  <si>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</si>
  <si>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</si>
  <si>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</si>
  <si>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</si>
  <si>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</si>
  <si>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</si>
  <si>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</si>
  <si>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</si>
  <si>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</si>
  <si>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</si>
  <si>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</si>
  <si>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</si>
  <si>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</si>
  <si>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</si>
  <si>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</si>
  <si>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</si>
  <si>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</si>
  <si>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</si>
  <si>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</si>
  <si>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</si>
  <si>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</si>
  <si>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</si>
  <si>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</si>
  <si>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</si>
  <si>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</si>
  <si>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</si>
  <si>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</si>
  <si>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</si>
  <si>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</si>
  <si>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</si>
  <si>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</si>
  <si>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</si>
  <si>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</si>
  <si>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</si>
  <si>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</si>
  <si>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</si>
  <si>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</si>
  <si>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</si>
  <si>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</si>
  <si>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</si>
  <si>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</si>
  <si>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</si>
  <si>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</si>
  <si>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</si>
  <si>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</si>
  <si>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</si>
  <si>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</si>
  <si>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</si>
  <si>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</si>
  <si>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</si>
  <si>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</si>
  <si>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</si>
  <si>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</si>
  <si>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</si>
  <si>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</si>
  <si>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</si>
  <si>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</si>
  <si>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</si>
  <si>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</si>
  <si>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</si>
  <si>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</si>
  <si>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</si>
  <si>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</si>
  <si>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</si>
  <si>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</si>
  <si>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</si>
  <si>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</si>
  <si>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</si>
  <si>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</si>
  <si>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</si>
  <si>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</si>
  <si>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</si>
  <si>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</si>
  <si>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</si>
  <si>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</si>
  <si>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</si>
  <si>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</si>
  <si>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</si>
  <si>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</si>
  <si>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</si>
  <si>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</si>
  <si>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</si>
  <si>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</si>
  <si>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</si>
  <si>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</si>
  <si>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</si>
  <si>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</si>
  <si>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</si>
  <si>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</si>
  <si>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</si>
  <si>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</si>
  <si>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</si>
  <si>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</si>
  <si>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</si>
  <si>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</si>
  <si>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</si>
  <si>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</si>
  <si>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</si>
  <si>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</si>
  <si>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</si>
  <si>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</si>
  <si>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</si>
  <si>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</si>
  <si>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</si>
  <si>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</si>
  <si>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</si>
  <si>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</si>
  <si>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</si>
  <si>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</si>
  <si>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</si>
  <si>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</si>
  <si>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</si>
  <si>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</si>
  <si>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</si>
  <si>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</si>
  <si>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</si>
  <si>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</si>
  <si>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</si>
  <si>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</si>
  <si>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</si>
  <si>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</si>
  <si>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</si>
  <si>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</si>
  <si>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</si>
  <si>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</si>
  <si>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</si>
  <si>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</si>
  <si>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</si>
  <si>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</si>
  <si>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</si>
  <si>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</si>
  <si>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</si>
  <si>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</si>
  <si>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</si>
  <si>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</si>
  <si>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</si>
  <si>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</si>
  <si>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</si>
  <si>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</si>
  <si>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</si>
  <si>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</si>
  <si>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</si>
  <si>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</si>
  <si>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</si>
  <si>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</si>
  <si>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</si>
  <si>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</si>
  <si>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</si>
  <si>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</si>
  <si>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</si>
  <si>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</si>
  <si>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</si>
  <si>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</si>
  <si>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</si>
  <si>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</si>
  <si>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</si>
  <si>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</si>
  <si>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</si>
  <si>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</si>
  <si>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</si>
  <si>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</si>
  <si>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</si>
  <si>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</si>
  <si>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</si>
  <si>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</si>
  <si>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</si>
  <si>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</si>
  <si>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</si>
  <si>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</si>
  <si>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</si>
  <si>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</si>
  <si>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</si>
  <si>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</si>
  <si>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</si>
  <si>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</si>
  <si>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</si>
  <si>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</si>
  <si>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</si>
  <si>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</si>
  <si>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</si>
  <si>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</si>
  <si>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</si>
  <si>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</si>
  <si>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</si>
  <si>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</si>
  <si>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</si>
  <si>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</si>
  <si>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</si>
  <si>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</si>
  <si>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</si>
  <si>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</si>
  <si>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</si>
  <si>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</si>
  <si>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</si>
  <si>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</si>
  <si>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</si>
  <si>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</si>
  <si>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</si>
  <si>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</si>
  <si>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</si>
  <si>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</si>
  <si>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</si>
  <si>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</si>
  <si>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</si>
  <si>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</si>
  <si>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</si>
  <si>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</si>
  <si>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</si>
  <si>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</si>
  <si>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</si>
  <si>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</si>
  <si>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</si>
  <si>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</si>
  <si>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</si>
  <si>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</si>
  <si>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</si>
  <si>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</si>
  <si>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</si>
  <si>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</si>
  <si>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</si>
  <si>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</si>
  <si>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</si>
  <si>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</si>
  <si>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</si>
  <si>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</si>
  <si>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</si>
  <si>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</si>
  <si>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</si>
  <si>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</si>
  <si>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</si>
  <si>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</si>
  <si>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</si>
  <si>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</si>
  <si>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</si>
  <si>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</si>
  <si>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</si>
  <si>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</si>
  <si>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</si>
  <si>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</si>
  <si>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</si>
  <si>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</si>
  <si>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</si>
  <si>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</si>
  <si>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</si>
  <si>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</si>
  <si>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</si>
  <si>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</si>
  <si>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</si>
  <si>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</si>
  <si>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</si>
  <si>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</si>
  <si>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</si>
  <si>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</si>
  <si>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</si>
  <si>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</si>
  <si>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</si>
  <si>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</si>
  <si>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</si>
  <si>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</si>
  <si>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</si>
  <si>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</si>
  <si>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</si>
  <si>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</si>
  <si>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</si>
  <si>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</si>
  <si>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</si>
  <si>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</si>
  <si>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</si>
  <si>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</si>
  <si>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</si>
  <si>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</si>
  <si>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</si>
  <si>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</si>
  <si>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</si>
  <si>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</si>
  <si>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</si>
  <si>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</si>
  <si>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</si>
  <si>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</si>
  <si>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</si>
  <si>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</si>
  <si>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</si>
  <si>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</si>
  <si>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</si>
  <si>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</si>
  <si>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</si>
  <si>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</si>
  <si>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</si>
  <si>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</si>
  <si>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</si>
  <si>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</si>
  <si>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</si>
  <si>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</si>
  <si>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</si>
  <si>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</si>
  <si>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</si>
  <si>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</si>
  <si>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</si>
  <si>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</si>
  <si>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</si>
  <si>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</si>
  <si>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</si>
  <si>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</si>
  <si>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</si>
  <si>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</si>
  <si>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</si>
  <si>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</si>
  <si>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</si>
  <si>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</si>
  <si>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</si>
  <si>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</si>
  <si>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</si>
  <si>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</si>
  <si>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</si>
  <si>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</si>
  <si>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</si>
  <si>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</si>
  <si>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</si>
  <si>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</si>
  <si>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</si>
  <si>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</si>
  <si>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</si>
  <si>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</si>
  <si>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</si>
  <si>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</si>
  <si>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</si>
  <si>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</si>
  <si>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</si>
  <si>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</si>
  <si>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</si>
  <si>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</si>
  <si>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</si>
  <si>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</si>
  <si>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</si>
  <si>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</si>
  <si>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</si>
  <si>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</si>
  <si>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</si>
  <si>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</si>
  <si>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</si>
  <si>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</si>
  <si>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</si>
  <si>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</si>
  <si>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</si>
  <si>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</si>
  <si>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</si>
  <si>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</si>
  <si>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</si>
  <si>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</si>
  <si>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</si>
  <si>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</si>
  <si>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</si>
  <si>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</si>
  <si>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</si>
  <si>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</si>
  <si>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</si>
  <si>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</si>
  <si>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</si>
  <si>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</si>
  <si>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</si>
  <si>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</si>
  <si>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</si>
  <si>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</si>
  <si>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</si>
  <si>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</si>
  <si>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</si>
  <si>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</si>
  <si>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</si>
  <si>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</si>
  <si>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</si>
  <si>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</si>
  <si>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</si>
  <si>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</si>
  <si>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</si>
  <si>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</si>
  <si>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</si>
  <si>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</si>
  <si>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</si>
  <si>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</si>
  <si>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</si>
  <si>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</si>
  <si>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</si>
  <si>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</si>
  <si>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</si>
  <si>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</si>
  <si>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</si>
  <si>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</si>
  <si>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</si>
  <si>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</si>
  <si>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</si>
  <si>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</si>
  <si>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</si>
  <si>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</si>
  <si>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</si>
  <si>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</si>
  <si>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</si>
  <si>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</si>
  <si>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</si>
  <si>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</si>
  <si>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</si>
  <si>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</si>
  <si>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</si>
  <si>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</si>
  <si>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</si>
  <si>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</si>
  <si>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</si>
  <si>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</si>
  <si>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</si>
  <si>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</si>
  <si>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</si>
  <si>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</si>
  <si>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</si>
  <si>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</si>
  <si>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</si>
  <si>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</si>
  <si>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</si>
  <si>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</si>
  <si>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</si>
  <si>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</si>
  <si>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</si>
  <si>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</si>
  <si>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</si>
  <si>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</si>
  <si>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</si>
  <si>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</si>
  <si>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</si>
  <si>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</si>
  <si>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</si>
  <si>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</si>
  <si>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</si>
  <si>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</si>
  <si>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</si>
  <si>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</si>
  <si>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</si>
  <si>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</si>
  <si>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</si>
  <si>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</si>
  <si>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</si>
  <si>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</si>
  <si>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</si>
  <si>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</si>
  <si>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</si>
  <si>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</si>
  <si>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</si>
  <si>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</si>
  <si>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</si>
  <si>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</si>
  <si>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</si>
  <si>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</si>
  <si>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</si>
  <si>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</si>
  <si>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</si>
  <si>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</si>
  <si>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</si>
  <si>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</si>
  <si>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</si>
  <si>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</si>
  <si>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</si>
  <si>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</si>
  <si>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</si>
  <si>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</si>
  <si>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</si>
  <si>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</si>
  <si>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</si>
  <si>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</si>
  <si>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</si>
  <si>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</si>
  <si>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</si>
  <si>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</si>
  <si>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</si>
  <si>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</si>
  <si>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</si>
  <si>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</si>
  <si>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</si>
  <si>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</si>
  <si>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</si>
  <si>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</si>
  <si>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</si>
  <si>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</si>
  <si>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</si>
  <si>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</si>
  <si>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</si>
  <si>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</si>
  <si>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</si>
  <si>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</si>
  <si>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</si>
  <si>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</si>
  <si>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</si>
  <si>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</si>
  <si>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</si>
  <si>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</si>
  <si>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</si>
  <si>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</si>
  <si>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</si>
  <si>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</si>
  <si>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</si>
  <si>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</si>
  <si>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</si>
  <si>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</si>
  <si>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</si>
  <si>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</si>
  <si>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</si>
  <si>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</si>
  <si>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</si>
  <si>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</si>
  <si>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</si>
  <si>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</si>
  <si>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</si>
  <si>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</si>
  <si>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</si>
  <si>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</si>
  <si>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</si>
  <si>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</si>
  <si>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</si>
  <si>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</si>
  <si>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</si>
  <si>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</si>
  <si>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</si>
  <si>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</si>
  <si>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</si>
  <si>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</si>
  <si>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</si>
  <si>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</si>
  <si>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</si>
  <si>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</si>
  <si>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</si>
  <si>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</si>
  <si>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</si>
  <si>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</si>
  <si>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</si>
  <si>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</si>
  <si>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</si>
  <si>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</si>
  <si>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</si>
  <si>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</si>
  <si>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</si>
  <si>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</si>
  <si>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</si>
  <si>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</si>
  <si>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</si>
  <si>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</si>
  <si>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</si>
  <si>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</si>
  <si>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</si>
  <si>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</si>
  <si>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</si>
  <si>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</si>
  <si>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</si>
  <si>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</si>
  <si>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</si>
  <si>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</si>
  <si>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</si>
  <si>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</si>
  <si>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</si>
  <si>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</si>
  <si>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</si>
  <si>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</si>
  <si>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</si>
  <si>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</si>
  <si>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</si>
  <si>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</si>
  <si>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</si>
  <si>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</si>
  <si>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</si>
  <si>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</si>
  <si>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</si>
  <si>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</si>
  <si>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</si>
  <si>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</si>
  <si>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</si>
  <si>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</si>
  <si>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</si>
  <si>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</si>
  <si>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</si>
  <si>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</si>
  <si>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</si>
  <si>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</si>
  <si>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</si>
  <si>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</si>
  <si>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</si>
  <si>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</si>
  <si>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</si>
  <si>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</si>
  <si>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</si>
  <si>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</si>
  <si>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</si>
  <si>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</si>
  <si>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</si>
  <si>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</si>
  <si>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</si>
  <si>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</si>
  <si>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</si>
  <si>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</si>
  <si>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</si>
  <si>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</si>
  <si>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</si>
  <si>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</si>
  <si>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</si>
  <si>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</si>
  <si>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</si>
  <si>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</si>
  <si>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</si>
  <si>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</si>
  <si>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</si>
  <si>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</si>
  <si>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</si>
  <si>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</si>
  <si>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</si>
  <si>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</si>
  <si>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</si>
  <si>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</si>
  <si>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</si>
  <si>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</si>
  <si>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</si>
  <si>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</si>
  <si>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</si>
  <si>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</si>
  <si>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</si>
  <si>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</si>
  <si>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</si>
  <si>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</si>
  <si>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</si>
  <si>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</si>
  <si>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</si>
  <si>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</si>
  <si>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</si>
  <si>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</si>
  <si>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</si>
  <si>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</si>
  <si>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</si>
  <si>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</si>
  <si>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</si>
  <si>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</si>
  <si>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</si>
  <si>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</si>
  <si>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</si>
  <si>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</si>
  <si>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</si>
  <si>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</si>
  <si>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</si>
  <si>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</si>
  <si>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</si>
  <si>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</si>
  <si>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</si>
  <si>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</si>
  <si>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</si>
  <si>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</si>
  <si>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</si>
  <si>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</si>
  <si>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</si>
  <si>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</si>
  <si>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</si>
  <si>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</si>
  <si>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</si>
  <si>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</si>
  <si>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</si>
  <si>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</si>
  <si>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</si>
  <si>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</si>
  <si>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</si>
  <si>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</si>
  <si>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</si>
  <si>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</si>
  <si>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</si>
  <si>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</si>
  <si>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</si>
  <si>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</si>
  <si>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</si>
  <si>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</si>
  <si>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</si>
  <si>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</si>
  <si>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</si>
  <si>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</si>
  <si>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</si>
  <si>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</si>
  <si>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</si>
  <si>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</si>
  <si>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</si>
  <si>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</si>
  <si>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</si>
  <si>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</si>
  <si>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</si>
  <si>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</si>
  <si>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</si>
  <si>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</si>
  <si>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</si>
  <si>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</si>
  <si>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</si>
  <si>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</si>
  <si>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</si>
  <si>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</si>
  <si>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</si>
  <si>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</si>
  <si>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</si>
  <si>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</si>
  <si>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</si>
  <si>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</si>
  <si>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</si>
  <si>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</si>
  <si>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</si>
  <si>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</si>
  <si>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</si>
  <si>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</si>
  <si>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</si>
  <si>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</si>
  <si>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</si>
  <si>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</si>
  <si>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</si>
  <si>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</si>
  <si>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</si>
  <si>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</si>
  <si>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</si>
  <si>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</si>
  <si>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</si>
  <si>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</si>
  <si>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</si>
  <si>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</si>
  <si>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</si>
  <si>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</si>
  <si>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</si>
  <si>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</si>
  <si>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</si>
  <si>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</si>
  <si>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</si>
  <si>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</si>
  <si>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</si>
  <si>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</si>
  <si>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</si>
  <si>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</si>
  <si>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</si>
  <si>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</si>
  <si>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</si>
  <si>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</si>
  <si>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</si>
  <si>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</si>
  <si>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</si>
  <si>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</si>
  <si>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</si>
  <si>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</si>
  <si>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</si>
  <si>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</si>
  <si>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</si>
  <si>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</si>
  <si>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</si>
  <si>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</si>
  <si>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</si>
  <si>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</si>
  <si>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</si>
  <si>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</si>
  <si>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</si>
  <si>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</si>
  <si>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</si>
  <si>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</si>
  <si>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</si>
  <si>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</si>
  <si>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</si>
  <si>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</si>
  <si>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</si>
  <si>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</si>
  <si>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</si>
  <si>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</si>
  <si>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</si>
  <si>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</si>
  <si>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</si>
  <si>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</si>
  <si>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</si>
  <si>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</si>
  <si>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</si>
  <si>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</si>
  <si>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</si>
  <si>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</si>
  <si>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</si>
  <si>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</si>
  <si>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</si>
  <si>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</si>
  <si>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</si>
  <si>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</si>
  <si>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</si>
  <si>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</si>
  <si>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</si>
  <si>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</si>
  <si>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</si>
  <si>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</si>
  <si>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</si>
  <si>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</si>
  <si>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</si>
  <si>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</si>
  <si>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</si>
  <si>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</si>
  <si>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</si>
  <si>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</si>
  <si>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</si>
  <si>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</si>
  <si>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</si>
  <si>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</si>
  <si>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</si>
  <si>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</si>
  <si>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</si>
  <si>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</si>
  <si>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</si>
  <si>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</si>
  <si>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</si>
  <si>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</si>
  <si>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</si>
  <si>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</si>
  <si>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</si>
  <si>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</si>
  <si>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</si>
  <si>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</si>
  <si>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</si>
  <si>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</si>
  <si>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</si>
  <si>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</si>
  <si>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</si>
  <si>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</si>
  <si>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</si>
  <si>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</si>
  <si>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</si>
  <si>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</si>
  <si>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</si>
  <si>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</si>
  <si>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</si>
  <si>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</si>
  <si>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</si>
  <si>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</si>
  <si>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</si>
  <si>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</si>
  <si>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</si>
  <si>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</si>
  <si>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</si>
  <si>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</si>
  <si>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</si>
  <si>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</si>
  <si>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</si>
  <si>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</si>
  <si>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</si>
  <si>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</si>
  <si>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</si>
  <si>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</si>
  <si>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</si>
  <si>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</si>
  <si>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</si>
  <si>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</si>
  <si>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</si>
  <si>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</si>
  <si>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</si>
  <si>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</si>
  <si>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</si>
  <si>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</si>
  <si>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</si>
  <si>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</si>
  <si>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</si>
  <si>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</si>
  <si>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</si>
  <si>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</si>
  <si>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</si>
  <si>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</si>
  <si>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</si>
  <si>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</si>
  <si>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</si>
  <si>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</si>
  <si>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</si>
  <si>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</si>
  <si>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</si>
  <si>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</si>
  <si>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</si>
  <si>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</si>
  <si>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</si>
  <si>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</si>
  <si>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</si>
  <si>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</si>
  <si>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</si>
  <si>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</si>
  <si>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</si>
  <si>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</si>
  <si>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</si>
  <si>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</si>
  <si>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</si>
  <si>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</si>
  <si>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</si>
  <si>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</si>
  <si>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</si>
  <si>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</si>
  <si>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</si>
  <si>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</si>
  <si>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</si>
  <si>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</si>
  <si>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</si>
  <si>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</si>
  <si>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</si>
  <si>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</si>
  <si>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</si>
  <si>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</si>
  <si>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</si>
  <si>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</si>
  <si>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</si>
  <si>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</si>
  <si>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</si>
  <si>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</si>
  <si>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</si>
  <si>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</si>
  <si>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</si>
  <si>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</si>
  <si>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</si>
  <si>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</si>
  <si>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</si>
  <si>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</si>
  <si>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</si>
  <si>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</si>
  <si>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</si>
  <si>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</si>
  <si>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</si>
  <si>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</si>
  <si>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</si>
  <si>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</si>
  <si>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</si>
  <si>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</si>
  <si>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</si>
  <si>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</si>
  <si>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</si>
  <si>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</si>
  <si>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</si>
  <si>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</si>
  <si>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</si>
  <si>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</si>
  <si>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</si>
  <si>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</si>
  <si>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</si>
  <si>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</si>
  <si>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</si>
  <si>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</si>
  <si>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</si>
  <si>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</si>
  <si>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</si>
  <si>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</si>
  <si>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</si>
  <si>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</si>
  <si>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</si>
  <si>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</si>
  <si>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</si>
  <si>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</si>
  <si>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</si>
  <si>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</si>
  <si>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</si>
  <si>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</si>
  <si>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</si>
  <si>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</si>
  <si>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</si>
  <si>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</si>
  <si>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</si>
  <si>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</si>
  <si>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</si>
  <si>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</si>
  <si>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</si>
  <si>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</si>
  <si>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</si>
  <si>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</si>
  <si>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</si>
  <si>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</si>
  <si>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</si>
  <si>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</si>
  <si>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</si>
  <si>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</si>
  <si>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</si>
  <si>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</si>
  <si>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</si>
  <si>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</si>
  <si>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</si>
  <si>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</si>
  <si>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</si>
  <si>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</si>
  <si>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</si>
  <si>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</si>
  <si>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</si>
  <si>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</si>
  <si>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</si>
  <si>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</si>
  <si>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</si>
  <si>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</si>
  <si>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</si>
  <si>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</si>
  <si>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</si>
  <si>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</si>
  <si>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</si>
  <si>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</si>
  <si>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</si>
  <si>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</si>
  <si>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</si>
  <si>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</si>
  <si>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</si>
  <si>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</si>
  <si>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</si>
  <si>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</si>
  <si>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</si>
  <si>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</si>
  <si>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</si>
  <si>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</si>
  <si>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</si>
  <si>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</si>
  <si>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</si>
  <si>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</si>
  <si>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</si>
  <si>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</si>
  <si>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</si>
  <si>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</si>
  <si>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</si>
  <si>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</si>
  <si>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</si>
  <si>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</si>
  <si>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</si>
  <si>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</si>
  <si>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</si>
  <si>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</si>
  <si>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</si>
  <si>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</si>
  <si>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</si>
  <si>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</si>
  <si>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</si>
  <si>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</si>
  <si>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</si>
  <si>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</si>
  <si>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</si>
  <si>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</si>
  <si>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</si>
  <si>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</si>
  <si>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</si>
  <si>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</si>
  <si>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</si>
  <si>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</si>
  <si>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</si>
  <si>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</si>
  <si>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</si>
  <si>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</si>
  <si>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</si>
  <si>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</si>
  <si>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</si>
  <si>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</si>
  <si>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</si>
  <si>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</si>
  <si>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</si>
  <si>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</si>
  <si>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</si>
  <si>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</si>
  <si>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</si>
  <si>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</si>
  <si>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</si>
  <si>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</si>
  <si>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</si>
  <si>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</si>
  <si>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</si>
  <si>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</si>
  <si>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</si>
  <si>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</si>
  <si>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</si>
  <si>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</si>
  <si>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</si>
  <si>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</si>
  <si>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</si>
  <si>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</si>
  <si>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</si>
  <si>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</si>
  <si>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</si>
  <si>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</si>
  <si>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</si>
  <si>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</si>
  <si>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</si>
  <si>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</si>
  <si>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</si>
  <si>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</si>
  <si>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</si>
  <si>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</si>
  <si>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</si>
  <si>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</si>
  <si>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</si>
  <si>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</si>
  <si>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</si>
  <si>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</si>
  <si>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</si>
  <si>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</si>
  <si>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</si>
  <si>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</si>
  <si>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</si>
  <si>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</si>
  <si>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</si>
  <si>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</si>
  <si>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</si>
  <si>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</si>
  <si>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</si>
  <si>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</si>
  <si>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</si>
  <si>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</si>
  <si>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</si>
  <si>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</si>
  <si>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</si>
  <si>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</si>
  <si>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</si>
  <si>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</si>
  <si>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</si>
  <si>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</si>
  <si>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</si>
  <si>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</si>
  <si>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</si>
  <si>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</si>
  <si>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</si>
  <si>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</si>
  <si>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</si>
  <si>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</si>
  <si>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</si>
  <si>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</si>
  <si>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</si>
  <si>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</si>
  <si>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</si>
  <si>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</si>
  <si>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</si>
  <si>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</si>
  <si>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</si>
  <si>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</si>
  <si>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</si>
  <si>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</si>
  <si>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</si>
  <si>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</si>
  <si>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</si>
  <si>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</si>
  <si>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</si>
  <si>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</si>
  <si>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</si>
  <si>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</si>
  <si>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</si>
  <si>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</si>
  <si>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</si>
  <si>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</si>
  <si>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</si>
  <si>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</si>
  <si>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</si>
  <si>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</si>
  <si>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</si>
  <si>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</si>
  <si>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</si>
  <si>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</si>
  <si>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</si>
  <si>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</si>
  <si>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</si>
  <si>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</si>
  <si>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</si>
  <si>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</si>
  <si>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</si>
  <si>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</si>
  <si>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</si>
  <si>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</si>
  <si>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</si>
  <si>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</si>
  <si>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</si>
  <si>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</si>
  <si>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</si>
  <si>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</si>
  <si>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</si>
  <si>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</si>
  <si>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</si>
  <si>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</si>
  <si>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</si>
  <si>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</si>
  <si>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</si>
  <si>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</si>
  <si>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</si>
  <si>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</si>
  <si>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</si>
  <si>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</si>
  <si>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</si>
  <si>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</si>
  <si>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</si>
  <si>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</si>
  <si>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</si>
  <si>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</si>
  <si>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</si>
  <si>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</si>
  <si>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</si>
  <si>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</si>
  <si>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</si>
  <si>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</si>
  <si>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</si>
  <si>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</si>
  <si>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</si>
  <si>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</si>
  <si>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</si>
  <si>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</si>
  <si>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</si>
  <si>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</si>
  <si>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</si>
  <si>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</si>
  <si>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</si>
  <si>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</si>
  <si>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</si>
  <si>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</si>
  <si>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</si>
  <si>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</si>
  <si>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</si>
  <si>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</si>
  <si>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</si>
  <si>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</si>
  <si>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</si>
  <si>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</si>
  <si>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</si>
  <si>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</si>
  <si>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</si>
  <si>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</si>
  <si>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</si>
  <si>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</si>
  <si>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</si>
  <si>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</si>
  <si>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</si>
  <si>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</si>
  <si>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</si>
  <si>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</si>
  <si>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</si>
  <si>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</si>
  <si>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</si>
  <si>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</si>
  <si>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</si>
  <si>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</si>
  <si>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</si>
  <si>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</si>
  <si>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</si>
  <si>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</si>
  <si>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</si>
  <si>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</si>
  <si>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</si>
  <si>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</si>
  <si>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</si>
  <si>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</si>
  <si>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</si>
  <si>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</si>
  <si>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</si>
  <si>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</si>
  <si>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</si>
  <si>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</si>
  <si>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</si>
  <si>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</si>
  <si>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</si>
  <si>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</si>
  <si>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</si>
  <si>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</si>
  <si>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</si>
  <si>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</si>
  <si>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</si>
  <si>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</si>
  <si>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</si>
  <si>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</si>
  <si>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</si>
  <si>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</si>
  <si>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</si>
  <si>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</si>
  <si>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</si>
  <si>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</si>
  <si>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</si>
  <si>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</si>
  <si>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</si>
  <si>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</si>
  <si>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</si>
  <si>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</si>
  <si>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</si>
  <si>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</si>
  <si>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</si>
  <si>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</si>
  <si>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</si>
  <si>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</si>
  <si>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</si>
  <si>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</si>
  <si>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</si>
  <si>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</si>
  <si>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</si>
  <si>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</si>
  <si>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</si>
  <si>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</si>
  <si>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</si>
  <si>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</si>
  <si>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</si>
  <si>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</si>
  <si>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</si>
  <si>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</si>
  <si>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</si>
  <si>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</si>
  <si>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</si>
  <si>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</si>
  <si>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</si>
  <si>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</si>
  <si>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</si>
  <si>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</si>
  <si>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</si>
  <si>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</si>
  <si>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</si>
  <si>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</si>
  <si>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</si>
  <si>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</si>
  <si>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</si>
  <si>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</si>
  <si>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</si>
  <si>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</si>
  <si>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</si>
  <si>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</si>
  <si>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</si>
  <si>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</si>
  <si>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</si>
  <si>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</si>
  <si>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</si>
  <si>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</si>
  <si>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</si>
  <si>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</si>
  <si>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</si>
  <si>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</si>
  <si>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</si>
  <si>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</si>
  <si>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</si>
  <si>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</si>
  <si>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</si>
  <si>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</si>
  <si>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</si>
  <si>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</si>
  <si>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</si>
  <si>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</si>
  <si>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</si>
  <si>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</si>
  <si>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</si>
  <si>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</si>
  <si>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</si>
  <si>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</si>
  <si>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</si>
  <si>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</si>
  <si>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</si>
  <si>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</si>
  <si>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</si>
  <si>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</si>
  <si>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</si>
  <si>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</si>
  <si>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</si>
  <si>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</si>
  <si>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</si>
  <si>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</si>
  <si>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</si>
  <si>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</si>
  <si>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</si>
  <si>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</si>
  <si>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</si>
  <si>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</si>
  <si>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</si>
  <si>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</si>
  <si>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</si>
  <si>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</si>
  <si>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</si>
  <si>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</si>
  <si>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</si>
  <si>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</si>
  <si>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</si>
  <si>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</si>
  <si>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</si>
  <si>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</si>
  <si>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</si>
  <si>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</si>
  <si>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</si>
  <si>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</si>
  <si>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</si>
  <si>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</si>
  <si>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</si>
  <si>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</si>
  <si>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</si>
  <si>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</si>
  <si>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</si>
  <si>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</si>
  <si>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</si>
  <si>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</si>
  <si>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</si>
  <si>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</si>
  <si>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</si>
  <si>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</si>
  <si>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</si>
  <si>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</si>
  <si>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</si>
  <si>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</si>
  <si>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</si>
  <si>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</si>
  <si>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</si>
  <si>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</si>
  <si>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</si>
  <si>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</si>
  <si>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</si>
  <si>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</si>
  <si>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</si>
  <si>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</si>
  <si>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</si>
  <si>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</si>
  <si>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</si>
  <si>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</si>
  <si>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</si>
  <si>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</si>
  <si>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</si>
  <si>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</si>
  <si>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</si>
  <si>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</si>
  <si>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</si>
  <si>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</si>
  <si>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</si>
  <si>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</si>
  <si>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</si>
  <si>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</si>
  <si>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</si>
  <si>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</si>
  <si>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</si>
  <si>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</si>
  <si>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</si>
  <si>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</si>
  <si>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</si>
  <si>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</si>
  <si>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</si>
  <si>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</si>
  <si>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</si>
  <si>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</si>
  <si>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</si>
  <si>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</si>
  <si>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</si>
  <si>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</si>
  <si>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</si>
  <si>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</si>
  <si>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</si>
  <si>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</si>
  <si>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</si>
  <si>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</si>
  <si>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</si>
  <si>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</si>
  <si>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</si>
  <si>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</si>
  <si>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</si>
  <si>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</si>
  <si>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</si>
  <si>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</si>
  <si>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</si>
  <si>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</si>
  <si>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</si>
  <si>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</si>
  <si>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</si>
  <si>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</si>
  <si>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</si>
  <si>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</si>
  <si>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</si>
  <si>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</si>
  <si>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</si>
  <si>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</si>
  <si>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</si>
  <si>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</si>
  <si>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</si>
  <si>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</si>
  <si>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</si>
  <si>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</si>
  <si>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</si>
  <si>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</si>
  <si>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</si>
  <si>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</si>
  <si>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</si>
  <si>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</si>
  <si>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</si>
  <si>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</si>
  <si>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</si>
  <si>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</si>
  <si>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</si>
  <si>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</si>
  <si>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</si>
  <si>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</si>
  <si>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</si>
  <si>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</si>
  <si>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</si>
  <si>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</si>
  <si>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</si>
  <si>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</si>
  <si>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</si>
  <si>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</si>
  <si>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</si>
  <si>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</si>
  <si>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</si>
  <si>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</si>
  <si>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</si>
  <si>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</si>
  <si>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</si>
  <si>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</si>
  <si>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</si>
  <si>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</si>
  <si>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</si>
  <si>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</si>
  <si>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</si>
  <si>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</si>
  <si>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</si>
  <si>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</si>
  <si>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</si>
  <si>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</si>
  <si>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</si>
  <si>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</si>
  <si>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</si>
  <si>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</si>
  <si>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</si>
  <si>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</si>
  <si>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</si>
  <si>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</si>
  <si>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</si>
  <si>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</si>
  <si>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</si>
  <si>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</si>
  <si>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</si>
  <si>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</si>
  <si>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</si>
  <si>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</si>
  <si>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</si>
  <si>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</si>
  <si>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</si>
  <si>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</si>
  <si>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</si>
  <si>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</si>
  <si>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</si>
  <si>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</si>
  <si>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</si>
  <si>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</si>
  <si>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</si>
  <si>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</si>
  <si>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</si>
  <si>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</si>
  <si>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</si>
  <si>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</si>
  <si>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</si>
  <si>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</si>
  <si>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</si>
  <si>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</si>
  <si>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</si>
  <si>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</si>
  <si>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</si>
  <si>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</si>
  <si>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</si>
  <si>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</si>
  <si>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</si>
  <si>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</si>
  <si>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</si>
  <si>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</si>
  <si>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</si>
  <si>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</si>
  <si>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</si>
  <si>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</si>
  <si>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</si>
  <si>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</si>
  <si>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</si>
  <si>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</si>
  <si>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</si>
  <si>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</si>
  <si>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</si>
  <si>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</si>
  <si>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</si>
  <si>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</si>
  <si>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</si>
  <si>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</si>
  <si>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</si>
  <si>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</si>
  <si>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</si>
  <si>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</si>
  <si>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</si>
  <si>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</si>
  <si>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</si>
  <si>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</si>
  <si>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</si>
  <si>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</si>
  <si>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</si>
  <si>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</si>
  <si>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</si>
  <si>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</si>
  <si>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</si>
  <si>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</si>
  <si>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</si>
  <si>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</si>
  <si>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</si>
  <si>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</si>
  <si>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</si>
  <si>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</si>
  <si>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</si>
  <si>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</si>
  <si>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</si>
  <si>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</si>
  <si>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</si>
  <si>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</si>
  <si>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</si>
  <si>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</si>
  <si>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</si>
  <si>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</si>
  <si>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</si>
  <si>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</si>
  <si>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</si>
  <si>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</si>
  <si>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</si>
  <si>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</si>
  <si>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</si>
  <si>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</si>
  <si>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</si>
  <si>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</si>
  <si>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</si>
  <si>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</si>
  <si>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</si>
  <si>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</si>
  <si>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</si>
  <si>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</si>
  <si>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</si>
  <si>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</si>
  <si>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</si>
  <si>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</si>
  <si>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</si>
  <si>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</si>
  <si>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</si>
  <si>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</si>
  <si>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</si>
  <si>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</si>
  <si>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</si>
  <si>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</si>
  <si>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</si>
  <si>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</si>
  <si>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</si>
  <si>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</si>
  <si>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</si>
  <si>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</si>
  <si>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</si>
  <si>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</si>
  <si>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</si>
  <si>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</si>
  <si>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</si>
  <si>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</si>
  <si>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</si>
  <si>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</si>
  <si>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</si>
  <si>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</si>
  <si>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</si>
  <si>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</si>
  <si>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</si>
  <si>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</si>
  <si>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</si>
  <si>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</si>
  <si>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</si>
  <si>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</si>
  <si>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</si>
  <si>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</si>
  <si>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</si>
  <si>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</si>
  <si>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</si>
  <si>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</si>
  <si>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</si>
  <si>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</si>
  <si>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</si>
  <si>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</si>
  <si>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</si>
  <si>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</si>
  <si>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</si>
  <si>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</si>
  <si>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</si>
  <si>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</si>
  <si>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</si>
  <si>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</si>
  <si>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</si>
  <si>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</si>
  <si>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</si>
  <si>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</si>
  <si>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</si>
  <si>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</si>
  <si>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</si>
  <si>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</si>
  <si>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</si>
  <si>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</si>
  <si>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</si>
  <si>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</si>
  <si>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</si>
  <si>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</si>
  <si>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</si>
  <si>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</si>
  <si>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</si>
  <si>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</si>
  <si>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</si>
  <si>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</si>
  <si>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</si>
  <si>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</si>
  <si>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</si>
  <si>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</si>
  <si>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</si>
  <si>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</si>
  <si>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</si>
  <si>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</si>
  <si>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</si>
  <si>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</si>
  <si>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</si>
  <si>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</si>
  <si>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</si>
  <si>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</si>
  <si>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</si>
  <si>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</si>
  <si>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</si>
  <si>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</si>
  <si>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</si>
  <si>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</si>
  <si>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</si>
  <si>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</si>
  <si>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</si>
  <si>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</si>
  <si>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</si>
  <si>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</si>
  <si>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</si>
  <si>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</si>
  <si>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</si>
  <si>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</si>
  <si>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</si>
  <si>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</si>
  <si>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</si>
  <si>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</si>
  <si>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</si>
  <si>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</si>
  <si>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</si>
  <si>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</si>
  <si>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</si>
  <si>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</si>
  <si>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</si>
  <si>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</si>
  <si>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</si>
  <si>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</si>
  <si>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</si>
  <si>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</si>
  <si>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</si>
  <si>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</si>
  <si>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</si>
  <si>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</si>
  <si>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</si>
  <si>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</si>
  <si>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</si>
  <si>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</si>
  <si>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</si>
  <si>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</si>
  <si>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</si>
  <si>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</si>
  <si>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</si>
  <si>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</si>
  <si>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</si>
  <si>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</si>
  <si>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</si>
  <si>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</si>
  <si>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</si>
  <si>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</si>
  <si>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</si>
  <si>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</si>
  <si>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</si>
  <si>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</si>
  <si>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</si>
  <si>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</si>
  <si>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</si>
  <si>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</si>
  <si>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</si>
  <si>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</si>
  <si>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</si>
  <si>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</si>
  <si>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</si>
  <si>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</si>
  <si>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</si>
  <si>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</si>
  <si>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</si>
  <si>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</si>
  <si>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</si>
  <si>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</si>
  <si>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</si>
  <si>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</si>
  <si>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</si>
  <si>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</si>
  <si>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</si>
  <si>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</si>
  <si>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</si>
  <si>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</si>
  <si>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</si>
  <si>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</si>
  <si>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</si>
  <si>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</si>
  <si>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</si>
  <si>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</si>
  <si>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</si>
  <si>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</si>
  <si>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</si>
  <si>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</si>
  <si>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</si>
  <si>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</si>
  <si>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</si>
  <si>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</si>
  <si>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</si>
  <si>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</si>
  <si>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</si>
  <si>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</si>
  <si>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</si>
  <si>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</si>
  <si>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</si>
  <si>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</si>
  <si>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</si>
  <si>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</si>
  <si>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</si>
  <si>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</si>
  <si>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</si>
  <si>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</si>
  <si>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</si>
  <si>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</si>
  <si>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</si>
  <si>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</si>
  <si>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</si>
  <si>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</si>
  <si>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</si>
  <si>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</si>
  <si>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</si>
  <si>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</si>
  <si>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</si>
  <si>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</si>
  <si>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</si>
  <si>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</si>
  <si>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</si>
  <si>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</si>
  <si>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</si>
  <si>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</si>
  <si>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</si>
  <si>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</si>
  <si>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</si>
  <si>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</si>
  <si>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</si>
  <si>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</si>
  <si>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</si>
  <si>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</si>
  <si>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</si>
  <si>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</si>
  <si>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</si>
  <si>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</si>
  <si>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</si>
  <si>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</si>
  <si>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</si>
  <si>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</si>
  <si>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</si>
  <si>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</si>
  <si>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</si>
  <si>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</si>
  <si>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</si>
  <si>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</si>
  <si>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</si>
  <si>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</si>
  <si>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</si>
  <si>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</si>
  <si>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</si>
  <si>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</si>
  <si>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</si>
  <si>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</si>
  <si>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</si>
  <si>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</si>
  <si>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</si>
  <si>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</si>
  <si>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</si>
  <si>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</si>
  <si>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</si>
  <si>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</si>
  <si>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</si>
  <si>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</si>
  <si>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</si>
  <si>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</si>
  <si>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</si>
  <si>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</si>
  <si>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</si>
  <si>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</si>
  <si>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</si>
  <si>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</si>
  <si>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</si>
  <si>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</si>
  <si>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</si>
  <si>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</si>
  <si>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</si>
  <si>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</si>
  <si>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</si>
  <si>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</si>
  <si>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</si>
  <si>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</si>
  <si>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</si>
  <si>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</si>
  <si>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</si>
  <si>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</si>
  <si>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</si>
  <si>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</si>
  <si>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</si>
  <si>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</si>
  <si>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</si>
  <si>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</si>
  <si>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</si>
  <si>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</si>
  <si>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</si>
  <si>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</si>
  <si>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</si>
  <si>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</si>
  <si>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</si>
  <si>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</si>
  <si>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</si>
  <si>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</si>
  <si>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</si>
  <si>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</si>
  <si>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</si>
  <si>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</si>
  <si>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</si>
  <si>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</si>
  <si>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</si>
  <si>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</si>
  <si>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</si>
  <si>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</si>
  <si>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</si>
  <si>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</si>
  <si>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</si>
  <si>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</si>
  <si>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</si>
  <si>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</si>
  <si>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</si>
  <si>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</si>
  <si>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</si>
  <si>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</si>
  <si>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</si>
  <si>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</si>
  <si>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</si>
  <si>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</si>
  <si>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</si>
  <si>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</si>
  <si>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</si>
  <si>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</si>
  <si>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</si>
  <si>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</si>
  <si>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</si>
  <si>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</si>
  <si>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</si>
  <si>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</si>
  <si>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</si>
  <si>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</si>
  <si>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</si>
  <si>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</si>
  <si>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</si>
  <si>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</si>
  <si>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</si>
  <si>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</si>
  <si>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</si>
  <si>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</si>
  <si>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</si>
  <si>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</si>
  <si>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</si>
  <si>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</si>
  <si>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</si>
  <si>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</si>
  <si>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</si>
  <si>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</si>
  <si>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</si>
  <si>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</si>
  <si>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</si>
  <si>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</si>
  <si>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</si>
  <si>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</si>
  <si>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</si>
  <si>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</si>
  <si>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</si>
  <si>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</si>
  <si>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</si>
  <si>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</si>
  <si>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</si>
  <si>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</si>
  <si>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</si>
  <si>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</si>
  <si>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</si>
  <si>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</si>
  <si>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</si>
  <si>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</si>
  <si>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</si>
  <si>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</si>
  <si>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</si>
  <si>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</si>
  <si>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</si>
  <si>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</si>
  <si>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</si>
  <si>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</si>
  <si>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</si>
  <si>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</si>
  <si>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</si>
  <si>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</si>
  <si>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</si>
  <si>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</si>
  <si>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</si>
  <si>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</si>
  <si>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</si>
  <si>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</si>
  <si>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</si>
  <si>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</si>
  <si>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</si>
  <si>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</si>
  <si>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</si>
  <si>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</si>
  <si>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</si>
  <si>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</si>
  <si>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</si>
  <si>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</si>
  <si>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</si>
  <si>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</si>
  <si>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</si>
  <si>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</si>
  <si>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</si>
  <si>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</si>
  <si>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</si>
  <si>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</si>
  <si>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</si>
  <si>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</si>
  <si>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</si>
  <si>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</si>
  <si>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</si>
  <si>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</si>
  <si>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</si>
  <si>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</si>
  <si>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</si>
  <si>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</si>
  <si>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</si>
  <si>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</si>
  <si>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</si>
  <si>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</si>
  <si>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</si>
  <si>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</si>
  <si>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</si>
  <si>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</si>
  <si>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</si>
  <si>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</si>
  <si>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</si>
  <si>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</si>
  <si>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</si>
  <si>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</si>
  <si>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</si>
  <si>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</si>
  <si>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</si>
  <si>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</si>
  <si>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</si>
  <si>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</si>
  <si>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</si>
  <si>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</si>
  <si>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</si>
  <si>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</si>
  <si>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</si>
  <si>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</si>
  <si>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</si>
  <si>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</si>
  <si>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</si>
  <si>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</si>
  <si>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</si>
  <si>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</si>
  <si>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</si>
  <si>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</si>
  <si>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</si>
  <si>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</si>
  <si>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</si>
  <si>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</si>
  <si>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</si>
  <si>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</si>
  <si>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</si>
  <si>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</si>
  <si>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</si>
  <si>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</si>
  <si>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</si>
  <si>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</si>
  <si>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</si>
  <si>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</si>
  <si>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</si>
  <si>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</si>
  <si>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</si>
  <si>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</si>
  <si>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</si>
  <si>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</si>
  <si>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</si>
  <si>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</si>
  <si>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</si>
  <si>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</si>
  <si>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</si>
  <si>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</si>
  <si>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</si>
  <si>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</si>
  <si>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</si>
  <si>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</si>
  <si>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</si>
  <si>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</si>
  <si>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</si>
  <si>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</si>
  <si>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</si>
  <si>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</si>
  <si>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</si>
  <si>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</si>
  <si>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</si>
  <si>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</si>
  <si>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</si>
  <si>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</si>
  <si>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</si>
  <si>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</si>
  <si>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</si>
  <si>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</si>
  <si>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</si>
  <si>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</si>
  <si>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</si>
  <si>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</si>
  <si>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</si>
  <si>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</si>
  <si>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</si>
  <si>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</si>
  <si>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</si>
  <si>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</si>
  <si>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</si>
  <si>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</si>
  <si>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</si>
  <si>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</si>
  <si>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</si>
  <si>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</si>
  <si>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</si>
  <si>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</si>
  <si>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</si>
  <si>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</si>
  <si>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</si>
  <si>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</si>
  <si>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</si>
  <si>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</si>
  <si>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</si>
  <si>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</si>
  <si>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</si>
  <si>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</si>
  <si>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</si>
  <si>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</si>
  <si>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</si>
  <si>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</si>
  <si>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</si>
  <si>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</si>
  <si>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</si>
  <si>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</si>
  <si>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</si>
  <si>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</si>
  <si>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</si>
  <si>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</si>
  <si>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</si>
  <si>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</si>
  <si>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</si>
  <si>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</si>
  <si>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</si>
  <si>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</si>
  <si>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</si>
  <si>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</si>
  <si>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</si>
  <si>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</si>
  <si>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</si>
  <si>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</si>
  <si>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</si>
  <si>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</si>
  <si>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</si>
  <si>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</si>
  <si>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</si>
  <si>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</si>
  <si>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</si>
  <si>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</si>
  <si>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</si>
  <si>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</si>
  <si>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</si>
  <si>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</si>
  <si>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</si>
  <si>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</si>
  <si>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</si>
  <si>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</si>
  <si>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</si>
  <si>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</si>
  <si>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</si>
  <si>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</si>
  <si>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</si>
  <si>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</si>
  <si>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</si>
  <si>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</si>
  <si>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</si>
  <si>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</si>
  <si>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</si>
  <si>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</si>
  <si>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</si>
  <si>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</si>
  <si>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</si>
  <si>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</si>
  <si>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</si>
  <si>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</si>
  <si>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</si>
  <si>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</si>
  <si>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</si>
  <si>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</si>
  <si>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</si>
  <si>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</si>
  <si>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</si>
  <si>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</si>
  <si>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</si>
  <si>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</si>
  <si>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</si>
  <si>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</si>
  <si>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</si>
  <si>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</si>
  <si>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</si>
  <si>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</si>
  <si>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</si>
  <si>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</si>
  <si>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</si>
  <si>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</si>
  <si>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</si>
  <si>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</si>
  <si>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</si>
  <si>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</si>
  <si>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</si>
  <si>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</si>
  <si>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</si>
  <si>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</si>
  <si>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</si>
  <si>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</si>
  <si>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</si>
  <si>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</si>
  <si>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</si>
  <si>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</si>
  <si>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</si>
  <si>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</si>
  <si>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</si>
  <si>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</si>
  <si>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</si>
  <si>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</si>
  <si>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</si>
  <si>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</si>
  <si>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</si>
  <si>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</si>
  <si>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</si>
  <si>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</si>
  <si>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</si>
  <si>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</si>
  <si>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</si>
  <si>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</si>
  <si>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</si>
  <si>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</si>
  <si>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</si>
  <si>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</si>
  <si>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</si>
  <si>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</si>
  <si>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</si>
  <si>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</si>
  <si>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</si>
  <si>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</si>
  <si>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</si>
  <si>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</si>
  <si>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</si>
  <si>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</si>
  <si>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</si>
  <si>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</si>
  <si>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</si>
  <si>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</si>
  <si>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</si>
  <si>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</si>
  <si>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</si>
  <si>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</si>
  <si>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</si>
  <si>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</si>
  <si>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</si>
  <si>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</si>
  <si>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</si>
  <si>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</si>
  <si>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</si>
  <si>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</si>
  <si>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</si>
  <si>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</si>
  <si>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</si>
  <si>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</si>
  <si>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</si>
  <si>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</si>
  <si>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</si>
  <si>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</si>
  <si>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</si>
  <si>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</si>
  <si>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</si>
  <si>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</si>
  <si>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</si>
  <si>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</si>
  <si>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</si>
  <si>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</si>
  <si>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</si>
  <si>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</si>
  <si>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</si>
  <si>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</si>
  <si>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</si>
  <si>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</si>
  <si>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</si>
  <si>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</si>
  <si>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</si>
  <si>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</si>
  <si>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</si>
  <si>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</si>
  <si>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</si>
  <si>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</si>
  <si>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</si>
  <si>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</si>
  <si>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</si>
  <si>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</si>
  <si>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</si>
  <si>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</si>
  <si>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</si>
  <si>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</si>
  <si>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</si>
  <si>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</si>
  <si>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</si>
  <si>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</si>
  <si>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</si>
  <si>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</si>
  <si>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</si>
  <si>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</si>
  <si>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</si>
  <si>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</si>
  <si>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</si>
  <si>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</si>
  <si>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</si>
  <si>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</si>
  <si>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</si>
  <si>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</si>
  <si>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</si>
  <si>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</si>
  <si>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</si>
  <si>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</si>
  <si>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</si>
  <si>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</si>
  <si>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</si>
  <si>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</si>
  <si>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</si>
  <si>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</si>
  <si>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</si>
  <si>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</si>
  <si>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</si>
  <si>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</si>
  <si>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</si>
  <si>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</si>
  <si>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</si>
  <si>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</si>
  <si>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</si>
  <si>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</si>
  <si>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</si>
  <si>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</si>
  <si>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</si>
  <si>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</si>
  <si>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</si>
  <si>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</si>
  <si>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</si>
  <si>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</si>
  <si>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</si>
  <si>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</si>
  <si>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</si>
  <si>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</si>
  <si>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</si>
  <si>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</si>
  <si>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</si>
  <si>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</si>
  <si>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</si>
  <si>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</si>
  <si>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</si>
  <si>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</si>
  <si>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</si>
  <si>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</si>
  <si>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</si>
  <si>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</si>
  <si>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</si>
  <si>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</si>
  <si>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</si>
  <si>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</si>
  <si>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</si>
  <si>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</si>
  <si>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</si>
  <si>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</si>
  <si>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</si>
  <si>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</si>
  <si>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</si>
  <si>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</si>
  <si>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</si>
  <si>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</si>
  <si>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</si>
  <si>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</si>
  <si>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</si>
  <si>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</si>
  <si>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</si>
  <si>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</si>
  <si>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</si>
  <si>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</si>
  <si>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</si>
  <si>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</si>
  <si>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</si>
  <si>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</si>
  <si>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</si>
  <si>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</si>
  <si>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</si>
  <si>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</si>
  <si>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</si>
  <si>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</si>
  <si>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</si>
  <si>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</si>
  <si>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</si>
  <si>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</si>
  <si>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</si>
  <si>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</si>
  <si>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</si>
  <si>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</si>
  <si>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</si>
  <si>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</si>
  <si>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</si>
  <si>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</si>
  <si>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</si>
  <si>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</si>
  <si>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</si>
  <si>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</si>
  <si>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</si>
  <si>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</si>
  <si>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</si>
  <si>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</si>
  <si>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</si>
  <si>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</si>
  <si>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</si>
  <si>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</si>
  <si>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</si>
  <si>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</si>
  <si>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</si>
  <si>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</si>
  <si>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</si>
  <si>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</si>
  <si>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</si>
  <si>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</si>
  <si>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</si>
  <si>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</si>
  <si>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</si>
  <si>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</si>
  <si>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</si>
  <si>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</si>
  <si>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</si>
  <si>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</si>
  <si>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</si>
  <si>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</si>
  <si>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</si>
  <si>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</si>
  <si>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</si>
  <si>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</si>
  <si>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</si>
  <si>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</si>
  <si>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</si>
  <si>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</si>
  <si>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</si>
  <si>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</si>
  <si>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</si>
  <si>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</si>
  <si>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</si>
  <si>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</si>
  <si>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</si>
  <si>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</si>
  <si>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</si>
  <si>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</si>
  <si>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</si>
  <si>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</si>
  <si>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</si>
  <si>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</si>
  <si>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</si>
  <si>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</si>
  <si>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</si>
  <si>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</si>
  <si>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</si>
  <si>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</si>
  <si>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</si>
  <si>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</si>
  <si>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</si>
  <si>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</si>
  <si>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</si>
  <si>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</si>
  <si>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</si>
  <si>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</si>
  <si>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</si>
  <si>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</si>
  <si>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</si>
  <si>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</si>
  <si>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</si>
  <si>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</si>
  <si>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</si>
  <si>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</si>
  <si>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</si>
  <si>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</si>
  <si>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</si>
  <si>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</si>
  <si>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</si>
  <si>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</si>
  <si>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</si>
  <si>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</si>
  <si>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</si>
  <si>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</si>
  <si>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</si>
  <si>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</si>
  <si>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</si>
  <si>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</si>
  <si>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</si>
  <si>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</si>
  <si>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</si>
  <si>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</si>
  <si>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</si>
  <si>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</si>
  <si>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</si>
  <si>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</si>
  <si>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</si>
  <si>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</si>
  <si>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</si>
  <si>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</si>
  <si>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</si>
  <si>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</si>
  <si>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</si>
  <si>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</si>
  <si>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</si>
  <si>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</si>
  <si>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</si>
  <si>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</si>
  <si>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</si>
  <si>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</si>
  <si>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</si>
  <si>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</si>
  <si>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</si>
  <si>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</si>
  <si>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</si>
  <si>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</si>
  <si>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</si>
  <si>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</si>
  <si>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</si>
  <si>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</si>
  <si>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</si>
  <si>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</si>
  <si>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</si>
  <si>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</si>
  <si>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</si>
  <si>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</si>
  <si>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</si>
  <si>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</si>
  <si>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</si>
  <si>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</si>
  <si>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</si>
  <si>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</si>
  <si>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</si>
  <si>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</si>
  <si>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</si>
  <si>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</si>
  <si>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</si>
  <si>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</si>
  <si>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</si>
  <si>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</si>
  <si>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</si>
  <si>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</si>
  <si>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</si>
  <si>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</si>
  <si>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</si>
  <si>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</si>
  <si>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</si>
  <si>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</si>
  <si>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</si>
  <si>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</si>
  <si>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</si>
  <si>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</si>
  <si>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</si>
  <si>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</si>
  <si>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</si>
  <si>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</si>
  <si>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</si>
  <si>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</si>
  <si>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</si>
  <si>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</si>
  <si>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</si>
  <si>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</si>
  <si>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</si>
  <si>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</si>
  <si>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</si>
  <si>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</si>
  <si>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</si>
  <si>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</si>
  <si>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</si>
  <si>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</si>
  <si>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</si>
  <si>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</si>
  <si>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</si>
  <si>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</si>
  <si>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</si>
  <si>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</si>
  <si>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</si>
  <si>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</si>
  <si>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</si>
  <si>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</si>
  <si>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</si>
  <si>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</si>
  <si>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</si>
  <si>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</si>
  <si>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</si>
  <si>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</si>
  <si>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</si>
  <si>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</si>
  <si>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</si>
  <si>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</si>
  <si>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</si>
  <si>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</si>
  <si>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</si>
  <si>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</si>
  <si>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</si>
  <si>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</si>
  <si>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</si>
  <si>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</si>
  <si>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</si>
  <si>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</si>
  <si>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</si>
  <si>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</si>
  <si>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</si>
  <si>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</si>
  <si>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</si>
  <si>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</si>
  <si>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</si>
  <si>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</si>
  <si>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</si>
  <si>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</si>
  <si>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</si>
  <si>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</si>
  <si>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</si>
  <si>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</si>
  <si>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</si>
  <si>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</si>
  <si>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</si>
  <si>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</si>
  <si>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</si>
  <si>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</si>
  <si>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</si>
  <si>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</si>
  <si>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</si>
  <si>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</si>
  <si>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</si>
  <si>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</si>
  <si>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</si>
  <si>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</si>
  <si>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</si>
  <si>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</si>
  <si>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</si>
  <si>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</si>
  <si>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</si>
  <si>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</si>
  <si>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</si>
  <si>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</si>
  <si>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</si>
  <si>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</si>
  <si>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</si>
  <si>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</si>
  <si>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</si>
  <si>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</si>
  <si>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</si>
  <si>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</si>
  <si>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</si>
  <si>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</si>
  <si>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</si>
  <si>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</si>
  <si>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</si>
  <si>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</si>
  <si>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</si>
  <si>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</si>
  <si>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</si>
  <si>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</si>
  <si>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</si>
  <si>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</si>
  <si>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</si>
  <si>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</si>
  <si>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</si>
  <si>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</si>
  <si>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</si>
  <si>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</si>
  <si>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</si>
  <si>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</si>
  <si>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</si>
  <si>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</si>
  <si>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</si>
  <si>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</si>
  <si>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</si>
  <si>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</si>
  <si>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</si>
  <si>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</si>
  <si>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</si>
  <si>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</si>
  <si>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</si>
  <si>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</si>
  <si>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</si>
  <si>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</si>
  <si>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</si>
  <si>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</si>
  <si>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</si>
  <si>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</si>
  <si>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</si>
  <si>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</si>
  <si>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</si>
  <si>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</si>
  <si>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</si>
  <si>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</si>
  <si>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</si>
  <si>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</si>
  <si>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</si>
  <si>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</si>
  <si>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</si>
  <si>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</si>
  <si>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</si>
  <si>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</si>
  <si>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</si>
  <si>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</si>
  <si>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</si>
  <si>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</si>
  <si>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</si>
  <si>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</si>
  <si>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</si>
  <si>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</si>
  <si>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</si>
  <si>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</si>
  <si>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</si>
  <si>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</si>
  <si>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</si>
  <si>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</si>
  <si>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</si>
  <si>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</si>
  <si>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</si>
  <si>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</si>
  <si>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</si>
  <si>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</si>
  <si>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</si>
  <si>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</si>
  <si>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</si>
  <si>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</si>
  <si>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</si>
  <si>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</si>
  <si>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</si>
  <si>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</si>
  <si>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</si>
  <si>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</si>
  <si>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</si>
  <si>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</si>
  <si>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</si>
  <si>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</si>
  <si>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</si>
  <si>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</si>
  <si>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</si>
  <si>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</si>
  <si>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</si>
  <si>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</si>
  <si>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</si>
  <si>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</si>
  <si>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</si>
  <si>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</si>
  <si>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</si>
  <si>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</si>
  <si>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</si>
  <si>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</si>
  <si>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</si>
  <si>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</si>
  <si>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</si>
  <si>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</si>
  <si>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</si>
  <si>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</si>
  <si>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</si>
  <si>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</si>
  <si>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</si>
  <si>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</si>
  <si>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</si>
  <si>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</si>
  <si>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</si>
  <si>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</si>
  <si>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</si>
  <si>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</si>
  <si>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</si>
  <si>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</si>
  <si>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</si>
  <si>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</si>
  <si>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</si>
  <si>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</si>
  <si>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</si>
  <si>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</si>
  <si>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</si>
  <si>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</si>
  <si>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</si>
  <si>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</si>
  <si>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</si>
  <si>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</si>
  <si>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</si>
  <si>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</si>
  <si>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</si>
  <si>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</si>
  <si>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</si>
  <si>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</si>
  <si>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</si>
  <si>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</si>
  <si>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</si>
  <si>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</si>
  <si>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</si>
  <si>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</si>
  <si>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</si>
  <si>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</si>
  <si>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</si>
  <si>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</si>
  <si>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</si>
  <si>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</si>
  <si>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</si>
  <si>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</si>
  <si>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</si>
  <si>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</si>
  <si>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</si>
  <si>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</si>
  <si>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</si>
  <si>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</si>
  <si>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</si>
  <si>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</si>
  <si>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</si>
  <si>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</si>
  <si>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</si>
  <si>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</si>
  <si>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</si>
  <si>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</si>
  <si>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</si>
  <si>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</si>
  <si>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</si>
  <si>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</si>
  <si>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</si>
  <si>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</si>
  <si>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</si>
  <si>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</si>
  <si>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</si>
  <si>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</si>
  <si>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</si>
  <si>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</si>
  <si>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</si>
  <si>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</si>
  <si>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</si>
  <si>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</si>
  <si>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</si>
  <si>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</si>
  <si>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</si>
  <si>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</si>
  <si>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</si>
  <si>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</si>
  <si>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</si>
  <si>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</si>
  <si>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</si>
  <si>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</si>
  <si>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</si>
  <si>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</si>
  <si>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</si>
  <si>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</si>
  <si>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</si>
  <si>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</si>
  <si>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</si>
  <si>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</si>
  <si>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</si>
  <si>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</si>
  <si>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</si>
  <si>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</si>
  <si>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</si>
  <si>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</si>
  <si>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</si>
  <si>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</si>
  <si>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</si>
  <si>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</si>
  <si>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</si>
  <si>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</si>
  <si>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</si>
  <si>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</si>
  <si>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</si>
  <si>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</si>
  <si>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</si>
  <si>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</si>
  <si>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</si>
  <si>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</si>
  <si>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</si>
  <si>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</si>
  <si>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</si>
  <si>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</si>
  <si>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</si>
  <si>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</si>
  <si>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</si>
  <si>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</si>
  <si>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</si>
  <si>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</si>
  <si>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</si>
  <si>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</si>
  <si>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</si>
  <si>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</si>
  <si>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</si>
  <si>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</si>
  <si>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</si>
  <si>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</si>
  <si>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</si>
  <si>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</si>
  <si>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</si>
  <si>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</si>
  <si>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</si>
  <si>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</si>
  <si>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</si>
  <si>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</si>
  <si>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</si>
  <si>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</si>
  <si>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</si>
  <si>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</si>
  <si>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</si>
  <si>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</si>
  <si>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</si>
  <si>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</si>
  <si>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</si>
  <si>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</si>
  <si>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</si>
  <si>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</si>
  <si>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</si>
  <si>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</si>
  <si>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</si>
  <si>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</si>
  <si>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</si>
  <si>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</si>
  <si>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</si>
  <si>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</si>
  <si>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</si>
  <si>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</si>
  <si>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</si>
  <si>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</si>
  <si>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</si>
  <si>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</si>
  <si>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</si>
  <si>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</si>
  <si>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</si>
  <si>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</si>
  <si>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</si>
  <si>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</si>
  <si>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</si>
  <si>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</si>
  <si>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</si>
  <si>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</si>
  <si>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</si>
  <si>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</si>
  <si>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</si>
  <si>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</si>
  <si>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</si>
  <si>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</si>
  <si>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</si>
  <si>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</si>
  <si>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</si>
  <si>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</si>
  <si>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</si>
  <si>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</si>
  <si>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</si>
  <si>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</si>
  <si>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</si>
  <si>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</si>
  <si>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</si>
  <si>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</si>
  <si>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</si>
  <si>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</si>
  <si>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</si>
  <si>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</si>
  <si>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</si>
  <si>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</si>
  <si>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</si>
  <si>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</si>
  <si>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</si>
  <si>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</si>
  <si>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</si>
  <si>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</si>
  <si>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</si>
  <si>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</si>
  <si>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</si>
  <si>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</si>
  <si>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</si>
  <si>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</si>
  <si>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</si>
  <si>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</si>
  <si>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</si>
  <si>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</si>
  <si>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</si>
  <si>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</si>
  <si>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</si>
  <si>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</si>
  <si>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</si>
  <si>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</si>
  <si>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</si>
  <si>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</si>
  <si>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</si>
  <si>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</si>
  <si>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</si>
  <si>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</si>
  <si>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</si>
  <si>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</si>
  <si>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</si>
  <si>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</si>
  <si>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</si>
  <si>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</si>
  <si>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</si>
  <si>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</si>
  <si>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</si>
  <si>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</si>
  <si>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</si>
  <si>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</si>
  <si>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</si>
  <si>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</si>
  <si>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</si>
  <si>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</si>
  <si>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</si>
  <si>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</si>
  <si>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</si>
  <si>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</si>
  <si>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</si>
  <si>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</si>
  <si>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</si>
  <si>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</si>
  <si>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</si>
  <si>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</si>
  <si>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</si>
  <si>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</si>
  <si>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</si>
  <si>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</si>
  <si>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</si>
  <si>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</si>
  <si>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</si>
  <si>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</si>
  <si>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</si>
  <si>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</si>
  <si>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</si>
  <si>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</si>
  <si>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</si>
  <si>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</si>
  <si>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</si>
  <si>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</si>
  <si>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</si>
  <si>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</si>
  <si>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</si>
  <si>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</si>
  <si>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</si>
  <si>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</si>
  <si>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</si>
  <si>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</si>
  <si>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</si>
  <si>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</si>
  <si>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</si>
  <si>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</si>
  <si>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</si>
  <si>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</si>
  <si>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</si>
  <si>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</si>
  <si>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</si>
  <si>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</si>
  <si>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</si>
  <si>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</si>
  <si>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</si>
  <si>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</si>
  <si>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</si>
  <si>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</si>
  <si>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</si>
  <si>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</si>
  <si>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</si>
  <si>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</si>
  <si>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</si>
  <si>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</si>
  <si>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</si>
  <si>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</si>
  <si>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</si>
  <si>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</si>
  <si>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</si>
  <si>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</si>
  <si>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</si>
  <si>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</si>
  <si>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</si>
  <si>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</si>
  <si>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</si>
  <si>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</si>
  <si>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</si>
  <si>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</si>
  <si>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</si>
  <si>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</si>
  <si>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</si>
  <si>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</si>
  <si>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</si>
  <si>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</si>
  <si>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</si>
  <si>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</si>
  <si>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</si>
  <si>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</si>
  <si>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</si>
  <si>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</si>
  <si>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</si>
  <si>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</si>
  <si>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</si>
  <si>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</si>
  <si>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</si>
  <si>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</si>
  <si>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</si>
  <si>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</si>
  <si>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</si>
  <si>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</si>
  <si>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</si>
  <si>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</si>
  <si>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</si>
  <si>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</si>
  <si>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</si>
  <si>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</si>
  <si>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</si>
  <si>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</si>
  <si>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</si>
  <si>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</si>
  <si>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</si>
  <si>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</si>
  <si>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</si>
  <si>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</si>
  <si>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</si>
  <si>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</si>
  <si>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</si>
  <si>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</si>
  <si>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</si>
  <si>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</si>
  <si>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</si>
  <si>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</si>
  <si>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</si>
  <si>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</si>
  <si>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</si>
  <si>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</si>
  <si>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</si>
  <si>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</si>
  <si>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</si>
  <si>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</si>
  <si>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</si>
  <si>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</si>
  <si>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</si>
  <si>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</si>
  <si>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</si>
  <si>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</si>
  <si>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</si>
  <si>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</si>
  <si>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</si>
  <si>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</si>
  <si>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</si>
  <si>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</si>
  <si>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</si>
  <si>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</si>
  <si>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</si>
  <si>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</si>
  <si>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</si>
  <si>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</si>
  <si>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</si>
  <si>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</si>
  <si>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</si>
  <si>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</si>
  <si>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</si>
  <si>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</si>
  <si>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</si>
  <si>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</si>
  <si>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</si>
  <si>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</si>
  <si>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</si>
  <si>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</si>
  <si>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</si>
  <si>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</si>
  <si>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</si>
  <si>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</si>
  <si>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</si>
  <si>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</si>
  <si>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</si>
  <si>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</si>
  <si>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</si>
  <si>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</si>
  <si>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</si>
  <si>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</si>
  <si>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</si>
  <si>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</si>
  <si>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</si>
  <si>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</si>
  <si>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</si>
  <si>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</si>
  <si>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</si>
  <si>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</si>
  <si>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</si>
  <si>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</si>
  <si>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</si>
  <si>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</si>
  <si>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</si>
  <si>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</si>
  <si>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</si>
  <si>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</si>
  <si>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</si>
  <si>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</si>
  <si>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</si>
  <si>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</si>
  <si>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</si>
  <si>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</si>
  <si>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</si>
  <si>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</si>
  <si>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</si>
  <si>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</si>
  <si>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</si>
  <si>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</si>
  <si>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</si>
  <si>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</si>
  <si>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</si>
  <si>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</si>
  <si>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</si>
  <si>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</si>
  <si>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</si>
  <si>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</si>
  <si>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</si>
  <si>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</si>
  <si>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</si>
  <si>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</si>
  <si>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</si>
  <si>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</si>
  <si>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</si>
  <si>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</si>
  <si>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</si>
  <si>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</si>
  <si>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</si>
  <si>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</si>
  <si>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</si>
  <si>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</si>
  <si>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</si>
  <si>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</si>
  <si>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</si>
  <si>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</si>
  <si>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</si>
  <si>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</si>
  <si>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</si>
  <si>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</si>
  <si>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</si>
  <si>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</si>
  <si>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</si>
  <si>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</si>
  <si>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</si>
  <si>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</si>
  <si>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</si>
  <si>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</si>
  <si>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</si>
  <si>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</si>
  <si>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</si>
  <si>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</si>
  <si>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</si>
  <si>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</si>
  <si>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</si>
  <si>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</si>
  <si>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</si>
  <si>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</si>
  <si>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</si>
  <si>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</si>
  <si>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</si>
  <si>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</si>
  <si>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</si>
  <si>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</si>
  <si>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</si>
  <si>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</si>
  <si>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</si>
  <si>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</si>
  <si>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</si>
  <si>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</si>
  <si>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</si>
  <si>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</si>
  <si>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</si>
  <si>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</si>
  <si>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</si>
  <si>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</si>
  <si>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</si>
  <si>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</si>
  <si>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</si>
  <si>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</si>
  <si>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</si>
  <si>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</si>
  <si>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</si>
  <si>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</si>
  <si>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</si>
  <si>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</si>
  <si>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</si>
  <si>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</si>
  <si>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</si>
  <si>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</si>
  <si>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</si>
  <si>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</si>
  <si>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</si>
  <si>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</si>
  <si>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</si>
  <si>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</si>
  <si>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</si>
  <si>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</si>
  <si>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</si>
  <si>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</si>
  <si>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</si>
  <si>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</si>
  <si>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</si>
  <si>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</si>
  <si>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</si>
  <si>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</si>
  <si>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</si>
  <si>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</si>
  <si>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</si>
  <si>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</si>
  <si>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</si>
  <si>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</si>
  <si>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</si>
  <si>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</si>
  <si>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</si>
  <si>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</si>
  <si>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</si>
  <si>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</si>
  <si>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</si>
  <si>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</si>
  <si>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</si>
  <si>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</si>
  <si>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</si>
  <si>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</si>
  <si>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</si>
  <si>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</si>
  <si>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</si>
  <si>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</si>
  <si>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</si>
  <si>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</si>
  <si>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</si>
  <si>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</si>
  <si>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</si>
  <si>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</si>
  <si>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</si>
  <si>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</si>
  <si>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</si>
  <si>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</si>
  <si>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</si>
  <si>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</si>
  <si>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</si>
  <si>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</si>
  <si>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</si>
  <si>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</si>
  <si>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</si>
  <si>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</si>
  <si>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</si>
  <si>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</si>
  <si>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</si>
  <si>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</si>
  <si>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</si>
  <si>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</si>
  <si>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</si>
  <si>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</si>
  <si>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</si>
  <si>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</si>
  <si>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</si>
  <si>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</si>
  <si>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</si>
  <si>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</si>
  <si>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</si>
  <si>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</si>
  <si>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</si>
  <si>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</si>
  <si>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</si>
  <si>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</si>
  <si>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</si>
  <si>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</si>
  <si>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</si>
  <si>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</si>
  <si>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</si>
  <si>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</si>
  <si>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</si>
  <si>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</si>
  <si>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</si>
  <si>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</si>
  <si>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</si>
  <si>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</si>
  <si>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</si>
  <si>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</si>
  <si>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</si>
  <si>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</si>
  <si>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</si>
  <si>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</si>
  <si>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</si>
  <si>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</si>
  <si>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</si>
  <si>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</si>
  <si>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</si>
  <si>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</si>
  <si>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</si>
  <si>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</si>
  <si>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</si>
  <si>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</si>
  <si>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</si>
  <si>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</si>
  <si>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</si>
  <si>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</si>
  <si>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</si>
  <si>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</si>
  <si>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</si>
  <si>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</si>
  <si>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</si>
  <si>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</si>
  <si>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</si>
  <si>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</si>
  <si>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</si>
  <si>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</si>
  <si>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</si>
  <si>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</si>
  <si>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</si>
  <si>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</si>
  <si>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</si>
  <si>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</si>
  <si>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</si>
  <si>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</si>
  <si>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</si>
  <si>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</si>
  <si>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</si>
  <si>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</si>
  <si>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</si>
  <si>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</si>
  <si>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</si>
  <si>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</si>
  <si>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</si>
  <si>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</si>
  <si>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</si>
  <si>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</si>
  <si>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</si>
  <si>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</si>
  <si>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</si>
  <si>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</si>
  <si>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</si>
  <si>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</si>
  <si>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</si>
  <si>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</si>
  <si>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</si>
  <si>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</si>
  <si>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</si>
  <si>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</si>
  <si>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</si>
  <si>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</si>
  <si>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</si>
  <si>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</si>
  <si>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</si>
  <si>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</si>
  <si>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</si>
  <si>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</si>
  <si>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</si>
  <si>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</si>
  <si>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</si>
  <si>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</si>
  <si>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</si>
  <si>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</si>
  <si>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</si>
  <si>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</si>
  <si>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</si>
  <si>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</si>
  <si>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</si>
  <si>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</si>
  <si>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</si>
  <si>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</si>
  <si>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</si>
  <si>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</si>
  <si>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</si>
  <si>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</si>
  <si>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</si>
  <si>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</si>
  <si>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</si>
  <si>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</si>
  <si>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</si>
  <si>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</si>
  <si>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</si>
  <si>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</si>
  <si>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</si>
  <si>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</si>
  <si>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</si>
  <si>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</si>
  <si>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</si>
  <si>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</si>
  <si>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</si>
  <si>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</si>
  <si>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</si>
  <si>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</si>
  <si>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</si>
  <si>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</si>
  <si>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</si>
  <si>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</si>
  <si>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</si>
  <si>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</si>
  <si>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</si>
  <si>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</si>
  <si>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</si>
  <si>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</si>
  <si>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</si>
  <si>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</si>
  <si>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</si>
  <si>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</si>
  <si>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</si>
  <si>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</si>
  <si>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</si>
  <si>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</si>
  <si>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</si>
  <si>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</si>
  <si>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</si>
  <si>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</si>
  <si>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</si>
  <si>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</si>
  <si>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</si>
  <si>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</si>
  <si>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</si>
  <si>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</si>
  <si>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</si>
  <si>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</si>
  <si>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</si>
  <si>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</si>
  <si>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</si>
  <si>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</si>
  <si>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</si>
  <si>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</si>
  <si>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</si>
  <si>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</si>
  <si>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</si>
  <si>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</si>
  <si>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</si>
  <si>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</si>
  <si>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</si>
  <si>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</si>
  <si>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</si>
  <si>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</si>
  <si>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</si>
  <si>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</si>
  <si>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</si>
  <si>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</si>
  <si>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</si>
  <si>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</si>
  <si>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</si>
  <si>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</si>
  <si>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</si>
  <si>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</si>
  <si>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</si>
  <si>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</si>
  <si>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</si>
  <si>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</si>
  <si>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</si>
  <si>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</si>
  <si>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</si>
  <si>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</si>
  <si>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</si>
  <si>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</si>
  <si>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</si>
  <si>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</si>
  <si>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</si>
  <si>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</si>
  <si>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</si>
  <si>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</si>
  <si>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</si>
  <si>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</si>
  <si>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</si>
  <si>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</si>
  <si>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</si>
  <si>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</si>
  <si>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</si>
  <si>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</si>
  <si>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</si>
  <si>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</si>
  <si>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</si>
  <si>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</si>
  <si>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</si>
  <si>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</si>
  <si>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</si>
  <si>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</si>
  <si>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</si>
  <si>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</si>
  <si>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</si>
  <si>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</si>
  <si>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</si>
  <si>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</si>
  <si>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</si>
  <si>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</si>
  <si>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</si>
  <si>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</si>
  <si>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</si>
  <si>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</si>
  <si>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</si>
  <si>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</si>
  <si>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</si>
  <si>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</si>
  <si>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</si>
  <si>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</si>
  <si>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</si>
  <si>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</si>
  <si>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</si>
  <si>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</si>
  <si>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</si>
  <si>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</si>
  <si>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</si>
  <si>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</si>
  <si>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</si>
  <si>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</si>
  <si>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</si>
  <si>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</si>
  <si>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</si>
  <si>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</si>
  <si>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</si>
  <si>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</si>
  <si>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</si>
  <si>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</si>
  <si>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</si>
  <si>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</si>
  <si>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</si>
  <si>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</si>
  <si>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</si>
  <si>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</si>
  <si>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</si>
  <si>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</si>
  <si>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</si>
  <si>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</si>
  <si>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</si>
  <si>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</si>
  <si>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</si>
  <si>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</si>
  <si>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</si>
  <si>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</si>
  <si>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</si>
  <si>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</si>
  <si>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</si>
  <si>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</si>
  <si>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</si>
  <si>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</si>
  <si>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</si>
  <si>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</si>
  <si>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</si>
  <si>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</si>
  <si>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</si>
  <si>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</si>
  <si>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</si>
  <si>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</si>
  <si>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</si>
  <si>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</si>
  <si>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</si>
  <si>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</si>
  <si>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</si>
  <si>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</si>
  <si>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</si>
  <si>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</si>
  <si>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</si>
  <si>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</si>
  <si>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</si>
  <si>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</si>
  <si>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</si>
  <si>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</si>
  <si>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</si>
  <si>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</si>
  <si>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</si>
  <si>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</si>
  <si>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</si>
  <si>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</si>
  <si>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</si>
  <si>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</si>
  <si>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</si>
  <si>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</si>
  <si>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</si>
  <si>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</si>
  <si>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</si>
  <si>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</si>
  <si>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</si>
  <si>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</si>
  <si>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</si>
  <si>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</si>
  <si>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</si>
  <si>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</si>
  <si>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</si>
  <si>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</si>
  <si>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</si>
  <si>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</si>
  <si>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</si>
  <si>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</si>
  <si>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</si>
  <si>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</si>
  <si>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</si>
  <si>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</si>
  <si>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</si>
  <si>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</si>
  <si>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</si>
  <si>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</si>
  <si>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</si>
  <si>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</si>
  <si>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</si>
  <si>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</si>
  <si>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</si>
  <si>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</si>
  <si>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</si>
  <si>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</si>
  <si>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</si>
  <si>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</si>
  <si>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</si>
  <si>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</si>
  <si>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</si>
  <si>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</si>
  <si>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</si>
  <si>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</si>
  <si>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</si>
  <si>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</si>
  <si>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</si>
  <si>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</si>
  <si>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</si>
  <si>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</si>
  <si>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</si>
  <si>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</si>
  <si>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</si>
  <si>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</si>
  <si>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</si>
  <si>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</si>
  <si>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</si>
  <si>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</si>
  <si>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</si>
  <si>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</si>
  <si>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</si>
  <si>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</si>
  <si>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</si>
  <si>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</si>
  <si>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</si>
  <si>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</si>
  <si>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</si>
  <si>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</si>
  <si>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</si>
  <si>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</si>
  <si>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</si>
  <si>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</si>
  <si>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</si>
  <si>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</si>
  <si>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</si>
  <si>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</si>
  <si>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</si>
  <si>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</si>
  <si>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</si>
  <si>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</si>
  <si>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</si>
  <si>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</si>
  <si>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</si>
  <si>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</si>
  <si>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</si>
  <si>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</si>
  <si>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</si>
  <si>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</si>
  <si>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</si>
  <si>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</si>
  <si>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</si>
  <si>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</si>
  <si>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</si>
  <si>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</si>
  <si>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</si>
  <si>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</si>
  <si>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</si>
  <si>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</si>
  <si>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</si>
  <si>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</si>
  <si>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</si>
  <si>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</si>
  <si>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</si>
  <si>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</si>
  <si>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</si>
  <si>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</si>
  <si>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</si>
  <si>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</si>
  <si>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</si>
  <si>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</si>
  <si>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</si>
  <si>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</si>
  <si>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</si>
  <si>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</si>
  <si>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</si>
  <si>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</si>
  <si>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</si>
  <si>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</si>
  <si>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</si>
  <si>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</si>
  <si>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</si>
  <si>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</si>
  <si>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</si>
  <si>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</si>
  <si>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</si>
  <si>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</si>
  <si>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</si>
  <si>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</si>
  <si>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</si>
  <si>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</si>
  <si>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</si>
  <si>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</si>
  <si>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</si>
  <si>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</si>
  <si>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</si>
  <si>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</si>
  <si>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</si>
  <si>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</si>
  <si>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</si>
  <si>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</si>
  <si>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</si>
  <si>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</si>
  <si>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</si>
  <si>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</si>
  <si>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</si>
  <si>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</si>
  <si>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</si>
  <si>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</si>
  <si>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</si>
  <si>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</si>
  <si>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</si>
  <si>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</si>
  <si>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</si>
  <si>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</si>
  <si>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</si>
  <si>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</si>
  <si>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</si>
  <si>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</si>
  <si>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</si>
  <si>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</si>
  <si>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</si>
  <si>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</si>
  <si>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</si>
  <si>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</si>
  <si>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</si>
  <si>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</si>
  <si>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</si>
  <si>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</si>
  <si>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</si>
  <si>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</si>
  <si>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</si>
  <si>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</si>
  <si>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</si>
  <si>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</si>
  <si>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</si>
  <si>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</si>
  <si>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</si>
  <si>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</si>
  <si>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</si>
  <si>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</si>
  <si>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</si>
  <si>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</si>
  <si>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</si>
  <si>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</si>
  <si>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</si>
  <si>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</si>
  <si>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</si>
  <si>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</si>
  <si>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</si>
  <si>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</si>
  <si>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</si>
  <si>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</si>
  <si>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</si>
  <si>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</si>
  <si>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</si>
  <si>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</si>
  <si>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</si>
  <si>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</si>
  <si>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</si>
  <si>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</si>
  <si>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</si>
  <si>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</si>
  <si>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</si>
  <si>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</si>
  <si>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</si>
  <si>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</si>
  <si>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</si>
  <si>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</si>
  <si>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</si>
  <si>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</si>
  <si>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</si>
  <si>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</si>
  <si>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</si>
  <si>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</si>
  <si>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</si>
  <si>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</si>
  <si>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</si>
  <si>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</si>
  <si>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</si>
  <si>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</si>
  <si>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</si>
  <si>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</si>
  <si>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</si>
  <si>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</si>
  <si>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</si>
  <si>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</si>
  <si>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</si>
  <si>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</si>
  <si>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</si>
  <si>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</si>
  <si>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</si>
  <si>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</si>
  <si>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</si>
  <si>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</si>
  <si>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</si>
  <si>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</si>
  <si>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</si>
  <si>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</si>
  <si>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</si>
  <si>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</si>
  <si>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</si>
  <si>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</si>
  <si>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</si>
  <si>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</si>
  <si>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</si>
  <si>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</si>
  <si>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</si>
  <si>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</si>
  <si>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</si>
  <si>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</si>
  <si>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</si>
  <si>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</si>
  <si>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</si>
  <si>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</si>
  <si>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</si>
  <si>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</si>
  <si>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</si>
  <si>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</si>
  <si>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</si>
  <si>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</si>
  <si>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</si>
  <si>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</si>
  <si>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</si>
  <si>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</si>
  <si>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</si>
  <si>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</si>
  <si>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</si>
  <si>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</si>
  <si>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</si>
  <si>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</si>
  <si>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</si>
  <si>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</si>
  <si>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</si>
  <si>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</si>
  <si>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</si>
  <si>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</si>
  <si>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</si>
  <si>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</si>
  <si>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</si>
  <si>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</si>
  <si>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</si>
  <si>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</si>
  <si>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</si>
  <si>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</si>
  <si>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</si>
  <si>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</si>
  <si>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</si>
  <si>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</si>
  <si>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</si>
  <si>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</si>
  <si>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</si>
  <si>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</si>
  <si>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</si>
  <si>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</si>
  <si>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</si>
  <si>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</si>
  <si>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</si>
  <si>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</si>
  <si>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</si>
  <si>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</si>
  <si>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</si>
  <si>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</si>
  <si>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</si>
  <si>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</si>
  <si>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</si>
  <si>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</si>
  <si>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</si>
  <si>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</si>
  <si>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</si>
  <si>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</si>
  <si>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</si>
  <si>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</si>
  <si>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</si>
  <si>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</si>
  <si>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</si>
  <si>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</si>
  <si>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</si>
  <si>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</si>
  <si>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</si>
  <si>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</si>
  <si>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</si>
  <si>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</si>
  <si>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</si>
  <si>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</si>
  <si>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</si>
  <si>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</si>
  <si>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</si>
  <si>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</si>
  <si>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</si>
  <si>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</si>
  <si>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</si>
  <si>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</si>
  <si>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</si>
  <si>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</si>
  <si>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</si>
  <si>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</si>
  <si>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</si>
  <si>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</si>
  <si>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</si>
  <si>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</si>
  <si>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</si>
  <si>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</si>
  <si>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</si>
  <si>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</si>
  <si>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</si>
  <si>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</si>
  <si>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</si>
  <si>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</si>
  <si>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</si>
  <si>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</si>
  <si>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</si>
  <si>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</si>
  <si>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</si>
  <si>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</si>
  <si>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</si>
  <si>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</si>
  <si>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</si>
  <si>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</si>
  <si>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</si>
  <si>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</si>
  <si>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</si>
  <si>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</si>
  <si>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</si>
  <si>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</si>
  <si>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</si>
  <si>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</si>
  <si>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</si>
  <si>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</si>
  <si>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</si>
  <si>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</si>
  <si>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</si>
  <si>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</si>
  <si>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</si>
  <si>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</si>
  <si>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</si>
  <si>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</si>
  <si>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</si>
  <si>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</si>
  <si>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</si>
  <si>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</si>
  <si>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</si>
  <si>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</si>
  <si>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</si>
  <si>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</si>
  <si>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</si>
  <si>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</si>
  <si>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</si>
  <si>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</si>
  <si>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</si>
  <si>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</si>
  <si>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</si>
  <si>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</si>
  <si>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</si>
  <si>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</si>
  <si>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</si>
  <si>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</si>
  <si>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</si>
  <si>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</si>
  <si>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</si>
  <si>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</si>
  <si>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</si>
  <si>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</si>
  <si>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</si>
  <si>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</si>
  <si>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</si>
  <si>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</si>
  <si>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</si>
  <si>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</si>
  <si>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</si>
  <si>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</si>
  <si>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</si>
  <si>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</si>
  <si>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</si>
  <si>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</si>
  <si>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</si>
  <si>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</si>
  <si>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</si>
  <si>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</si>
  <si>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</si>
  <si>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</si>
  <si>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</si>
  <si>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</si>
  <si>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</si>
  <si>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</si>
  <si>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</si>
  <si>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</si>
  <si>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</si>
  <si>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</si>
  <si>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</si>
  <si>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</si>
  <si>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</si>
  <si>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</si>
  <si>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</si>
  <si>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</si>
  <si>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</si>
  <si>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</si>
  <si>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</si>
  <si>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</si>
  <si>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</si>
  <si>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</si>
  <si>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</si>
  <si>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</si>
  <si>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</si>
  <si>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</si>
  <si>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</si>
  <si>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</si>
  <si>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</si>
  <si>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</si>
  <si>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</si>
  <si>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</si>
  <si>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</si>
  <si>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</si>
  <si>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</si>
  <si>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</si>
  <si>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</si>
  <si>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</si>
  <si>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</si>
  <si>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</si>
  <si>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</si>
  <si>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</si>
  <si>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</si>
  <si>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</si>
  <si>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</si>
  <si>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</si>
  <si>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</si>
  <si>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</si>
  <si>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</si>
  <si>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</si>
  <si>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</si>
  <si>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</si>
  <si>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</si>
  <si>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</si>
  <si>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</si>
  <si>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</si>
  <si>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</si>
  <si>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</si>
  <si>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</si>
  <si>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</si>
  <si>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</si>
  <si>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</si>
  <si>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</si>
  <si>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</si>
  <si>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</si>
  <si>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</si>
  <si>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</si>
  <si>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</si>
  <si>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</si>
  <si>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</si>
  <si>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</si>
  <si>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</si>
  <si>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</si>
  <si>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</si>
  <si>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</si>
  <si>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</si>
  <si>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</si>
  <si>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</si>
  <si>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</si>
  <si>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</si>
  <si>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</si>
  <si>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</si>
  <si>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</si>
  <si>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</si>
  <si>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</si>
  <si>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</si>
  <si>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</si>
  <si>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</si>
  <si>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</si>
  <si>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</si>
  <si>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</si>
  <si>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</si>
  <si>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</si>
  <si>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</si>
  <si>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</si>
  <si>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</si>
  <si>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</si>
  <si>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</si>
  <si>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</si>
  <si>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</si>
  <si>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</si>
  <si>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</si>
  <si>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</si>
  <si>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</si>
  <si>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</si>
  <si>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</si>
  <si>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</si>
  <si>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</si>
  <si>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</si>
  <si>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</si>
  <si>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</si>
  <si>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</si>
  <si>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</si>
  <si>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</si>
  <si>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</si>
  <si>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</si>
  <si>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</si>
  <si>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</si>
  <si>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</si>
  <si>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</si>
  <si>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</si>
  <si>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</si>
  <si>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</si>
  <si>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</si>
  <si>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</si>
  <si>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</si>
  <si>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</si>
  <si>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</si>
  <si>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</si>
  <si>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</si>
  <si>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</si>
  <si>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</si>
  <si>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</si>
  <si>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</si>
  <si>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</si>
  <si>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</si>
  <si>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</si>
  <si>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</si>
  <si>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</si>
  <si>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</si>
  <si>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</si>
  <si>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</si>
  <si>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</si>
  <si>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</si>
  <si>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</si>
  <si>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</si>
  <si>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</si>
  <si>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</si>
  <si>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</si>
  <si>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</si>
  <si>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</si>
  <si>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</si>
  <si>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</si>
  <si>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</si>
  <si>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</si>
  <si>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</si>
  <si>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</si>
  <si>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</si>
  <si>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</si>
  <si>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</si>
  <si>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</si>
  <si>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</si>
  <si>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</si>
  <si>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</si>
  <si>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</si>
  <si>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</si>
  <si>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</si>
  <si>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</si>
  <si>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</si>
  <si>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</si>
  <si>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</si>
  <si>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</si>
  <si>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</si>
  <si>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</si>
  <si>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</si>
  <si>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</si>
  <si>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</si>
  <si>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</si>
  <si>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</si>
  <si>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</si>
  <si>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</si>
  <si>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</si>
  <si>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</si>
  <si>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</si>
  <si>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</si>
  <si>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</si>
  <si>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</si>
  <si>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</si>
  <si>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</si>
  <si>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</si>
  <si>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</si>
  <si>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</si>
  <si>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</si>
  <si>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</si>
  <si>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</si>
  <si>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</si>
  <si>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</si>
  <si>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</si>
  <si>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</si>
  <si>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</si>
  <si>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</si>
  <si>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</si>
  <si>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</si>
  <si>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</si>
  <si>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</si>
  <si>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</si>
  <si>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</si>
  <si>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</si>
  <si>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</si>
  <si>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</si>
  <si>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</si>
  <si>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</si>
  <si>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</si>
  <si>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</si>
  <si>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</si>
  <si>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</si>
  <si>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</si>
  <si>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</si>
  <si>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</si>
  <si>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</si>
  <si>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</si>
  <si>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</si>
  <si>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</si>
  <si>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</si>
  <si>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</si>
  <si>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</si>
  <si>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</si>
  <si>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</si>
  <si>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</si>
  <si>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</si>
  <si>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</si>
  <si>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</si>
  <si>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</si>
  <si>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</si>
  <si>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</si>
  <si>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</si>
  <si>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</si>
  <si>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</si>
  <si>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</si>
  <si>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</si>
  <si>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</si>
  <si>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</si>
  <si>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</si>
  <si>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</si>
  <si>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</si>
  <si>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</si>
  <si>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</si>
  <si>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</si>
  <si>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</si>
  <si>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</si>
  <si>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</si>
  <si>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</si>
  <si>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</si>
  <si>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</si>
  <si>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</si>
  <si>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</si>
  <si>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</si>
  <si>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</si>
  <si>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</si>
  <si>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</si>
  <si>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</si>
  <si>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</si>
  <si>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</si>
  <si>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</si>
  <si>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</si>
  <si>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</si>
  <si>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</si>
  <si>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</si>
  <si>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</si>
  <si>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</si>
  <si>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</si>
  <si>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</si>
  <si>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</si>
  <si>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</si>
  <si>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</si>
  <si>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</si>
  <si>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</si>
  <si>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</si>
  <si>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</si>
  <si>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</si>
  <si>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</si>
  <si>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</si>
  <si>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</si>
  <si>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</si>
  <si>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</si>
  <si>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</si>
  <si>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</si>
  <si>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</si>
  <si>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</si>
  <si>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</si>
  <si>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</si>
  <si>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</si>
  <si>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</si>
  <si>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</si>
  <si>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</si>
  <si>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</si>
  <si>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</si>
  <si>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</si>
  <si>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</si>
  <si>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</si>
  <si>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</si>
  <si>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</si>
  <si>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</si>
  <si>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</si>
  <si>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</si>
  <si>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</si>
  <si>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</si>
  <si>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</si>
  <si>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</si>
  <si>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</si>
  <si>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</si>
  <si>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</si>
  <si>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</si>
  <si>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</si>
  <si>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</si>
  <si>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</si>
  <si>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</si>
  <si>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</si>
  <si>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</si>
  <si>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</si>
  <si>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</si>
  <si>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</si>
  <si>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</si>
  <si>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</si>
  <si>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</si>
  <si>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</si>
  <si>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</si>
  <si>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</si>
  <si>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</si>
  <si>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</si>
  <si>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</si>
  <si>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</si>
  <si>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</si>
  <si>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</si>
  <si>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</si>
  <si>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</si>
  <si>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</si>
  <si>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</si>
  <si>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</si>
  <si>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</si>
  <si>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</si>
  <si>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</si>
  <si>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</si>
  <si>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</si>
  <si>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</si>
  <si>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</si>
  <si>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</si>
  <si>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</si>
  <si>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</si>
  <si>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</si>
  <si>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</si>
  <si>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</si>
  <si>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</si>
  <si>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</si>
  <si>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</si>
  <si>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</si>
  <si>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</si>
  <si>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</si>
  <si>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</si>
  <si>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</si>
  <si>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</si>
  <si>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</si>
  <si>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</si>
  <si>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</si>
  <si>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</si>
  <si>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</si>
  <si>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</si>
  <si>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</si>
  <si>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</si>
  <si>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</si>
  <si>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</si>
  <si>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</si>
  <si>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</si>
  <si>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</si>
  <si>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</si>
  <si>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</si>
  <si>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</si>
  <si>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</si>
  <si>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</si>
  <si>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</si>
  <si>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</si>
  <si>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</si>
  <si>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</si>
  <si>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</si>
  <si>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</si>
  <si>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</si>
  <si>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</si>
  <si>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</si>
  <si>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</si>
  <si>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</si>
  <si>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</si>
  <si>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</si>
  <si>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</si>
  <si>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</si>
  <si>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</si>
  <si>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</si>
  <si>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</si>
  <si>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</si>
  <si>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</si>
  <si>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</si>
  <si>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</si>
  <si>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</si>
  <si>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</si>
  <si>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</si>
  <si>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</si>
  <si>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</si>
  <si>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</si>
  <si>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</si>
  <si>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</si>
  <si>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</si>
  <si>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</si>
  <si>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</si>
  <si>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</si>
  <si>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</si>
  <si>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</si>
  <si>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</si>
  <si>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</si>
  <si>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</si>
  <si>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</si>
  <si>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</si>
  <si>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</si>
  <si>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</si>
  <si>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</si>
  <si>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</si>
  <si>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</si>
  <si>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</si>
  <si>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</si>
  <si>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</si>
  <si>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</si>
  <si>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</si>
  <si>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</si>
  <si>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</si>
  <si>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</si>
  <si>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</si>
  <si>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</si>
  <si>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</si>
  <si>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</si>
  <si>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</si>
  <si>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</si>
  <si>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</si>
  <si>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</si>
  <si>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</si>
  <si>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</si>
  <si>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</si>
  <si>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</si>
  <si>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</si>
  <si>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</si>
  <si>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</si>
  <si>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</si>
  <si>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</si>
  <si>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</si>
  <si>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</si>
  <si>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</si>
  <si>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</si>
  <si>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</si>
  <si>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</si>
  <si>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</si>
  <si>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</si>
  <si>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</si>
  <si>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</si>
  <si>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</si>
  <si>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</si>
  <si>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</si>
  <si>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</si>
  <si>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</si>
  <si>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</si>
  <si>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</si>
  <si>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</si>
  <si>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</si>
  <si>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</si>
  <si>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</si>
  <si>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</si>
  <si>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</si>
  <si>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</si>
  <si>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</si>
  <si>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</si>
  <si>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</si>
  <si>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</si>
  <si>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</si>
  <si>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</si>
  <si>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</si>
  <si>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</si>
  <si>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</si>
  <si>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</si>
  <si>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</si>
  <si>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</si>
  <si>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</si>
  <si>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</si>
  <si>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</si>
  <si>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</si>
  <si>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</si>
  <si>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</si>
  <si>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</si>
  <si>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</si>
  <si>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</si>
  <si>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</si>
  <si>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</si>
  <si>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</si>
  <si>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</si>
  <si>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</si>
  <si>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</si>
  <si>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</si>
  <si>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</si>
  <si>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</si>
  <si>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</si>
  <si>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</si>
  <si>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</si>
  <si>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</si>
  <si>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</si>
  <si>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</si>
  <si>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</si>
  <si>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</si>
  <si>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</si>
  <si>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</si>
  <si>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</si>
  <si>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</si>
  <si>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</si>
  <si>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</si>
  <si>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</si>
  <si>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</si>
  <si>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</si>
  <si>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</si>
  <si>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</si>
  <si>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</si>
  <si>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</si>
  <si>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</si>
  <si>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</si>
  <si>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</si>
  <si>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</si>
  <si>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</si>
  <si>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</si>
  <si>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</si>
  <si>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</si>
  <si>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</si>
  <si>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</si>
  <si>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</si>
  <si>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</si>
  <si>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</si>
  <si>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</si>
  <si>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</si>
  <si>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</si>
  <si>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</si>
  <si>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</si>
  <si>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</si>
  <si>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</si>
  <si>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</si>
  <si>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</si>
  <si>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</si>
  <si>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</si>
  <si>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</si>
  <si>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</si>
  <si>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</si>
  <si>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</si>
  <si>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</si>
  <si>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</si>
  <si>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</si>
  <si>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</si>
  <si>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</si>
  <si>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</si>
  <si>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</si>
  <si>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</si>
  <si>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</si>
  <si>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</si>
  <si>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</si>
  <si>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</si>
  <si>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</si>
  <si>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</si>
  <si>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</si>
  <si>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</si>
  <si>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</si>
  <si>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</si>
  <si>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</si>
  <si>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</si>
  <si>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</si>
  <si>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</si>
  <si>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</si>
  <si>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</si>
  <si>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</si>
  <si>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</si>
  <si>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</si>
  <si>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</si>
  <si>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</si>
  <si>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</si>
  <si>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</si>
  <si>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</si>
  <si>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</si>
  <si>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</si>
  <si>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</si>
  <si>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</si>
  <si>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</si>
  <si>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</si>
  <si>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</si>
  <si>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</si>
  <si>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</si>
  <si>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</si>
  <si>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</si>
  <si>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</si>
  <si>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</si>
  <si>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</si>
  <si>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</si>
  <si>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</si>
  <si>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</si>
  <si>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</si>
  <si>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</si>
  <si>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</si>
  <si>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</si>
  <si>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</si>
  <si>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</si>
  <si>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</si>
  <si>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</si>
  <si>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</si>
  <si>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</si>
  <si>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</si>
  <si>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</si>
  <si>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</si>
  <si>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</si>
  <si>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</si>
  <si>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</si>
  <si>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</si>
  <si>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</si>
  <si>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</si>
  <si>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</si>
  <si>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</si>
  <si>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</si>
  <si>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</si>
  <si>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</si>
  <si>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</si>
  <si>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</si>
  <si>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</si>
  <si>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</si>
  <si>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</si>
  <si>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</si>
  <si>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</si>
  <si>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</si>
  <si>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</si>
  <si>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</si>
  <si>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</si>
  <si>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</si>
  <si>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</si>
  <si>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</si>
  <si>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</si>
  <si>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</si>
  <si>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</si>
  <si>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</si>
  <si>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</si>
  <si>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</si>
  <si>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</si>
  <si>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</si>
  <si>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</si>
  <si>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</si>
  <si>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</si>
  <si>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</si>
  <si>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</si>
  <si>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</si>
  <si>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</si>
  <si>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</si>
  <si>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</si>
  <si>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</si>
  <si>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</si>
  <si>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</si>
  <si>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</si>
  <si>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</si>
  <si>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</si>
  <si>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</si>
  <si>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</si>
  <si>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</si>
  <si>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</si>
  <si>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</si>
  <si>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</si>
  <si>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</si>
  <si>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</si>
  <si>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</si>
  <si>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</si>
  <si>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</si>
  <si>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</si>
  <si>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</si>
  <si>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</si>
  <si>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</si>
  <si>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</si>
  <si>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</si>
  <si>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</si>
  <si>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</si>
  <si>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</si>
  <si>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</si>
  <si>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</si>
  <si>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</si>
  <si>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</si>
  <si>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</si>
  <si>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</si>
  <si>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</si>
  <si>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</si>
  <si>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</si>
  <si>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</si>
  <si>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</si>
  <si>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</si>
  <si>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</si>
  <si>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</si>
  <si>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</si>
  <si>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</si>
  <si>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</si>
  <si>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</si>
  <si>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</si>
  <si>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</si>
  <si>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</si>
  <si>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</si>
  <si>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</si>
  <si>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</si>
  <si>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</si>
  <si>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</si>
  <si>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</si>
  <si>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</si>
  <si>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</si>
  <si>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</si>
  <si>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</si>
  <si>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</si>
  <si>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</si>
  <si>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</si>
  <si>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</si>
  <si>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</si>
  <si>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</si>
  <si>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</si>
  <si>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</si>
  <si>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</si>
  <si>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</si>
  <si>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</si>
  <si>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</si>
  <si>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</si>
  <si>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</si>
  <si>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</si>
  <si>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</si>
  <si>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</si>
  <si>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</si>
  <si>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</si>
  <si>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</si>
  <si>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</si>
  <si>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</si>
  <si>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</si>
  <si>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</si>
  <si>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</si>
  <si>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</si>
  <si>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</si>
  <si>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</si>
  <si>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</si>
  <si>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</si>
  <si>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</si>
  <si>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</si>
  <si>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</si>
  <si>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</si>
  <si>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</si>
  <si>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</si>
  <si>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</si>
  <si>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</si>
  <si>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</si>
  <si>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</si>
  <si>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</si>
  <si>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</si>
  <si>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</si>
  <si>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</si>
  <si>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</si>
  <si>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</si>
  <si>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</si>
  <si>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</si>
  <si>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</si>
  <si>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</si>
  <si>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</si>
  <si>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</si>
  <si>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</si>
  <si>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</si>
  <si>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</si>
  <si>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</si>
  <si>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</si>
  <si>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</si>
  <si>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</si>
  <si>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</si>
  <si>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</si>
  <si>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</si>
  <si>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</si>
  <si>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</si>
  <si>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</si>
  <si>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</si>
  <si>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</si>
  <si>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</si>
  <si>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</si>
  <si>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</si>
  <si>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</si>
  <si>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</si>
  <si>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</si>
  <si>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</si>
  <si>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</si>
  <si>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</si>
  <si>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</si>
  <si>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</si>
  <si>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</si>
  <si>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</si>
  <si>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</si>
  <si>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</si>
  <si>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</si>
  <si>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</si>
  <si>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</si>
  <si>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</si>
  <si>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</si>
  <si>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</si>
  <si>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</si>
  <si>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</si>
  <si>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</si>
  <si>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</si>
  <si>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</si>
  <si>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</si>
  <si>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</si>
  <si>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</si>
  <si>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</si>
  <si>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</si>
  <si>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</si>
  <si>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</si>
  <si>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</si>
  <si>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</si>
  <si>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</si>
  <si>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</si>
  <si>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</si>
  <si>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</si>
  <si>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</si>
  <si>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</si>
  <si>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</si>
  <si>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</si>
  <si>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</si>
  <si>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</si>
  <si>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</si>
  <si>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</si>
  <si>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</si>
  <si>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</si>
  <si>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</si>
  <si>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</si>
  <si>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</si>
  <si>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</si>
  <si>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</si>
  <si>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</si>
  <si>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</si>
  <si>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</si>
  <si>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</si>
  <si>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</si>
  <si>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</si>
  <si>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</si>
  <si>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</si>
  <si>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</si>
  <si>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</si>
  <si>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</si>
  <si>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</si>
  <si>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</si>
  <si>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</si>
  <si>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</si>
  <si>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</si>
  <si>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</si>
  <si>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</si>
  <si>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</si>
  <si>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</si>
  <si>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</si>
  <si>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</si>
  <si>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</si>
  <si>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</si>
  <si>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</si>
  <si>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</si>
  <si>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</si>
  <si>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</si>
  <si>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</si>
  <si>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</si>
  <si>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</si>
  <si>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</si>
  <si>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</si>
  <si>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</si>
  <si>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</si>
  <si>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</si>
  <si>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</si>
  <si>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</si>
  <si>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</si>
  <si>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</si>
  <si>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</si>
  <si>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</si>
  <si>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</si>
  <si>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</si>
  <si>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</si>
  <si>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</si>
  <si>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</si>
  <si>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</si>
  <si>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</si>
  <si>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</si>
  <si>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</si>
  <si>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</si>
  <si>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</si>
  <si>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</si>
  <si>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</si>
  <si>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</si>
  <si>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</si>
  <si>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</si>
  <si>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</si>
  <si>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</si>
  <si>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</si>
  <si>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</si>
  <si>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</si>
  <si>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</si>
  <si>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</si>
  <si>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</si>
  <si>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</si>
  <si>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</si>
  <si>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</si>
  <si>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</si>
  <si>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</si>
  <si>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</si>
  <si>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</si>
  <si>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</si>
  <si>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</si>
  <si>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</si>
  <si>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</si>
  <si>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</si>
  <si>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</si>
  <si>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</si>
  <si>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</si>
  <si>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</si>
  <si>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</si>
  <si>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</si>
  <si>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</si>
  <si>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</si>
  <si>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</si>
  <si>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</si>
  <si>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</si>
  <si>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</si>
  <si>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</si>
  <si>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</si>
  <si>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</si>
  <si>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</si>
  <si>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</si>
  <si>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</si>
  <si>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</si>
  <si>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</si>
  <si>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</si>
  <si>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</si>
  <si>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</si>
  <si>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</si>
  <si>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</si>
  <si>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</si>
  <si>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</si>
  <si>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</si>
  <si>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</si>
  <si>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</si>
  <si>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</si>
  <si>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</si>
  <si>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</si>
  <si>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</si>
  <si>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</si>
  <si>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</si>
  <si>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</si>
  <si>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</si>
  <si>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</si>
  <si>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</si>
  <si>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</si>
  <si>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</si>
  <si>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</si>
  <si>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</si>
  <si>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</si>
  <si>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</si>
  <si>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</si>
  <si>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</si>
  <si>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</si>
  <si>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</si>
  <si>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</si>
  <si>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</si>
  <si>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</si>
  <si>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</si>
  <si>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</si>
  <si>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</si>
  <si>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</si>
  <si>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</si>
  <si>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</si>
  <si>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</si>
  <si>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</si>
  <si>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</si>
  <si>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</si>
  <si>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</si>
  <si>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</si>
  <si>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</si>
  <si>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</si>
  <si>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</si>
  <si>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</si>
  <si>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</si>
  <si>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</si>
  <si>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</si>
  <si>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</si>
  <si>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</si>
  <si>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</si>
  <si>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</si>
  <si>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</si>
  <si>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</si>
  <si>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</si>
  <si>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</si>
  <si>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</si>
  <si>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</si>
  <si>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</si>
  <si>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</si>
  <si>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</si>
  <si>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</si>
  <si>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</si>
  <si>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</si>
  <si>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</si>
  <si>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</si>
  <si>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</si>
  <si>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</si>
  <si>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</si>
  <si>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</si>
  <si>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</si>
  <si>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</si>
  <si>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</si>
  <si>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</si>
  <si>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</si>
  <si>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</si>
  <si>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</si>
  <si>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</si>
  <si>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</si>
  <si>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</si>
  <si>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</si>
  <si>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</si>
  <si>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</si>
  <si>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</si>
  <si>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</si>
  <si>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</si>
  <si>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</si>
  <si>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</si>
  <si>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</si>
  <si>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</si>
  <si>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</si>
  <si>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</si>
  <si>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</si>
  <si>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</si>
  <si>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</si>
  <si>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</si>
  <si>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</si>
  <si>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</si>
  <si>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</si>
  <si>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</si>
  <si>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</si>
  <si>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</si>
  <si>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</si>
  <si>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</si>
  <si>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</si>
  <si>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</si>
  <si>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</si>
  <si>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</si>
  <si>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</si>
  <si>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</si>
  <si>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</si>
  <si>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</si>
  <si>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</si>
  <si>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</si>
  <si>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</si>
  <si>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</si>
  <si>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</si>
  <si>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</si>
  <si>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</si>
  <si>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</si>
  <si>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</si>
  <si>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</si>
  <si>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</si>
  <si>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</si>
  <si>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</si>
  <si>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</si>
  <si>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</si>
  <si>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</si>
  <si>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</si>
  <si>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</si>
  <si>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</si>
  <si>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</si>
  <si>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</si>
  <si>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</si>
  <si>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</si>
  <si>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</si>
  <si>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</si>
  <si>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</si>
  <si>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</si>
  <si>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</si>
  <si>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</si>
  <si>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</si>
  <si>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</si>
  <si>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</si>
  <si>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</si>
  <si>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</si>
  <si>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</si>
  <si>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</si>
  <si>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</si>
  <si>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</si>
  <si>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</si>
  <si>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</si>
  <si>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</si>
  <si>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</si>
  <si>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</si>
  <si>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</si>
  <si>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</si>
  <si>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</si>
  <si>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</si>
  <si>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</si>
  <si>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</si>
  <si>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</si>
  <si>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</si>
  <si>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</si>
  <si>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</si>
  <si>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</si>
  <si>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</si>
  <si>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</si>
  <si>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</si>
  <si>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</si>
  <si>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</si>
  <si>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</si>
  <si>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</si>
  <si>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</si>
  <si>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</si>
  <si>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</si>
  <si>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</si>
  <si>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</si>
  <si>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</si>
  <si>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</si>
  <si>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</si>
  <si>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</si>
  <si>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</si>
  <si>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</si>
  <si>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</si>
  <si>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</si>
  <si>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</si>
  <si>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</si>
  <si>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</si>
  <si>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</si>
  <si>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</si>
  <si>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</si>
  <si>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</si>
  <si>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</si>
  <si>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</si>
  <si>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</si>
  <si>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</si>
  <si>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</si>
  <si>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</si>
  <si>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</si>
  <si>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</si>
  <si>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</si>
  <si>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</si>
  <si>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</si>
  <si>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</si>
  <si>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</si>
  <si>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</si>
  <si>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</si>
  <si>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</si>
  <si>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</si>
  <si>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</si>
  <si>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</si>
  <si>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</si>
  <si>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</si>
  <si>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</si>
  <si>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</si>
  <si>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</si>
  <si>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</si>
  <si>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</si>
  <si>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</si>
  <si>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</si>
  <si>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</si>
  <si>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</si>
  <si>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</si>
  <si>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</si>
  <si>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</si>
  <si>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</si>
  <si>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</si>
  <si>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</si>
  <si>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</si>
  <si>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</si>
  <si>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</si>
  <si>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</si>
  <si>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</si>
  <si>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</si>
  <si>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</si>
  <si>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</si>
  <si>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</si>
  <si>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</si>
  <si>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</si>
  <si>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</si>
  <si>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</si>
  <si>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</si>
  <si>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</si>
  <si>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</si>
  <si>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</si>
  <si>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</si>
  <si>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</si>
  <si>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</si>
  <si>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</si>
  <si>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</si>
  <si>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</si>
  <si>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</si>
  <si>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</si>
  <si>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</si>
  <si>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</si>
  <si>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</si>
  <si>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</si>
  <si>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</si>
  <si>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</si>
  <si>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</si>
  <si>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</si>
  <si>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</si>
  <si>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</si>
  <si>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</si>
  <si>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</si>
  <si>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</si>
  <si>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</si>
  <si>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</si>
  <si>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</si>
  <si>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</si>
  <si>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</si>
  <si>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</si>
  <si>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</si>
  <si>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</si>
  <si>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</si>
  <si>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</si>
  <si>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</si>
  <si>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</si>
  <si>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</si>
  <si>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</si>
  <si>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</si>
  <si>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</si>
  <si>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</si>
  <si>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</si>
  <si>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</si>
  <si>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</si>
  <si>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</si>
  <si>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</si>
  <si>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</si>
  <si>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</si>
  <si>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</si>
  <si>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</si>
  <si>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</si>
  <si>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</si>
  <si>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</si>
  <si>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</si>
  <si>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</si>
  <si>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</si>
  <si>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</si>
  <si>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</si>
  <si>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</si>
  <si>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</si>
  <si>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</si>
  <si>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</si>
  <si>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</si>
  <si>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</si>
  <si>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</si>
  <si>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</si>
  <si>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</si>
  <si>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</si>
  <si>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</si>
  <si>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</si>
  <si>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</si>
  <si>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</si>
  <si>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</si>
  <si>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</si>
  <si>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</si>
  <si>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</si>
  <si>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</si>
  <si>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</si>
  <si>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</si>
  <si>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</si>
  <si>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</si>
  <si>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</si>
  <si>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</si>
  <si>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</si>
  <si>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</si>
  <si>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</si>
  <si>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</si>
  <si>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</si>
  <si>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</si>
  <si>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</si>
  <si>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</si>
  <si>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</si>
  <si>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</si>
  <si>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</si>
  <si>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</si>
  <si>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</si>
  <si>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</si>
  <si>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</si>
  <si>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</si>
  <si>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</si>
  <si>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</si>
  <si>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</si>
  <si>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</si>
  <si>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</si>
  <si>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</si>
  <si>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</si>
  <si>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</si>
  <si>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</si>
  <si>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</si>
  <si>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</si>
  <si>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</si>
  <si>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</si>
  <si>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</si>
  <si>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</si>
  <si>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</si>
  <si>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</si>
  <si>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</si>
  <si>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</si>
  <si>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</si>
  <si>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</si>
  <si>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</si>
  <si>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</si>
  <si>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</si>
  <si>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</si>
  <si>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</si>
  <si>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</si>
  <si>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</si>
  <si>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</si>
  <si>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</si>
  <si>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</si>
  <si>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</si>
  <si>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</si>
  <si>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</si>
  <si>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</si>
  <si>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</si>
  <si>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</si>
  <si>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</si>
  <si>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</si>
  <si>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</si>
  <si>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</si>
  <si>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</si>
  <si>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</si>
  <si>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</si>
  <si>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</si>
  <si>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</si>
  <si>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</si>
  <si>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</si>
  <si>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</si>
  <si>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</si>
  <si>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</si>
  <si>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</si>
  <si>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</si>
  <si>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</si>
  <si>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</si>
  <si>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</si>
  <si>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</si>
  <si>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</si>
  <si>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</si>
  <si>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</si>
  <si>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</si>
  <si>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</si>
  <si>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</si>
  <si>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</si>
  <si>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</si>
  <si>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</si>
  <si>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</si>
  <si>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</si>
  <si>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</si>
  <si>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</si>
  <si>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</si>
  <si>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</si>
  <si>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</si>
  <si>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</si>
  <si>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</si>
  <si>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</si>
  <si>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</si>
  <si>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</si>
  <si>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</si>
  <si>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</si>
  <si>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</si>
  <si>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</si>
  <si>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</si>
  <si>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</si>
  <si>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</si>
  <si>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</si>
  <si>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</si>
  <si>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</si>
  <si>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</si>
  <si>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</si>
  <si>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</si>
  <si>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</si>
  <si>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</si>
  <si>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</si>
  <si>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</si>
  <si>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</si>
  <si>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</si>
  <si>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</si>
  <si>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</si>
  <si>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</si>
  <si>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</si>
  <si>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</si>
  <si>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</si>
  <si>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</si>
  <si>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</si>
  <si>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</si>
  <si>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</si>
  <si>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</si>
  <si>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</si>
  <si>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</si>
  <si>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</si>
  <si>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</si>
  <si>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</si>
  <si>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</si>
  <si>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</si>
  <si>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</si>
  <si>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</si>
  <si>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</si>
  <si>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</si>
  <si>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</si>
  <si>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</si>
  <si>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</si>
  <si>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</si>
  <si>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</si>
  <si>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</si>
  <si>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</si>
  <si>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</si>
  <si>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</si>
  <si>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</si>
  <si>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</si>
  <si>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</si>
  <si>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</si>
  <si>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</si>
  <si>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</si>
  <si>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</si>
  <si>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</si>
  <si>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</si>
  <si>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</si>
  <si>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</si>
  <si>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</si>
  <si>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</si>
  <si>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</si>
  <si>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</si>
  <si>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</si>
  <si>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</si>
  <si>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</si>
  <si>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</si>
  <si>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</si>
  <si>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</si>
  <si>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</si>
  <si>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</si>
  <si>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</si>
  <si>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</si>
  <si>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</si>
  <si>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</si>
  <si>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</si>
  <si>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</si>
  <si>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</si>
  <si>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</si>
  <si>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</si>
  <si>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</si>
  <si>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</si>
  <si>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</si>
  <si>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</si>
  <si>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</si>
  <si>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</si>
  <si>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</si>
  <si>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</si>
  <si>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</si>
  <si>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</si>
  <si>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</si>
  <si>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</si>
  <si>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</si>
  <si>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</si>
  <si>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</si>
  <si>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</si>
  <si>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</si>
  <si>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</si>
  <si>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</si>
  <si>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</si>
  <si>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</si>
  <si>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</si>
  <si>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</si>
  <si>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</si>
  <si>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</si>
  <si>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</si>
  <si>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</si>
  <si>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</si>
  <si>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</si>
  <si>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</si>
  <si>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</si>
  <si>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</si>
  <si>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</si>
  <si>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</si>
  <si>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</si>
  <si>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</si>
  <si>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</si>
  <si>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</si>
  <si>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</si>
  <si>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</si>
  <si>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</si>
  <si>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</si>
  <si>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</si>
  <si>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</si>
  <si>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</si>
  <si>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</si>
  <si>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</si>
  <si>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</si>
  <si>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</si>
  <si>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</si>
  <si>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</si>
  <si>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</si>
  <si>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</si>
  <si>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</si>
  <si>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</si>
  <si>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</si>
  <si>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</si>
  <si>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</si>
  <si>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</si>
  <si>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</si>
  <si>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</si>
  <si>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</si>
  <si>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</si>
  <si>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</si>
  <si>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</si>
  <si>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</si>
  <si>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</si>
  <si>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</si>
  <si>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</si>
  <si>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</si>
  <si>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</si>
  <si>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</si>
  <si>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</si>
  <si>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</si>
  <si>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</si>
  <si>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</si>
  <si>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</si>
  <si>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</si>
  <si>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</si>
  <si>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</si>
  <si>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</si>
  <si>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</si>
  <si>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</si>
  <si>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</si>
  <si>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</si>
  <si>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</si>
  <si>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</si>
  <si>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</si>
  <si>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</si>
  <si>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</si>
  <si>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</si>
  <si>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</si>
  <si>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</si>
  <si>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</si>
  <si>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</si>
  <si>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</si>
  <si>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</si>
  <si>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</si>
  <si>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</si>
  <si>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</si>
  <si>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</si>
  <si>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</si>
  <si>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</si>
  <si>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</si>
  <si>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</si>
  <si>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</si>
  <si>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</si>
  <si>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</si>
  <si>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</si>
  <si>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</si>
  <si>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</si>
  <si>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</si>
  <si>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</si>
  <si>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</si>
  <si>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</si>
  <si>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</si>
  <si>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</si>
  <si>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</si>
  <si>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</si>
  <si>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</si>
  <si>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</si>
  <si>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</si>
  <si>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</si>
  <si>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</si>
  <si>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</si>
  <si>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</si>
  <si>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</si>
  <si>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</si>
  <si>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</si>
  <si>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</si>
  <si>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</si>
  <si>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</si>
  <si>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</si>
  <si>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</si>
  <si>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</si>
  <si>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</si>
  <si>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</si>
  <si>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</si>
  <si>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</si>
  <si>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</si>
  <si>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</si>
  <si>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</si>
  <si>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</si>
  <si>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</si>
  <si>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</si>
  <si>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</si>
  <si>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</si>
  <si>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</si>
  <si>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</si>
  <si>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</si>
  <si>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</si>
  <si>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</si>
  <si>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</si>
  <si>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</si>
  <si>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</si>
  <si>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</si>
  <si>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</si>
  <si>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</si>
  <si>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</si>
  <si>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</si>
  <si>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</si>
  <si>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</si>
  <si>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</si>
  <si>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</si>
  <si>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</si>
  <si>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</si>
  <si>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</si>
  <si>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</si>
  <si>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</si>
  <si>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</si>
  <si>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</si>
  <si>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</si>
  <si>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</si>
  <si>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</si>
  <si>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</si>
  <si>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</si>
  <si>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</si>
  <si>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</si>
  <si>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</si>
  <si>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</si>
  <si>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</si>
  <si>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</si>
  <si>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</si>
  <si>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</si>
  <si>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</si>
  <si>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</si>
  <si>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</si>
  <si>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</si>
  <si>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</si>
  <si>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</si>
  <si>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</si>
  <si>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</si>
  <si>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</si>
  <si>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</si>
  <si>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</si>
  <si>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</si>
  <si>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</si>
  <si>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</si>
  <si>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</si>
  <si>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</si>
  <si>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</si>
  <si>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</si>
  <si>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</si>
  <si>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</si>
  <si>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</si>
  <si>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</si>
  <si>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</si>
  <si>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</si>
  <si>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</si>
  <si>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</si>
  <si>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</si>
  <si>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</si>
  <si>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</si>
  <si>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</si>
  <si>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</si>
  <si>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</si>
  <si>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</si>
  <si>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</si>
  <si>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</si>
  <si>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</si>
  <si>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</si>
  <si>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</si>
  <si>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</si>
  <si>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</si>
  <si>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</si>
  <si>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</si>
  <si>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</si>
  <si>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</si>
  <si>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</si>
  <si>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</si>
  <si>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</si>
  <si>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</si>
  <si>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</si>
  <si>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</si>
  <si>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</si>
  <si>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</si>
  <si>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</si>
  <si>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</si>
  <si>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</si>
  <si>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</si>
  <si>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</si>
  <si>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</si>
  <si>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</si>
  <si>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</si>
  <si>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</si>
  <si>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</si>
  <si>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</si>
  <si>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</si>
  <si>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</si>
  <si>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</si>
  <si>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</si>
  <si>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</si>
  <si>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</si>
  <si>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</si>
  <si>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</si>
  <si>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</si>
  <si>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</si>
  <si>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</si>
  <si>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</si>
  <si>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</si>
  <si>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</si>
  <si>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</si>
  <si>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</si>
  <si>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</si>
  <si>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</si>
  <si>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</si>
  <si>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</si>
  <si>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</si>
  <si>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</si>
  <si>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</si>
  <si>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</si>
  <si>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</si>
  <si>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</si>
  <si>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</si>
  <si>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</si>
  <si>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</si>
  <si>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</si>
  <si>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</si>
  <si>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</si>
  <si>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</si>
  <si>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</si>
  <si>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</si>
  <si>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</si>
  <si>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</si>
  <si>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</si>
  <si>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</si>
  <si>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</si>
  <si>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</si>
  <si>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</si>
  <si>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</si>
  <si>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</si>
  <si>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</si>
  <si>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</si>
  <si>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</si>
  <si>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</si>
  <si>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</si>
  <si>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</si>
  <si>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</si>
  <si>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</si>
  <si>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</si>
  <si>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</si>
  <si>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</si>
  <si>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</si>
  <si>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</si>
  <si>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</si>
  <si>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</si>
  <si>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</si>
  <si>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</si>
  <si>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</si>
  <si>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</si>
  <si>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</si>
  <si>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</si>
  <si>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</si>
  <si>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</si>
  <si>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</si>
  <si>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</si>
  <si>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</si>
  <si>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</si>
  <si>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</si>
  <si>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</si>
  <si>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</si>
  <si>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</si>
  <si>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</si>
  <si>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</si>
  <si>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</si>
  <si>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</si>
  <si>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</si>
  <si>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</si>
  <si>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</si>
  <si>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</si>
  <si>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</si>
  <si>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</si>
  <si>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</si>
  <si>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</si>
  <si>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</si>
  <si>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</si>
  <si>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</si>
  <si>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</si>
  <si>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</si>
  <si>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</si>
  <si>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</si>
  <si>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</si>
  <si>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</si>
  <si>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</si>
  <si>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</si>
  <si>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</si>
  <si>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</si>
  <si>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</si>
  <si>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</si>
  <si>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</si>
  <si>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</si>
  <si>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</si>
  <si>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</si>
  <si>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</si>
  <si>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</si>
  <si>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</si>
  <si>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</si>
  <si>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</si>
  <si>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</si>
  <si>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</si>
  <si>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</si>
  <si>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</si>
  <si>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</si>
  <si>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</si>
  <si>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</si>
  <si>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</si>
  <si>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</si>
  <si>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</si>
  <si>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</si>
  <si>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</si>
  <si>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</si>
  <si>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</si>
  <si>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</si>
  <si>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</si>
  <si>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</si>
  <si>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</si>
  <si>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</si>
  <si>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</si>
  <si>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</si>
  <si>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</si>
  <si>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</si>
  <si>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</si>
  <si>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</si>
  <si>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</si>
  <si>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</si>
  <si>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</si>
  <si>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</si>
  <si>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</si>
  <si>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</si>
  <si>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</si>
  <si>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</si>
  <si>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</si>
  <si>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</si>
  <si>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</si>
  <si>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</si>
  <si>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</si>
  <si>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</si>
  <si>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</si>
  <si>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</si>
  <si>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</si>
  <si>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</si>
  <si>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</si>
  <si>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</si>
  <si>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</si>
  <si>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</si>
  <si>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</si>
  <si>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</si>
  <si>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</si>
  <si>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</si>
  <si>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</si>
  <si>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</si>
  <si>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</si>
  <si>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</si>
  <si>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</si>
  <si>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</si>
  <si>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</si>
  <si>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</si>
  <si>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</si>
  <si>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</si>
  <si>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</si>
  <si>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</si>
  <si>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</si>
  <si>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</si>
  <si>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</si>
  <si>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</si>
  <si>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</si>
  <si>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</si>
  <si>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</si>
  <si>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</si>
  <si>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</si>
  <si>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</si>
  <si>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</si>
  <si>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</si>
  <si>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</si>
  <si>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</si>
  <si>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</si>
  <si>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</si>
  <si>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</si>
  <si>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</si>
  <si>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</si>
  <si>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</si>
  <si>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</si>
  <si>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</si>
  <si>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</si>
  <si>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</si>
  <si>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</si>
  <si>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</si>
  <si>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</si>
  <si>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</si>
  <si>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</si>
  <si>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</si>
  <si>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</si>
  <si>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</si>
  <si>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</si>
  <si>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</si>
  <si>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</si>
  <si>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</si>
  <si>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</si>
  <si>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</si>
  <si>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</si>
  <si>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</si>
  <si>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</si>
  <si>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</si>
  <si>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</si>
  <si>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</si>
  <si>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</si>
  <si>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</si>
  <si>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</si>
  <si>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</si>
  <si>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</si>
  <si>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</si>
  <si>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</si>
  <si>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</si>
  <si>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</si>
  <si>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</si>
  <si>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</si>
  <si>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</si>
  <si>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</si>
  <si>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</si>
  <si>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</si>
  <si>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</si>
  <si>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</si>
  <si>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</si>
  <si>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</si>
  <si>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</si>
  <si>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</si>
  <si>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</si>
  <si>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</si>
  <si>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</si>
  <si>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</si>
  <si>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</si>
  <si>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</si>
  <si>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</si>
  <si>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</si>
  <si>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</si>
  <si>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</si>
  <si>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</si>
  <si>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</si>
  <si>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</si>
  <si>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</si>
  <si>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</si>
  <si>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</si>
  <si>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</si>
  <si>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</si>
  <si>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</si>
  <si>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</si>
  <si>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</si>
  <si>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</si>
  <si>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</si>
  <si>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</si>
  <si>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</si>
  <si>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</si>
  <si>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</si>
  <si>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</si>
  <si>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</si>
  <si>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</si>
  <si>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</si>
  <si>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</si>
  <si>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</si>
  <si>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</si>
  <si>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</si>
  <si>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</si>
  <si>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</si>
  <si>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</si>
  <si>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</si>
  <si>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</si>
  <si>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</si>
  <si>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</si>
  <si>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</si>
  <si>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</si>
  <si>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</si>
  <si>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</si>
  <si>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</si>
  <si>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</si>
  <si>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</si>
  <si>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</si>
  <si>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</si>
  <si>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</si>
  <si>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</si>
  <si>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</si>
  <si>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</si>
  <si>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</si>
  <si>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</si>
  <si>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</si>
  <si>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</si>
  <si>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</si>
  <si>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</si>
  <si>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</si>
  <si>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</si>
  <si>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</si>
  <si>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</si>
  <si>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</si>
  <si>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</si>
  <si>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</si>
  <si>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</si>
  <si>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</si>
  <si>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</si>
  <si>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</si>
  <si>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</si>
  <si>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</si>
  <si>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</si>
  <si>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</si>
  <si>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</si>
  <si>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</si>
  <si>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</si>
  <si>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</si>
  <si>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</si>
  <si>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</si>
  <si>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</si>
  <si>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</si>
  <si>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</si>
  <si>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</si>
  <si>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</si>
  <si>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</si>
  <si>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</si>
  <si>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</si>
  <si>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</si>
  <si>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</si>
  <si>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</si>
  <si>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</si>
  <si>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</si>
  <si>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</si>
  <si>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</si>
  <si>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</si>
  <si>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</si>
  <si>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</si>
  <si>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</si>
  <si>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</si>
  <si>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</si>
  <si>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</si>
  <si>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</si>
  <si>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</si>
  <si>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</si>
  <si>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</si>
  <si>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</si>
  <si>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</si>
  <si>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</si>
  <si>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</si>
  <si>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</si>
  <si>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</si>
  <si>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</si>
  <si>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</si>
  <si>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</si>
  <si>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</si>
  <si>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</si>
  <si>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</si>
  <si>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</si>
  <si>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</si>
  <si>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</si>
  <si>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</si>
  <si>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</si>
  <si>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</si>
  <si>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</si>
  <si>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</si>
  <si>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</si>
  <si>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</si>
  <si>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</si>
  <si>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</si>
  <si>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</si>
  <si>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</si>
  <si>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</si>
  <si>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</si>
  <si>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</si>
  <si>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</si>
  <si>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</si>
  <si>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</si>
  <si>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</si>
  <si>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</si>
  <si>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</si>
  <si>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</si>
  <si>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</si>
  <si>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</si>
  <si>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</si>
  <si>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</si>
  <si>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</si>
  <si>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</si>
  <si>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</si>
  <si>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</si>
  <si>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</si>
  <si>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</si>
  <si>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</si>
  <si>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</si>
  <si>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</si>
  <si>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</si>
  <si>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</si>
  <si>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</si>
  <si>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</si>
  <si>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</si>
  <si>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</si>
  <si>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</si>
  <si>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</si>
  <si>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</si>
  <si>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</si>
  <si>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</si>
  <si>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</si>
  <si>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</si>
  <si>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</si>
  <si>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</si>
  <si>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</si>
  <si>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</si>
  <si>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</si>
  <si>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</si>
  <si>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</si>
  <si>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</si>
  <si>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</si>
  <si>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</si>
  <si>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</si>
  <si>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</si>
  <si>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</si>
  <si>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</si>
  <si>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</si>
  <si>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</si>
  <si>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</si>
  <si>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</si>
  <si>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</si>
  <si>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</si>
  <si>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</si>
  <si>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</si>
  <si>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</si>
  <si>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</si>
  <si>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</si>
  <si>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</si>
  <si>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</si>
  <si>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</si>
  <si>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</si>
  <si>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</si>
  <si>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</si>
  <si>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</si>
  <si>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</si>
  <si>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</si>
  <si>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</si>
  <si>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</si>
  <si>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</si>
  <si>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</si>
  <si>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</si>
  <si>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</si>
  <si>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</si>
  <si>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</si>
  <si>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</si>
  <si>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</si>
  <si>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</si>
  <si>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</si>
  <si>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</si>
  <si>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</si>
  <si>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</si>
  <si>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</si>
  <si>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</si>
  <si>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</si>
  <si>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</si>
  <si>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</si>
  <si>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</si>
  <si>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</si>
  <si>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</si>
  <si>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</si>
  <si>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</si>
  <si>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</si>
  <si>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</si>
  <si>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</si>
  <si>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</si>
  <si>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</si>
  <si>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</si>
  <si>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</si>
  <si>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</si>
  <si>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</si>
  <si>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</si>
  <si>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</si>
  <si>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</si>
  <si>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</si>
  <si>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</si>
  <si>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</si>
  <si>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</si>
  <si>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</si>
  <si>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</si>
  <si>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</si>
  <si>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</si>
  <si>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</si>
  <si>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</si>
  <si>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</si>
  <si>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</si>
  <si>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</si>
  <si>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</si>
  <si>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</si>
  <si>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</si>
  <si>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</si>
  <si>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</si>
  <si>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</si>
  <si>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</si>
  <si>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</si>
  <si>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</si>
  <si>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</si>
  <si>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</si>
  <si>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</si>
  <si>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</si>
  <si>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</si>
  <si>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</si>
  <si>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</si>
  <si>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</si>
  <si>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</si>
  <si>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</si>
  <si>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</si>
  <si>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</si>
  <si>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</si>
  <si>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</si>
  <si>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</si>
  <si>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</si>
  <si>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</si>
  <si>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</si>
  <si>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</si>
  <si>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</si>
  <si>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</si>
  <si>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</si>
  <si>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</si>
  <si>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</si>
  <si>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</si>
  <si>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</si>
  <si>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</si>
  <si>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</si>
  <si>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</si>
  <si>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</si>
  <si>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</si>
  <si>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</si>
  <si>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</si>
  <si>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</si>
  <si>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</si>
  <si>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</si>
  <si>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</si>
  <si>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</si>
  <si>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</si>
  <si>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</si>
  <si>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</si>
  <si>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</si>
  <si>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</si>
  <si>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</si>
  <si>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</si>
  <si>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</si>
  <si>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</si>
  <si>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</si>
  <si>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</si>
  <si>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</si>
  <si>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</si>
  <si>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</si>
  <si>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</si>
  <si>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</si>
  <si>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</si>
  <si>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</si>
  <si>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</si>
  <si>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</si>
  <si>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</si>
  <si>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</si>
  <si>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</si>
  <si>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</si>
  <si>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</si>
  <si>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</si>
  <si>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</si>
  <si>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</si>
  <si>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</si>
  <si>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</si>
  <si>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</si>
  <si>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</si>
  <si>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</si>
  <si>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</si>
  <si>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</si>
  <si>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</si>
  <si>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</si>
  <si>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</si>
  <si>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</si>
  <si>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</si>
  <si>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</si>
  <si>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</si>
  <si>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</si>
  <si>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</si>
  <si>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</si>
  <si>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</si>
  <si>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</si>
  <si>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</si>
  <si>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</si>
  <si>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</si>
  <si>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</si>
  <si>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</si>
  <si>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</si>
  <si>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</si>
  <si>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</si>
  <si>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</si>
  <si>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</si>
  <si>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</si>
  <si>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</si>
  <si>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</si>
  <si>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</si>
  <si>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</si>
  <si>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</si>
  <si>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</si>
  <si>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</si>
  <si>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</si>
  <si>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</si>
  <si>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</si>
  <si>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</si>
  <si>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</si>
  <si>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</si>
  <si>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</si>
  <si>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</si>
  <si>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</si>
  <si>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</si>
  <si>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</si>
  <si>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</si>
  <si>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</si>
  <si>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</si>
  <si>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</si>
  <si>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</si>
  <si>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</si>
  <si>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</si>
  <si>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</si>
  <si>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</si>
  <si>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</si>
  <si>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</si>
  <si>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</si>
  <si>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</si>
  <si>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</si>
  <si>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</si>
  <si>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</si>
  <si>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</si>
  <si>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</si>
  <si>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</si>
  <si>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</si>
  <si>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</si>
  <si>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</si>
  <si>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</si>
  <si>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</si>
  <si>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</si>
  <si>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</si>
  <si>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</si>
  <si>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</si>
  <si>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</si>
  <si>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</si>
  <si>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</si>
  <si>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</si>
  <si>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</si>
  <si>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</si>
  <si>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</si>
  <si>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</si>
  <si>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</si>
  <si>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</si>
  <si>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</si>
  <si>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</si>
  <si>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</si>
  <si>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</si>
  <si>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</si>
  <si>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</si>
  <si>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</si>
  <si>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</si>
  <si>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</si>
  <si>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</si>
  <si>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</si>
  <si>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</si>
  <si>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</si>
  <si>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</si>
  <si>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</si>
  <si>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</si>
  <si>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</si>
  <si>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</si>
  <si>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</si>
  <si>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</si>
  <si>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</si>
  <si>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</si>
  <si>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</si>
  <si>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</si>
  <si>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</si>
  <si>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</si>
  <si>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</si>
  <si>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</si>
  <si>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</si>
  <si>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</si>
  <si>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</si>
  <si>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</si>
  <si>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</si>
  <si>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</si>
  <si>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</si>
  <si>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</si>
  <si>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</si>
  <si>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</si>
  <si>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</si>
  <si>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</si>
  <si>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</si>
  <si>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</si>
  <si>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</si>
  <si>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</si>
  <si>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</si>
  <si>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</si>
  <si>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</si>
  <si>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</si>
  <si>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</si>
  <si>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</si>
  <si>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</si>
  <si>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</si>
  <si>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</si>
  <si>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</si>
  <si>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</si>
  <si>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</si>
  <si>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</si>
  <si>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</si>
  <si>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</si>
  <si>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</si>
  <si>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</si>
  <si>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</si>
  <si>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</si>
  <si>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</si>
  <si>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</si>
  <si>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</si>
  <si>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</si>
  <si>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</si>
  <si>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</si>
  <si>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</si>
  <si>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</si>
  <si>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</si>
  <si>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</si>
  <si>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</si>
  <si>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</si>
  <si>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</si>
  <si>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</si>
  <si>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</si>
  <si>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</si>
  <si>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</si>
  <si>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</si>
  <si>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</si>
  <si>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</si>
  <si>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</si>
  <si>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</si>
  <si>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</si>
  <si>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</si>
  <si>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</si>
  <si>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</si>
  <si>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</si>
  <si>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</si>
  <si>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</si>
  <si>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</si>
  <si>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</si>
  <si>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</si>
  <si>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</si>
  <si>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</si>
  <si>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</si>
  <si>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</si>
  <si>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</si>
  <si>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</si>
  <si>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</si>
  <si>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</si>
  <si>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</si>
  <si>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</si>
  <si>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</si>
  <si>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</si>
  <si>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</si>
  <si>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</si>
  <si>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</si>
  <si>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</si>
  <si>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</si>
  <si>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</si>
  <si>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</si>
  <si>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</si>
  <si>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</si>
  <si>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</si>
  <si>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</si>
  <si>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</si>
  <si>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</si>
  <si>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</si>
  <si>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</si>
  <si>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</si>
  <si>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</si>
  <si>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</si>
  <si>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</si>
  <si>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</si>
  <si>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</si>
  <si>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</si>
  <si>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</si>
  <si>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</si>
  <si>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</si>
  <si>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</si>
  <si>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</si>
  <si>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</si>
  <si>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</si>
  <si>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</si>
  <si>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</si>
  <si>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</si>
  <si>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</si>
  <si>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</si>
  <si>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</si>
  <si>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</si>
  <si>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</si>
  <si>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</si>
  <si>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</si>
  <si>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</si>
  <si>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</si>
  <si>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</si>
  <si>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</si>
  <si>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</si>
  <si>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</si>
  <si>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</si>
  <si>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</si>
  <si>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</si>
  <si>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</si>
  <si>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</si>
  <si>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</si>
  <si>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</si>
  <si>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</si>
  <si>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</si>
  <si>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</si>
  <si>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</si>
  <si>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</si>
  <si>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</si>
  <si>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</si>
  <si>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</si>
  <si>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</si>
  <si>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</si>
  <si>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</si>
  <si>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</si>
  <si>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</si>
  <si>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</si>
  <si>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</si>
  <si>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</si>
  <si>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</si>
  <si>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</si>
  <si>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</si>
  <si>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</si>
  <si>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</si>
  <si>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</si>
  <si>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</si>
  <si>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</si>
  <si>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</si>
  <si>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</si>
  <si>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</si>
  <si>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</si>
  <si>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</si>
  <si>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</si>
  <si>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</si>
  <si>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</si>
  <si>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</si>
  <si>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</si>
  <si>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</si>
  <si>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</si>
  <si>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</si>
  <si>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</si>
  <si>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</si>
  <si>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</si>
  <si>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</si>
  <si>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</si>
  <si>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</si>
  <si>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</si>
  <si>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</si>
  <si>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</si>
  <si>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</si>
  <si>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</si>
  <si>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</si>
  <si>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</si>
  <si>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</si>
  <si>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</si>
  <si>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</si>
  <si>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</si>
  <si>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</si>
  <si>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</si>
  <si>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</si>
  <si>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</si>
  <si>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</si>
  <si>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</si>
  <si>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</si>
  <si>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</si>
  <si>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</si>
  <si>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</si>
  <si>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</si>
  <si>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</si>
  <si>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</si>
  <si>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</si>
  <si>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</si>
  <si>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</si>
  <si>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</si>
  <si>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</si>
  <si>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</si>
  <si>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</si>
  <si>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</si>
  <si>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</si>
  <si>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</si>
  <si>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</si>
  <si>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</si>
  <si>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</si>
  <si>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</si>
  <si>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</si>
  <si>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</si>
  <si>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</si>
  <si>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</si>
  <si>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</si>
  <si>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</si>
  <si>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</si>
  <si>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</si>
  <si>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</si>
  <si>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</si>
  <si>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</si>
  <si>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</si>
  <si>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</si>
  <si>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</si>
  <si>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</si>
  <si>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</si>
  <si>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</si>
  <si>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</si>
  <si>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</si>
  <si>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</si>
  <si>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</si>
  <si>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</si>
  <si>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</si>
  <si>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</si>
  <si>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</si>
  <si>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</si>
  <si>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</si>
  <si>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</si>
  <si>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</si>
  <si>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</si>
  <si>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</si>
  <si>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</si>
  <si>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</si>
  <si>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</si>
  <si>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</si>
  <si>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</si>
  <si>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</si>
  <si>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</si>
  <si>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</si>
  <si>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</si>
  <si>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</si>
  <si>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</si>
  <si>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</si>
  <si>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</si>
  <si>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</si>
  <si>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</si>
  <si>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</si>
  <si>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</si>
  <si>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</si>
  <si>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</si>
  <si>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</si>
  <si>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</si>
  <si>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</si>
  <si>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</si>
  <si>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</si>
  <si>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</si>
  <si>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</si>
  <si>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</si>
  <si>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</si>
  <si>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</si>
  <si>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</si>
  <si>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</si>
  <si>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</si>
  <si>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</si>
  <si>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</si>
  <si>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</si>
  <si>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</si>
  <si>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</si>
  <si>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</si>
  <si>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</si>
  <si>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</si>
  <si>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</si>
  <si>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</si>
  <si>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</si>
  <si>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</si>
  <si>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</si>
  <si>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</si>
  <si>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</si>
  <si>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</si>
  <si>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</si>
  <si>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</si>
  <si>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</si>
  <si>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</si>
  <si>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</si>
  <si>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</si>
  <si>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</si>
  <si>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</si>
  <si>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</si>
  <si>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</si>
  <si>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</si>
  <si>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</si>
  <si>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</si>
  <si>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</si>
  <si>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</si>
  <si>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</si>
  <si>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</si>
  <si>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</si>
  <si>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</si>
  <si>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</si>
  <si>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</si>
  <si>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</si>
  <si>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</si>
  <si>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</si>
  <si>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</si>
  <si>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</si>
  <si>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</si>
  <si>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</si>
  <si>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</si>
  <si>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</si>
  <si>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</si>
  <si>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</si>
  <si>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</si>
  <si>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</si>
  <si>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</si>
  <si>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</si>
  <si>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</si>
  <si>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</si>
  <si>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</si>
  <si>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</si>
  <si>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</si>
  <si>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</si>
  <si>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</si>
  <si>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</si>
  <si>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</si>
  <si>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</si>
  <si>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</si>
  <si>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</si>
  <si>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</si>
  <si>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</si>
  <si>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</si>
  <si>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</si>
  <si>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</si>
  <si>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</si>
  <si>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</si>
  <si>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</si>
  <si>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</si>
  <si>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</si>
  <si>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</si>
  <si>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</si>
  <si>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</si>
  <si>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</si>
  <si>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</si>
  <si>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</si>
  <si>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</si>
  <si>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</si>
  <si>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</si>
  <si>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</si>
  <si>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</si>
  <si>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</si>
  <si>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</si>
  <si>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</si>
  <si>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</si>
  <si>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</si>
  <si>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</si>
  <si>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</si>
  <si>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</si>
  <si>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</si>
  <si>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</si>
  <si>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</si>
  <si>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</si>
  <si>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</si>
  <si>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</si>
  <si>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</si>
  <si>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</si>
  <si>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</si>
  <si>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</si>
  <si>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</si>
  <si>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</si>
  <si>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</si>
  <si>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</si>
  <si>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</si>
  <si>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</si>
  <si>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</si>
  <si>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</si>
  <si>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</si>
  <si>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</si>
  <si>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</si>
  <si>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</si>
  <si>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</si>
  <si>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</si>
  <si>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</si>
  <si>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</si>
  <si>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</si>
  <si>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</si>
  <si>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</si>
  <si>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</si>
  <si>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</si>
  <si>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</si>
  <si>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</si>
  <si>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</si>
  <si>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</si>
  <si>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</si>
  <si>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</si>
  <si>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</si>
  <si>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</si>
  <si>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</si>
  <si>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</si>
  <si>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</si>
  <si>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</si>
  <si>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</si>
  <si>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</si>
  <si>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</si>
  <si>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</si>
  <si>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</si>
  <si>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</si>
  <si>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</si>
  <si>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</si>
  <si>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</si>
  <si>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</si>
  <si>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</si>
  <si>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</si>
  <si>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</si>
  <si>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</si>
  <si>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</si>
  <si>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</si>
  <si>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</si>
  <si>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</si>
  <si>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</si>
  <si>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</si>
  <si>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</si>
  <si>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</si>
  <si>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</si>
  <si>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</si>
  <si>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</si>
  <si>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</si>
  <si>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</si>
  <si>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</si>
  <si>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</si>
  <si>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</si>
  <si>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</si>
  <si>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</si>
  <si>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</si>
  <si>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</si>
  <si>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</si>
  <si>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</si>
  <si>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</si>
  <si>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</si>
  <si>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</si>
  <si>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</si>
  <si>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</si>
  <si>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</si>
  <si>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</si>
  <si>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</si>
  <si>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</si>
  <si>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</si>
  <si>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</si>
  <si>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</si>
  <si>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</si>
  <si>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</si>
  <si>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</si>
  <si>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</si>
  <si>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</si>
  <si>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</si>
  <si>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</si>
  <si>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</si>
  <si>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</si>
  <si>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</si>
  <si>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</si>
  <si>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</si>
  <si>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</si>
  <si>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</si>
  <si>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</si>
  <si>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</si>
  <si>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</si>
  <si>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</si>
  <si>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</si>
  <si>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</si>
  <si>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</si>
  <si>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</si>
  <si>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</si>
  <si>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</si>
  <si>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</si>
  <si>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</si>
  <si>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</si>
  <si>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</si>
  <si>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</si>
  <si>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</si>
  <si>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</si>
  <si>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</si>
  <si>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</si>
  <si>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</si>
  <si>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</si>
  <si>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</si>
  <si>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</si>
  <si>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</si>
  <si>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</si>
  <si>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</si>
  <si>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</si>
  <si>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</si>
  <si>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</si>
  <si>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</si>
  <si>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</si>
  <si>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</si>
  <si>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</si>
  <si>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</si>
  <si>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</si>
  <si>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</si>
  <si>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</si>
  <si>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</si>
  <si>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</si>
  <si>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</si>
  <si>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</si>
  <si>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</si>
  <si>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</si>
  <si>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</si>
  <si>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</si>
  <si>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</si>
  <si>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</si>
  <si>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</si>
  <si>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</si>
  <si>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</si>
  <si>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</si>
  <si>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</si>
  <si>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</si>
  <si>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</si>
  <si>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</si>
  <si>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</si>
  <si>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</si>
  <si>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</si>
  <si>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</si>
  <si>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</si>
  <si>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</si>
  <si>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</si>
  <si>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</si>
  <si>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</si>
  <si>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</si>
  <si>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</si>
  <si>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</si>
  <si>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</si>
  <si>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</si>
  <si>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</si>
  <si>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</si>
  <si>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</si>
  <si>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</si>
  <si>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</si>
  <si>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</si>
  <si>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</si>
  <si>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</si>
  <si>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</si>
  <si>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</si>
  <si>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</si>
  <si>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</si>
  <si>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</si>
  <si>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</si>
  <si>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</si>
  <si>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</si>
  <si>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</si>
  <si>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</si>
  <si>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</si>
  <si>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</si>
  <si>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</si>
  <si>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</si>
  <si>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</si>
  <si>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</si>
  <si>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</si>
  <si>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</si>
  <si>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</si>
  <si>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</si>
  <si>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</si>
  <si>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</si>
  <si>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</si>
  <si>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</si>
  <si>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</si>
  <si>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</si>
  <si>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</si>
  <si>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</si>
  <si>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</si>
  <si>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</si>
  <si>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</si>
  <si>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</si>
  <si>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</si>
  <si>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</si>
  <si>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</si>
  <si>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</si>
  <si>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</si>
  <si>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</si>
  <si>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</si>
  <si>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</si>
  <si>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</si>
  <si>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</si>
  <si>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</si>
  <si>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</si>
  <si>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</si>
  <si>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</si>
  <si>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</si>
  <si>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</si>
  <si>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</si>
  <si>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</si>
  <si>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</si>
  <si>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</si>
  <si>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</si>
  <si>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</si>
  <si>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</si>
  <si>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</si>
  <si>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</si>
  <si>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</si>
  <si>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</si>
  <si>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</si>
  <si>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</si>
  <si>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</si>
  <si>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</si>
  <si>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</si>
  <si>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</si>
  <si>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</si>
  <si>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</si>
  <si>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</si>
  <si>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</si>
  <si>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</si>
  <si>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</si>
  <si>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</si>
  <si>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</si>
  <si>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</si>
  <si>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</si>
  <si>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</si>
  <si>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</si>
  <si>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</si>
  <si>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</si>
  <si>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</si>
  <si>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</si>
  <si>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</si>
  <si>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</si>
  <si>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</si>
  <si>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</si>
  <si>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</si>
  <si>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</si>
  <si>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</si>
  <si>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</si>
  <si>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</si>
  <si>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</si>
  <si>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</si>
  <si>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</si>
  <si>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</si>
  <si>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</si>
  <si>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</si>
  <si>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</si>
  <si>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</si>
  <si>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</si>
  <si>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</si>
  <si>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</si>
  <si>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</si>
  <si>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</si>
  <si>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</si>
  <si>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</si>
  <si>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</si>
  <si>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</si>
  <si>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</si>
  <si>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</si>
  <si>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</si>
  <si>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</si>
  <si>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</si>
  <si>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</si>
  <si>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</si>
  <si>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</si>
  <si>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</si>
  <si>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</si>
  <si>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</si>
  <si>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</si>
  <si>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</si>
  <si>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</si>
  <si>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</si>
  <si>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</si>
  <si>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</si>
  <si>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</si>
  <si>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</si>
  <si>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</si>
  <si>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</si>
  <si>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</si>
  <si>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</si>
  <si>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</si>
  <si>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</si>
  <si>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</si>
  <si>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</si>
  <si>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</si>
  <si>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</si>
  <si>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</si>
  <si>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</si>
  <si>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</si>
  <si>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</si>
  <si>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</si>
  <si>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</si>
  <si>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</si>
  <si>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</si>
  <si>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</si>
  <si>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</si>
  <si>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</si>
  <si>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</si>
  <si>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</si>
  <si>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</si>
  <si>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</si>
  <si>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</si>
  <si>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</si>
  <si>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</si>
  <si>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</si>
  <si>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</si>
  <si>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</si>
  <si>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</si>
  <si>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</si>
  <si>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</si>
  <si>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</si>
  <si>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</si>
  <si>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</si>
  <si>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</si>
  <si>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</si>
  <si>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</si>
  <si>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</si>
  <si>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</si>
  <si>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</si>
  <si>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</si>
  <si>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</si>
  <si>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</si>
  <si>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</si>
  <si>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</si>
  <si>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</si>
  <si>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</si>
  <si>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</si>
  <si>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</si>
  <si>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</si>
  <si>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</si>
  <si>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</si>
  <si>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</si>
  <si>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</si>
  <si>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</si>
  <si>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</si>
  <si>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</si>
  <si>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</si>
  <si>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</si>
  <si>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</si>
  <si>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</si>
  <si>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</si>
  <si>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</si>
  <si>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</si>
  <si>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</si>
  <si>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</si>
  <si>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</si>
  <si>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</si>
  <si>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</si>
  <si>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</si>
  <si>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</si>
  <si>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</si>
  <si>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</si>
  <si>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</si>
  <si>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</si>
  <si>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</si>
  <si>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</si>
  <si>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</si>
  <si>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</si>
  <si>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</si>
  <si>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</si>
  <si>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</si>
  <si>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</si>
  <si>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</si>
  <si>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</si>
  <si>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</si>
  <si>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</si>
  <si>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</si>
  <si>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</si>
  <si>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</si>
  <si>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</si>
  <si>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</si>
  <si>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</si>
  <si>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</si>
  <si>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</si>
  <si>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</si>
  <si>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</si>
  <si>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</si>
  <si>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</si>
  <si>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</si>
  <si>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</si>
  <si>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</si>
  <si>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</si>
  <si>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</si>
  <si>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</si>
  <si>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</si>
  <si>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</si>
  <si>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</si>
  <si>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</si>
  <si>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</si>
  <si>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</si>
  <si>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</si>
  <si>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</si>
  <si>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</si>
  <si>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</si>
  <si>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</si>
  <si>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</si>
  <si>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</si>
  <si>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</si>
  <si>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</si>
  <si>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</si>
  <si>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</si>
  <si>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</si>
  <si>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</si>
  <si>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</si>
  <si>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</si>
  <si>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</si>
  <si>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</si>
  <si>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</si>
  <si>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</si>
  <si>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</si>
  <si>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</si>
  <si>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</si>
  <si>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</si>
  <si>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</si>
  <si>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</si>
  <si>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</si>
  <si>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</si>
  <si>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</si>
  <si>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</si>
  <si>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</si>
  <si>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</si>
  <si>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</si>
  <si>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</si>
  <si>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</si>
  <si>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</si>
  <si>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</si>
  <si>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</si>
  <si>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</si>
  <si>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</si>
  <si>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</si>
  <si>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</si>
  <si>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</si>
  <si>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</si>
  <si>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</si>
  <si>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</si>
  <si>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</si>
  <si>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</si>
  <si>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</si>
  <si>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</si>
  <si>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</si>
  <si>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</si>
  <si>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</si>
  <si>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</si>
  <si>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</si>
  <si>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</si>
  <si>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</si>
  <si>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</si>
  <si>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</si>
  <si>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</si>
  <si>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</si>
  <si>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</si>
  <si>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</si>
  <si>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</si>
  <si>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</si>
  <si>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</si>
  <si>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</si>
  <si>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</si>
  <si>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</si>
  <si>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</si>
  <si>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</si>
  <si>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</si>
  <si>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</si>
  <si>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</si>
  <si>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</si>
  <si>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</si>
  <si>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</si>
  <si>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</si>
  <si>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</si>
  <si>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</si>
  <si>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</si>
  <si>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</si>
  <si>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</si>
  <si>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</si>
  <si>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</si>
  <si>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</si>
  <si>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</si>
  <si>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</si>
  <si>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</si>
  <si>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</si>
  <si>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</si>
  <si>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</si>
  <si>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</si>
  <si>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</si>
  <si>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</si>
  <si>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</si>
  <si>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</si>
  <si>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</si>
  <si>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</si>
  <si>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</si>
  <si>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</si>
  <si>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</si>
  <si>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</si>
  <si>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</si>
  <si>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</si>
  <si>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</si>
  <si>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</si>
  <si>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</si>
  <si>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</si>
  <si>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</si>
  <si>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</si>
  <si>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</si>
  <si>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</si>
  <si>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</si>
  <si>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</si>
  <si>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</si>
  <si>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</si>
  <si>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</si>
  <si>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</si>
  <si>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</si>
  <si>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</si>
  <si>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</si>
  <si>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</si>
  <si>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</si>
  <si>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</si>
  <si>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</si>
  <si>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</si>
  <si>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</si>
  <si>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</si>
  <si>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</si>
  <si>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</si>
  <si>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</si>
  <si>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</si>
  <si>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</si>
  <si>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</si>
  <si>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</si>
  <si>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</si>
  <si>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</si>
  <si>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</si>
  <si>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</si>
  <si>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</si>
  <si>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</si>
  <si>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</si>
  <si>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</si>
  <si>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</si>
  <si>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</si>
  <si>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</si>
  <si>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</si>
  <si>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</si>
  <si>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</si>
  <si>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</si>
  <si>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</si>
  <si>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</si>
  <si>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</si>
  <si>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</si>
  <si>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</si>
  <si>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</si>
  <si>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</si>
  <si>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</si>
  <si>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</si>
  <si>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</si>
  <si>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</si>
  <si>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</si>
  <si>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</si>
  <si>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</si>
  <si>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</si>
  <si>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</si>
  <si>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</si>
  <si>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</si>
  <si>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</si>
  <si>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</si>
  <si>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</si>
  <si>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</si>
  <si>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</si>
  <si>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</si>
  <si>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</si>
  <si>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</si>
  <si>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</si>
  <si>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</si>
  <si>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</si>
  <si>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</si>
  <si>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</si>
  <si>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</si>
  <si>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</si>
  <si>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</si>
  <si>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</si>
  <si>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</si>
  <si>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</si>
  <si>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</si>
  <si>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</si>
  <si>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</si>
  <si>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</si>
  <si>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</si>
  <si>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</si>
  <si>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</si>
  <si>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</si>
  <si>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</si>
  <si>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</si>
  <si>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</si>
  <si>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</si>
  <si>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</si>
  <si>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</si>
  <si>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</si>
  <si>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</si>
  <si>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</si>
  <si>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</si>
  <si>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</si>
  <si>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</si>
  <si>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</si>
  <si>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</si>
  <si>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</si>
  <si>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</si>
  <si>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</si>
  <si>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</si>
  <si>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</si>
  <si>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</si>
  <si>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</si>
  <si>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</si>
  <si>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</si>
  <si>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</si>
  <si>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</si>
  <si>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</si>
  <si>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</si>
  <si>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</si>
  <si>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</si>
  <si>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</si>
  <si>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</si>
  <si>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</si>
  <si>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</si>
  <si>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</si>
  <si>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</si>
  <si>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</si>
  <si>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</si>
  <si>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</si>
  <si>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</si>
  <si>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</si>
  <si>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</si>
  <si>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</si>
  <si>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</si>
  <si>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</si>
  <si>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</si>
  <si>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</si>
  <si>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</si>
  <si>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</si>
  <si>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</si>
  <si>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</si>
  <si>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</si>
  <si>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</si>
  <si>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</si>
  <si>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</si>
  <si>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</si>
  <si>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</si>
  <si>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</si>
  <si>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</si>
  <si>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</si>
  <si>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</si>
  <si>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</si>
  <si>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</si>
  <si>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</si>
  <si>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</si>
  <si>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</si>
  <si>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</si>
  <si>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</si>
  <si>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</si>
  <si>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</si>
  <si>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</si>
  <si>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</si>
  <si>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</si>
  <si>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</si>
  <si>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</si>
  <si>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</si>
  <si>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</si>
  <si>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</si>
  <si>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</si>
  <si>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</si>
  <si>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</si>
  <si>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</si>
  <si>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</si>
  <si>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</si>
  <si>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</si>
  <si>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</si>
  <si>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</si>
  <si>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</si>
  <si>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</si>
  <si>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</si>
  <si>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</si>
  <si>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</si>
  <si>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</si>
  <si>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</si>
  <si>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</si>
  <si>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</si>
  <si>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</si>
  <si>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</si>
  <si>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</si>
  <si>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</si>
  <si>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</si>
  <si>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</si>
  <si>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</si>
  <si>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</si>
  <si>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</si>
  <si>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</si>
  <si>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</si>
  <si>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</si>
  <si>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</si>
  <si>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</si>
  <si>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</si>
  <si>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</si>
  <si>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</si>
  <si>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</si>
  <si>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</si>
  <si>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</si>
  <si>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</si>
  <si>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</si>
  <si>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</si>
  <si>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</si>
  <si>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</si>
  <si>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</si>
  <si>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</si>
  <si>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</si>
  <si>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</si>
  <si>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</si>
  <si>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</si>
  <si>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</si>
  <si>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</si>
  <si>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</si>
  <si>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</si>
  <si>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</si>
  <si>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</si>
  <si>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</si>
  <si>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</si>
  <si>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</si>
  <si>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</si>
  <si>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</si>
  <si>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</si>
  <si>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</si>
  <si>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</si>
  <si>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</si>
  <si>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</si>
  <si>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</si>
  <si>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</si>
  <si>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</si>
  <si>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</si>
  <si>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</si>
  <si>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</si>
  <si>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</si>
  <si>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</si>
  <si>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</si>
  <si>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</si>
  <si>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</si>
  <si>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</si>
  <si>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</si>
  <si>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</si>
  <si>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</si>
  <si>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</si>
  <si>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</si>
  <si>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</si>
  <si>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</si>
  <si>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</si>
  <si>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</si>
  <si>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</si>
  <si>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</si>
  <si>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</si>
  <si>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</si>
  <si>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</si>
  <si>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</si>
  <si>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</si>
  <si>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</si>
  <si>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</si>
  <si>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</si>
  <si>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</si>
  <si>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</si>
  <si>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</si>
  <si>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</si>
  <si>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</si>
  <si>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</si>
  <si>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</si>
  <si>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</si>
  <si>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</si>
  <si>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</si>
  <si>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</si>
  <si>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</si>
  <si>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</si>
  <si>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</si>
  <si>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</si>
  <si>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</si>
  <si>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</si>
  <si>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</si>
  <si>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</si>
  <si>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</si>
  <si>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</si>
  <si>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</si>
  <si>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</si>
  <si>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</si>
  <si>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</si>
  <si>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</si>
  <si>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</si>
  <si>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</si>
  <si>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</si>
  <si>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</si>
  <si>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</si>
  <si>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</si>
  <si>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</si>
  <si>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</si>
  <si>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</si>
  <si>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</si>
  <si>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</si>
  <si>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</si>
  <si>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</si>
  <si>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</si>
  <si>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</si>
  <si>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</si>
  <si>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</si>
  <si>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</si>
  <si>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</si>
  <si>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</si>
  <si>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</si>
  <si>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</si>
  <si>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</si>
  <si>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</si>
  <si>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</si>
  <si>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</si>
  <si>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</si>
  <si>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</si>
  <si>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</si>
  <si>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</si>
  <si>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</si>
  <si>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</si>
  <si>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</si>
  <si>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</si>
  <si>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</si>
  <si>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</si>
  <si>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</si>
  <si>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</si>
  <si>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</si>
  <si>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</si>
  <si>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</si>
  <si>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</si>
  <si>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</si>
  <si>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</si>
  <si>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</si>
  <si>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</si>
  <si>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</si>
  <si>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</si>
  <si>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</si>
  <si>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</si>
  <si>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</si>
  <si>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</si>
  <si>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</si>
  <si>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</si>
  <si>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</si>
  <si>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</si>
  <si>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</si>
  <si>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</si>
  <si>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</si>
  <si>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</si>
  <si>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</si>
  <si>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</si>
  <si>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</si>
  <si>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</si>
  <si>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</si>
  <si>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</si>
  <si>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</si>
  <si>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</si>
  <si>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</si>
  <si>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</si>
  <si>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</si>
  <si>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</si>
  <si>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</si>
  <si>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</si>
  <si>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</si>
  <si>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</si>
  <si>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</si>
  <si>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</si>
  <si>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</si>
  <si>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</si>
  <si>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</si>
  <si>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</si>
  <si>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</si>
  <si>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</si>
  <si>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</si>
  <si>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</si>
  <si>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</si>
  <si>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</si>
  <si>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</si>
  <si>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</si>
  <si>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</si>
  <si>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</si>
  <si>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</si>
  <si>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</si>
  <si>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</si>
  <si>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</si>
  <si>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</si>
  <si>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</si>
  <si>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</si>
  <si>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</si>
  <si>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</si>
  <si>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</si>
  <si>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</si>
  <si>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</si>
  <si>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</si>
  <si>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</si>
  <si>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</si>
  <si>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</si>
  <si>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</si>
  <si>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</si>
  <si>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</si>
  <si>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</si>
  <si>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</si>
  <si>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</si>
  <si>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</si>
  <si>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</si>
  <si>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</si>
  <si>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</si>
  <si>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</si>
  <si>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</si>
  <si>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</si>
  <si>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</si>
  <si>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</si>
  <si>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</si>
  <si>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</si>
  <si>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</si>
  <si>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</si>
  <si>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</si>
  <si>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</si>
  <si>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</si>
  <si>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</si>
  <si>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</si>
  <si>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</si>
  <si>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</si>
  <si>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</si>
  <si>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</si>
  <si>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</si>
  <si>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</si>
  <si>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</si>
  <si>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</si>
  <si>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</si>
  <si>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</si>
  <si>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</si>
  <si>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</si>
  <si>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</si>
  <si>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</si>
  <si>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</si>
  <si>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</si>
  <si>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</si>
  <si>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</si>
  <si>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</si>
  <si>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</si>
  <si>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</si>
  <si>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</si>
  <si>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</si>
  <si>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</si>
  <si>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</si>
  <si>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</si>
  <si>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</si>
  <si>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</si>
  <si>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</si>
  <si>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</si>
  <si>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</si>
  <si>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</si>
  <si>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</si>
  <si>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</si>
  <si>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</si>
  <si>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</si>
  <si>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</si>
  <si>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</si>
  <si>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</si>
  <si>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</si>
  <si>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</si>
  <si>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</si>
  <si>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</si>
  <si>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</si>
  <si>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</si>
  <si>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</si>
  <si>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</si>
  <si>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</si>
  <si>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</si>
  <si>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</si>
  <si>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</si>
  <si>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</si>
  <si>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</si>
  <si>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</si>
  <si>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</si>
  <si>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</si>
  <si>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</si>
  <si>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</si>
  <si>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</si>
  <si>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</si>
  <si>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</si>
  <si>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</si>
  <si>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</si>
  <si>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</si>
  <si>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</si>
  <si>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</si>
  <si>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</si>
  <si>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</si>
  <si>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</si>
  <si>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</si>
  <si>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</si>
  <si>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</si>
  <si>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</si>
  <si>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</si>
  <si>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</si>
  <si>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</si>
  <si>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</si>
  <si>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</si>
  <si>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</si>
  <si>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</si>
  <si>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</si>
  <si>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</si>
  <si>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</si>
  <si>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</si>
  <si>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</si>
  <si>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</si>
  <si>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</si>
  <si>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</si>
  <si>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</si>
  <si>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</si>
  <si>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</si>
  <si>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</si>
  <si>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</si>
  <si>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</si>
  <si>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</si>
  <si>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</si>
  <si>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</si>
  <si>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</si>
  <si>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</si>
  <si>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</si>
  <si>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</si>
  <si>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</si>
  <si>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</si>
  <si>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</si>
  <si>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</si>
  <si>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</si>
  <si>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</si>
  <si>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</si>
  <si>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</si>
  <si>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</si>
  <si>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</si>
  <si>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</si>
  <si>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</si>
  <si>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</si>
  <si>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</si>
  <si>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</si>
  <si>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</si>
  <si>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</si>
  <si>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</si>
  <si>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</si>
  <si>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</si>
  <si>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</si>
  <si>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</si>
  <si>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</si>
  <si>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</si>
  <si>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</si>
  <si>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</si>
  <si>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</si>
  <si>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</si>
  <si>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</si>
  <si>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</si>
  <si>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</si>
  <si>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</si>
  <si>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</si>
  <si>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</si>
  <si>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</si>
  <si>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</si>
  <si>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</si>
  <si>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</si>
  <si>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</si>
  <si>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</si>
  <si>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</si>
  <si>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</si>
  <si>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</si>
  <si>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</si>
  <si>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</si>
  <si>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</si>
  <si>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</si>
  <si>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</si>
  <si>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</si>
  <si>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</si>
  <si>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</si>
  <si>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</si>
  <si>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</si>
  <si>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</si>
  <si>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</si>
  <si>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</si>
  <si>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</si>
  <si>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</si>
  <si>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</si>
  <si>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</si>
  <si>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</si>
  <si>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</si>
  <si>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</si>
  <si>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</si>
  <si>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</si>
  <si>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</si>
  <si>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</si>
  <si>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</si>
  <si>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</si>
  <si>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</si>
  <si>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</si>
  <si>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</si>
  <si>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</si>
  <si>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</si>
  <si>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</si>
  <si>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</si>
  <si>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</si>
  <si>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</si>
  <si>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</si>
  <si>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</si>
  <si>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</si>
  <si>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</si>
  <si>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</si>
  <si>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</si>
  <si>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</si>
  <si>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</si>
  <si>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</si>
  <si>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</si>
  <si>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</si>
  <si>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</si>
  <si>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</si>
  <si>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</si>
  <si>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</si>
  <si>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</si>
  <si>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</si>
  <si>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</si>
  <si>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</si>
  <si>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</si>
  <si>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</si>
  <si>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</si>
  <si>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</si>
  <si>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</si>
  <si>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</si>
  <si>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</si>
  <si>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</si>
  <si>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</si>
  <si>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</si>
  <si>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</si>
  <si>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</si>
  <si>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</si>
  <si>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</si>
  <si>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</si>
  <si>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</si>
  <si>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</si>
  <si>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</si>
  <si>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</si>
  <si>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</si>
  <si>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</si>
  <si>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</si>
  <si>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</si>
  <si>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</si>
  <si>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</si>
  <si>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</si>
  <si>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</si>
  <si>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</si>
  <si>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</si>
  <si>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</si>
  <si>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</si>
  <si>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</si>
  <si>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</si>
  <si>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</si>
  <si>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</si>
  <si>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</si>
  <si>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</si>
  <si>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</si>
  <si>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</si>
  <si>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</si>
  <si>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</si>
  <si>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</si>
  <si>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</si>
  <si>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</si>
  <si>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</si>
  <si>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</si>
  <si>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</si>
  <si>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</si>
  <si>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</si>
  <si>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</si>
  <si>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</si>
  <si>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</si>
  <si>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</si>
  <si>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</si>
  <si>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</si>
  <si>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</si>
  <si>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</si>
  <si>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</si>
  <si>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</si>
  <si>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</si>
  <si>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</si>
  <si>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</si>
  <si>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</si>
  <si>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</si>
  <si>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</si>
  <si>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</si>
  <si>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</si>
  <si>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</si>
  <si>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</si>
  <si>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</si>
  <si>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</si>
  <si>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</si>
  <si>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</si>
  <si>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</si>
  <si>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</si>
  <si>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</si>
  <si>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</si>
  <si>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</si>
  <si>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</si>
  <si>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</si>
  <si>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</si>
  <si>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</si>
  <si>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</si>
  <si>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</si>
  <si>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</si>
  <si>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</si>
  <si>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</si>
  <si>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</si>
  <si>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</si>
  <si>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</si>
  <si>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</si>
  <si>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</si>
  <si>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</si>
  <si>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</si>
  <si>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</si>
  <si>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</si>
  <si>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</si>
  <si>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</si>
  <si>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</si>
  <si>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</si>
  <si>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</si>
  <si>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</si>
  <si>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</si>
  <si>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</si>
  <si>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</si>
  <si>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</si>
  <si>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</si>
  <si>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</si>
  <si>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</si>
  <si>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</si>
  <si>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</si>
  <si>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</si>
  <si>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</si>
  <si>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</si>
  <si>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</si>
  <si>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</si>
  <si>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</si>
  <si>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</si>
  <si>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</si>
  <si>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</si>
  <si>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</si>
  <si>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</si>
  <si>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</si>
  <si>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</si>
  <si>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</si>
  <si>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</si>
  <si>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</si>
  <si>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</si>
  <si>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</si>
  <si>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</si>
  <si>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</si>
  <si>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</si>
  <si>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</si>
  <si>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</si>
  <si>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</si>
  <si>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</si>
  <si>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</si>
  <si>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</si>
  <si>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</si>
  <si>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</si>
  <si>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</si>
  <si>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</si>
  <si>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</si>
  <si>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</si>
  <si>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</si>
  <si>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</si>
  <si>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</si>
  <si>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</si>
  <si>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</si>
  <si>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</si>
  <si>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</si>
  <si>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</si>
  <si>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</si>
  <si>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</si>
  <si>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</si>
  <si>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</si>
  <si>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</si>
  <si>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</si>
  <si>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</si>
  <si>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</si>
  <si>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</si>
  <si>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</si>
  <si>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</si>
  <si>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</si>
  <si>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</si>
  <si>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</si>
  <si>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</si>
  <si>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</si>
  <si>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</si>
  <si>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</si>
  <si>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</si>
  <si>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</si>
  <si>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</si>
  <si>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</si>
  <si>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</si>
  <si>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</si>
  <si>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</si>
  <si>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</si>
  <si>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</si>
  <si>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</si>
  <si>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</si>
  <si>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</si>
  <si>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</si>
  <si>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</si>
  <si>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</si>
  <si>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</si>
  <si>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</si>
  <si>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</si>
  <si>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</si>
  <si>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</si>
  <si>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</si>
  <si>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</si>
  <si>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</si>
  <si>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</si>
  <si>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</si>
  <si>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</si>
  <si>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</si>
  <si>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</si>
  <si>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</si>
  <si>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</si>
  <si>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</si>
  <si>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</si>
  <si>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</si>
  <si>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</si>
  <si>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</si>
  <si>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</si>
  <si>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</si>
  <si>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</si>
  <si>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</si>
  <si>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</si>
  <si>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</si>
  <si>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</si>
  <si>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</si>
  <si>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</si>
  <si>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</si>
  <si>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</si>
  <si>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</si>
  <si>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</si>
  <si>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</si>
  <si>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</si>
  <si>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</si>
  <si>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</si>
  <si>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</si>
  <si>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</si>
  <si>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</si>
  <si>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</si>
  <si>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</si>
  <si>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</si>
  <si>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</si>
  <si>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</si>
  <si>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</si>
  <si>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</si>
  <si>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</si>
  <si>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</si>
  <si>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</si>
  <si>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</si>
  <si>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</si>
  <si>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</si>
  <si>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</si>
  <si>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</si>
  <si>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</si>
  <si>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</si>
  <si>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</si>
  <si>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</si>
  <si>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</si>
  <si>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</si>
  <si>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</si>
  <si>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</si>
  <si>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</si>
  <si>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</si>
  <si>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</si>
  <si>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</si>
  <si>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</si>
  <si>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</si>
  <si>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</si>
  <si>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</si>
  <si>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</si>
  <si>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</si>
  <si>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</si>
  <si>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</si>
  <si>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</si>
  <si>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</si>
  <si>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</si>
  <si>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</si>
  <si>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</si>
  <si>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</si>
  <si>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</si>
  <si>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</si>
  <si>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</si>
  <si>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</si>
  <si>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</si>
  <si>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</si>
  <si>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</si>
  <si>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</si>
  <si>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</si>
  <si>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</si>
  <si>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</si>
  <si>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</si>
  <si>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</si>
  <si>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</si>
  <si>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</si>
  <si>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</si>
  <si>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</si>
  <si>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</si>
  <si>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</si>
  <si>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</si>
  <si>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</si>
  <si>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</si>
  <si>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</si>
  <si>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</si>
  <si>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</si>
  <si>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</si>
  <si>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</si>
  <si>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</si>
  <si>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</si>
  <si>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</si>
  <si>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</si>
  <si>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</si>
  <si>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</si>
  <si>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</si>
  <si>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</si>
  <si>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</si>
  <si>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</si>
  <si>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</si>
  <si>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</si>
  <si>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</si>
  <si>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</si>
  <si>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</si>
  <si>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</si>
  <si>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</si>
  <si>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</si>
  <si>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</si>
  <si>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</si>
  <si>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</si>
  <si>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</si>
  <si>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</si>
  <si>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</si>
  <si>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</si>
  <si>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</si>
  <si>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</si>
  <si>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</si>
  <si>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</si>
  <si>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</si>
  <si>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</si>
  <si>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</si>
  <si>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</si>
  <si>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</si>
  <si>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</si>
  <si>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</si>
  <si>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</si>
  <si>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</si>
  <si>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</si>
  <si>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</si>
  <si>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</si>
  <si>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</si>
  <si>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</si>
  <si>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</si>
  <si>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</si>
  <si>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</si>
  <si>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</si>
  <si>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</si>
  <si>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</si>
  <si>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</si>
  <si>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</si>
  <si>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</si>
  <si>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</si>
  <si>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</si>
  <si>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</si>
  <si>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</si>
  <si>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</si>
  <si>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</si>
  <si>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</si>
  <si>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</si>
  <si>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</si>
  <si>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</si>
  <si>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</si>
  <si>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</si>
  <si>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</si>
  <si>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</si>
  <si>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</si>
  <si>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</si>
  <si>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</si>
  <si>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</si>
  <si>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</si>
  <si>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</si>
  <si>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</si>
  <si>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</si>
  <si>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</si>
  <si>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</si>
  <si>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</si>
  <si>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</si>
  <si>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</si>
  <si>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</si>
  <si>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</si>
  <si>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</si>
  <si>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</si>
  <si>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</si>
  <si>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</si>
  <si>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</si>
  <si>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</si>
  <si>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</si>
  <si>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</si>
  <si>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</si>
  <si>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</si>
  <si>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</si>
  <si>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</si>
  <si>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</si>
  <si>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</si>
  <si>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</si>
  <si>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</si>
  <si>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</si>
  <si>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</si>
  <si>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</si>
  <si>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</si>
  <si>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</si>
  <si>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</si>
  <si>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</si>
  <si>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</si>
  <si>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</si>
  <si>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</si>
  <si>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</si>
  <si>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</si>
  <si>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</si>
  <si>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</si>
  <si>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</si>
  <si>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</si>
  <si>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</si>
  <si>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</si>
  <si>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</si>
  <si>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</si>
  <si>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</si>
  <si>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</si>
  <si>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</si>
  <si>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</si>
  <si>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</si>
  <si>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</si>
  <si>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</si>
  <si>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</si>
  <si>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</si>
  <si>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</si>
  <si>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</si>
  <si>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</si>
  <si>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</si>
  <si>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</si>
  <si>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</si>
  <si>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</si>
  <si>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</si>
  <si>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</si>
  <si>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</si>
  <si>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</si>
  <si>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</si>
  <si>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</si>
  <si>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</si>
  <si>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</si>
  <si>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</si>
  <si>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</si>
  <si>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</si>
  <si>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</si>
  <si>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</si>
  <si>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</si>
  <si>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</si>
  <si>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</si>
  <si>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</si>
  <si>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</si>
  <si>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</si>
  <si>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</si>
  <si>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</si>
  <si>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</si>
  <si>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</si>
  <si>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</si>
  <si>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</si>
  <si>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</si>
  <si>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</si>
  <si>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</si>
  <si>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</si>
  <si>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</si>
  <si>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</si>
  <si>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</si>
  <si>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</si>
  <si>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</si>
  <si>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</si>
  <si>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</si>
  <si>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</si>
  <si>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</si>
  <si>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</si>
  <si>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</si>
  <si>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</si>
  <si>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</si>
  <si>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</si>
  <si>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</si>
  <si>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</si>
  <si>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</si>
  <si>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</si>
  <si>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</si>
  <si>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</si>
  <si>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</si>
  <si>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</si>
  <si>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</si>
  <si>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</si>
  <si>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</si>
  <si>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</si>
  <si>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</si>
  <si>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</si>
  <si>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</si>
  <si>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</si>
  <si>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</si>
  <si>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</si>
  <si>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</si>
  <si>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</si>
  <si>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</si>
  <si>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</si>
  <si>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</si>
  <si>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</si>
  <si>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</si>
  <si>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</si>
  <si>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</si>
  <si>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</si>
  <si>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</si>
  <si>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</si>
  <si>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</si>
  <si>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</si>
  <si>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</si>
  <si>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</si>
  <si>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</si>
  <si>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</si>
  <si>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</si>
  <si>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</si>
  <si>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</si>
  <si>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</si>
  <si>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</si>
  <si>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</si>
  <si>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</si>
  <si>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</si>
  <si>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</si>
  <si>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</si>
  <si>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</si>
  <si>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</si>
  <si>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</si>
  <si>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</si>
  <si>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</si>
  <si>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</si>
  <si>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</si>
  <si>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</si>
  <si>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</si>
  <si>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</si>
  <si>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</si>
  <si>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</si>
  <si>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</si>
  <si>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</si>
  <si>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</si>
  <si>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</si>
  <si>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</si>
  <si>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</si>
  <si>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</si>
  <si>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</si>
  <si>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</si>
  <si>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</si>
  <si>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</si>
  <si>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</si>
  <si>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</si>
  <si>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</si>
  <si>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</si>
  <si>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</si>
  <si>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</si>
  <si>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</si>
  <si>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</si>
  <si>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</si>
  <si>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</si>
  <si>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</si>
  <si>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</si>
  <si>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</si>
  <si>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</si>
  <si>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</si>
  <si>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</si>
  <si>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</si>
  <si>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</si>
  <si>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</si>
  <si>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</si>
  <si>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</si>
  <si>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</si>
  <si>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</si>
  <si>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</si>
  <si>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</si>
  <si>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</si>
  <si>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</si>
  <si>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</si>
  <si>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</si>
  <si>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</si>
  <si>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</si>
  <si>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</si>
  <si>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</si>
  <si>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</si>
  <si>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</si>
  <si>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</si>
  <si>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</si>
  <si>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</si>
  <si>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</si>
  <si>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</si>
  <si>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</si>
  <si>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</si>
  <si>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</si>
  <si>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</si>
  <si>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</si>
  <si>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</si>
  <si>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</si>
  <si>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</si>
  <si>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</si>
  <si>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</si>
  <si>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</si>
  <si>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</si>
  <si>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</si>
  <si>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</si>
  <si>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</si>
  <si>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</si>
  <si>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</si>
  <si>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</si>
  <si>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</si>
  <si>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</si>
  <si>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</si>
  <si>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</si>
  <si>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</si>
  <si>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</si>
  <si>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</si>
  <si>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</si>
  <si>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</si>
  <si>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</si>
  <si>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</si>
  <si>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</si>
  <si>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</si>
  <si>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</si>
  <si>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</si>
  <si>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</si>
  <si>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</si>
  <si>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</si>
  <si>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</si>
  <si>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</si>
  <si>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</si>
  <si>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</si>
  <si>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</si>
  <si>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</si>
  <si>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</si>
  <si>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</si>
  <si>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</si>
  <si>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</si>
  <si>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</si>
  <si>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</si>
  <si>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</si>
  <si>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</si>
  <si>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</si>
  <si>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</si>
  <si>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</si>
  <si>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</si>
  <si>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</si>
  <si>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</si>
  <si>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</si>
  <si>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</si>
  <si>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</si>
  <si>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</si>
  <si>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</si>
  <si>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</si>
  <si>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</si>
  <si>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</si>
  <si>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</si>
  <si>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</si>
  <si>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</si>
  <si>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</si>
  <si>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</si>
  <si>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</si>
  <si>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</si>
  <si>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</si>
  <si>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</si>
  <si>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</si>
  <si>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</si>
  <si>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</si>
  <si>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</si>
  <si>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</si>
  <si>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</si>
  <si>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</si>
  <si>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</si>
  <si>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</si>
  <si>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</si>
  <si>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</si>
  <si>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</si>
  <si>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</si>
  <si>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</si>
  <si>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</si>
  <si>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</si>
  <si>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</si>
  <si>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</si>
  <si>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</si>
  <si>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</si>
  <si>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</si>
  <si>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</si>
  <si>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</si>
  <si>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</si>
  <si>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</si>
  <si>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</si>
  <si>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</si>
  <si>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</si>
  <si>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</si>
  <si>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</si>
  <si>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</si>
  <si>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</si>
  <si>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</si>
  <si>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</si>
  <si>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</si>
  <si>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</si>
  <si>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</si>
  <si>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</si>
  <si>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</si>
  <si>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</si>
  <si>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</si>
  <si>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</si>
  <si>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</si>
  <si>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</si>
  <si>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</si>
  <si>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</si>
  <si>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</si>
  <si>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</si>
  <si>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</si>
  <si>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</si>
  <si>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</si>
  <si>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</si>
  <si>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</si>
  <si>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</si>
  <si>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</si>
  <si>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</si>
  <si>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</si>
  <si>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</si>
  <si>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</si>
  <si>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</si>
  <si>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</si>
  <si>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</si>
  <si>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</si>
  <si>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</si>
  <si>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</si>
  <si>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</si>
  <si>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</si>
  <si>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</si>
  <si>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</si>
  <si>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</si>
  <si>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</si>
  <si>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</si>
  <si>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</si>
  <si>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</si>
  <si>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</si>
  <si>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</si>
  <si>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</si>
  <si>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</si>
  <si>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</si>
  <si>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</si>
  <si>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</si>
  <si>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</si>
  <si>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</si>
  <si>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</si>
  <si>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</si>
  <si>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</si>
  <si>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</si>
  <si>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</si>
  <si>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</si>
  <si>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</si>
  <si>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</si>
  <si>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</si>
  <si>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</si>
  <si>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</si>
  <si>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</si>
  <si>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</si>
  <si>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</si>
  <si>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</si>
  <si>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</si>
  <si>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</si>
  <si>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</si>
  <si>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</si>
  <si>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</si>
  <si>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</si>
  <si>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</si>
  <si>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</si>
  <si>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</si>
  <si>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</si>
  <si>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</si>
  <si>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</si>
  <si>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</si>
  <si>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</si>
  <si>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</si>
  <si>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</si>
  <si>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</si>
  <si>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</si>
  <si>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</si>
  <si>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</si>
  <si>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</si>
  <si>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</si>
  <si>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</si>
  <si>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</si>
  <si>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</si>
  <si>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</si>
  <si>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</si>
  <si>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</si>
  <si>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</si>
  <si>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</si>
  <si>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</si>
  <si>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</si>
  <si>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</si>
  <si>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</si>
  <si>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</si>
  <si>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</si>
  <si>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</si>
  <si>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</si>
  <si>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</si>
  <si>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</si>
  <si>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</si>
  <si>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</si>
  <si>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</si>
  <si>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</si>
  <si>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</si>
  <si>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</si>
  <si>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</si>
  <si>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</si>
  <si>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</si>
  <si>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</si>
  <si>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</si>
  <si>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</si>
  <si>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</si>
  <si>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</si>
  <si>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</si>
  <si>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</si>
  <si>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</si>
  <si>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</si>
  <si>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</si>
  <si>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</si>
  <si>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</si>
  <si>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</si>
  <si>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</si>
  <si>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</si>
  <si>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</si>
  <si>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</si>
  <si>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</si>
  <si>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</si>
  <si>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</si>
  <si>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</si>
  <si>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</si>
  <si>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</si>
  <si>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</si>
  <si>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</si>
  <si>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</si>
  <si>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</si>
  <si>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</si>
  <si>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</si>
  <si>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</si>
  <si>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</si>
  <si>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</si>
  <si>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</si>
  <si>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</si>
  <si>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</si>
  <si>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</si>
  <si>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</si>
  <si>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</si>
  <si>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</si>
  <si>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</si>
  <si>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</si>
  <si>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</si>
  <si>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</si>
  <si>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</si>
  <si>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</si>
  <si>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</si>
  <si>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</si>
  <si>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</si>
  <si>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</si>
  <si>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</si>
  <si>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</si>
  <si>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</si>
  <si>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</si>
  <si>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</si>
  <si>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</si>
  <si>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</si>
  <si>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</si>
  <si>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</si>
  <si>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</si>
  <si>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</si>
  <si>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</si>
  <si>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</si>
  <si>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</si>
  <si>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</si>
  <si>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</si>
  <si>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</si>
  <si>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</si>
  <si>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</si>
  <si>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</si>
  <si>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</si>
  <si>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</si>
  <si>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</si>
  <si>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</si>
  <si>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</si>
  <si>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</si>
  <si>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</si>
  <si>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</si>
  <si>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</si>
  <si>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</si>
  <si>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</si>
  <si>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</si>
  <si>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</si>
  <si>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</si>
  <si>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</si>
  <si>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</si>
  <si>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</si>
  <si>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</si>
  <si>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</si>
  <si>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</si>
  <si>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</si>
  <si>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</si>
  <si>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</si>
  <si>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</si>
  <si>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</si>
  <si>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</si>
  <si>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</si>
  <si>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</si>
  <si>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</si>
  <si>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</si>
  <si>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</si>
  <si>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</si>
  <si>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</si>
  <si>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</si>
  <si>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</si>
  <si>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</si>
  <si>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</si>
  <si>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</si>
  <si>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</si>
  <si>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</si>
  <si>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</si>
  <si>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</si>
  <si>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</si>
  <si>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</si>
  <si>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</si>
  <si>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</si>
  <si>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</si>
  <si>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</si>
  <si>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</si>
  <si>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</si>
  <si>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</si>
  <si>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</si>
  <si>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</si>
  <si>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</si>
  <si>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</si>
  <si>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</si>
  <si>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</si>
  <si>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</si>
  <si>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</si>
  <si>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</si>
  <si>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</si>
  <si>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</si>
  <si>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</si>
  <si>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</si>
  <si>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</si>
  <si>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</si>
  <si>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</si>
  <si>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</si>
  <si>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</si>
  <si>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</si>
  <si>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</si>
  <si>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</si>
  <si>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</si>
  <si>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</si>
  <si>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</si>
  <si>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</si>
  <si>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</si>
  <si>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</si>
  <si>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</si>
  <si>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</si>
  <si>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</si>
  <si>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</si>
  <si>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</si>
  <si>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</si>
  <si>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</si>
  <si>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</si>
  <si>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</si>
  <si>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</si>
  <si>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</si>
  <si>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</si>
  <si>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</si>
  <si>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</si>
  <si>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</si>
  <si>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</si>
  <si>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</si>
  <si>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</si>
  <si>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</si>
  <si>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</si>
  <si>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</si>
  <si>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</si>
  <si>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</si>
  <si>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</si>
  <si>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</si>
  <si>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</si>
  <si>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</si>
  <si>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</si>
  <si>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</si>
  <si>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</si>
  <si>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</si>
  <si>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</si>
  <si>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</si>
  <si>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</si>
  <si>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</si>
  <si>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</si>
  <si>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</si>
  <si>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</si>
  <si>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</si>
  <si>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</si>
  <si>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</si>
  <si>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</si>
  <si>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</si>
  <si>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</si>
  <si>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</si>
  <si>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</si>
  <si>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</si>
  <si>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</si>
  <si>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</si>
  <si>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</si>
  <si>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</si>
  <si>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</si>
  <si>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</si>
  <si>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</si>
  <si>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</si>
  <si>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</si>
  <si>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</si>
  <si>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</si>
  <si>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</si>
  <si>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</si>
  <si>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</si>
  <si>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</si>
  <si>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</si>
  <si>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</si>
  <si>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</si>
  <si>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</si>
  <si>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</si>
  <si>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</si>
  <si>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</si>
  <si>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</si>
  <si>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</si>
  <si>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</si>
  <si>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</si>
  <si>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</si>
  <si>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</si>
  <si>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</si>
  <si>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</si>
  <si>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</si>
  <si>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</si>
  <si>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</si>
  <si>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</si>
  <si>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</si>
  <si>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</si>
  <si>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</si>
  <si>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</si>
  <si>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</si>
  <si>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</si>
  <si>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</si>
  <si>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</si>
  <si>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</si>
  <si>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</si>
  <si>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</si>
  <si>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</si>
  <si>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</si>
  <si>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</si>
  <si>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</si>
  <si>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</si>
  <si>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</si>
  <si>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</si>
  <si>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</si>
  <si>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</si>
  <si>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</si>
  <si>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</si>
  <si>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</si>
  <si>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</si>
  <si>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</si>
  <si>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</si>
  <si>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</si>
  <si>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</si>
  <si>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</si>
  <si>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</si>
  <si>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</si>
  <si>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</si>
  <si>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</si>
  <si>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</si>
  <si>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</si>
  <si>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</si>
  <si>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</si>
  <si>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</si>
  <si>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</si>
  <si>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</si>
  <si>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</si>
  <si>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</si>
  <si>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</si>
  <si>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</si>
  <si>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</si>
  <si>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</si>
  <si>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</si>
  <si>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</si>
  <si>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</si>
  <si>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</si>
  <si>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</si>
  <si>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</si>
  <si>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</si>
  <si>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</si>
  <si>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</si>
  <si>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</si>
  <si>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</si>
  <si>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</si>
  <si>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</si>
  <si>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</si>
  <si>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</si>
  <si>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</si>
  <si>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</si>
  <si>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</si>
  <si>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</si>
  <si>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</si>
  <si>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</si>
  <si>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</si>
  <si>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</si>
  <si>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</si>
  <si>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</si>
  <si>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</si>
  <si>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</si>
  <si>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</si>
  <si>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</si>
  <si>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</si>
  <si>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</si>
  <si>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</si>
  <si>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</si>
  <si>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</si>
  <si>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</si>
  <si>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</si>
  <si>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</si>
  <si>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</si>
  <si>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</si>
  <si>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</si>
  <si>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</si>
  <si>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</si>
  <si>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</si>
  <si>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</si>
  <si>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</si>
  <si>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</si>
  <si>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</si>
  <si>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</si>
  <si>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</si>
  <si>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</si>
  <si>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</si>
  <si>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</si>
  <si>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</si>
  <si>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</si>
  <si>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</si>
  <si>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</si>
  <si>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</si>
  <si>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</si>
  <si>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</si>
  <si>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</si>
  <si>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</si>
  <si>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</si>
  <si>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</si>
  <si>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</si>
  <si>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</si>
  <si>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</si>
  <si>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</si>
  <si>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</si>
  <si>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</si>
  <si>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</si>
  <si>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</si>
  <si>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</si>
  <si>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</si>
  <si>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</si>
  <si>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</si>
  <si>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</si>
  <si>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</si>
  <si>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</si>
  <si>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</si>
  <si>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</si>
  <si>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</si>
  <si>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</si>
  <si>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</si>
  <si>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</si>
  <si>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</si>
  <si>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</si>
  <si>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</si>
  <si>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</si>
  <si>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</si>
  <si>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</si>
  <si>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</si>
  <si>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</si>
  <si>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</si>
  <si>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</si>
  <si>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</si>
  <si>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</si>
  <si>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</si>
  <si>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</si>
  <si>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</si>
  <si>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</si>
  <si>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</si>
  <si>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</si>
  <si>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</si>
  <si>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</si>
  <si>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</si>
  <si>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</si>
  <si>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</si>
  <si>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</si>
  <si>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</si>
  <si>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</si>
  <si>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</si>
  <si>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</si>
  <si>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</si>
  <si>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</si>
  <si>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</si>
  <si>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</si>
  <si>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</si>
  <si>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</si>
  <si>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</si>
  <si>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</si>
  <si>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</si>
  <si>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</si>
  <si>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</si>
  <si>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</si>
  <si>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</si>
  <si>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</si>
  <si>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</si>
  <si>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</si>
  <si>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</si>
  <si>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</si>
  <si>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</si>
  <si>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</si>
  <si>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</si>
  <si>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</si>
  <si>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</si>
  <si>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</si>
  <si>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</si>
  <si>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</si>
  <si>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</si>
  <si>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</si>
  <si>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</si>
  <si>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</si>
  <si>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</si>
  <si>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</si>
  <si>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</si>
  <si>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</si>
  <si>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</si>
  <si>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</si>
  <si>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</si>
  <si>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</si>
  <si>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</si>
  <si>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</si>
  <si>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</si>
  <si>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</si>
  <si>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</si>
  <si>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</si>
  <si>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</si>
  <si>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</si>
  <si>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</si>
  <si>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</si>
  <si>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</si>
  <si>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</si>
  <si>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</si>
  <si>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</si>
  <si>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</si>
  <si>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</si>
  <si>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</si>
  <si>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</si>
  <si>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</si>
  <si>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</si>
  <si>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</si>
  <si>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</si>
  <si>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</si>
  <si>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</si>
  <si>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</si>
  <si>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</si>
  <si>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</si>
  <si>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</si>
  <si>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</si>
  <si>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</si>
  <si>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</si>
  <si>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</si>
  <si>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</si>
  <si>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</si>
  <si>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</si>
  <si>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</si>
  <si>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</si>
  <si>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</si>
  <si>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</si>
  <si>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</si>
  <si>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</si>
  <si>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</si>
  <si>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</si>
  <si>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</si>
  <si>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</si>
  <si>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</si>
  <si>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</si>
  <si>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</si>
  <si>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</si>
  <si>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</si>
  <si>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</si>
  <si>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</si>
  <si>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</si>
  <si>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</si>
  <si>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</si>
  <si>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</si>
  <si>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</si>
  <si>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</si>
  <si>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</si>
  <si>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</si>
  <si>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</si>
  <si>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</si>
  <si>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</si>
  <si>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</si>
  <si>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</si>
  <si>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</si>
  <si>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</si>
  <si>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</si>
  <si>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</si>
  <si>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</si>
  <si>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</si>
  <si>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</si>
  <si>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</si>
  <si>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</si>
  <si>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</si>
  <si>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</si>
  <si>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</si>
  <si>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</si>
  <si>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</si>
  <si>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</si>
  <si>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</si>
  <si>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</si>
  <si>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</si>
  <si>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</si>
  <si>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</si>
  <si>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</si>
  <si>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</si>
  <si>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</si>
  <si>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</si>
  <si>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</si>
  <si>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</si>
  <si>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</si>
  <si>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</si>
  <si>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</si>
  <si>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</si>
  <si>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</si>
  <si>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</si>
  <si>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</si>
  <si>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</si>
  <si>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</si>
  <si>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</si>
  <si>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</si>
  <si>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</si>
  <si>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</si>
  <si>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</si>
  <si>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</si>
  <si>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</si>
  <si>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</si>
  <si>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</si>
  <si>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</si>
  <si>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</si>
  <si>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</si>
  <si>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</si>
  <si>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</si>
  <si>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</si>
  <si>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</si>
  <si>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</si>
  <si>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</si>
  <si>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</si>
  <si>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</si>
  <si>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</si>
  <si>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</si>
  <si>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</si>
  <si>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</si>
  <si>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</si>
  <si>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</si>
  <si>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</si>
  <si>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</si>
  <si>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</si>
  <si>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</si>
  <si>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</si>
  <si>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</si>
  <si>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</si>
  <si>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</si>
  <si>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</si>
  <si>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</si>
  <si>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</si>
  <si>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</si>
  <si>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</si>
  <si>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</si>
  <si>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</si>
  <si>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</si>
  <si>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</si>
  <si>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</si>
  <si>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</si>
  <si>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</si>
  <si>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</si>
  <si>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</si>
  <si>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</si>
  <si>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</si>
  <si>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</si>
  <si>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</si>
  <si>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</si>
  <si>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</si>
  <si>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</si>
  <si>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</si>
  <si>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</si>
  <si>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</si>
  <si>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</si>
  <si>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</si>
  <si>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</si>
  <si>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</si>
  <si>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</si>
  <si>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</si>
  <si>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</si>
  <si>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</si>
  <si>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</si>
  <si>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</si>
  <si>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</si>
  <si>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</si>
  <si>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</si>
  <si>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</si>
  <si>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</si>
  <si>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</si>
  <si>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</si>
  <si>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</si>
  <si>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</si>
  <si>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</si>
  <si>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</si>
  <si>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</si>
  <si>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</si>
  <si>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</si>
  <si>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</si>
  <si>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</si>
  <si>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</si>
  <si>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</si>
  <si>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</si>
  <si>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</si>
  <si>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</si>
  <si>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</si>
  <si>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</si>
  <si>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</si>
  <si>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</si>
  <si>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</si>
  <si>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</si>
  <si>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</si>
  <si>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</si>
  <si>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</si>
  <si>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</si>
  <si>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</si>
  <si>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</si>
  <si>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</si>
  <si>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</si>
  <si>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</si>
  <si>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</si>
  <si>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</si>
  <si>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</si>
  <si>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</si>
  <si>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</si>
  <si>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</si>
  <si>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</si>
  <si>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</si>
  <si>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</si>
  <si>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</si>
  <si>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</si>
  <si>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</si>
  <si>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</si>
  <si>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</si>
  <si>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</si>
  <si>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</si>
  <si>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</si>
  <si>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</si>
  <si>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</si>
  <si>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</si>
  <si>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</si>
  <si>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</si>
  <si>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</si>
  <si>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</si>
  <si>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</si>
  <si>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</si>
  <si>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</si>
  <si>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</si>
  <si>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</si>
  <si>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</si>
  <si>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</si>
  <si>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</si>
  <si>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</si>
  <si>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</si>
  <si>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</si>
  <si>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</si>
  <si>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</si>
  <si>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</si>
  <si>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</si>
  <si>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</si>
  <si>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</si>
  <si>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</si>
  <si>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</si>
  <si>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</si>
  <si>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</si>
  <si>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</si>
  <si>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</si>
  <si>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</si>
  <si>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</si>
  <si>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</si>
  <si>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</si>
  <si>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</si>
  <si>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</si>
  <si>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</si>
  <si>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</si>
  <si>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</si>
  <si>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</si>
  <si>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</si>
  <si>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</si>
  <si>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</si>
  <si>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</si>
  <si>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</si>
  <si>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</si>
  <si>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</si>
  <si>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</si>
  <si>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</si>
  <si>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</si>
  <si>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</si>
  <si>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</si>
  <si>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</si>
  <si>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</si>
  <si>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</si>
  <si>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</si>
  <si>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</si>
  <si>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</si>
  <si>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</si>
  <si>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</si>
  <si>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</si>
  <si>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</si>
  <si>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</si>
  <si>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</si>
  <si>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</si>
  <si>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</si>
  <si>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</si>
  <si>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</si>
  <si>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</si>
  <si>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</si>
  <si>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</si>
  <si>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</si>
  <si>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</si>
  <si>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</si>
  <si>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</si>
  <si>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</si>
  <si>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</si>
  <si>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</si>
  <si>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</si>
  <si>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</si>
  <si>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</si>
  <si>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</si>
  <si>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</si>
  <si>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</si>
  <si>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</si>
  <si>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</si>
  <si>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</si>
  <si>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</si>
  <si>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</si>
  <si>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</si>
  <si>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</si>
  <si>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</si>
  <si>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</si>
  <si>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</si>
  <si>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</si>
  <si>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</si>
  <si>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</si>
  <si>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</si>
  <si>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</si>
  <si>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</si>
  <si>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</si>
  <si>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</si>
  <si>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</si>
  <si>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</si>
  <si>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</si>
  <si>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</si>
  <si>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</si>
  <si>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</si>
  <si>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</si>
  <si>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</si>
  <si>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</si>
  <si>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</si>
  <si>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</si>
  <si>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</si>
  <si>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</si>
  <si>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</si>
  <si>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</si>
  <si>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</si>
  <si>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</si>
  <si>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</si>
  <si>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</si>
  <si>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</si>
  <si>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</si>
  <si>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</si>
  <si>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</si>
  <si>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</si>
  <si>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</si>
  <si>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</si>
  <si>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</si>
  <si>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</si>
  <si>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</si>
  <si>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</si>
  <si>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</si>
  <si>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</si>
  <si>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</si>
  <si>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</si>
  <si>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</si>
  <si>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</si>
  <si>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</si>
  <si>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</si>
  <si>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</si>
  <si>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</si>
  <si>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</si>
  <si>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</si>
  <si>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</si>
  <si>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</si>
  <si>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</si>
  <si>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</si>
  <si>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</si>
  <si>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</si>
  <si>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</si>
  <si>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</si>
  <si>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</si>
  <si>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</si>
  <si>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</si>
  <si>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</si>
  <si>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</si>
  <si>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</si>
  <si>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</si>
  <si>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</si>
  <si>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</si>
  <si>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</si>
  <si>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</si>
  <si>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</si>
  <si>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</si>
  <si>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</si>
  <si>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</si>
  <si>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</si>
  <si>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</si>
  <si>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</si>
  <si>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</si>
  <si>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</si>
  <si>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</si>
  <si>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</si>
  <si>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</si>
  <si>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</si>
  <si>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</si>
  <si>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</si>
  <si>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</si>
  <si>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</si>
  <si>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</si>
  <si>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</si>
  <si>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</si>
  <si>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</si>
  <si>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</si>
  <si>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</si>
  <si>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</si>
  <si>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</si>
  <si>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</si>
  <si>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</si>
  <si>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</si>
  <si>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</si>
  <si>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</si>
  <si>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</si>
  <si>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</si>
  <si>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</si>
  <si>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</si>
  <si>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</si>
  <si>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</si>
  <si>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</si>
  <si>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</si>
  <si>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</si>
  <si>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</si>
  <si>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</si>
  <si>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</si>
  <si>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</si>
  <si>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</si>
  <si>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</si>
  <si>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</si>
  <si>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</si>
  <si>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</si>
  <si>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</si>
  <si>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</si>
  <si>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</si>
  <si>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</si>
  <si>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</si>
  <si>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</si>
  <si>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</si>
  <si>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</si>
  <si>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</si>
  <si>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</si>
  <si>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</si>
  <si>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</si>
  <si>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</si>
  <si>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</si>
  <si>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</si>
  <si>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</si>
  <si>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</si>
  <si>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</si>
  <si>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</si>
  <si>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</si>
  <si>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</si>
  <si>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</si>
  <si>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</si>
  <si>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</si>
  <si>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</si>
  <si>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</si>
  <si>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</si>
  <si>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</si>
  <si>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</si>
  <si>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</si>
  <si>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</si>
  <si>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</si>
  <si>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</si>
  <si>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</si>
  <si>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</si>
  <si>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</si>
  <si>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</si>
  <si>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</si>
  <si>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</si>
  <si>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</si>
  <si>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</si>
  <si>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</si>
  <si>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</si>
  <si>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</si>
  <si>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</si>
  <si>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</si>
  <si>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</si>
  <si>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</si>
  <si>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</si>
  <si>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</si>
  <si>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</si>
  <si>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</si>
  <si>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</si>
  <si>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</si>
  <si>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</si>
  <si>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</si>
  <si>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</si>
  <si>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</si>
  <si>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</si>
  <si>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</si>
  <si>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</si>
  <si>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</si>
  <si>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</si>
  <si>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</si>
  <si>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</si>
  <si>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</si>
  <si>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</si>
  <si>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</si>
  <si>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</si>
  <si>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</si>
  <si>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</si>
  <si>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</si>
  <si>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</si>
  <si>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</si>
  <si>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</si>
  <si>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</si>
  <si>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</si>
  <si>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</si>
  <si>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</si>
  <si>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</si>
  <si>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</si>
  <si>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</si>
  <si>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</si>
  <si>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</si>
  <si>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</si>
  <si>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</si>
  <si>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</si>
  <si>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</si>
  <si>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</si>
  <si>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</si>
  <si>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</si>
  <si>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</si>
  <si>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</si>
  <si>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</si>
  <si>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</si>
  <si>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</si>
  <si>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</si>
  <si>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</si>
  <si>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</si>
  <si>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</si>
  <si>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</si>
  <si>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</si>
  <si>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</si>
  <si>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</si>
  <si>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</si>
  <si>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</si>
  <si>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</si>
  <si>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</si>
  <si>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</si>
  <si>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</si>
  <si>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</si>
  <si>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</si>
  <si>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</si>
  <si>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</si>
  <si>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</si>
  <si>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</si>
  <si>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</si>
  <si>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</si>
  <si>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</si>
  <si>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</si>
  <si>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</si>
  <si>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</si>
  <si>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</si>
  <si>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</si>
  <si>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</si>
  <si>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</si>
  <si>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</si>
  <si>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</si>
  <si>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</si>
  <si>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</si>
  <si>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</si>
  <si>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</si>
  <si>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</si>
  <si>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</si>
  <si>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</si>
  <si>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</si>
  <si>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</si>
  <si>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</si>
  <si>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</si>
  <si>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</si>
  <si>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</si>
  <si>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</si>
  <si>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</si>
  <si>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</si>
  <si>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</si>
  <si>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</si>
  <si>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</si>
  <si>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</si>
  <si>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</si>
  <si>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</si>
  <si>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</si>
  <si>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</si>
  <si>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</si>
  <si>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</si>
  <si>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</si>
  <si>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</si>
  <si>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</si>
  <si>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</si>
  <si>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</si>
  <si>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</si>
  <si>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</si>
  <si>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</si>
  <si>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</si>
  <si>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</si>
  <si>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</si>
  <si>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</si>
  <si>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</si>
  <si>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</si>
  <si>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</si>
  <si>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</si>
  <si>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</si>
  <si>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</si>
  <si>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</si>
  <si>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</si>
  <si>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</si>
  <si>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</si>
  <si>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</si>
  <si>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</si>
  <si>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</si>
  <si>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</si>
  <si>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</si>
  <si>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</si>
  <si>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</si>
  <si>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</si>
  <si>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</si>
  <si>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</si>
  <si>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</si>
  <si>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</si>
  <si>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</si>
  <si>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</si>
  <si>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</si>
  <si>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</si>
  <si>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</si>
  <si>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</si>
  <si>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</si>
  <si>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</si>
  <si>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</si>
  <si>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</si>
  <si>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</si>
  <si>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</si>
  <si>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</si>
  <si>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</si>
  <si>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</si>
  <si>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</si>
  <si>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</si>
  <si>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</si>
  <si>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</si>
  <si>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</si>
  <si>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</si>
  <si>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</si>
  <si>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</si>
  <si>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</si>
  <si>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</si>
  <si>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</si>
  <si>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</si>
  <si>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</si>
  <si>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</si>
  <si>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</si>
  <si>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</si>
  <si>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</si>
  <si>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</si>
  <si>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</si>
  <si>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</si>
  <si>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</si>
  <si>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</si>
  <si>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</si>
  <si>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</si>
  <si>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</si>
  <si>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</si>
  <si>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</si>
  <si>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</si>
  <si>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</si>
  <si>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</si>
  <si>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</si>
  <si>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</si>
  <si>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</si>
  <si>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</si>
  <si>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</si>
  <si>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</si>
  <si>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</si>
  <si>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</si>
  <si>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</si>
  <si>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</si>
  <si>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</si>
  <si>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</si>
  <si>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</si>
  <si>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</si>
  <si>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</si>
  <si>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</si>
  <si>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</si>
  <si>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</si>
  <si>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</si>
  <si>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</si>
  <si>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</si>
  <si>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</si>
  <si>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</si>
  <si>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</si>
  <si>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</si>
  <si>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</si>
  <si>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</si>
  <si>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</si>
  <si>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</si>
  <si>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</si>
  <si>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</si>
  <si>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</si>
  <si>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</si>
  <si>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</si>
  <si>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</si>
  <si>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</si>
  <si>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</si>
  <si>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</si>
  <si>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</si>
  <si>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</si>
  <si>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</si>
  <si>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</si>
  <si>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</si>
  <si>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</si>
  <si>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</si>
  <si>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</si>
  <si>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</si>
  <si>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</si>
  <si>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</si>
  <si>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</si>
  <si>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</si>
  <si>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</si>
  <si>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</si>
  <si>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</si>
  <si>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</si>
  <si>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</si>
  <si>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</si>
  <si>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</si>
  <si>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</si>
  <si>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</si>
  <si>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</si>
  <si>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</si>
  <si>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</si>
  <si>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</si>
  <si>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</si>
  <si>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</si>
  <si>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</si>
  <si>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</si>
  <si>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</si>
  <si>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</si>
  <si>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</si>
  <si>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</si>
  <si>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</si>
  <si>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</si>
  <si>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</si>
  <si>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</si>
  <si>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</si>
  <si>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</si>
  <si>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</si>
  <si>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</si>
  <si>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</si>
  <si>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</si>
  <si>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</si>
  <si>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</si>
  <si>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</si>
  <si>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</si>
  <si>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</si>
  <si>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</si>
  <si>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</si>
  <si>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</si>
  <si>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</si>
  <si>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</si>
  <si>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</si>
  <si>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</si>
  <si>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</si>
  <si>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</si>
  <si>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</si>
  <si>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</si>
  <si>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</si>
  <si>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</si>
  <si>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</si>
  <si>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</si>
  <si>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</si>
  <si>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</si>
  <si>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</si>
  <si>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</si>
  <si>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</si>
  <si>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</si>
  <si>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</si>
  <si>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</si>
  <si>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</si>
  <si>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</si>
  <si>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</si>
  <si>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</si>
  <si>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</si>
  <si>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</si>
  <si>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</si>
  <si>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</si>
  <si>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</si>
  <si>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</si>
  <si>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</si>
  <si>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</si>
  <si>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</si>
  <si>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</si>
  <si>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</si>
  <si>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</si>
  <si>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</si>
  <si>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</si>
  <si>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</si>
  <si>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</si>
  <si>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</si>
  <si>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</si>
  <si>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</si>
  <si>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</si>
  <si>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</si>
  <si>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</si>
  <si>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</si>
  <si>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</si>
  <si>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</si>
  <si>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</si>
  <si>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</si>
  <si>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</si>
  <si>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</si>
  <si>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</si>
  <si>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</si>
  <si>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</si>
  <si>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</si>
  <si>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</si>
  <si>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</si>
  <si>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</si>
  <si>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</si>
  <si>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</si>
  <si>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</si>
  <si>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</si>
  <si>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</si>
  <si>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</si>
  <si>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</si>
  <si>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</si>
  <si>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</si>
  <si>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</si>
  <si>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</si>
  <si>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</si>
  <si>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</si>
  <si>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</si>
  <si>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</si>
  <si>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</si>
  <si>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</si>
  <si>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</si>
  <si>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</si>
  <si>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</si>
  <si>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</si>
  <si>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</si>
  <si>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</si>
  <si>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</si>
  <si>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</si>
  <si>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</si>
  <si>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</si>
  <si>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</si>
  <si>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</si>
  <si>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</si>
  <si>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</si>
  <si>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</si>
  <si>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</si>
  <si>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</si>
  <si>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</si>
  <si>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</si>
  <si>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</si>
  <si>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</si>
  <si>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</si>
  <si>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</si>
  <si>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</si>
  <si>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</si>
  <si>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</si>
  <si>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</si>
  <si>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</si>
  <si>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</si>
  <si>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</si>
  <si>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</si>
  <si>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</si>
  <si>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</si>
  <si>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</si>
  <si>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</si>
  <si>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</si>
  <si>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</si>
  <si>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</si>
  <si>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</si>
  <si>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</si>
  <si>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</si>
  <si>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</si>
  <si>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</si>
  <si>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</si>
  <si>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</si>
  <si>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</si>
  <si>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</si>
  <si>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</si>
  <si>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</si>
  <si>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</si>
  <si>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</si>
  <si>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</si>
  <si>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</si>
  <si>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</si>
  <si>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</si>
  <si>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</si>
  <si>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</si>
  <si>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</si>
  <si>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</si>
  <si>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</si>
  <si>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</si>
  <si>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</si>
  <si>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</si>
  <si>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</si>
  <si>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</si>
  <si>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</si>
  <si>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</si>
  <si>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</si>
  <si>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</si>
  <si>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</si>
  <si>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</si>
  <si>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</si>
  <si>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</si>
  <si>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</si>
  <si>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</si>
  <si>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</si>
  <si>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</si>
  <si>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</si>
  <si>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</si>
  <si>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</si>
  <si>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</si>
  <si>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</si>
  <si>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</si>
  <si>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</si>
  <si>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</si>
  <si>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</si>
  <si>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</si>
  <si>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</si>
  <si>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</si>
  <si>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</si>
  <si>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</si>
  <si>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</si>
  <si>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</si>
  <si>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</si>
  <si>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</si>
  <si>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</si>
  <si>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</si>
  <si>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</si>
  <si>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</si>
  <si>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</si>
  <si>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</si>
  <si>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</si>
  <si>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</si>
  <si>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</si>
  <si>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</si>
  <si>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</si>
  <si>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</si>
  <si>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</si>
  <si>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</si>
  <si>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</si>
  <si>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</si>
  <si>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</si>
  <si>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</si>
  <si>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</si>
  <si>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</si>
  <si>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</si>
  <si>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</si>
  <si>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</si>
  <si>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</si>
  <si>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</si>
  <si>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</si>
  <si>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</si>
  <si>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</si>
  <si>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</si>
  <si>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</si>
  <si>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</si>
  <si>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</si>
  <si>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</si>
  <si>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</si>
  <si>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</si>
  <si>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</si>
  <si>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</si>
  <si>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</si>
  <si>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</si>
  <si>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</si>
  <si>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</si>
  <si>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</si>
  <si>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</si>
  <si>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</si>
  <si>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</si>
  <si>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</si>
  <si>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</si>
  <si>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</si>
  <si>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</si>
  <si>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</si>
  <si>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</si>
  <si>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</si>
  <si>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</si>
  <si>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</si>
  <si>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</si>
  <si>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</si>
  <si>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</si>
  <si>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</si>
  <si>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</si>
  <si>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</si>
  <si>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</si>
  <si>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</si>
  <si>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</si>
  <si>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</si>
  <si>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</si>
  <si>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</si>
  <si>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</si>
  <si>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</si>
  <si>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</si>
  <si>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</si>
  <si>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</si>
  <si>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</si>
  <si>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</si>
  <si>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</si>
  <si>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</si>
  <si>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</si>
  <si>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</si>
  <si>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</si>
  <si>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</si>
  <si>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</si>
  <si>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</si>
  <si>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</si>
  <si>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</si>
  <si>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</si>
  <si>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</si>
  <si>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</si>
  <si>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</si>
  <si>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</si>
  <si>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</si>
  <si>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</si>
  <si>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</si>
  <si>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</si>
  <si>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</si>
  <si>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</si>
  <si>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</si>
  <si>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</si>
  <si>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</si>
  <si>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</si>
  <si>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</si>
  <si>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</si>
  <si>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</si>
  <si>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</si>
  <si>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</si>
  <si>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</si>
  <si>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</si>
  <si>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</si>
  <si>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</si>
  <si>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</si>
  <si>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</si>
  <si>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</si>
  <si>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</si>
  <si>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</si>
  <si>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</si>
  <si>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</si>
  <si>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</si>
  <si>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</si>
  <si>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</si>
  <si>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</si>
  <si>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</si>
  <si>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</si>
  <si>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</si>
  <si>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</si>
  <si>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</si>
  <si>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</si>
  <si>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</si>
  <si>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</si>
  <si>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</si>
  <si>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</si>
  <si>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</si>
  <si>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</si>
  <si>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</si>
  <si>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</si>
  <si>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</si>
  <si>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</si>
  <si>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</si>
  <si>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</si>
  <si>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</si>
  <si>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</si>
  <si>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</si>
  <si>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</si>
  <si>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</si>
  <si>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</si>
  <si>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</si>
  <si>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</si>
  <si>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</si>
  <si>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</si>
  <si>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</si>
  <si>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</si>
  <si>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</si>
  <si>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</si>
  <si>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</si>
  <si>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</si>
  <si>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</si>
  <si>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</si>
  <si>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</si>
  <si>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</si>
  <si>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</si>
  <si>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</si>
  <si>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</si>
  <si>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</si>
  <si>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</si>
  <si>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</si>
  <si>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</si>
  <si>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</si>
  <si>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</si>
  <si>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</si>
  <si>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</si>
  <si>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</si>
  <si>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</si>
  <si>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</si>
  <si>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</si>
  <si>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</si>
  <si>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</si>
  <si>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</si>
  <si>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</si>
  <si>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</si>
  <si>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</si>
  <si>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</si>
  <si>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</si>
  <si>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</si>
  <si>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</si>
  <si>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</si>
  <si>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</si>
  <si>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</si>
  <si>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</si>
  <si>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</si>
  <si>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</si>
  <si>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</si>
  <si>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</si>
  <si>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</si>
  <si>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</si>
  <si>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</si>
  <si>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</si>
  <si>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</si>
  <si>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</si>
  <si>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</si>
  <si>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</si>
  <si>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</si>
  <si>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</si>
  <si>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</si>
  <si>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</si>
  <si>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</si>
  <si>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</si>
  <si>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</si>
  <si>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</si>
  <si>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</si>
  <si>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</si>
  <si>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</si>
  <si>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</si>
  <si>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</si>
  <si>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</si>
  <si>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</si>
  <si>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</si>
  <si>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</si>
  <si>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</si>
  <si>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</si>
  <si>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</si>
  <si>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</si>
  <si>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</si>
  <si>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</si>
  <si>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</si>
  <si>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</si>
  <si>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</si>
  <si>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</si>
  <si>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</si>
  <si>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</si>
  <si>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</si>
  <si>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</si>
  <si>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</si>
  <si>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</si>
  <si>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</si>
  <si>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</si>
  <si>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</si>
  <si>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</si>
  <si>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</si>
  <si>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</si>
  <si>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</si>
  <si>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</si>
  <si>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</si>
  <si>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</si>
  <si>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</si>
  <si>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</si>
  <si>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</si>
  <si>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</si>
  <si>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</si>
  <si>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</si>
  <si>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</si>
  <si>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</si>
  <si>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</si>
  <si>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</si>
  <si>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</si>
  <si>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</si>
  <si>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</si>
  <si>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</si>
  <si>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</si>
  <si>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</si>
  <si>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</si>
  <si>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</si>
  <si>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</si>
  <si>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</si>
  <si>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</si>
  <si>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</si>
  <si>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</si>
  <si>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</si>
  <si>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</si>
  <si>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</si>
  <si>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</si>
  <si>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</si>
  <si>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</si>
  <si>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</si>
  <si>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</si>
  <si>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</si>
  <si>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</si>
  <si>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</si>
  <si>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</si>
  <si>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</si>
  <si>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</si>
  <si>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</si>
  <si>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</si>
  <si>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</si>
  <si>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</si>
  <si>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</si>
  <si>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</si>
  <si>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</si>
  <si>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</si>
  <si>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</si>
  <si>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</si>
  <si>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</si>
  <si>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</si>
  <si>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</si>
  <si>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</si>
  <si>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</si>
  <si>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</si>
  <si>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</si>
  <si>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</si>
  <si>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</si>
  <si>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</si>
  <si>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</si>
  <si>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</si>
  <si>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</si>
  <si>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</si>
  <si>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</si>
  <si>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</si>
  <si>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</si>
  <si>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</si>
  <si>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</si>
  <si>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</si>
  <si>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</si>
  <si>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</si>
  <si>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</si>
  <si>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</si>
  <si>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</si>
  <si>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</si>
  <si>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</si>
  <si>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</si>
  <si>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</si>
  <si>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</si>
  <si>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</si>
  <si>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</si>
  <si>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</si>
  <si>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</si>
  <si>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</si>
  <si>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</si>
  <si>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</si>
  <si>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</si>
  <si>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</si>
  <si>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</si>
  <si>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</si>
  <si>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</si>
  <si>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</si>
  <si>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</si>
  <si>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</si>
  <si>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</si>
  <si>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</si>
  <si>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</si>
  <si>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</si>
  <si>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</si>
  <si>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</si>
  <si>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</si>
  <si>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</si>
  <si>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</si>
  <si>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</si>
  <si>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</si>
  <si>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</si>
  <si>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</si>
  <si>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</si>
  <si>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</si>
  <si>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</si>
  <si>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</si>
  <si>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</si>
  <si>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</si>
  <si>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</si>
  <si>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</si>
  <si>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</si>
  <si>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</si>
  <si>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</si>
  <si>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</si>
  <si>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</si>
  <si>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</si>
  <si>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</si>
  <si>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</si>
  <si>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</si>
  <si>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</si>
  <si>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</si>
  <si>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</si>
  <si>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</si>
  <si>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</si>
  <si>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</si>
  <si>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</si>
  <si>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</si>
  <si>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</si>
  <si>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</si>
  <si>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</si>
  <si>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</si>
  <si>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</si>
  <si>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</si>
  <si>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</si>
  <si>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</si>
  <si>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</si>
  <si>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</si>
  <si>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</si>
  <si>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</si>
  <si>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</si>
  <si>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</si>
  <si>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</si>
  <si>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</si>
  <si>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</si>
  <si>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</si>
  <si>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</si>
  <si>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</si>
  <si>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</si>
  <si>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</si>
  <si>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</si>
  <si>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</si>
  <si>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</si>
  <si>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</si>
  <si>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</si>
  <si>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</si>
  <si>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</si>
  <si>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</si>
  <si>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</si>
  <si>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</si>
  <si>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</si>
  <si>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</si>
  <si>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</si>
  <si>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</si>
  <si>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</si>
  <si>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</si>
  <si>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</si>
  <si>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</si>
  <si>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</si>
  <si>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</si>
  <si>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</si>
  <si>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</si>
  <si>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</si>
  <si>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</si>
  <si>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</si>
  <si>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</si>
  <si>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</si>
  <si>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</si>
  <si>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</si>
  <si>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</si>
  <si>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</si>
  <si>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</si>
  <si>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</si>
  <si>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</si>
  <si>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</si>
  <si>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</si>
  <si>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</si>
  <si>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</si>
  <si>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</si>
  <si>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</si>
  <si>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</si>
  <si>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</si>
  <si>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</si>
  <si>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</si>
  <si>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</si>
  <si>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</si>
  <si>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</si>
  <si>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</si>
  <si>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</si>
  <si>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</si>
  <si>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</si>
  <si>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</si>
  <si>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</si>
  <si>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</si>
  <si>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</si>
  <si>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</si>
  <si>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</si>
  <si>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</si>
  <si>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</si>
  <si>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</si>
  <si>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</si>
  <si>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</si>
  <si>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</si>
  <si>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</si>
  <si>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</si>
  <si>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</si>
  <si>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</si>
  <si>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</si>
  <si>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</si>
  <si>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</si>
  <si>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</si>
  <si>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</si>
  <si>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</si>
  <si>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</si>
  <si>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</si>
  <si>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</si>
  <si>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</si>
  <si>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</si>
  <si>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</si>
  <si>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</si>
  <si>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</si>
  <si>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</si>
  <si>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</si>
  <si>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</si>
  <si>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</si>
  <si>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</si>
  <si>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</si>
  <si>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</si>
  <si>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</si>
  <si>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</si>
  <si>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</si>
  <si>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</si>
  <si>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</si>
  <si>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</si>
  <si>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</si>
  <si>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</si>
  <si>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</si>
  <si>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</si>
  <si>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</si>
  <si>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</si>
  <si>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</si>
  <si>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</si>
  <si>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</si>
  <si>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</si>
  <si>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</si>
  <si>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</si>
  <si>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</si>
  <si>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</si>
  <si>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</si>
  <si>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</si>
  <si>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</si>
  <si>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</si>
  <si>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</si>
  <si>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</si>
  <si>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</si>
  <si>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</si>
  <si>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</si>
  <si>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</si>
  <si>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</si>
  <si>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</si>
  <si>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</si>
  <si>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</si>
  <si>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</si>
  <si>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</si>
  <si>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</si>
  <si>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</si>
  <si>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</si>
  <si>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</si>
  <si>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</si>
  <si>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</si>
  <si>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</si>
  <si>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</si>
  <si>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</si>
  <si>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</si>
  <si>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</si>
  <si>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</si>
  <si>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</si>
  <si>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</si>
  <si>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</si>
  <si>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</si>
  <si>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</si>
  <si>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</si>
  <si>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</si>
  <si>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</si>
  <si>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</si>
  <si>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</si>
  <si>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</si>
  <si>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</si>
  <si>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</si>
  <si>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</si>
  <si>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</si>
  <si>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</si>
  <si>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</si>
  <si>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</si>
  <si>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</si>
  <si>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</si>
  <si>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</si>
  <si>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</si>
  <si>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</si>
  <si>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</si>
  <si>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</si>
  <si>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</si>
  <si>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</si>
  <si>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</si>
  <si>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</si>
  <si>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</si>
  <si>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</si>
  <si>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</si>
  <si>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</si>
  <si>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</si>
  <si>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</si>
  <si>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</si>
  <si>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</si>
  <si>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</si>
  <si>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</si>
  <si>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</si>
  <si>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</si>
  <si>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</si>
  <si>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</si>
  <si>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</si>
  <si>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</si>
  <si>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</si>
  <si>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</si>
  <si>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</si>
  <si>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</si>
  <si>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</si>
  <si>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</si>
  <si>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</si>
  <si>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</si>
  <si>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</si>
  <si>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</si>
  <si>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</si>
  <si>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</si>
  <si>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</si>
  <si>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</si>
  <si>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</si>
  <si>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</si>
  <si>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</si>
  <si>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</si>
  <si>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</si>
  <si>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</si>
  <si>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</si>
  <si>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</si>
  <si>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</si>
  <si>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</si>
  <si>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</si>
  <si>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</si>
  <si>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</si>
  <si>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</si>
  <si>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</si>
  <si>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</si>
  <si>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</si>
  <si>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</si>
  <si>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</si>
  <si>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</si>
  <si>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</si>
  <si>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</si>
  <si>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</si>
  <si>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</si>
  <si>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</si>
  <si>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</si>
  <si>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</si>
  <si>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</si>
  <si>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</si>
  <si>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</si>
  <si>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</si>
  <si>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</si>
  <si>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</si>
  <si>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</si>
  <si>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</si>
  <si>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</si>
  <si>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</si>
  <si>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</si>
  <si>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</si>
  <si>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</si>
  <si>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</si>
  <si>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</si>
  <si>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</si>
  <si>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</si>
  <si>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</si>
  <si>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</si>
  <si>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</si>
  <si>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</si>
  <si>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</si>
  <si>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</si>
  <si>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</si>
  <si>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</si>
  <si>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</si>
  <si>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</si>
  <si>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</si>
  <si>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</si>
  <si>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</si>
  <si>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</si>
  <si>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</si>
  <si>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</si>
  <si>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</si>
  <si>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</si>
  <si>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</si>
  <si>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</si>
  <si>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</si>
  <si>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</si>
  <si>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</si>
  <si>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</si>
  <si>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</si>
  <si>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</si>
  <si>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</si>
  <si>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</si>
  <si>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</si>
  <si>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</si>
  <si>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</si>
  <si>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</si>
  <si>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</si>
  <si>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</si>
  <si>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</si>
  <si>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</si>
  <si>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</si>
  <si>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</si>
  <si>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</si>
  <si>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</si>
  <si>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</si>
  <si>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</si>
  <si>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</si>
  <si>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</si>
  <si>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</si>
  <si>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</si>
  <si>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</si>
  <si>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</si>
  <si>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</si>
  <si>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</si>
  <si>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</si>
  <si>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</si>
  <si>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</si>
  <si>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</si>
  <si>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</si>
  <si>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</si>
  <si>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</si>
  <si>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</si>
  <si>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</si>
  <si>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</si>
  <si>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</si>
  <si>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</si>
  <si>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</si>
  <si>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</si>
  <si>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</si>
  <si>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</si>
  <si>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</si>
  <si>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</si>
  <si>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</si>
  <si>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</si>
  <si>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</si>
  <si>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</si>
  <si>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</si>
  <si>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</si>
  <si>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</si>
  <si>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</si>
  <si>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</si>
  <si>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</si>
  <si>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</si>
  <si>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</si>
  <si>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</si>
  <si>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</si>
  <si>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</si>
  <si>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</si>
  <si>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</si>
  <si>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</si>
  <si>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</si>
  <si>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</si>
  <si>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</si>
  <si>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</si>
  <si>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</si>
  <si>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</si>
  <si>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</si>
  <si>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</si>
  <si>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</si>
  <si>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</si>
  <si>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</si>
  <si>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</si>
  <si>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</si>
  <si>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</si>
  <si>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</si>
  <si>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</si>
  <si>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</si>
  <si>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</si>
  <si>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</si>
  <si>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</si>
  <si>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</si>
  <si>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</si>
  <si>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</si>
  <si>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</si>
  <si>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</si>
  <si>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</si>
  <si>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</si>
  <si>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</si>
  <si>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</si>
  <si>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</si>
  <si>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</si>
  <si>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</si>
  <si>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</si>
  <si>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</si>
  <si>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</si>
  <si>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</si>
  <si>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</si>
  <si>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</si>
  <si>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</si>
  <si>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</si>
  <si>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</si>
  <si>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</si>
  <si>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</si>
  <si>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</si>
  <si>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</si>
  <si>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</si>
  <si>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</si>
  <si>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</si>
  <si>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</si>
  <si>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</si>
  <si>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</si>
  <si>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</si>
  <si>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</si>
  <si>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</si>
  <si>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</si>
  <si>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</si>
  <si>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</si>
  <si>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</si>
  <si>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</si>
  <si>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</si>
  <si>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</si>
  <si>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</si>
  <si>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</si>
  <si>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</si>
  <si>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</si>
  <si>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</si>
  <si>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</si>
  <si>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</si>
  <si>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</si>
  <si>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</si>
  <si>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</si>
  <si>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</si>
  <si>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</si>
  <si>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</si>
  <si>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</si>
  <si>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</si>
  <si>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</si>
  <si>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</si>
  <si>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</si>
  <si>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</si>
  <si>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</si>
  <si>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</si>
  <si>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</si>
  <si>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</si>
  <si>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</si>
  <si>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</si>
  <si>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</si>
  <si>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</si>
  <si>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</si>
  <si>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</si>
  <si>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</si>
  <si>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</si>
  <si>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</si>
  <si>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</si>
  <si>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</si>
  <si>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</si>
  <si>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</si>
  <si>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</si>
  <si>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</si>
  <si>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</si>
  <si>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</si>
  <si>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</si>
  <si>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</si>
  <si>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</si>
  <si>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</si>
  <si>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</si>
  <si>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</si>
  <si>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</si>
  <si>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</si>
  <si>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</si>
  <si>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</si>
  <si>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</si>
  <si>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</si>
  <si>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</si>
  <si>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</si>
  <si>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</si>
  <si>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</si>
  <si>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</si>
  <si>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</si>
  <si>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</si>
  <si>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</si>
  <si>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</si>
  <si>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</si>
  <si>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</si>
  <si>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</si>
  <si>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</si>
  <si>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</si>
  <si>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</si>
  <si>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</si>
  <si>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</si>
  <si>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</si>
  <si>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</si>
  <si>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</si>
  <si>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</si>
  <si>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</si>
  <si>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</si>
  <si>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</si>
  <si>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</si>
  <si>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</si>
  <si>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</si>
  <si>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</si>
  <si>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</si>
  <si>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</si>
  <si>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</si>
  <si>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</si>
  <si>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</si>
  <si>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</si>
  <si>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</si>
  <si>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</si>
  <si>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</si>
  <si>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</si>
  <si>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</si>
  <si>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</si>
  <si>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</si>
  <si>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</si>
  <si>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</si>
  <si>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</si>
  <si>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</si>
  <si>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</si>
  <si>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</si>
  <si>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</si>
  <si>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</si>
  <si>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</si>
  <si>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</si>
  <si>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</si>
  <si>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</si>
  <si>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</si>
  <si>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</si>
  <si>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</si>
  <si>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</si>
  <si>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</si>
  <si>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</si>
  <si>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</si>
  <si>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</si>
  <si>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</si>
  <si>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</si>
  <si>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</si>
  <si>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</si>
  <si>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</si>
  <si>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</si>
  <si>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</si>
  <si>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</si>
  <si>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</si>
  <si>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</si>
  <si>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</si>
  <si>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</si>
  <si>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</si>
  <si>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</si>
  <si>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</si>
  <si>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</si>
  <si>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</si>
  <si>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</si>
  <si>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</si>
  <si>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</si>
  <si>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</si>
  <si>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</si>
  <si>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</si>
  <si>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</si>
  <si>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</si>
  <si>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</si>
  <si>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</si>
  <si>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</si>
  <si>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</si>
  <si>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</si>
  <si>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</si>
  <si>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</si>
  <si>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</si>
  <si>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</si>
  <si>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</si>
  <si>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</si>
  <si>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</si>
  <si>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</si>
  <si>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</si>
  <si>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</si>
  <si>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</si>
  <si>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</si>
  <si>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</si>
  <si>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</si>
  <si>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</si>
  <si>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</si>
  <si>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</si>
  <si>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</si>
  <si>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</si>
  <si>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</si>
  <si>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</si>
  <si>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</si>
  <si>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</si>
  <si>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</si>
  <si>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</si>
  <si>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</si>
  <si>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</si>
  <si>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</si>
  <si>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</si>
  <si>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</si>
  <si>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</si>
  <si>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</si>
  <si>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</si>
  <si>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</si>
  <si>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</si>
  <si>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</si>
  <si>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</si>
  <si>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</si>
  <si>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</si>
  <si>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</si>
  <si>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</si>
  <si>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</si>
  <si>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</si>
  <si>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</si>
  <si>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</si>
  <si>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</si>
  <si>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</si>
  <si>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</si>
  <si>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</si>
  <si>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</si>
  <si>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</si>
  <si>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</si>
  <si>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</si>
  <si>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</si>
  <si>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</si>
  <si>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</si>
  <si>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</si>
  <si>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</si>
  <si>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</si>
  <si>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</si>
  <si>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</si>
  <si>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</si>
  <si>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</si>
  <si>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</si>
  <si>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</si>
  <si>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</si>
  <si>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</si>
  <si>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</si>
  <si>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</si>
  <si>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</si>
  <si>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</si>
  <si>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</si>
  <si>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</si>
  <si>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</si>
  <si>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</si>
  <si>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</si>
  <si>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</si>
  <si>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</si>
  <si>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</si>
  <si>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</si>
  <si>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</si>
  <si>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</si>
  <si>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</si>
  <si>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</si>
  <si>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</si>
  <si>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</si>
  <si>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</si>
  <si>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</si>
  <si>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</si>
  <si>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</si>
  <si>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</si>
  <si>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</si>
  <si>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</si>
  <si>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</si>
  <si>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</si>
  <si>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</si>
  <si>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</si>
  <si>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</si>
  <si>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</si>
  <si>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</si>
  <si>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</si>
  <si>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</si>
  <si>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</si>
  <si>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</si>
  <si>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</si>
  <si>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</si>
  <si>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</si>
  <si>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</si>
  <si>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</si>
  <si>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</si>
  <si>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</si>
  <si>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</si>
  <si>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</si>
  <si>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</si>
  <si>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</si>
  <si>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</si>
  <si>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</si>
  <si>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</si>
  <si>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</si>
  <si>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</si>
  <si>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</si>
  <si>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</si>
  <si>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</si>
  <si>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</si>
  <si>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</si>
  <si>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</si>
  <si>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</si>
  <si>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</si>
  <si>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</si>
  <si>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</si>
  <si>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</si>
  <si>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</si>
  <si>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</si>
  <si>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</si>
  <si>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</si>
  <si>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</si>
  <si>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</si>
  <si>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</si>
  <si>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</si>
  <si>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</si>
  <si>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</si>
  <si>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</si>
  <si>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</si>
  <si>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</si>
  <si>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</si>
  <si>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</si>
  <si>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</si>
  <si>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</si>
  <si>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</si>
  <si>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</si>
  <si>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</si>
  <si>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</si>
  <si>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</si>
  <si>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</si>
  <si>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</si>
  <si>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</si>
  <si>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</si>
  <si>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</si>
  <si>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</si>
  <si>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</si>
  <si>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</si>
  <si>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</si>
  <si>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</si>
  <si>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</si>
  <si>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</si>
  <si>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</si>
  <si>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</si>
  <si>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</si>
  <si>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</si>
  <si>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</si>
  <si>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</si>
  <si>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</si>
  <si>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</si>
  <si>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</si>
  <si>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</si>
  <si>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</si>
  <si>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</si>
  <si>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</si>
  <si>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</si>
  <si>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</si>
  <si>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</si>
  <si>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</si>
  <si>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</si>
  <si>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</si>
  <si>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</si>
  <si>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</si>
  <si>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</si>
  <si>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</si>
  <si>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</si>
  <si>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</si>
  <si>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</si>
  <si>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</si>
  <si>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</si>
  <si>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</si>
  <si>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</si>
  <si>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</si>
  <si>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</si>
  <si>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</si>
  <si>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</si>
  <si>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</si>
  <si>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</si>
  <si>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</si>
  <si>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</si>
  <si>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</si>
  <si>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</si>
  <si>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</si>
  <si>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</si>
  <si>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</si>
  <si>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</si>
  <si>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</si>
  <si>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</si>
  <si>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</si>
  <si>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</si>
  <si>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</si>
  <si>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</si>
  <si>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</si>
  <si>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</si>
  <si>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</si>
  <si>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</si>
  <si>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</si>
  <si>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</si>
  <si>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</si>
  <si>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</si>
  <si>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</si>
  <si>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</si>
  <si>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</si>
  <si>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</si>
  <si>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</si>
  <si>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</si>
  <si>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</si>
  <si>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</si>
  <si>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</si>
  <si>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</si>
  <si>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</si>
  <si>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</si>
  <si>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</si>
  <si>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</si>
  <si>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</si>
  <si>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</si>
  <si>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</si>
  <si>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</si>
  <si>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</si>
  <si>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</si>
  <si>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</si>
  <si>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</si>
  <si>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</si>
  <si>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</si>
  <si>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</si>
  <si>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</si>
  <si>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</si>
  <si>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</si>
  <si>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</si>
  <si>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</si>
  <si>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</si>
  <si>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</si>
  <si>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</si>
  <si>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</si>
  <si>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</si>
  <si>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</si>
  <si>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</si>
  <si>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</si>
  <si>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</si>
  <si>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</si>
  <si>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</si>
  <si>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</si>
  <si>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</si>
  <si>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</si>
  <si>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</si>
  <si>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</si>
  <si>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</si>
  <si>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</si>
  <si>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</si>
  <si>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</si>
  <si>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</si>
  <si>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</si>
  <si>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</si>
  <si>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</si>
  <si>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</si>
  <si>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</si>
  <si>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</si>
  <si>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</si>
  <si>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</si>
  <si>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</si>
  <si>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</si>
  <si>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</si>
  <si>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</si>
  <si>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</si>
  <si>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</si>
  <si>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</si>
  <si>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</si>
  <si>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</si>
  <si>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</si>
  <si>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</si>
  <si>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</si>
  <si>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</si>
  <si>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</si>
  <si>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</si>
  <si>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</si>
  <si>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</si>
  <si>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</si>
  <si>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</si>
  <si>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</si>
  <si>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</si>
  <si>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</si>
  <si>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</si>
  <si>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</si>
  <si>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</si>
  <si>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</si>
  <si>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</si>
  <si>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</si>
  <si>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</si>
  <si>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</si>
  <si>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</si>
  <si>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</si>
  <si>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</si>
  <si>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</si>
  <si>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</si>
  <si>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</si>
  <si>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</si>
  <si>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</si>
  <si>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</si>
  <si>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</si>
  <si>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</si>
  <si>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</si>
  <si>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</si>
  <si>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</si>
  <si>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</si>
  <si>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</si>
  <si>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</si>
  <si>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</si>
  <si>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</si>
  <si>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</si>
  <si>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</si>
  <si>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</si>
  <si>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</si>
  <si>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</si>
  <si>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</si>
  <si>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</si>
  <si>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</si>
  <si>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</si>
  <si>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</si>
  <si>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</si>
  <si>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</si>
  <si>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</si>
  <si>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</si>
  <si>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</si>
  <si>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</si>
  <si>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</si>
  <si>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</si>
  <si>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</si>
  <si>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</si>
  <si>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</si>
  <si>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</si>
  <si>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</si>
  <si>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</si>
  <si>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</si>
  <si>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</si>
  <si>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</si>
  <si>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</si>
  <si>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</si>
  <si>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</si>
  <si>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</si>
  <si>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</si>
  <si>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</si>
  <si>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</si>
  <si>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</si>
  <si>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</si>
  <si>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</si>
  <si>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</si>
  <si>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</si>
  <si>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</si>
  <si>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</si>
  <si>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</si>
  <si>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</si>
  <si>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</si>
  <si>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</si>
  <si>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</si>
  <si>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</si>
  <si>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</si>
  <si>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</si>
  <si>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</si>
  <si>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</si>
  <si>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</si>
  <si>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</si>
  <si>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</si>
  <si>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</si>
  <si>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</si>
  <si>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</si>
  <si>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</si>
  <si>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</si>
  <si>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</si>
  <si>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</si>
  <si>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</si>
  <si>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</si>
  <si>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</si>
  <si>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</si>
  <si>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</si>
  <si>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</si>
  <si>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</si>
  <si>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</si>
  <si>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</si>
  <si>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</si>
  <si>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</si>
  <si>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</si>
  <si>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</si>
  <si>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</si>
  <si>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</si>
  <si>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</si>
  <si>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</si>
  <si>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</si>
  <si>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</si>
  <si>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</si>
  <si>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</si>
  <si>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</si>
  <si>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</si>
  <si>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</si>
  <si>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</si>
  <si>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</si>
  <si>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</si>
  <si>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</si>
  <si>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</si>
  <si>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</si>
  <si>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</si>
  <si>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</si>
  <si>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</si>
  <si>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</si>
  <si>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</si>
  <si>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</si>
  <si>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</si>
  <si>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</si>
  <si>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</si>
  <si>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</si>
  <si>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</si>
  <si>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</si>
  <si>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</si>
  <si>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</si>
  <si>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</si>
  <si>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</si>
  <si>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</si>
  <si>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</si>
  <si>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</si>
  <si>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</si>
  <si>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</si>
  <si>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</si>
  <si>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</si>
  <si>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</si>
  <si>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</si>
  <si>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</si>
  <si>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</si>
  <si>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</si>
  <si>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</si>
  <si>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</si>
  <si>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</si>
  <si>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</si>
  <si>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</si>
  <si>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</si>
  <si>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</si>
  <si>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</si>
  <si>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</si>
  <si>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</si>
  <si>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</si>
  <si>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</si>
  <si>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</si>
  <si>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</si>
  <si>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</si>
  <si>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</si>
  <si>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</si>
  <si>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</si>
  <si>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</si>
  <si>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</si>
  <si>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</si>
  <si>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</si>
  <si>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</si>
  <si>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</si>
  <si>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</si>
  <si>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</si>
  <si>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</si>
  <si>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</si>
  <si>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</si>
  <si>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</si>
  <si>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</si>
  <si>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</si>
  <si>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</si>
  <si>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</si>
  <si>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</si>
  <si>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</si>
  <si>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</si>
  <si>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</si>
  <si>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</si>
  <si>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</si>
  <si>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</si>
  <si>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</si>
  <si>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</si>
  <si>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</si>
  <si>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</si>
  <si>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</si>
  <si>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</si>
  <si>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</si>
  <si>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</si>
  <si>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</si>
  <si>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</si>
  <si>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</si>
  <si>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</si>
  <si>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</si>
  <si>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</si>
  <si>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</si>
  <si>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</si>
  <si>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</si>
  <si>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</si>
  <si>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</si>
  <si>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</si>
  <si>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</si>
  <si>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</si>
  <si>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</si>
  <si>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</si>
  <si>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</si>
  <si>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</si>
  <si>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</si>
  <si>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</si>
  <si>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</si>
  <si>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</si>
  <si>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</si>
  <si>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</si>
  <si>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</si>
  <si>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</si>
  <si>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</si>
  <si>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</si>
  <si>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</si>
  <si>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</si>
  <si>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</si>
  <si>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</si>
  <si>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</si>
  <si>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</si>
  <si>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</si>
  <si>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</si>
  <si>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</si>
  <si>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</si>
  <si>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</si>
  <si>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</si>
  <si>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</si>
  <si>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</si>
  <si>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</si>
  <si>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</si>
  <si>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</si>
  <si>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</si>
  <si>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</si>
  <si>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</si>
  <si>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</si>
  <si>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</si>
  <si>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</si>
  <si>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</si>
  <si>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</si>
  <si>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</si>
  <si>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</si>
  <si>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</si>
  <si>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</si>
  <si>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</si>
  <si>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</si>
  <si>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</si>
  <si>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</si>
  <si>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</si>
  <si>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</si>
  <si>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</si>
  <si>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</si>
  <si>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</si>
  <si>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</si>
  <si>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</si>
  <si>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</si>
  <si>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</si>
  <si>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</si>
  <si>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</si>
  <si>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</si>
  <si>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</si>
  <si>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</si>
  <si>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</si>
  <si>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</si>
  <si>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</si>
  <si>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</si>
  <si>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</si>
  <si>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</si>
  <si>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</si>
  <si>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</si>
  <si>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</si>
  <si>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</si>
  <si>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</si>
  <si>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</si>
  <si>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</si>
  <si>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</si>
  <si>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</si>
  <si>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</si>
  <si>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</si>
  <si>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</si>
  <si>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</si>
  <si>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</si>
  <si>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</si>
  <si>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</si>
  <si>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</si>
  <si>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</si>
  <si>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</si>
  <si>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</si>
  <si>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</si>
  <si>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</si>
  <si>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</si>
  <si>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</si>
  <si>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</si>
  <si>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</si>
  <si>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</si>
  <si>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</si>
  <si>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</si>
  <si>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</si>
  <si>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</si>
  <si>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</si>
  <si>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</si>
  <si>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</si>
  <si>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</si>
  <si>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</si>
  <si>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</si>
  <si>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</si>
  <si>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</si>
  <si>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</si>
  <si>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</si>
  <si>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</si>
  <si>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</si>
  <si>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</si>
  <si>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</si>
  <si>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</si>
  <si>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</si>
  <si>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</si>
  <si>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</si>
  <si>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</si>
  <si>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</si>
  <si>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</si>
  <si>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</si>
  <si>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</si>
  <si>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</si>
  <si>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</si>
  <si>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</si>
  <si>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</si>
  <si>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</si>
  <si>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</si>
  <si>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</si>
  <si>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</si>
  <si>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</si>
  <si>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</si>
  <si>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</si>
  <si>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</si>
  <si>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</si>
  <si>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</si>
  <si>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</si>
  <si>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</si>
  <si>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</si>
  <si>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</si>
  <si>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</si>
  <si>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</si>
  <si>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</si>
  <si>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</si>
  <si>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</si>
  <si>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</si>
  <si>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</si>
  <si>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</si>
  <si>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</si>
  <si>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</si>
  <si>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</si>
  <si>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</si>
  <si>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</si>
  <si>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</si>
  <si>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</si>
  <si>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</si>
  <si>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</si>
  <si>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</si>
  <si>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</si>
  <si>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</si>
  <si>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</si>
  <si>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</si>
  <si>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</si>
  <si>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</si>
  <si>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</si>
  <si>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</si>
  <si>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</si>
  <si>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</si>
  <si>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</si>
  <si>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</si>
  <si>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</si>
  <si>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</si>
  <si>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</si>
  <si>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</si>
  <si>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</si>
  <si>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</si>
  <si>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</si>
  <si>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</si>
  <si>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</si>
  <si>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</si>
  <si>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</si>
  <si>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</si>
  <si>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</si>
  <si>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</si>
  <si>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</si>
  <si>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</si>
  <si>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</si>
  <si>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</si>
  <si>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</si>
  <si>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</si>
  <si>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</si>
  <si>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</si>
  <si>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</si>
  <si>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</si>
  <si>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</si>
  <si>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</si>
  <si>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</si>
  <si>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</si>
  <si>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</si>
  <si>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</si>
  <si>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</si>
  <si>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</si>
  <si>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</si>
  <si>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</si>
  <si>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</si>
  <si>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</si>
  <si>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</si>
  <si>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</si>
  <si>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</si>
  <si>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</si>
  <si>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</si>
  <si>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</si>
  <si>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</si>
  <si>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</si>
  <si>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</si>
  <si>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</si>
  <si>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</si>
  <si>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</si>
  <si>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</si>
  <si>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</si>
  <si>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</si>
  <si>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</si>
  <si>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</si>
  <si>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</si>
  <si>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</si>
  <si>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</si>
  <si>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</si>
  <si>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</si>
  <si>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</si>
  <si>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</si>
  <si>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</si>
  <si>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</si>
  <si>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</si>
  <si>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</si>
  <si>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</si>
  <si>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</si>
  <si>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</si>
  <si>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</si>
  <si>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</si>
  <si>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</si>
  <si>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</si>
  <si>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</si>
  <si>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</si>
  <si>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</si>
  <si>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</si>
  <si>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</si>
  <si>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</si>
  <si>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</si>
  <si>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</si>
  <si>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</si>
  <si>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</si>
  <si>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</si>
  <si>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</si>
  <si>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</si>
  <si>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</si>
  <si>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</si>
  <si>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</si>
  <si>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</si>
  <si>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</si>
  <si>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</si>
  <si>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</si>
  <si>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</si>
  <si>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</si>
  <si>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</si>
  <si>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</si>
  <si>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</si>
  <si>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</si>
  <si>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</si>
  <si>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</si>
  <si>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</si>
  <si>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</si>
  <si>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</si>
  <si>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</si>
  <si>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</si>
  <si>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</si>
  <si>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</si>
  <si>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</si>
  <si>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</si>
  <si>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</si>
  <si>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</si>
  <si>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</si>
  <si>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</si>
  <si>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</si>
  <si>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</si>
  <si>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</si>
  <si>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</si>
  <si>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</si>
  <si>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</si>
  <si>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</si>
  <si>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</si>
  <si>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</si>
  <si>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</si>
  <si>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</si>
  <si>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</si>
  <si>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</si>
  <si>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</si>
  <si>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</si>
  <si>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</si>
  <si>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</si>
  <si>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</si>
  <si>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</si>
  <si>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</si>
  <si>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</si>
  <si>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</si>
  <si>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</si>
  <si>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</si>
  <si>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</si>
  <si>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</si>
  <si>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</si>
  <si>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</si>
  <si>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</si>
  <si>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</si>
  <si>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</si>
  <si>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</si>
  <si>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</si>
  <si>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</si>
  <si>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</si>
  <si>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</si>
  <si>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</si>
  <si>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</si>
  <si>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</si>
  <si>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</si>
  <si>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</si>
  <si>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</si>
  <si>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</si>
  <si>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</si>
  <si>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</si>
  <si>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</si>
  <si>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</si>
  <si>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</si>
  <si>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</si>
  <si>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</si>
  <si>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</si>
  <si>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</si>
  <si>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</si>
  <si>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</si>
  <si>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</si>
  <si>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</si>
  <si>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</si>
  <si>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</si>
  <si>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</si>
  <si>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</si>
  <si>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</si>
  <si>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</si>
  <si>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</si>
  <si>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</si>
  <si>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</si>
  <si>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</si>
  <si>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</si>
  <si>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</si>
  <si>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</si>
  <si>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</si>
  <si>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</si>
  <si>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</si>
  <si>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</si>
  <si>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</si>
  <si>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</si>
  <si>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</si>
  <si>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</si>
  <si>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</si>
  <si>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</si>
  <si>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</si>
  <si>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</si>
  <si>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</si>
  <si>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</si>
  <si>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</si>
  <si>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</si>
  <si>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</si>
  <si>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</si>
  <si>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</si>
  <si>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</si>
  <si>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</si>
  <si>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</si>
  <si>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</si>
  <si>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</si>
  <si>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</si>
  <si>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</si>
  <si>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</si>
  <si>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</si>
  <si>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</si>
  <si>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</si>
  <si>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</si>
  <si>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</si>
  <si>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</si>
  <si>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</si>
  <si>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</si>
  <si>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</si>
  <si>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</si>
  <si>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</si>
  <si>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</si>
  <si>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</si>
  <si>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</si>
  <si>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</si>
  <si>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</si>
  <si>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</si>
  <si>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</si>
  <si>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</si>
  <si>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</si>
  <si>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</si>
  <si>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</si>
  <si>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</si>
  <si>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</si>
  <si>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</si>
  <si>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</si>
  <si>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</si>
  <si>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</si>
  <si>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</si>
  <si>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</si>
  <si>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</si>
  <si>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</si>
  <si>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</si>
  <si>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</si>
  <si>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</si>
  <si>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</si>
  <si>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</si>
  <si>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</si>
  <si>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</si>
  <si>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</si>
  <si>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</si>
  <si>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</si>
  <si>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</si>
  <si>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</si>
  <si>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</si>
  <si>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</si>
  <si>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</si>
  <si>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</si>
  <si>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</si>
  <si>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</si>
  <si>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</si>
  <si>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</si>
  <si>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</si>
  <si>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</si>
  <si>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</si>
  <si>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</si>
  <si>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</si>
  <si>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</si>
  <si>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</si>
  <si>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</si>
  <si>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</si>
  <si>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</si>
  <si>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</si>
  <si>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</si>
  <si>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</si>
  <si>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</si>
  <si>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</si>
  <si>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</si>
  <si>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</si>
  <si>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</si>
  <si>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</si>
  <si>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</si>
  <si>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</si>
  <si>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</si>
  <si>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</si>
  <si>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</si>
  <si>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</si>
  <si>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</si>
  <si>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</si>
  <si>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</si>
  <si>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</si>
  <si>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</si>
  <si>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</si>
  <si>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</si>
  <si>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</si>
  <si>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</si>
  <si>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</si>
  <si>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</si>
  <si>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</si>
  <si>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</si>
  <si>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</si>
  <si>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</si>
  <si>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</si>
  <si>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</si>
  <si>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</si>
  <si>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</si>
  <si>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</si>
  <si>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</si>
  <si>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</si>
  <si>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</si>
  <si>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</si>
  <si>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</si>
  <si>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</si>
  <si>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</si>
  <si>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</si>
  <si>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</si>
  <si>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</si>
  <si>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</si>
  <si>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</si>
  <si>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</si>
  <si>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</si>
  <si>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</si>
  <si>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</si>
  <si>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</si>
  <si>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</si>
  <si>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</si>
  <si>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</si>
  <si>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</si>
  <si>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</si>
  <si>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</si>
  <si>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</si>
  <si>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</si>
  <si>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</si>
  <si>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</si>
  <si>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</si>
  <si>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</si>
  <si>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</si>
  <si>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</si>
  <si>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</si>
  <si>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</si>
  <si>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</si>
  <si>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</si>
  <si>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</si>
  <si>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</si>
  <si>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</si>
  <si>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</si>
  <si>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</si>
  <si>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</si>
  <si>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</si>
  <si>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</si>
  <si>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</si>
  <si>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</si>
  <si>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</si>
  <si>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</si>
  <si>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</si>
  <si>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</si>
  <si>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</si>
  <si>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</si>
  <si>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</si>
  <si>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</si>
  <si>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</si>
  <si>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</si>
  <si>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</si>
  <si>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</si>
  <si>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</si>
  <si>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</si>
  <si>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</si>
  <si>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</si>
  <si>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</si>
  <si>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</si>
  <si>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</si>
  <si>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</si>
  <si>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</si>
  <si>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</si>
  <si>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</si>
  <si>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</si>
  <si>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</si>
  <si>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</si>
  <si>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</si>
  <si>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</si>
  <si>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</si>
  <si>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</si>
  <si>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</si>
  <si>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</si>
  <si>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</si>
  <si>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</si>
  <si>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</si>
  <si>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</si>
  <si>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</si>
  <si>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</si>
  <si>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</si>
  <si>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</si>
  <si>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</si>
  <si>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</si>
  <si>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</si>
  <si>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</si>
  <si>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</si>
  <si>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</si>
  <si>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</si>
  <si>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</si>
  <si>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</si>
  <si>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</si>
  <si>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</si>
  <si>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</si>
  <si>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</si>
  <si>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</si>
  <si>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</si>
  <si>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</si>
  <si>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</si>
  <si>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</si>
  <si>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</si>
  <si>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</si>
  <si>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</si>
  <si>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</si>
  <si>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</si>
  <si>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</si>
  <si>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</si>
  <si>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</si>
  <si>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</si>
  <si>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</si>
  <si>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</si>
  <si>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</si>
  <si>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</si>
  <si>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</si>
  <si>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</si>
  <si>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</si>
  <si>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</si>
  <si>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</si>
  <si>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</si>
  <si>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</si>
  <si>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</si>
  <si>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</si>
  <si>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</si>
  <si>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</si>
  <si>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</si>
  <si>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</si>
  <si>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</si>
  <si>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</si>
  <si>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</si>
  <si>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</si>
  <si>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</si>
  <si>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</si>
  <si>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</si>
  <si>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</si>
  <si>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</si>
  <si>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</si>
  <si>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</si>
  <si>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</si>
  <si>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</si>
  <si>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</si>
  <si>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</si>
  <si>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</si>
  <si>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</si>
  <si>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</si>
  <si>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</si>
  <si>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</si>
  <si>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</si>
  <si>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</si>
  <si>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</si>
  <si>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</si>
  <si>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</si>
  <si>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</si>
  <si>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</si>
  <si>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</si>
  <si>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</si>
  <si>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</si>
  <si>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</si>
  <si>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</si>
  <si>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</si>
  <si>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</si>
  <si>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</si>
  <si>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</si>
  <si>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</si>
  <si>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</si>
  <si>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</si>
  <si>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</si>
  <si>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</si>
  <si>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</si>
  <si>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</si>
  <si>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</si>
  <si>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</si>
  <si>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</si>
  <si>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</si>
  <si>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</si>
  <si>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</si>
  <si>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</si>
  <si>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</si>
  <si>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</si>
  <si>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</si>
  <si>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</si>
  <si>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</si>
  <si>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</si>
  <si>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</si>
  <si>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</si>
  <si>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</si>
  <si>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</si>
  <si>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</si>
  <si>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</si>
  <si>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</si>
  <si>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</si>
  <si>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</si>
  <si>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</si>
  <si>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</si>
  <si>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</si>
  <si>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</si>
  <si>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</si>
  <si>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</si>
  <si>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</si>
  <si>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</si>
  <si>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</si>
  <si>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</si>
  <si>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</si>
  <si>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</si>
  <si>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</si>
  <si>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</si>
  <si>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</si>
  <si>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</si>
  <si>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</si>
  <si>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</si>
  <si>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</si>
  <si>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</si>
  <si>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</si>
  <si>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</si>
  <si>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</si>
  <si>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</si>
  <si>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</si>
  <si>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</si>
  <si>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</si>
  <si>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</si>
  <si>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</si>
  <si>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</si>
  <si>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</si>
  <si>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</si>
  <si>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</si>
  <si>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</si>
  <si>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</si>
  <si>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</si>
  <si>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</si>
  <si>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</si>
  <si>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</si>
  <si>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</si>
  <si>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</si>
  <si>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</si>
  <si>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</si>
  <si>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</si>
  <si>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</si>
  <si>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</si>
  <si>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</si>
  <si>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</si>
  <si>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</si>
  <si>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</si>
  <si>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</si>
  <si>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</si>
  <si>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</si>
  <si>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</si>
  <si>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</si>
  <si>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</si>
  <si>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</si>
  <si>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</si>
  <si>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</si>
  <si>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</si>
  <si>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</si>
  <si>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</si>
  <si>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</si>
  <si>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</si>
  <si>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</si>
  <si>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</si>
  <si>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</si>
  <si>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</si>
  <si>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</si>
  <si>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</si>
  <si>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</si>
  <si>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</si>
  <si>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</si>
  <si>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</si>
  <si>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</si>
  <si>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</si>
  <si>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</si>
  <si>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</si>
  <si>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</si>
  <si>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</si>
  <si>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</si>
  <si>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</si>
  <si>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</si>
  <si>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</si>
  <si>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</si>
  <si>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</si>
  <si>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</si>
  <si>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</si>
  <si>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</si>
  <si>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</si>
  <si>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</si>
  <si>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</si>
  <si>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</si>
  <si>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</si>
  <si>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</si>
  <si>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</si>
  <si>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</si>
  <si>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</si>
  <si>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</si>
  <si>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</si>
  <si>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</si>
  <si>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</si>
  <si>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</si>
  <si>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</si>
  <si>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</si>
  <si>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</si>
  <si>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</si>
  <si>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</si>
  <si>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</si>
  <si>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</si>
  <si>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</si>
  <si>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</si>
  <si>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</si>
  <si>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</si>
  <si>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</si>
  <si>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</si>
  <si>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</si>
  <si>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</si>
  <si>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</si>
  <si>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</si>
  <si>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</si>
  <si>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</si>
  <si>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</si>
  <si>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</si>
  <si>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</si>
  <si>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</si>
  <si>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</si>
  <si>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</si>
  <si>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</si>
  <si>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</si>
  <si>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</si>
  <si>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</si>
  <si>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</si>
  <si>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</si>
  <si>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</si>
  <si>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</si>
  <si>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</si>
  <si>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</si>
  <si>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</si>
  <si>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</si>
  <si>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</si>
  <si>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</si>
  <si>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</si>
  <si>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</si>
  <si>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</si>
  <si>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</si>
  <si>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</si>
  <si>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</si>
  <si>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</si>
  <si>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</si>
  <si>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</si>
  <si>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</si>
  <si>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</si>
  <si>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</si>
  <si>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</si>
  <si>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</si>
  <si>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</si>
  <si>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</si>
  <si>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</si>
  <si>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</si>
  <si>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</si>
  <si>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</si>
  <si>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</si>
  <si>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</si>
  <si>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</si>
  <si>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</si>
  <si>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</si>
  <si>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</si>
  <si>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</si>
  <si>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</si>
  <si>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</si>
  <si>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</si>
  <si>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</si>
  <si>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</si>
  <si>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</si>
  <si>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</si>
  <si>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</si>
  <si>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</si>
  <si>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</si>
  <si>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</si>
  <si>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</si>
  <si>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</si>
  <si>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</si>
  <si>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</si>
  <si>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</si>
  <si>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</si>
  <si>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</si>
  <si>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</si>
  <si>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</si>
  <si>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</si>
  <si>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</si>
  <si>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</si>
  <si>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</si>
  <si>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</si>
  <si>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</si>
  <si>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</si>
  <si>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</si>
  <si>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</si>
  <si>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</si>
  <si>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</si>
  <si>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</si>
  <si>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</si>
  <si>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</si>
  <si>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</si>
  <si>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</si>
  <si>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</si>
  <si>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</si>
  <si>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</si>
  <si>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</si>
  <si>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</si>
  <si>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</si>
  <si>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</si>
  <si>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</si>
  <si>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</si>
  <si>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</si>
  <si>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</si>
  <si>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</si>
  <si>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</si>
  <si>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</si>
  <si>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</si>
  <si>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</si>
  <si>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</si>
  <si>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</si>
  <si>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</si>
  <si>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</si>
  <si>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</si>
  <si>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</si>
  <si>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</si>
  <si>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</si>
  <si>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</si>
  <si>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</si>
  <si>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</si>
  <si>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</si>
  <si>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</si>
  <si>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</si>
  <si>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</si>
  <si>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</si>
  <si>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</si>
  <si>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</si>
  <si>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</si>
  <si>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</si>
  <si>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</si>
  <si>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</si>
  <si>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</si>
  <si>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</si>
  <si>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</si>
  <si>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</si>
  <si>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</si>
  <si>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</si>
  <si>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</si>
  <si>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</si>
  <si>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</si>
  <si>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</si>
  <si>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</si>
  <si>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</si>
  <si>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</si>
  <si>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</si>
  <si>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</si>
  <si>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</si>
  <si>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</si>
  <si>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</si>
  <si>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</si>
  <si>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</si>
  <si>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</si>
  <si>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</si>
  <si>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</si>
  <si>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</si>
  <si>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</si>
  <si>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</si>
  <si>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</si>
  <si>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</si>
  <si>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</si>
  <si>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</si>
  <si>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</si>
  <si>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</si>
  <si>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</si>
  <si>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</si>
  <si>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</si>
  <si>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</si>
  <si>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</si>
  <si>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</si>
  <si>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</si>
  <si>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</si>
  <si>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</si>
  <si>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</si>
  <si>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</si>
  <si>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</si>
  <si>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</si>
  <si>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</si>
  <si>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</si>
  <si>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</si>
  <si>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</si>
  <si>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</si>
  <si>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</si>
  <si>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</si>
  <si>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</si>
  <si>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</si>
  <si>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</si>
  <si>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</si>
  <si>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</si>
  <si>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</si>
  <si>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</si>
  <si>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</si>
  <si>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</si>
  <si>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</si>
  <si>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</si>
  <si>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</si>
  <si>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</si>
  <si>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</si>
  <si>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</si>
  <si>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</si>
  <si>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</si>
  <si>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</si>
  <si>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</si>
  <si>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</si>
  <si>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</si>
  <si>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</si>
  <si>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</si>
  <si>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</si>
  <si>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</si>
  <si>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</si>
  <si>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</si>
  <si>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</si>
  <si>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</si>
  <si>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</si>
  <si>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</si>
  <si>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</si>
  <si>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</si>
  <si>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</si>
  <si>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</si>
  <si>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</si>
  <si>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</si>
  <si>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</si>
  <si>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</si>
  <si>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</si>
  <si>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</si>
  <si>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</si>
  <si>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</si>
  <si>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</si>
  <si>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</si>
  <si>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</si>
  <si>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</si>
  <si>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</si>
  <si>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</si>
  <si>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</si>
  <si>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</si>
  <si>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</si>
  <si>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</si>
  <si>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</si>
  <si>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</si>
  <si>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</si>
  <si>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</si>
  <si>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</si>
  <si>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</si>
  <si>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</si>
  <si>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</si>
  <si>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</si>
  <si>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</si>
  <si>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</si>
  <si>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</si>
  <si>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</si>
  <si>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</si>
  <si>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</si>
  <si>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</si>
  <si>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</si>
  <si>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</si>
  <si>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</si>
  <si>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</si>
  <si>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</si>
  <si>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</si>
  <si>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</si>
  <si>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</si>
  <si>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</si>
  <si>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</si>
  <si>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</si>
  <si>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</si>
  <si>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</si>
  <si>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</si>
  <si>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</si>
  <si>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</si>
  <si>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</si>
  <si>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</si>
  <si>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</si>
  <si>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</si>
  <si>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</si>
  <si>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</si>
  <si>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</si>
  <si>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</si>
  <si>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</si>
  <si>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</si>
  <si>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</si>
  <si>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</si>
  <si>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</si>
  <si>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</si>
  <si>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</si>
  <si>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</si>
  <si>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</si>
  <si>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</si>
  <si>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</si>
  <si>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</si>
  <si>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</si>
  <si>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</si>
  <si>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</si>
  <si>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</si>
  <si>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</si>
  <si>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</si>
  <si>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</si>
  <si>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</si>
  <si>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</si>
  <si>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</si>
  <si>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</si>
  <si>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</si>
  <si>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</si>
  <si>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</si>
  <si>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</si>
  <si>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</si>
  <si>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</si>
  <si>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</si>
  <si>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</si>
  <si>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</si>
  <si>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</si>
  <si>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</si>
  <si>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</si>
  <si>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</si>
  <si>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</si>
  <si>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</si>
  <si>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</si>
  <si>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</si>
  <si>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</si>
  <si>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</si>
  <si>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</si>
  <si>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</si>
  <si>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</si>
  <si>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</si>
  <si>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</si>
  <si>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</si>
  <si>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</si>
  <si>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</si>
  <si>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</si>
  <si>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</si>
  <si>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</si>
  <si>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</si>
  <si>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</si>
  <si>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</si>
  <si>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</si>
  <si>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</si>
  <si>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</si>
  <si>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</si>
  <si>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</si>
  <si>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</si>
  <si>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</si>
  <si>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</si>
  <si>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</si>
  <si>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</si>
  <si>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</si>
  <si>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</si>
  <si>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</si>
  <si>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</si>
  <si>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</si>
  <si>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</si>
  <si>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</si>
  <si>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</si>
  <si>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</si>
  <si>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</si>
  <si>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</si>
  <si>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</si>
  <si>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</si>
  <si>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</si>
  <si>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</si>
  <si>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</si>
  <si>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</si>
  <si>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</si>
  <si>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</si>
  <si>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</si>
  <si>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</si>
  <si>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</si>
  <si>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</si>
  <si>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</si>
  <si>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</si>
  <si>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</si>
  <si>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</si>
  <si>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</si>
  <si>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</si>
  <si>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</si>
  <si>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</si>
  <si>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</si>
  <si>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</si>
  <si>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</si>
  <si>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</si>
  <si>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</si>
  <si>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</si>
  <si>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</si>
  <si>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</si>
  <si>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</si>
  <si>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</si>
  <si>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</si>
  <si>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</si>
  <si>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</si>
  <si>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</si>
  <si>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</si>
  <si>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</si>
  <si>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</si>
  <si>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</si>
  <si>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</si>
  <si>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</si>
  <si>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</si>
  <si>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</si>
  <si>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</si>
  <si>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</si>
  <si>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</si>
  <si>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</si>
  <si>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</si>
  <si>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</si>
  <si>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</si>
  <si>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</si>
  <si>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</si>
  <si>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</si>
  <si>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</si>
  <si>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</si>
  <si>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</si>
  <si>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</si>
  <si>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</si>
  <si>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</si>
  <si>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</si>
  <si>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</si>
  <si>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</si>
  <si>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</si>
  <si>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</si>
  <si>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</si>
  <si>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</si>
  <si>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</si>
  <si>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</si>
  <si>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</si>
  <si>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</si>
  <si>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</si>
  <si>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</si>
  <si>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</si>
  <si>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</si>
  <si>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</si>
  <si>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</si>
  <si>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</si>
  <si>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</si>
  <si>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</si>
  <si>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</si>
  <si>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</si>
  <si>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</si>
  <si>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</si>
  <si>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</si>
  <si>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</si>
  <si>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</si>
  <si>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</si>
  <si>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</si>
  <si>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</si>
  <si>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</si>
  <si>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</si>
  <si>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</si>
  <si>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</si>
  <si>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</si>
  <si>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</si>
  <si>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</si>
  <si>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</si>
  <si>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</si>
  <si>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</si>
  <si>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</si>
  <si>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</si>
  <si>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</si>
  <si>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</si>
  <si>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</si>
  <si>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</si>
  <si>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</si>
  <si>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</si>
  <si>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</si>
  <si>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</si>
  <si>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</si>
  <si>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</si>
  <si>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</si>
  <si>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</si>
  <si>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</si>
  <si>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</si>
  <si>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</si>
  <si>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</si>
  <si>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</si>
  <si>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</si>
  <si>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</si>
  <si>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</si>
  <si>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</si>
  <si>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</si>
  <si>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</si>
  <si>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</si>
  <si>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</si>
  <si>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</si>
  <si>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</si>
  <si>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</si>
  <si>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</si>
  <si>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</si>
  <si>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</si>
  <si>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</si>
  <si>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</si>
  <si>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</si>
  <si>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</si>
  <si>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</si>
  <si>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</si>
  <si>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</si>
  <si>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</si>
  <si>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</si>
  <si>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</si>
  <si>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</si>
  <si>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</si>
  <si>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</si>
  <si>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</si>
  <si>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</si>
  <si>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</si>
  <si>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</si>
  <si>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</si>
  <si>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</si>
  <si>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</si>
  <si>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</si>
  <si>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</si>
  <si>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</si>
  <si>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</si>
  <si>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</si>
  <si>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</si>
  <si>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</si>
  <si>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</si>
  <si>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</si>
  <si>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</si>
  <si>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</si>
  <si>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</si>
  <si>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</si>
  <si>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</si>
  <si>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</si>
  <si>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</si>
  <si>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</si>
  <si>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</si>
  <si>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</si>
  <si>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</si>
  <si>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</si>
  <si>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</si>
  <si>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</si>
  <si>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</si>
  <si>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</si>
  <si>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</si>
  <si>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</si>
  <si>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</si>
  <si>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</si>
  <si>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</si>
  <si>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</si>
  <si>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</si>
  <si>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</si>
  <si>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</si>
  <si>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</si>
  <si>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</si>
  <si>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</si>
  <si>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</si>
  <si>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</si>
  <si>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</si>
  <si>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</si>
  <si>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</si>
  <si>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</si>
  <si>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</si>
  <si>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</si>
  <si>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</si>
  <si>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</si>
  <si>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</si>
  <si>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</si>
  <si>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</si>
  <si>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</si>
  <si>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</si>
  <si>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</si>
  <si>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</si>
  <si>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</si>
  <si>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</si>
  <si>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</si>
  <si>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</si>
  <si>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</si>
  <si>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</si>
  <si>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</si>
  <si>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</si>
  <si>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</si>
  <si>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</si>
  <si>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</si>
  <si>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</si>
  <si>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</si>
  <si>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</si>
  <si>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</si>
  <si>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</si>
  <si>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</si>
  <si>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</si>
  <si>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</si>
  <si>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</si>
  <si>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</si>
  <si>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</si>
  <si>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</si>
  <si>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</si>
  <si>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</si>
  <si>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</si>
  <si>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</si>
  <si>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</si>
  <si>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</si>
  <si>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</si>
  <si>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</si>
  <si>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</si>
  <si>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</si>
  <si>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</si>
  <si>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</si>
  <si>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</si>
  <si>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</si>
  <si>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</si>
  <si>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</si>
  <si>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</si>
  <si>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</si>
  <si>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</si>
  <si>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</si>
  <si>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</si>
  <si>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</si>
  <si>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</si>
  <si>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</si>
  <si>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</si>
  <si>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</si>
  <si>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</si>
  <si>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</si>
  <si>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</si>
  <si>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</si>
  <si>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</si>
  <si>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</si>
  <si>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</si>
  <si>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</si>
  <si>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</si>
  <si>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</si>
  <si>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</si>
  <si>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</si>
  <si>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</si>
  <si>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</si>
  <si>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</si>
  <si>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</si>
  <si>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</si>
  <si>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</si>
  <si>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</si>
  <si>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</si>
  <si>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</si>
  <si>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</si>
  <si>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</si>
  <si>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</si>
  <si>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</si>
  <si>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</si>
  <si>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</si>
  <si>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</si>
  <si>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</si>
  <si>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</si>
  <si>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</si>
  <si>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</si>
  <si>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</si>
  <si>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</si>
  <si>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</si>
  <si>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</si>
  <si>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</si>
  <si>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</si>
  <si>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</si>
  <si>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</si>
  <si>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</si>
  <si>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</si>
  <si>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</si>
  <si>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</si>
  <si>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</si>
  <si>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</si>
  <si>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</si>
  <si>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</si>
  <si>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</si>
  <si>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</si>
  <si>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</si>
  <si>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</si>
  <si>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</si>
  <si>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</si>
  <si>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</si>
  <si>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</si>
  <si>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</si>
  <si>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</si>
  <si>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</si>
  <si>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</si>
  <si>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</si>
  <si>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</si>
  <si>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</si>
  <si>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</si>
  <si>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</si>
  <si>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</si>
  <si>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</si>
  <si>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</si>
  <si>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</si>
  <si>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</si>
  <si>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</si>
  <si>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</si>
  <si>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</si>
  <si>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</si>
  <si>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</si>
  <si>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</si>
  <si>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</si>
  <si>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</si>
  <si>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</si>
  <si>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</si>
  <si>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</si>
  <si>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</si>
  <si>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</si>
  <si>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</si>
  <si>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</si>
  <si>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</si>
  <si>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</si>
  <si>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</si>
  <si>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</si>
  <si>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</si>
  <si>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</si>
  <si>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</si>
  <si>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</si>
  <si>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</si>
  <si>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</si>
  <si>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</si>
  <si>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</si>
  <si>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</si>
  <si>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</si>
  <si>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</si>
  <si>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</si>
  <si>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</si>
  <si>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</si>
  <si>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</si>
  <si>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</si>
  <si>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</si>
  <si>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</si>
  <si>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</si>
  <si>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</si>
  <si>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</si>
  <si>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</si>
  <si>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</si>
  <si>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</si>
  <si>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</si>
  <si>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</si>
  <si>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</si>
  <si>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</si>
  <si>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</si>
  <si>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</si>
  <si>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</si>
  <si>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</si>
  <si>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</si>
  <si>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</si>
  <si>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</si>
  <si>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</si>
  <si>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</si>
  <si>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</si>
  <si>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</si>
  <si>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</si>
  <si>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</si>
  <si>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</si>
  <si>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</si>
  <si>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</si>
  <si>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</si>
  <si>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</si>
  <si>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</si>
  <si>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</si>
  <si>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</si>
  <si>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</si>
  <si>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</si>
  <si>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</si>
  <si>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</si>
  <si>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</si>
  <si>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</si>
  <si>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</si>
  <si>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</si>
  <si>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</si>
  <si>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</si>
  <si>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</si>
  <si>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</si>
  <si>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</si>
  <si>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</si>
  <si>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</si>
  <si>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</si>
  <si>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</si>
  <si>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</si>
  <si>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</si>
  <si>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</si>
  <si>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</si>
  <si>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</si>
  <si>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</si>
  <si>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</si>
  <si>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</si>
  <si>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</si>
  <si>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</si>
  <si>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</si>
  <si>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</si>
  <si>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</si>
  <si>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</si>
  <si>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</si>
  <si>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</si>
  <si>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</si>
  <si>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</si>
  <si>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</si>
  <si>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</si>
  <si>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</si>
  <si>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</si>
  <si>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</si>
  <si>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</si>
  <si>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</si>
  <si>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</si>
  <si>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</si>
  <si>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</si>
  <si>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</si>
  <si>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</si>
  <si>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</si>
  <si>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</si>
  <si>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</si>
  <si>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</si>
  <si>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</si>
  <si>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</si>
  <si>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</si>
  <si>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</si>
  <si>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</si>
  <si>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</si>
  <si>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</si>
  <si>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</si>
  <si>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</si>
  <si>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</si>
  <si>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</si>
  <si>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</si>
  <si>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</si>
  <si>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</si>
  <si>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</si>
  <si>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</si>
  <si>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</si>
  <si>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</si>
  <si>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</si>
  <si>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</si>
  <si>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</si>
  <si>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</si>
  <si>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</si>
  <si>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</si>
  <si>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</si>
  <si>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</si>
  <si>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</si>
  <si>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</si>
  <si>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</si>
  <si>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</si>
  <si>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</si>
  <si>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</si>
  <si>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</si>
  <si>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</si>
  <si>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</si>
  <si>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</si>
  <si>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</si>
  <si>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</si>
  <si>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</si>
  <si>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</si>
  <si>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</si>
  <si>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</si>
  <si>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</si>
  <si>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</si>
  <si>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</si>
  <si>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</si>
  <si>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</si>
  <si>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</si>
  <si>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</si>
  <si>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</si>
  <si>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</si>
  <si>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</si>
  <si>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</si>
  <si>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</si>
  <si>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</si>
  <si>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</si>
  <si>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</si>
  <si>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</si>
  <si>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</si>
  <si>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</si>
  <si>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</si>
  <si>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</si>
  <si>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</si>
  <si>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</si>
  <si>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</si>
  <si>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</si>
  <si>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</si>
  <si>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</si>
  <si>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</si>
  <si>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</si>
  <si>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</si>
  <si>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</si>
  <si>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</si>
  <si>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</si>
  <si>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</si>
  <si>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</si>
  <si>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</si>
  <si>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</si>
  <si>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</si>
  <si>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</si>
  <si>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</si>
  <si>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</si>
  <si>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</si>
  <si>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</si>
  <si>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</si>
  <si>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</si>
  <si>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</si>
  <si>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</si>
  <si>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</si>
  <si>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</si>
  <si>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</si>
  <si>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</si>
  <si>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</si>
  <si>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</si>
  <si>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</si>
  <si>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</si>
  <si>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</si>
  <si>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</si>
  <si>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</si>
  <si>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</si>
  <si>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</si>
  <si>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</si>
  <si>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</si>
  <si>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</si>
  <si>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</si>
  <si>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</si>
  <si>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</si>
  <si>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</si>
  <si>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</si>
  <si>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</si>
  <si>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</si>
  <si>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</si>
  <si>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</si>
  <si>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</si>
  <si>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</si>
  <si>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</si>
  <si>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</si>
  <si>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</si>
  <si>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</si>
  <si>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</si>
  <si>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</si>
  <si>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</si>
  <si>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</si>
  <si>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</si>
  <si>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</si>
  <si>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</si>
  <si>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</si>
  <si>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</si>
  <si>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</si>
  <si>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</si>
  <si>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</si>
  <si>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</si>
  <si>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</si>
  <si>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</si>
  <si>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</si>
  <si>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</si>
  <si>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</si>
  <si>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</si>
  <si>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</si>
  <si>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</si>
  <si>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</si>
  <si>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</si>
  <si>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</si>
  <si>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</si>
  <si>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</si>
  <si>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</si>
  <si>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</si>
  <si>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</si>
  <si>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</si>
  <si>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</si>
  <si>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</si>
  <si>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</si>
  <si>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</si>
  <si>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</si>
  <si>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</si>
  <si>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</si>
  <si>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</si>
  <si>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</si>
  <si>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</si>
  <si>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</si>
  <si>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</si>
  <si>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</si>
  <si>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</si>
  <si>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</si>
  <si>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</si>
  <si>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</si>
  <si>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</si>
  <si>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</si>
  <si>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</si>
  <si>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</si>
  <si>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</si>
  <si>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</si>
  <si>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</si>
  <si>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</si>
  <si>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</si>
  <si>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</si>
  <si>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</si>
  <si>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</si>
  <si>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</si>
  <si>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</si>
  <si>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</si>
  <si>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</si>
  <si>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</si>
  <si>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</si>
  <si>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</si>
  <si>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</si>
  <si>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</si>
  <si>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</si>
  <si>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</si>
  <si>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</si>
  <si>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</si>
  <si>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</si>
  <si>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</si>
  <si>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</si>
  <si>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</si>
  <si>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</si>
  <si>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</si>
  <si>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</si>
  <si>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</si>
  <si>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</si>
  <si>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</si>
  <si>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</si>
  <si>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</si>
  <si>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</si>
  <si>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</si>
  <si>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</si>
  <si>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</si>
  <si>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</si>
  <si>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</si>
  <si>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</si>
  <si>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</si>
  <si>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</si>
  <si>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</si>
  <si>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</si>
  <si>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</si>
  <si>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</si>
  <si>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</si>
  <si>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</si>
  <si>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</si>
  <si>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</si>
  <si>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</si>
  <si>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</si>
  <si>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</si>
  <si>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</si>
  <si>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</si>
  <si>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</si>
  <si>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</si>
  <si>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</si>
  <si>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</si>
  <si>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</si>
  <si>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</si>
  <si>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</si>
  <si>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</si>
  <si>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</si>
  <si>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</si>
  <si>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</si>
  <si>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</si>
  <si>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</si>
  <si>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</si>
  <si>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</si>
  <si>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</si>
  <si>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</si>
  <si>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</si>
  <si>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</si>
  <si>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</si>
  <si>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</si>
  <si>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</si>
  <si>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</si>
  <si>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</si>
  <si>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</si>
  <si>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</si>
  <si>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</si>
  <si>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</si>
  <si>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</si>
  <si>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</si>
  <si>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</si>
  <si>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</si>
  <si>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</si>
  <si>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</si>
  <si>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</si>
  <si>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</si>
  <si>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</si>
  <si>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</si>
  <si>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</si>
  <si>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</si>
  <si>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</si>
  <si>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</si>
  <si>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</si>
  <si>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</si>
  <si>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</si>
  <si>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</si>
  <si>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</si>
  <si>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</si>
  <si>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</si>
  <si>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</si>
  <si>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</si>
  <si>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</si>
  <si>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</si>
  <si>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</si>
  <si>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</si>
  <si>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</si>
  <si>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</si>
  <si>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</si>
  <si>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</si>
  <si>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</si>
  <si>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</si>
  <si>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</si>
  <si>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</si>
  <si>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</si>
  <si>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</si>
  <si>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</si>
  <si>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</si>
  <si>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</si>
  <si>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</si>
  <si>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</si>
  <si>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</si>
  <si>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</si>
  <si>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</si>
  <si>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</si>
  <si>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</si>
  <si>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</si>
  <si>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</si>
  <si>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</si>
  <si>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</si>
  <si>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</si>
  <si>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</si>
  <si>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</si>
  <si>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</si>
  <si>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</si>
  <si>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</si>
  <si>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</si>
  <si>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</si>
  <si>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</si>
  <si>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</si>
  <si>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</si>
  <si>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</si>
  <si>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</si>
  <si>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</si>
  <si>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</si>
  <si>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</si>
  <si>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</si>
  <si>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</si>
  <si>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</si>
  <si>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</si>
  <si>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</si>
  <si>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</si>
  <si>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</si>
  <si>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</si>
  <si>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</si>
  <si>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</si>
  <si>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</si>
  <si>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</si>
  <si>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</si>
  <si>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</si>
  <si>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</si>
  <si>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</si>
  <si>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</si>
  <si>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</si>
  <si>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</si>
  <si>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</si>
  <si>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</si>
  <si>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</si>
  <si>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</si>
  <si>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</si>
  <si>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</si>
  <si>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</si>
  <si>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</si>
  <si>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</si>
  <si>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</si>
  <si>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</si>
  <si>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</si>
  <si>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</si>
  <si>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</si>
  <si>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</si>
  <si>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</si>
  <si>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</si>
  <si>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</si>
  <si>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</si>
  <si>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</si>
  <si>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</si>
  <si>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</si>
  <si>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</si>
  <si>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</si>
  <si>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</si>
  <si>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</si>
  <si>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</si>
  <si>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</si>
  <si>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</si>
  <si>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</si>
  <si>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</si>
  <si>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</si>
  <si>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</si>
  <si>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</si>
  <si>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</si>
  <si>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</si>
  <si>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</si>
  <si>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</si>
  <si>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</si>
  <si>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</si>
  <si>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</si>
  <si>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</si>
  <si>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</si>
  <si>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</si>
  <si>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</si>
  <si>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</si>
  <si>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</si>
  <si>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</si>
  <si>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</si>
  <si>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</si>
  <si>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</si>
  <si>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</si>
  <si>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</si>
  <si>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</si>
  <si>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</si>
  <si>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</si>
  <si>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</si>
  <si>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</si>
  <si>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</si>
  <si>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</si>
  <si>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</si>
  <si>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</si>
  <si>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</si>
  <si>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</si>
  <si>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</si>
  <si>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</si>
  <si>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</si>
  <si>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</si>
  <si>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</si>
  <si>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</si>
  <si>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</si>
  <si>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</si>
  <si>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</si>
  <si>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</si>
  <si>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</si>
  <si>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</si>
  <si>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</si>
  <si>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</si>
  <si>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</si>
  <si>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</si>
  <si>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</si>
  <si>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</si>
  <si>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</si>
  <si>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</si>
  <si>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</si>
  <si>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</si>
  <si>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</si>
  <si>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</si>
  <si>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</si>
  <si>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</si>
  <si>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</si>
  <si>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</si>
  <si>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</si>
  <si>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</si>
  <si>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</si>
  <si>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</si>
  <si>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</si>
  <si>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</si>
  <si>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</si>
  <si>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</si>
  <si>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</si>
  <si>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</si>
  <si>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</si>
  <si>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</si>
  <si>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</si>
  <si>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</si>
  <si>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</si>
  <si>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</si>
  <si>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</si>
  <si>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</si>
  <si>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</si>
  <si>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</si>
  <si>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</si>
  <si>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</si>
  <si>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</si>
  <si>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</si>
  <si>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</si>
  <si>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</si>
  <si>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</si>
  <si>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</si>
  <si>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</si>
  <si>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</si>
  <si>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</si>
  <si>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</si>
  <si>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</si>
  <si>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</si>
  <si>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</si>
  <si>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</si>
  <si>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</si>
  <si>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</si>
  <si>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</si>
  <si>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</si>
  <si>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</si>
  <si>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</si>
  <si>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</si>
  <si>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</si>
  <si>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</si>
  <si>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</si>
  <si>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</si>
  <si>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</si>
  <si>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</si>
  <si>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</si>
  <si>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</si>
  <si>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</si>
  <si>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</si>
  <si>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</si>
  <si>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</si>
  <si>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</si>
  <si>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</si>
  <si>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</si>
  <si>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</si>
  <si>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</si>
  <si>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</si>
  <si>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</si>
  <si>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</si>
  <si>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</si>
  <si>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</si>
  <si>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</si>
  <si>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</si>
  <si>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</si>
  <si>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</si>
  <si>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</si>
  <si>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</si>
  <si>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</si>
  <si>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</si>
  <si>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</si>
  <si>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</si>
  <si>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</si>
  <si>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</si>
  <si>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</si>
  <si>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</si>
  <si>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</si>
  <si>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</si>
  <si>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</si>
  <si>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</si>
  <si>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</si>
  <si>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</si>
  <si>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</si>
  <si>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</si>
  <si>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</si>
  <si>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</si>
  <si>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</si>
  <si>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</si>
  <si>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</si>
  <si>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</si>
  <si>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</si>
  <si>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</si>
  <si>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</si>
  <si>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</si>
  <si>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</si>
  <si>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</si>
  <si>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</si>
  <si>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</si>
  <si>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</si>
  <si>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</si>
  <si>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</si>
  <si>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</si>
  <si>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</si>
  <si>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</si>
  <si>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</si>
  <si>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</si>
  <si>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</si>
  <si>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</si>
  <si>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</si>
  <si>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</si>
  <si>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</si>
  <si>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</si>
  <si>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</si>
  <si>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</si>
  <si>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</si>
  <si>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</si>
  <si>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</si>
  <si>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</si>
  <si>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</si>
  <si>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</si>
  <si>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</si>
  <si>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</si>
  <si>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</si>
  <si>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</si>
  <si>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</si>
  <si>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</si>
  <si>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</si>
  <si>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</si>
  <si>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</si>
  <si>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</si>
  <si>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</si>
  <si>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</si>
  <si>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</si>
  <si>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</si>
  <si>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</si>
  <si>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</si>
  <si>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</si>
  <si>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</si>
  <si>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</si>
  <si>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</si>
  <si>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</si>
  <si>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</si>
  <si>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</si>
  <si>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</si>
  <si>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</si>
  <si>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</si>
  <si>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</si>
  <si>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</si>
  <si>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</si>
  <si>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</si>
  <si>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</si>
  <si>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</si>
  <si>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</si>
  <si>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</si>
  <si>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</si>
  <si>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</si>
  <si>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</si>
  <si>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</si>
  <si>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</si>
  <si>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</si>
  <si>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</si>
  <si>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</si>
  <si>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</si>
  <si>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</si>
  <si>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</si>
  <si>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</si>
  <si>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</si>
  <si>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</si>
  <si>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</si>
  <si>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</si>
  <si>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</si>
  <si>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</si>
  <si>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</si>
  <si>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</si>
  <si>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</si>
  <si>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</si>
  <si>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</si>
  <si>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</si>
  <si>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</si>
  <si>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</si>
  <si>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</si>
  <si>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</si>
  <si>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</si>
  <si>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</si>
  <si>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</si>
  <si>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</si>
  <si>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</si>
  <si>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</si>
  <si>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</si>
  <si>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</si>
  <si>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</si>
  <si>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</si>
  <si>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</si>
  <si>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</si>
  <si>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</si>
  <si>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</si>
  <si>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</si>
  <si>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</si>
  <si>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</si>
  <si>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</si>
  <si>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</si>
  <si>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</si>
  <si>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</si>
  <si>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</si>
  <si>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</si>
  <si>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</si>
  <si>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</si>
  <si>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</si>
  <si>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</si>
  <si>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</si>
  <si>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</si>
  <si>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</si>
  <si>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</si>
  <si>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</si>
  <si>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</si>
  <si>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</si>
  <si>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</si>
  <si>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</si>
  <si>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</si>
  <si>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</si>
  <si>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</si>
  <si>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</si>
  <si>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</si>
  <si>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</si>
  <si>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</si>
  <si>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</si>
  <si>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</si>
  <si>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</si>
  <si>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</si>
  <si>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</si>
  <si>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</si>
  <si>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</si>
  <si>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</si>
  <si>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</si>
  <si>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</si>
  <si>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</si>
  <si>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</si>
  <si>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</si>
  <si>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</si>
  <si>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</si>
  <si>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</si>
  <si>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</si>
  <si>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</si>
  <si>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</si>
  <si>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</si>
  <si>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</si>
  <si>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</si>
  <si>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</si>
  <si>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</si>
  <si>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</si>
  <si>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</si>
  <si>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</si>
  <si>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</si>
  <si>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</si>
  <si>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</si>
  <si>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</si>
  <si>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</si>
  <si>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</si>
  <si>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</si>
  <si>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</si>
  <si>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</si>
  <si>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</si>
  <si>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</si>
  <si>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</si>
  <si>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</si>
  <si>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</si>
  <si>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</si>
  <si>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</si>
  <si>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</si>
  <si>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</si>
  <si>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</si>
  <si>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</si>
  <si>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</si>
  <si>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</si>
  <si>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</si>
  <si>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</si>
  <si>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</si>
  <si>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</si>
  <si>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</si>
  <si>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</si>
  <si>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</si>
  <si>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</si>
  <si>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</si>
  <si>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</si>
  <si>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</si>
  <si>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</si>
  <si>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</si>
  <si>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</si>
  <si>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</si>
  <si>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</si>
  <si>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</si>
  <si>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</si>
  <si>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</si>
  <si>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</si>
  <si>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</si>
  <si>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</si>
  <si>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</si>
  <si>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</si>
  <si>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</si>
  <si>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</si>
  <si>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</si>
  <si>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</si>
  <si>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</si>
  <si>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</si>
  <si>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</si>
  <si>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</si>
  <si>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</si>
  <si>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</si>
  <si>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</si>
  <si>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</si>
  <si>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</si>
  <si>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</si>
  <si>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</si>
  <si>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</si>
  <si>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</si>
  <si>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</si>
  <si>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</si>
  <si>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</si>
  <si>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</si>
  <si>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</si>
  <si>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</si>
  <si>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</si>
  <si>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</si>
  <si>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</si>
  <si>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</si>
  <si>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</si>
  <si>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</si>
  <si>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</si>
  <si>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</si>
  <si>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</si>
  <si>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</si>
  <si>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</si>
  <si>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</si>
  <si>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</si>
  <si>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</si>
  <si>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</si>
  <si>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</si>
  <si>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</si>
  <si>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</si>
  <si>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</si>
  <si>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</si>
  <si>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</si>
  <si>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</si>
  <si>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</si>
  <si>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</si>
  <si>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</si>
  <si>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</si>
  <si>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</si>
  <si>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</si>
  <si>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</si>
  <si>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</si>
  <si>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</si>
  <si>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</si>
  <si>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</si>
  <si>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</si>
  <si>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</si>
  <si>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</si>
  <si>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</si>
  <si>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</si>
  <si>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</si>
  <si>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</si>
  <si>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</si>
  <si>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</si>
  <si>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</si>
  <si>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</si>
  <si>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</si>
  <si>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</si>
  <si>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</si>
  <si>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</si>
  <si>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</si>
  <si>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</si>
  <si>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</si>
  <si>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</si>
  <si>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</si>
  <si>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</si>
  <si>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</si>
  <si>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</si>
  <si>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</si>
  <si>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</si>
  <si>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</si>
  <si>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</si>
  <si>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</si>
  <si>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</si>
  <si>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</si>
  <si>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</si>
  <si>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</si>
  <si>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</si>
  <si>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</si>
  <si>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</si>
  <si>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</si>
  <si>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</si>
  <si>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</si>
  <si>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</si>
  <si>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</si>
  <si>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</si>
  <si>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</si>
  <si>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</si>
  <si>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</si>
  <si>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</si>
  <si>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</si>
  <si>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</si>
  <si>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</si>
  <si>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</si>
  <si>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</si>
  <si>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</si>
  <si>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</si>
  <si>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</si>
  <si>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</si>
  <si>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</si>
  <si>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</si>
  <si>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</si>
  <si>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</si>
  <si>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</si>
  <si>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</si>
  <si>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</si>
  <si>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</si>
  <si>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</si>
  <si>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</si>
  <si>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</si>
  <si>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</si>
  <si>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</si>
  <si>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</si>
  <si>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</si>
  <si>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</si>
  <si>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</si>
  <si>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</si>
  <si>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</si>
  <si>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</si>
  <si>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</si>
  <si>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</si>
  <si>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</si>
  <si>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</si>
  <si>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</si>
  <si>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</si>
  <si>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</si>
  <si>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</si>
  <si>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</si>
  <si>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</si>
  <si>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</si>
  <si>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</si>
  <si>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</si>
  <si>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</si>
  <si>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</si>
  <si>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</si>
  <si>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</si>
  <si>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</si>
  <si>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</si>
  <si>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</si>
  <si>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</si>
  <si>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</si>
  <si>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</si>
  <si>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</si>
  <si>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</si>
  <si>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</si>
  <si>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</si>
  <si>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</si>
  <si>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</si>
  <si>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</si>
  <si>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</si>
  <si>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</si>
  <si>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</si>
  <si>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</si>
  <si>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</si>
  <si>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</si>
  <si>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</si>
  <si>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</si>
  <si>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</si>
  <si>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</si>
  <si>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</si>
  <si>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</si>
  <si>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</si>
  <si>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</si>
  <si>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</si>
  <si>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</si>
  <si>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</si>
  <si>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</si>
  <si>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</si>
  <si>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</si>
  <si>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</si>
  <si>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</si>
  <si>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</si>
  <si>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</si>
  <si>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</si>
  <si>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</si>
  <si>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</si>
  <si>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</si>
  <si>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</si>
  <si>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</si>
  <si>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</si>
  <si>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</si>
  <si>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</si>
  <si>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</si>
  <si>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</si>
  <si>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</si>
  <si>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</si>
  <si>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</si>
  <si>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</si>
  <si>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</si>
  <si>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</si>
  <si>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</si>
  <si>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</si>
  <si>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</si>
  <si>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</si>
  <si>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</si>
  <si>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</si>
  <si>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</si>
  <si>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</si>
  <si>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</si>
  <si>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</si>
  <si>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</si>
  <si>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</si>
  <si>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</si>
  <si>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</si>
  <si>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</si>
  <si>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</si>
  <si>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</si>
  <si>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</si>
  <si>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</si>
  <si>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</si>
  <si>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</si>
  <si>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</si>
  <si>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</si>
  <si>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</si>
  <si>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</si>
  <si>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</si>
  <si>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</si>
  <si>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</si>
  <si>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</si>
  <si>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</si>
  <si>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</si>
  <si>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</si>
  <si>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</si>
  <si>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</si>
  <si>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</si>
  <si>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</si>
  <si>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</si>
  <si>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</si>
  <si>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</si>
  <si>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</si>
  <si>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</si>
  <si>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</si>
  <si>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</si>
  <si>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</si>
  <si>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</si>
  <si>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</si>
  <si>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</si>
  <si>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</si>
  <si>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</si>
  <si>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</si>
  <si>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</si>
  <si>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</si>
  <si>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</si>
  <si>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</si>
  <si>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</si>
  <si>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</si>
  <si>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</si>
  <si>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</si>
  <si>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</si>
  <si>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</si>
  <si>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</si>
  <si>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</si>
  <si>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</si>
  <si>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</si>
  <si>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</si>
  <si>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</si>
  <si>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</si>
  <si>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</si>
  <si>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</si>
  <si>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</si>
  <si>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</si>
  <si>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</si>
  <si>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</si>
  <si>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</si>
  <si>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</si>
  <si>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</si>
  <si>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</si>
  <si>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</si>
  <si>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</si>
  <si>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</si>
  <si>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</si>
  <si>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</si>
  <si>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</si>
  <si>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</si>
  <si>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</si>
  <si>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</si>
  <si>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</si>
  <si>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</si>
  <si>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</si>
  <si>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</si>
  <si>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</si>
  <si>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</si>
  <si>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</si>
  <si>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</si>
  <si>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</si>
  <si>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</si>
  <si>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</si>
  <si>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</si>
  <si>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</si>
  <si>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</si>
  <si>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</si>
  <si>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</si>
  <si>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</si>
  <si>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</si>
  <si>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</si>
  <si>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</si>
  <si>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</si>
  <si>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</si>
  <si>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</si>
  <si>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</si>
  <si>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</si>
  <si>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</si>
  <si>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</si>
  <si>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</si>
  <si>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</si>
  <si>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</si>
  <si>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</si>
  <si>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</si>
  <si>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</si>
  <si>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</si>
  <si>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</si>
  <si>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</si>
  <si>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</si>
  <si>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</si>
  <si>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</si>
  <si>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</si>
  <si>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</si>
  <si>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</si>
  <si>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</si>
  <si>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</si>
  <si>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</si>
  <si>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</si>
  <si>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</si>
  <si>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</si>
  <si>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</si>
  <si>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</si>
  <si>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</si>
  <si>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</si>
  <si>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</si>
  <si>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</si>
  <si>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</si>
  <si>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</si>
  <si>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</si>
  <si>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</si>
  <si>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</si>
  <si>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</si>
  <si>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</si>
  <si>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</si>
  <si>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</si>
  <si>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</si>
  <si>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</si>
  <si>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</si>
  <si>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</si>
  <si>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</si>
  <si>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</si>
  <si>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</si>
  <si>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</si>
  <si>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</si>
  <si>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</si>
  <si>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</si>
  <si>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</si>
  <si>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</si>
  <si>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</si>
  <si>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</si>
  <si>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</si>
  <si>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</si>
  <si>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</si>
  <si>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</si>
  <si>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</si>
  <si>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</si>
  <si>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</si>
  <si>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</si>
  <si>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</si>
  <si>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</si>
  <si>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</si>
  <si>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</si>
  <si>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</si>
  <si>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</si>
  <si>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</si>
  <si>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</si>
  <si>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</si>
  <si>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</si>
  <si>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</si>
  <si>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</si>
  <si>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</si>
  <si>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</si>
  <si>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</si>
  <si>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</si>
  <si>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</si>
  <si>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</si>
  <si>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</si>
  <si>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</si>
  <si>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</si>
  <si>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</si>
  <si>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</si>
  <si>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</si>
  <si>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</si>
  <si>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</si>
  <si>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</si>
  <si>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</si>
  <si>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</si>
  <si>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</si>
  <si>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</si>
  <si>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</si>
  <si>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</si>
  <si>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</si>
  <si>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</si>
  <si>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</si>
  <si>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</si>
  <si>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</si>
  <si>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</si>
  <si>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</si>
  <si>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</si>
  <si>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</si>
  <si>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</si>
  <si>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</si>
  <si>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</si>
  <si>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</si>
  <si>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</si>
  <si>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</si>
  <si>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</si>
  <si>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</si>
  <si>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</si>
  <si>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</si>
  <si>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</si>
  <si>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</si>
  <si>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</si>
  <si>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</si>
  <si>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</si>
  <si>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</si>
  <si>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</si>
  <si>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</si>
  <si>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</si>
  <si>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</si>
  <si>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</si>
  <si>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</si>
  <si>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</si>
  <si>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</si>
  <si>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</si>
  <si>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</si>
  <si>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</si>
  <si>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</si>
  <si>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</si>
  <si>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</si>
  <si>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</si>
  <si>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</si>
  <si>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</si>
  <si>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</si>
  <si>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</si>
  <si>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</si>
  <si>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</si>
  <si>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</si>
  <si>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</si>
  <si>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</si>
  <si>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</si>
  <si>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</si>
  <si>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</si>
  <si>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</si>
  <si>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</si>
  <si>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</si>
  <si>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</si>
  <si>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</si>
  <si>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</si>
  <si>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</si>
  <si>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</si>
  <si>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</si>
  <si>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</si>
  <si>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</si>
  <si>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</si>
  <si>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</si>
  <si>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</si>
  <si>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</si>
  <si>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</si>
  <si>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</si>
  <si>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</si>
  <si>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</si>
  <si>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</si>
  <si>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</si>
  <si>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</si>
  <si>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</si>
  <si>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</si>
  <si>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</si>
  <si>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</si>
  <si>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</si>
  <si>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</si>
  <si>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</si>
  <si>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</si>
  <si>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</si>
  <si>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</si>
  <si>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</si>
  <si>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</si>
  <si>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</si>
  <si>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</si>
  <si>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</si>
  <si>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</si>
  <si>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</si>
  <si>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</si>
  <si>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</si>
  <si>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</si>
  <si>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</si>
  <si>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</si>
  <si>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</si>
  <si>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</si>
  <si>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</si>
  <si>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</si>
  <si>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</si>
  <si>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</si>
  <si>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</si>
  <si>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</si>
  <si>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</si>
  <si>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</si>
  <si>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</si>
  <si>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</si>
  <si>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</si>
  <si>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</si>
  <si>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</si>
  <si>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</si>
  <si>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</si>
  <si>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</si>
  <si>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</si>
  <si>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</si>
  <si>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</si>
  <si>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</si>
  <si>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</si>
  <si>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</si>
  <si>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</si>
  <si>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</si>
  <si>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</si>
  <si>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</si>
  <si>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</si>
  <si>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</si>
  <si>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</si>
  <si>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</si>
  <si>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</si>
  <si>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</si>
  <si>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</si>
  <si>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</si>
  <si>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</si>
  <si>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</si>
  <si>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</si>
  <si>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</si>
  <si>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</si>
  <si>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</si>
  <si>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</si>
  <si>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</si>
  <si>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</si>
  <si>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</si>
  <si>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</si>
  <si>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</si>
  <si>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</si>
  <si>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</si>
  <si>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</si>
  <si>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</si>
  <si>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</si>
  <si>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</si>
  <si>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</si>
  <si>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</si>
  <si>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</si>
  <si>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</si>
  <si>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</si>
  <si>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</si>
  <si>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</si>
  <si>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</si>
  <si>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</si>
  <si>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</si>
  <si>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</si>
  <si>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</si>
  <si>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</si>
  <si>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</si>
  <si>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</si>
  <si>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</si>
  <si>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</si>
  <si>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</si>
  <si>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</si>
  <si>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</si>
  <si>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</si>
  <si>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</si>
  <si>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</si>
  <si>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</si>
  <si>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</si>
  <si>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</si>
  <si>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</si>
  <si>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</si>
  <si>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</si>
  <si>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</si>
  <si>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</si>
  <si>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</si>
  <si>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</si>
  <si>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</si>
  <si>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</si>
  <si>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</si>
  <si>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</si>
  <si>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</si>
  <si>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</si>
  <si>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</si>
  <si>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</si>
  <si>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</si>
  <si>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</si>
  <si>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</si>
  <si>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</si>
  <si>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</si>
  <si>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</si>
  <si>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</si>
  <si>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</si>
  <si>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</si>
  <si>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</si>
  <si>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</si>
  <si>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</si>
  <si>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</si>
  <si>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</si>
  <si>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</si>
  <si>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</si>
  <si>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</si>
  <si>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</si>
  <si>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</si>
  <si>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</si>
  <si>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</si>
  <si>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</si>
  <si>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</si>
  <si>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</si>
  <si>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</si>
  <si>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</si>
  <si>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</si>
  <si>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</si>
  <si>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</si>
  <si>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</si>
  <si>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</si>
  <si>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</si>
  <si>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</si>
  <si>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</si>
  <si>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</si>
  <si>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</si>
  <si>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</si>
  <si>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</si>
  <si>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</si>
  <si>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</si>
  <si>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</si>
  <si>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</si>
  <si>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</si>
  <si>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</si>
  <si>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</si>
  <si>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</si>
  <si>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</si>
  <si>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</si>
  <si>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</si>
  <si>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</si>
  <si>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</si>
  <si>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</si>
  <si>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</si>
  <si>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</si>
  <si>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</si>
  <si>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</si>
  <si>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</si>
  <si>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</si>
  <si>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</si>
  <si>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</si>
  <si>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</si>
  <si>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</si>
  <si>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</si>
  <si>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</si>
  <si>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</si>
  <si>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</si>
  <si>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</si>
  <si>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</si>
  <si>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</si>
  <si>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</si>
  <si>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</si>
  <si>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</si>
  <si>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</si>
  <si>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</si>
  <si>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</si>
  <si>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</si>
  <si>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</si>
  <si>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</si>
  <si>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</si>
  <si>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</si>
  <si>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</si>
  <si>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</si>
  <si>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</si>
  <si>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</si>
  <si>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</si>
  <si>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</si>
  <si>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</si>
  <si>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</si>
  <si>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</si>
  <si>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</si>
  <si>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</si>
  <si>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</si>
  <si>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</si>
  <si>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</si>
  <si>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</si>
  <si>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</si>
  <si>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</si>
  <si>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</si>
  <si>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</si>
  <si>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</si>
  <si>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</si>
  <si>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</si>
  <si>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</si>
  <si>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</si>
  <si>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</si>
  <si>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</si>
  <si>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</si>
  <si>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</si>
  <si>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</si>
  <si>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</si>
  <si>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</si>
  <si>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</si>
  <si>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</si>
  <si>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</si>
  <si>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</si>
  <si>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</si>
  <si>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</si>
  <si>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</si>
  <si>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</si>
  <si>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</si>
  <si>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</si>
  <si>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</si>
  <si>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</si>
  <si>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</si>
  <si>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</si>
  <si>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</si>
  <si>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</si>
  <si>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</si>
  <si>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</si>
  <si>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</si>
  <si>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</si>
  <si>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</si>
  <si>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</si>
  <si>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</si>
  <si>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</si>
  <si>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</si>
  <si>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</si>
  <si>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</si>
  <si>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</si>
  <si>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</si>
  <si>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</si>
  <si>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</si>
  <si>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</si>
  <si>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</si>
  <si>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</si>
  <si>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</si>
  <si>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</si>
  <si>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</si>
  <si>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</si>
  <si>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</si>
  <si>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</si>
  <si>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</si>
  <si>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</si>
  <si>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</si>
  <si>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</si>
  <si>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</si>
  <si>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</si>
  <si>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</si>
  <si>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</si>
  <si>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</si>
  <si>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</si>
  <si>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</si>
  <si>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</si>
  <si>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</si>
  <si>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</si>
  <si>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</si>
  <si>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</si>
  <si>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</si>
  <si>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</si>
  <si>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</si>
  <si>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</si>
  <si>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</si>
  <si>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</si>
  <si>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</si>
  <si>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</si>
  <si>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</si>
  <si>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</si>
  <si>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</si>
  <si>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</si>
  <si>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</si>
  <si>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</si>
  <si>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</si>
  <si>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</si>
  <si>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</si>
  <si>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</si>
  <si>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</si>
  <si>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</si>
  <si>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</si>
  <si>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</si>
  <si>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</si>
  <si>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</si>
  <si>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</si>
  <si>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</si>
  <si>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</si>
  <si>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</si>
  <si>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</si>
  <si>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</si>
  <si>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</si>
  <si>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</si>
  <si>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</si>
  <si>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</si>
  <si>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</si>
  <si>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</si>
  <si>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</si>
  <si>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</si>
  <si>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</si>
  <si>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</si>
  <si>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</si>
  <si>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</si>
  <si>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</si>
  <si>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</si>
  <si>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</si>
  <si>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</si>
  <si>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</si>
  <si>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</si>
  <si>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</si>
  <si>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</si>
  <si>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</si>
  <si>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</si>
  <si>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</si>
  <si>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</si>
  <si>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</si>
  <si>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</si>
  <si>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</si>
  <si>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</si>
  <si>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</si>
  <si>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</si>
  <si>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</si>
  <si>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</si>
  <si>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</si>
  <si>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</si>
  <si>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</si>
  <si>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</si>
  <si>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</si>
  <si>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</si>
  <si>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</si>
  <si>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</si>
  <si>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</si>
  <si>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</si>
  <si>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</si>
  <si>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</si>
  <si>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</si>
  <si>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</si>
  <si>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</si>
  <si>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</si>
  <si>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</si>
  <si>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</si>
  <si>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</si>
  <si>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</si>
  <si>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</si>
  <si>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</si>
  <si>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</si>
  <si>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</si>
  <si>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</si>
  <si>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</si>
  <si>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</si>
  <si>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</si>
  <si>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</si>
  <si>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</si>
  <si>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</si>
  <si>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</si>
  <si>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</si>
  <si>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</si>
  <si>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</si>
  <si>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</si>
  <si>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</si>
  <si>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</si>
  <si>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</si>
  <si>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</si>
  <si>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</si>
  <si>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</si>
  <si>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</si>
  <si>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</si>
  <si>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</si>
  <si>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</si>
  <si>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</si>
  <si>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</si>
  <si>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</si>
  <si>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</si>
  <si>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</si>
  <si>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</si>
  <si>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</si>
  <si>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</si>
  <si>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</si>
  <si>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</si>
  <si>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</si>
  <si>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</si>
  <si>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</si>
  <si>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</si>
  <si>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</si>
  <si>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</si>
  <si>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</si>
  <si>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</si>
  <si>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</si>
  <si>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</si>
  <si>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</si>
  <si>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</si>
  <si>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</si>
  <si>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</si>
  <si>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</si>
  <si>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</si>
  <si>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</si>
  <si>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</si>
  <si>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</si>
  <si>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</si>
  <si>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</si>
  <si>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</si>
  <si>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</si>
  <si>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</si>
  <si>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</si>
  <si>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</si>
  <si>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</si>
  <si>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</si>
  <si>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</si>
  <si>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</si>
  <si>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</si>
  <si>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</si>
  <si>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</si>
  <si>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</si>
  <si>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</si>
  <si>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</si>
  <si>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</si>
  <si>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</si>
  <si>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</si>
  <si>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</si>
  <si>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</si>
  <si>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</si>
  <si>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</si>
  <si>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</si>
  <si>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</si>
  <si>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</si>
  <si>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</si>
  <si>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</si>
  <si>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</si>
  <si>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</si>
  <si>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</si>
  <si>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</si>
  <si>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</si>
  <si>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</si>
  <si>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</si>
  <si>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</si>
  <si>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</si>
  <si>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</si>
  <si>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</si>
  <si>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</si>
  <si>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</si>
  <si>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</si>
  <si>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</si>
  <si>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</si>
  <si>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</si>
  <si>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</si>
  <si>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</si>
  <si>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</si>
  <si>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</si>
  <si>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</si>
  <si>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</si>
  <si>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</si>
  <si>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</si>
  <si>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</si>
  <si>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</si>
  <si>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</si>
  <si>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</si>
  <si>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</si>
  <si>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</si>
  <si>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</si>
  <si>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</si>
  <si>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</si>
  <si>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</si>
  <si>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</si>
  <si>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</si>
  <si>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</si>
  <si>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</si>
  <si>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</si>
  <si>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</si>
  <si>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</si>
  <si>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</si>
  <si>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</si>
  <si>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</si>
  <si>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</si>
  <si>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</si>
  <si>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</si>
  <si>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</si>
  <si>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</si>
  <si>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</si>
  <si>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</si>
  <si>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</si>
  <si>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</si>
  <si>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</si>
  <si>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</si>
  <si>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</si>
  <si>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</si>
  <si>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</si>
  <si>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</si>
  <si>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</si>
  <si>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</si>
  <si>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</si>
  <si>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</si>
  <si>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</si>
  <si>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</si>
  <si>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</si>
  <si>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</si>
  <si>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</si>
  <si>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</si>
  <si>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</si>
  <si>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</si>
  <si>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</si>
  <si>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</si>
  <si>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</si>
  <si>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</si>
  <si>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</si>
  <si>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</si>
  <si>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</si>
  <si>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</si>
  <si>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</si>
  <si>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</si>
  <si>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</si>
  <si>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</si>
  <si>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</si>
  <si>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</si>
  <si>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</si>
  <si>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</si>
  <si>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</si>
  <si>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</si>
  <si>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</si>
  <si>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</si>
  <si>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</si>
  <si>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</si>
  <si>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</si>
  <si>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</si>
  <si>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</si>
  <si>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</si>
  <si>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</si>
  <si>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</si>
  <si>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</si>
  <si>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</si>
  <si>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</si>
  <si>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</si>
  <si>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</si>
  <si>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</si>
  <si>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</si>
  <si>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</si>
  <si>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</si>
  <si>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</si>
  <si>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</si>
  <si>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</si>
  <si>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</si>
  <si>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</si>
  <si>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</si>
  <si>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</si>
  <si>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</si>
  <si>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</si>
  <si>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</si>
  <si>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</si>
  <si>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</si>
  <si>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</si>
  <si>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</si>
  <si>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</si>
  <si>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</si>
  <si>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</si>
  <si>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</si>
  <si>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</si>
  <si>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</si>
  <si>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</si>
  <si>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</si>
  <si>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</si>
  <si>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</si>
  <si>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</si>
  <si>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</si>
  <si>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</si>
  <si>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</si>
  <si>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</si>
  <si>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</si>
  <si>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</si>
  <si>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</si>
  <si>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</si>
  <si>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</si>
  <si>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</si>
  <si>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</si>
  <si>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</si>
  <si>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</si>
  <si>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</si>
  <si>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</si>
  <si>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</si>
  <si>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</si>
  <si>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</si>
  <si>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</si>
  <si>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</si>
  <si>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</si>
  <si>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</si>
  <si>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</si>
  <si>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</si>
  <si>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</si>
  <si>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</si>
  <si>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</si>
  <si>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</si>
  <si>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</si>
  <si>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</si>
  <si>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</si>
  <si>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</si>
  <si>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</si>
  <si>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</si>
  <si>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</si>
  <si>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</si>
  <si>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</si>
  <si>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</si>
  <si>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</si>
  <si>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</si>
  <si>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</si>
  <si>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</si>
  <si>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</si>
  <si>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</si>
  <si>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</si>
  <si>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</si>
  <si>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</si>
  <si>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</si>
  <si>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</si>
  <si>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</si>
  <si>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</si>
  <si>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</si>
  <si>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</si>
  <si>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</si>
  <si>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</si>
  <si>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</si>
  <si>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</si>
  <si>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</si>
  <si>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</si>
  <si>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</si>
  <si>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</si>
  <si>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</si>
  <si>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</si>
  <si>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</si>
  <si>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</si>
  <si>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</si>
  <si>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</si>
  <si>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</si>
  <si>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</si>
  <si>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</si>
  <si>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</si>
  <si>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</si>
  <si>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</si>
  <si>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</si>
  <si>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</si>
  <si>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</si>
  <si>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</si>
  <si>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</si>
  <si>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</si>
  <si>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</si>
  <si>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</si>
  <si>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</si>
  <si>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</si>
  <si>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</si>
  <si>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</si>
  <si>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</si>
  <si>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</si>
  <si>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</si>
  <si>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</si>
  <si>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</si>
  <si>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</si>
  <si>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</si>
  <si>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</si>
  <si>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</si>
  <si>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</si>
  <si>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</si>
  <si>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</si>
  <si>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</si>
  <si>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</si>
  <si>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</si>
  <si>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</si>
  <si>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</si>
  <si>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</si>
  <si>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</si>
  <si>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</si>
  <si>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</si>
  <si>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</si>
  <si>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</si>
  <si>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</si>
  <si>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</si>
  <si>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</si>
  <si>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</si>
  <si>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</si>
  <si>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</si>
  <si>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</si>
  <si>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</si>
  <si>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</si>
  <si>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</si>
  <si>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</si>
  <si>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</si>
  <si>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</si>
  <si>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</si>
  <si>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</si>
  <si>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</si>
  <si>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</si>
  <si>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</si>
  <si>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</si>
  <si>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</si>
  <si>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</si>
  <si>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</si>
  <si>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</si>
  <si>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</si>
  <si>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</si>
  <si>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</si>
  <si>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</si>
  <si>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</si>
  <si>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</si>
  <si>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</si>
  <si>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</si>
  <si>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</si>
  <si>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</si>
  <si>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</si>
  <si>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</si>
  <si>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</si>
  <si>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</si>
  <si>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</si>
  <si>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</si>
  <si>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</si>
  <si>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</si>
  <si>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</si>
  <si>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</si>
  <si>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</si>
  <si>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</si>
  <si>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</si>
  <si>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</si>
  <si>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</si>
  <si>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</si>
  <si>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</si>
  <si>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</si>
  <si>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</si>
  <si>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</si>
  <si>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</si>
  <si>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</si>
  <si>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</si>
  <si>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</si>
  <si>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</si>
  <si>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</si>
  <si>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</si>
  <si>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</si>
  <si>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</si>
  <si>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</si>
  <si>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</si>
  <si>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</si>
  <si>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</si>
  <si>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</si>
  <si>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</si>
  <si>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</si>
  <si>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</si>
  <si>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</si>
  <si>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</si>
  <si>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</si>
  <si>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</si>
  <si>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</si>
  <si>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</si>
  <si>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</si>
  <si>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</si>
  <si>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</si>
  <si>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</si>
  <si>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</si>
  <si>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</si>
  <si>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</si>
  <si>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</si>
  <si>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</si>
  <si>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</si>
  <si>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</si>
  <si>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</si>
  <si>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</si>
  <si>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</si>
  <si>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</si>
  <si>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</si>
  <si>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</si>
  <si>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</si>
  <si>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</si>
  <si>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</si>
  <si>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</si>
  <si>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</si>
  <si>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</si>
  <si>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</si>
  <si>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</si>
  <si>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</si>
  <si>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</si>
  <si>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</si>
  <si>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</si>
  <si>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</si>
  <si>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</si>
  <si>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</si>
  <si>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</si>
  <si>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</si>
  <si>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</si>
  <si>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</si>
  <si>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</si>
  <si>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</si>
  <si>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</si>
  <si>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</si>
  <si>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</si>
  <si>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</si>
  <si>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</si>
  <si>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</si>
  <si>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</si>
  <si>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</si>
  <si>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</si>
  <si>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</si>
  <si>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</si>
  <si>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</si>
  <si>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</si>
  <si>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</si>
  <si>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</si>
  <si>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</si>
  <si>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</si>
  <si>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</si>
  <si>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</si>
  <si>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</si>
  <si>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</si>
  <si>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</si>
  <si>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</si>
  <si>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</si>
  <si>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</si>
  <si>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</si>
  <si>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</si>
  <si>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</si>
  <si>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</si>
  <si>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</si>
  <si>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</si>
  <si>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</si>
  <si>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</si>
  <si>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</si>
  <si>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</si>
  <si>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</si>
  <si>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</si>
  <si>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</si>
  <si>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</si>
  <si>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</si>
  <si>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</si>
  <si>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</si>
  <si>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</si>
  <si>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</si>
  <si>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</si>
  <si>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</si>
  <si>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</si>
  <si>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</si>
  <si>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</si>
  <si>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</si>
  <si>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</si>
  <si>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</si>
  <si>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</si>
  <si>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</si>
  <si>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</si>
  <si>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</si>
  <si>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</si>
  <si>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</si>
  <si>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</si>
  <si>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</si>
  <si>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</si>
  <si>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</si>
  <si>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</si>
  <si>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</si>
  <si>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</si>
  <si>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</si>
  <si>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</si>
  <si>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</si>
  <si>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</si>
  <si>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</si>
  <si>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</si>
  <si>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</si>
  <si>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</si>
  <si>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</si>
  <si>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</si>
  <si>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</si>
  <si>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</si>
  <si>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</si>
  <si>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</si>
  <si>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</si>
  <si>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</si>
  <si>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</si>
  <si>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</si>
  <si>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</si>
  <si>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</si>
  <si>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</si>
  <si>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</si>
  <si>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</si>
  <si>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</si>
  <si>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</si>
  <si>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</si>
  <si>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</si>
  <si>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</si>
  <si>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</si>
  <si>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</si>
  <si>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</si>
  <si>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</si>
  <si>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</si>
  <si>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</si>
  <si>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</si>
  <si>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</si>
  <si>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</si>
  <si>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</si>
  <si>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</si>
  <si>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</si>
  <si>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</si>
  <si>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</si>
  <si>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</si>
  <si>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</si>
  <si>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</si>
  <si>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</si>
  <si>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</si>
  <si>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</si>
  <si>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</si>
  <si>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</si>
  <si>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</si>
  <si>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</si>
  <si>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</si>
  <si>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</si>
  <si>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</si>
  <si>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</si>
  <si>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</si>
  <si>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</si>
  <si>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</si>
  <si>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</si>
  <si>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</si>
  <si>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</si>
  <si>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</si>
  <si>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</si>
  <si>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</si>
  <si>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</si>
  <si>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</si>
  <si>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</si>
  <si>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</si>
  <si>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</si>
  <si>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</si>
  <si>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</si>
  <si>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</si>
  <si>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</si>
  <si>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</si>
  <si>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</si>
  <si>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</si>
  <si>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</si>
  <si>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</si>
  <si>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</si>
  <si>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</si>
  <si>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</si>
  <si>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</si>
  <si>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</si>
  <si>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</si>
  <si>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</si>
  <si>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</si>
  <si>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</si>
  <si>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</si>
  <si>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</si>
  <si>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</si>
  <si>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</si>
  <si>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</si>
  <si>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</si>
  <si>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</si>
  <si>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</si>
  <si>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</si>
  <si>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</si>
  <si>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</si>
  <si>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</si>
  <si>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</si>
  <si>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</si>
  <si>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</si>
  <si>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</si>
  <si>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</si>
  <si>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</si>
  <si>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</si>
  <si>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</si>
  <si>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</si>
  <si>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</si>
  <si>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</si>
  <si>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</si>
  <si>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</si>
  <si>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</si>
  <si>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</si>
  <si>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</si>
  <si>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</si>
  <si>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</si>
  <si>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</si>
  <si>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</si>
  <si>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</si>
  <si>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</si>
  <si>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</si>
  <si>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</si>
  <si>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</si>
  <si>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</si>
  <si>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</si>
  <si>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</si>
  <si>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</si>
  <si>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</si>
  <si>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</si>
  <si>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</si>
  <si>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</si>
  <si>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</si>
  <si>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</si>
  <si>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</si>
  <si>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</si>
  <si>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</si>
  <si>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</si>
  <si>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</si>
  <si>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</si>
  <si>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</si>
  <si>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</si>
  <si>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</si>
  <si>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</si>
  <si>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</si>
  <si>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</si>
  <si>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</si>
  <si>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</si>
  <si>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</si>
  <si>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</si>
  <si>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</si>
  <si>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</si>
  <si>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</si>
  <si>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</si>
  <si>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</si>
  <si>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</si>
  <si>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</si>
  <si>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</si>
  <si>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</si>
  <si>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</si>
  <si>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</si>
  <si>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</si>
  <si>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</si>
  <si>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</si>
  <si>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</si>
  <si>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</si>
  <si>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</si>
  <si>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</si>
  <si>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</si>
  <si>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</si>
  <si>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</si>
  <si>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</si>
  <si>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</si>
  <si>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</si>
  <si>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</si>
  <si>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</si>
  <si>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</si>
  <si>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</si>
  <si>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</si>
  <si>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</si>
  <si>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</si>
  <si>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</si>
  <si>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</si>
  <si>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</si>
  <si>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</si>
  <si>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</si>
  <si>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</si>
  <si>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</si>
  <si>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</si>
  <si>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</si>
  <si>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</si>
  <si>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</si>
  <si>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</si>
  <si>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</si>
  <si>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</si>
  <si>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</si>
  <si>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</si>
  <si>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</si>
  <si>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</si>
  <si>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</si>
  <si>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</si>
  <si>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</si>
  <si>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</si>
  <si>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</si>
  <si>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</si>
  <si>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</si>
  <si>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</si>
  <si>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</si>
  <si>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</si>
  <si>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</si>
  <si>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</si>
  <si>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</si>
  <si>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</si>
  <si>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</si>
  <si>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</si>
  <si>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</si>
  <si>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</si>
  <si>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</si>
  <si>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</si>
  <si>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</si>
  <si>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</si>
  <si>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</si>
  <si>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</si>
  <si>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</si>
  <si>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</si>
  <si>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</si>
  <si>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</si>
  <si>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</si>
  <si>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</si>
  <si>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</si>
  <si>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</si>
  <si>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</si>
  <si>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</si>
  <si>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</si>
  <si>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</si>
  <si>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</si>
  <si>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</si>
  <si>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</si>
  <si>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</si>
  <si>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</si>
  <si>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</si>
  <si>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</si>
  <si>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</si>
  <si>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</si>
  <si>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</si>
  <si>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</si>
  <si>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</si>
  <si>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</si>
  <si>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</si>
  <si>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</si>
  <si>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</si>
  <si>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</si>
  <si>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</si>
  <si>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</si>
  <si>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</si>
  <si>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</si>
  <si>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</si>
  <si>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</si>
  <si>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</si>
  <si>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</si>
  <si>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</si>
  <si>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</si>
  <si>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</si>
  <si>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</si>
  <si>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</si>
  <si>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</si>
  <si>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</si>
  <si>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</si>
  <si>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</si>
  <si>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</si>
  <si>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</si>
  <si>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</si>
  <si>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</si>
  <si>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</si>
  <si>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</si>
  <si>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</si>
  <si>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</si>
  <si>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</si>
  <si>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</si>
  <si>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</si>
  <si>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</si>
  <si>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</si>
  <si>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</si>
  <si>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</si>
  <si>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</si>
  <si>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</si>
  <si>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</si>
  <si>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</si>
  <si>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</si>
  <si>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</si>
  <si>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</si>
  <si>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</si>
  <si>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</si>
  <si>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</si>
  <si>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</si>
  <si>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</si>
  <si>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</si>
  <si>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</si>
  <si>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</si>
  <si>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</si>
  <si>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</si>
  <si>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</si>
  <si>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</si>
  <si>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</si>
  <si>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</si>
  <si>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</si>
  <si>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</si>
  <si>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</si>
  <si>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</si>
  <si>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</si>
  <si>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</si>
  <si>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</si>
  <si>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</si>
  <si>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</si>
  <si>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</si>
  <si>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</si>
  <si>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</si>
  <si>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</si>
  <si>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</si>
  <si>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</si>
  <si>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</si>
  <si>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</si>
  <si>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</si>
  <si>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</si>
  <si>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</si>
  <si>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</si>
  <si>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</si>
  <si>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</si>
  <si>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</si>
  <si>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</si>
  <si>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</si>
  <si>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</si>
  <si>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</si>
  <si>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</si>
  <si>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</si>
  <si>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</si>
  <si>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</si>
  <si>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</si>
  <si>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</si>
  <si>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</si>
  <si>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</si>
  <si>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</si>
  <si>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</si>
  <si>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</si>
  <si>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</si>
  <si>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</si>
  <si>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</si>
  <si>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</si>
  <si>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</si>
  <si>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</si>
  <si>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</si>
  <si>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</si>
  <si>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</si>
  <si>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</si>
  <si>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</si>
  <si>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</si>
  <si>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</si>
  <si>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</si>
  <si>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</si>
  <si>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</si>
  <si>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</si>
  <si>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</si>
  <si>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</si>
  <si>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</si>
  <si>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</si>
  <si>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</si>
  <si>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</si>
  <si>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</si>
  <si>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</si>
  <si>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</si>
  <si>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</si>
  <si>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</si>
  <si>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</si>
  <si>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</si>
  <si>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</si>
  <si>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</si>
  <si>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</si>
  <si>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</si>
  <si>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</si>
  <si>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</si>
  <si>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</si>
  <si>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</si>
  <si>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</si>
  <si>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</si>
  <si>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</si>
  <si>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</si>
  <si>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</si>
  <si>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</si>
  <si>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</si>
  <si>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</si>
  <si>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</si>
  <si>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</si>
  <si>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</si>
  <si>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</si>
  <si>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</si>
  <si>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</si>
  <si>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</si>
  <si>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</si>
  <si>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</si>
  <si>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</si>
  <si>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</si>
  <si>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</si>
  <si>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</si>
  <si>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</si>
  <si>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</si>
  <si>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</si>
  <si>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</si>
  <si>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</si>
  <si>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</si>
  <si>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</si>
  <si>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</si>
  <si>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</si>
  <si>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</si>
  <si>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</si>
  <si>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</si>
  <si>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</si>
  <si>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</si>
  <si>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</si>
  <si>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</si>
  <si>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</si>
  <si>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</si>
  <si>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</si>
  <si>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</si>
  <si>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</si>
  <si>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</si>
  <si>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</si>
  <si>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</si>
  <si>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</si>
  <si>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</si>
  <si>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</si>
  <si>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</si>
  <si>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</si>
  <si>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</si>
  <si>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</si>
  <si>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</si>
  <si>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</si>
  <si>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</si>
  <si>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</si>
  <si>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</si>
  <si>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</si>
  <si>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</si>
  <si>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</si>
  <si>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</si>
  <si>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</si>
  <si>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</si>
  <si>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</si>
  <si>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</si>
  <si>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</si>
  <si>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</si>
  <si>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</si>
  <si>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</si>
  <si>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</si>
  <si>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</si>
  <si>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</si>
  <si>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</si>
  <si>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</si>
  <si>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</si>
  <si>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</si>
  <si>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</si>
  <si>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</si>
  <si>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</si>
  <si>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</si>
  <si>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</si>
  <si>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</si>
  <si>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</si>
  <si>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</si>
  <si>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</si>
  <si>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</si>
  <si>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</si>
  <si>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</si>
  <si>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</si>
  <si>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</si>
  <si>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</si>
  <si>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</si>
  <si>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</si>
  <si>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</si>
  <si>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</si>
  <si>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</si>
  <si>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</si>
  <si>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</si>
  <si>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</si>
  <si>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</si>
  <si>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</si>
  <si>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</si>
  <si>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</si>
  <si>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</si>
  <si>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</si>
  <si>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</si>
  <si>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</si>
  <si>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</si>
  <si>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</si>
  <si>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</si>
  <si>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</si>
  <si>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</si>
  <si>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</si>
  <si>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</si>
  <si>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</si>
  <si>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</si>
  <si>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</si>
  <si>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</si>
  <si>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</si>
  <si>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</si>
  <si>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</si>
  <si>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</si>
  <si>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</si>
  <si>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</si>
  <si>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</si>
  <si>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</si>
  <si>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</si>
  <si>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</si>
  <si>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</si>
  <si>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</si>
  <si>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</si>
  <si>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</si>
  <si>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</si>
  <si>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</si>
  <si>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</si>
  <si>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</si>
  <si>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</si>
  <si>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</si>
  <si>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</si>
  <si>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</si>
  <si>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</si>
  <si>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</si>
  <si>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</si>
  <si>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</si>
  <si>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</si>
  <si>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</si>
  <si>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</si>
  <si>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</si>
  <si>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</si>
  <si>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</si>
  <si>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</si>
  <si>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</si>
  <si>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</si>
  <si>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</si>
  <si>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</si>
  <si>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</si>
  <si>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</si>
  <si>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</si>
  <si>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</si>
  <si>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</si>
  <si>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</si>
  <si>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</si>
  <si>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</si>
  <si>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</si>
  <si>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</si>
  <si>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</si>
  <si>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</si>
  <si>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</si>
  <si>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</si>
  <si>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</si>
  <si>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</si>
  <si>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</si>
  <si>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</si>
  <si>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</si>
  <si>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</si>
  <si>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</si>
  <si>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</si>
  <si>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</si>
  <si>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</si>
  <si>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</si>
  <si>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</si>
  <si>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</si>
  <si>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</si>
  <si>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</si>
  <si>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</si>
  <si>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</si>
  <si>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</si>
  <si>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</si>
  <si>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</si>
  <si>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</si>
  <si>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</si>
  <si>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</si>
  <si>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</si>
  <si>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</si>
  <si>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</si>
  <si>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</si>
  <si>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</si>
  <si>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</si>
  <si>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</si>
  <si>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</si>
  <si>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</si>
  <si>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</si>
  <si>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</si>
  <si>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</si>
  <si>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</si>
  <si>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</si>
  <si>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</si>
  <si>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</si>
  <si>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</si>
  <si>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</si>
  <si>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</si>
  <si>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</si>
  <si>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</si>
  <si>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</si>
  <si>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</si>
  <si>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</si>
  <si>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</si>
  <si>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</si>
  <si>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</si>
  <si>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</si>
  <si>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</si>
  <si>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</si>
  <si>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</si>
  <si>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</si>
  <si>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</si>
  <si>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</si>
  <si>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</si>
  <si>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</si>
  <si>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</si>
  <si>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</si>
  <si>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</si>
  <si>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</si>
  <si>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</si>
  <si>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</si>
  <si>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</si>
  <si>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</si>
  <si>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</si>
  <si>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</si>
  <si>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</si>
  <si>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</si>
  <si>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</si>
  <si>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</si>
  <si>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</si>
  <si>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</si>
  <si>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</si>
  <si>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</si>
  <si>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</si>
  <si>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</si>
  <si>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</si>
  <si>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</si>
  <si>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</si>
  <si>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</si>
  <si>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</si>
  <si>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</si>
  <si>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</si>
  <si>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</si>
  <si>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</si>
  <si>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</si>
  <si>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</si>
  <si>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</si>
  <si>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</si>
  <si>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</si>
  <si>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</si>
  <si>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</si>
  <si>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</si>
  <si>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</si>
  <si>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</si>
  <si>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</si>
  <si>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</si>
  <si>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</si>
  <si>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</si>
  <si>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</si>
  <si>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</si>
  <si>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</si>
  <si>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</si>
  <si>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</si>
  <si>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</si>
  <si>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</si>
  <si>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</si>
  <si>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</si>
  <si>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</si>
  <si>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</si>
  <si>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</si>
  <si>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</si>
  <si>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</si>
  <si>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</si>
  <si>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</si>
  <si>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</si>
  <si>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</si>
  <si>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</si>
  <si>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</si>
  <si>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</si>
  <si>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</si>
  <si>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</si>
  <si>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</si>
  <si>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</si>
  <si>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</si>
  <si>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</si>
  <si>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</si>
  <si>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</si>
  <si>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</si>
  <si>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</si>
  <si>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</si>
  <si>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</si>
  <si>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</si>
  <si>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</si>
  <si>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</si>
  <si>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</si>
  <si>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</si>
  <si>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</si>
  <si>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</si>
  <si>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</si>
  <si>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</si>
  <si>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</si>
  <si>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</si>
  <si>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</si>
  <si>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</si>
  <si>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</si>
  <si>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</si>
  <si>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</si>
  <si>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</si>
  <si>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</si>
  <si>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</si>
  <si>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</si>
  <si>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</si>
  <si>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</si>
  <si>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</si>
  <si>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</si>
  <si>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</si>
  <si>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</si>
  <si>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</si>
  <si>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</si>
  <si>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</si>
  <si>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</si>
  <si>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</si>
  <si>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</si>
  <si>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</si>
  <si>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</si>
  <si>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</si>
  <si>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</si>
  <si>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</si>
  <si>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</si>
  <si>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</si>
  <si>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</si>
  <si>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</si>
  <si>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</si>
  <si>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</si>
  <si>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</si>
  <si>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</si>
  <si>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</si>
  <si>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</si>
  <si>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</si>
  <si>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</si>
  <si>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</si>
  <si>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</si>
  <si>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</si>
  <si>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</si>
  <si>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</si>
  <si>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</si>
  <si>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</si>
  <si>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</si>
  <si>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</si>
  <si>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</si>
  <si>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</si>
  <si>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</si>
  <si>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</si>
  <si>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</si>
  <si>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</si>
  <si>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</si>
  <si>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</si>
  <si>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</si>
  <si>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</si>
  <si>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</si>
  <si>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</si>
  <si>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</si>
  <si>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</si>
  <si>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</si>
  <si>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</si>
  <si>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</si>
  <si>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</si>
  <si>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</si>
  <si>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</si>
  <si>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</si>
  <si>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</si>
  <si>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</si>
  <si>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</si>
  <si>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</si>
  <si>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</si>
  <si>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</si>
  <si>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</si>
  <si>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</si>
  <si>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</si>
  <si>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</si>
  <si>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</si>
  <si>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</si>
  <si>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</si>
  <si>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</si>
  <si>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</si>
  <si>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</si>
  <si>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</si>
  <si>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</si>
  <si>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</si>
  <si>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</si>
  <si>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</si>
  <si>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</si>
  <si>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</si>
  <si>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</si>
  <si>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</si>
  <si>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</si>
  <si>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</si>
  <si>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</si>
  <si>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</si>
  <si>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</si>
  <si>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</si>
  <si>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</si>
  <si>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</si>
  <si>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</si>
  <si>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</si>
  <si>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</si>
  <si>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</si>
  <si>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</si>
  <si>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</si>
  <si>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</si>
  <si>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</si>
  <si>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</si>
  <si>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</si>
  <si>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</si>
  <si>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</si>
  <si>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</si>
  <si>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</si>
  <si>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</si>
  <si>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</si>
  <si>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</si>
  <si>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</si>
  <si>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</si>
  <si>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</si>
  <si>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</si>
  <si>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</si>
  <si>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</si>
  <si>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</si>
  <si>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</si>
  <si>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</si>
  <si>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</si>
  <si>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</si>
  <si>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</si>
  <si>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</si>
  <si>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</si>
  <si>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</si>
  <si>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</si>
  <si>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</si>
  <si>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</si>
  <si>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</si>
  <si>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</si>
  <si>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</si>
  <si>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</si>
  <si>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</si>
  <si>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</si>
  <si>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</si>
  <si>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</si>
  <si>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</si>
  <si>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</si>
  <si>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</si>
  <si>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</si>
  <si>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</si>
  <si>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</si>
  <si>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</si>
  <si>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</si>
  <si>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</si>
  <si>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</si>
  <si>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</si>
  <si>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</si>
  <si>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</si>
  <si>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</si>
  <si>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</si>
  <si>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</si>
  <si>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</si>
  <si>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</si>
  <si>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</si>
  <si>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</si>
  <si>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</si>
  <si>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</si>
  <si>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</si>
  <si>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</si>
  <si>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</si>
  <si>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</si>
  <si>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</si>
  <si>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</si>
  <si>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</si>
  <si>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</si>
  <si>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</si>
  <si>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</si>
  <si>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</si>
  <si>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</si>
  <si>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</si>
  <si>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</si>
  <si>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</si>
  <si>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</si>
  <si>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</si>
  <si>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</si>
  <si>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</si>
  <si>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</si>
  <si>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</si>
  <si>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</si>
  <si>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</si>
  <si>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</si>
  <si>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</si>
  <si>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</si>
  <si>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</si>
  <si>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</si>
  <si>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</si>
  <si>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</si>
  <si>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</si>
  <si>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</si>
  <si>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</si>
  <si>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</si>
  <si>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</si>
  <si>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</si>
  <si>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</si>
  <si>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</si>
  <si>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</si>
  <si>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</si>
  <si>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</si>
  <si>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</si>
  <si>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</si>
  <si>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</si>
  <si>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</si>
  <si>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</si>
  <si>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</si>
  <si>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</si>
  <si>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</si>
  <si>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</si>
  <si>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</si>
  <si>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</si>
  <si>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</si>
  <si>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</si>
  <si>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</si>
  <si>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</si>
  <si>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</si>
  <si>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</si>
  <si>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</si>
  <si>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</si>
  <si>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</si>
  <si>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</si>
  <si>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</si>
  <si>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</si>
  <si>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</si>
  <si>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</si>
  <si>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</si>
  <si>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</si>
  <si>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</si>
  <si>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</si>
  <si>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</si>
  <si>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</si>
  <si>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</si>
  <si>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</si>
  <si>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</si>
  <si>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</si>
  <si>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</si>
  <si>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</si>
  <si>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</si>
  <si>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</si>
  <si>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</si>
  <si>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</si>
  <si>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</si>
  <si>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</si>
  <si>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</si>
  <si>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</si>
  <si>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</si>
  <si>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</si>
  <si>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</si>
  <si>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</si>
  <si>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</si>
  <si>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</si>
  <si>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</si>
  <si>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</si>
  <si>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</si>
  <si>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</si>
  <si>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</si>
  <si>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</si>
  <si>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</si>
  <si>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</si>
  <si>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</si>
  <si>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</si>
  <si>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</si>
  <si>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</si>
  <si>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</si>
  <si>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</si>
  <si>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</si>
  <si>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</si>
  <si>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</si>
  <si>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</si>
  <si>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</si>
  <si>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</si>
  <si>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</si>
  <si>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</si>
  <si>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</si>
  <si>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</si>
  <si>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</si>
  <si>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</si>
  <si>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</si>
  <si>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</si>
  <si>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</si>
  <si>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</si>
  <si>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</si>
  <si>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</si>
  <si>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</si>
  <si>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</si>
  <si>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</si>
  <si>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</si>
  <si>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</si>
  <si>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</si>
  <si>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</si>
  <si>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</si>
  <si>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</si>
  <si>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</si>
  <si>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</si>
  <si>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</si>
  <si>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</si>
  <si>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</si>
  <si>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</si>
  <si>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</si>
  <si>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</si>
  <si>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</si>
  <si>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</si>
  <si>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</si>
  <si>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</si>
  <si>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</si>
  <si>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</si>
  <si>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</si>
  <si>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</si>
  <si>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</si>
  <si>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</si>
  <si>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</si>
  <si>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</si>
  <si>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</si>
  <si>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</si>
  <si>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</si>
  <si>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</si>
  <si>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</si>
  <si>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</si>
  <si>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</si>
  <si>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</si>
  <si>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</si>
  <si>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</si>
  <si>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</si>
  <si>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</si>
  <si>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</si>
  <si>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</si>
  <si>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</si>
  <si>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</si>
  <si>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</si>
  <si>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</si>
  <si>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</si>
  <si>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</si>
  <si>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</si>
  <si>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</si>
  <si>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</si>
  <si>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</si>
  <si>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</si>
  <si>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</si>
  <si>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</si>
  <si>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</si>
  <si>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</si>
  <si>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</si>
  <si>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</si>
  <si>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</si>
  <si>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</si>
  <si>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</si>
  <si>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</si>
  <si>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</si>
  <si>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</si>
  <si>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</si>
  <si>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</si>
  <si>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</si>
  <si>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</si>
  <si>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</si>
  <si>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</si>
  <si>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</si>
  <si>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</si>
  <si>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</si>
  <si>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</si>
  <si>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</si>
  <si>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</si>
  <si>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</si>
  <si>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</si>
  <si>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</si>
  <si>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</si>
  <si>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</si>
  <si>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</si>
  <si>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</si>
  <si>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</si>
  <si>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</si>
  <si>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</si>
  <si>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</si>
  <si>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</si>
  <si>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</si>
  <si>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</si>
  <si>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</si>
  <si>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</si>
  <si>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</si>
  <si>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</si>
  <si>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</si>
  <si>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</si>
  <si>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</si>
  <si>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</si>
  <si>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</si>
  <si>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</si>
  <si>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</si>
  <si>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</si>
  <si>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</si>
  <si>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</si>
  <si>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</si>
  <si>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</si>
  <si>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</si>
  <si>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</si>
  <si>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</si>
  <si>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</si>
  <si>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</si>
  <si>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</si>
  <si>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</si>
  <si>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</si>
  <si>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</si>
  <si>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</si>
  <si>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</si>
  <si>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</si>
  <si>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</si>
  <si>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</si>
  <si>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</si>
  <si>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</si>
  <si>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</si>
  <si>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</si>
  <si>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</si>
  <si>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</si>
  <si>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</si>
  <si>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</si>
  <si>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</si>
  <si>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</si>
  <si>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</si>
  <si>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</si>
  <si>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</si>
  <si>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</si>
  <si>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</si>
  <si>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</si>
  <si>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</si>
  <si>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</si>
  <si>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</si>
  <si>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</si>
  <si>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</si>
  <si>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</si>
  <si>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</si>
  <si>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</si>
  <si>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</si>
  <si>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</si>
  <si>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</si>
  <si>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</si>
  <si>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</si>
  <si>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</si>
  <si>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</si>
  <si>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</si>
  <si>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</si>
  <si>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</si>
  <si>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</si>
  <si>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</si>
  <si>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</si>
  <si>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</si>
  <si>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</si>
  <si>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</si>
  <si>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</si>
  <si>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</si>
  <si>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</si>
  <si>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</si>
  <si>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</si>
  <si>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</si>
  <si>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</si>
  <si>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</si>
  <si>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</si>
  <si>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</si>
  <si>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</si>
  <si>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</si>
  <si>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</si>
  <si>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</si>
  <si>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</si>
  <si>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</si>
  <si>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</si>
  <si>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</si>
  <si>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</si>
  <si>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</si>
  <si>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</si>
  <si>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</si>
  <si>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</si>
  <si>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</si>
  <si>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</si>
  <si>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</si>
  <si>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</si>
  <si>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</si>
  <si>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</si>
  <si>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</si>
  <si>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</si>
  <si>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</si>
  <si>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</si>
  <si>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</si>
  <si>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</si>
  <si>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</si>
  <si>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</si>
  <si>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</si>
  <si>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</si>
  <si>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</si>
  <si>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</si>
  <si>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</si>
  <si>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</si>
  <si>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</si>
  <si>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</si>
  <si>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</si>
  <si>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</si>
  <si>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</si>
  <si>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</si>
  <si>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</si>
  <si>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</si>
  <si>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</si>
  <si>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</si>
  <si>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</si>
  <si>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</si>
  <si>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</si>
  <si>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</si>
  <si>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</si>
  <si>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</si>
  <si>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</si>
  <si>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</si>
  <si>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</si>
  <si>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</si>
  <si>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</si>
  <si>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</si>
  <si>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</si>
  <si>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</si>
  <si>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</si>
  <si>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</si>
  <si>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</si>
  <si>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</si>
  <si>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</si>
  <si>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</si>
  <si>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</si>
  <si>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</si>
  <si>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</si>
  <si>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</si>
  <si>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</si>
  <si>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</si>
  <si>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</si>
  <si>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</si>
  <si>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</si>
  <si>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</si>
  <si>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</si>
  <si>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</si>
  <si>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</si>
  <si>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</si>
  <si>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</si>
  <si>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</si>
  <si>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</si>
  <si>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</si>
  <si>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</si>
  <si>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</si>
  <si>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</si>
  <si>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</si>
  <si>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</si>
  <si>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</si>
  <si>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</si>
  <si>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</si>
  <si>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</si>
  <si>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</si>
  <si>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</si>
  <si>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</si>
  <si>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</si>
  <si>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</si>
  <si>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</si>
  <si>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</si>
  <si>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</si>
  <si>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</si>
  <si>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</si>
  <si>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</si>
  <si>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</si>
  <si>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</si>
  <si>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</si>
  <si>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</si>
  <si>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</si>
  <si>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</si>
  <si>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</si>
  <si>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</si>
  <si>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</si>
  <si>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</si>
  <si>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</si>
  <si>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</si>
  <si>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</si>
  <si>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</si>
  <si>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</si>
  <si>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</si>
  <si>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</si>
  <si>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</si>
  <si>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</si>
  <si>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</si>
  <si>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</si>
  <si>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</si>
  <si>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</si>
  <si>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</si>
  <si>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</si>
  <si>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</si>
  <si>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</si>
  <si>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</si>
  <si>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</si>
  <si>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</si>
  <si>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</si>
  <si>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</si>
  <si>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</si>
  <si>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</si>
  <si>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</si>
  <si>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</si>
  <si>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</si>
  <si>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</si>
  <si>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</si>
  <si>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</si>
  <si>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</si>
  <si>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</si>
  <si>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</si>
  <si>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</si>
  <si>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</si>
  <si>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</si>
  <si>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</si>
  <si>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</si>
  <si>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</si>
  <si>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</si>
  <si>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</si>
  <si>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</si>
  <si>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</si>
  <si>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</si>
  <si>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</si>
  <si>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</si>
  <si>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</si>
  <si>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</si>
  <si>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</si>
  <si>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</si>
  <si>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</si>
  <si>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</si>
  <si>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</si>
  <si>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</si>
  <si>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</si>
  <si>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</si>
  <si>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</si>
  <si>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</si>
  <si>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</si>
  <si>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</si>
  <si>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</si>
  <si>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</si>
  <si>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</si>
  <si>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</si>
  <si>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</si>
  <si>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</si>
  <si>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</si>
  <si>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</si>
  <si>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</si>
  <si>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</si>
  <si>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</si>
  <si>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</si>
  <si>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</si>
  <si>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</si>
  <si>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</si>
  <si>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</si>
  <si>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</si>
  <si>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</si>
  <si>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</si>
  <si>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</si>
  <si>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</si>
  <si>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</si>
  <si>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</si>
  <si>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</si>
  <si>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</si>
  <si>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</si>
  <si>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</si>
  <si>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</si>
  <si>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</si>
  <si>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</si>
  <si>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</si>
  <si>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</si>
  <si>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</si>
  <si>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</si>
  <si>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</si>
  <si>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</si>
  <si>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</si>
  <si>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</si>
  <si>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</si>
  <si>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</si>
  <si>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</si>
  <si>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</si>
  <si>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</si>
  <si>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</si>
  <si>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</si>
  <si>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</si>
  <si>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</si>
  <si>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</si>
  <si>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</si>
  <si>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</si>
  <si>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</si>
  <si>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</si>
  <si>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</si>
  <si>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</si>
  <si>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</si>
  <si>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</si>
  <si>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</si>
  <si>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</si>
  <si>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</si>
  <si>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</si>
  <si>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</si>
  <si>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</si>
  <si>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</si>
  <si>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</si>
  <si>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</si>
  <si>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</si>
  <si>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</si>
  <si>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</si>
  <si>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</si>
  <si>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</si>
  <si>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</si>
  <si>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</si>
  <si>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</si>
  <si>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</si>
  <si>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</si>
  <si>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</si>
  <si>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</si>
  <si>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</si>
  <si>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</si>
  <si>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</si>
  <si>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</si>
  <si>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</si>
  <si>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</si>
  <si>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</si>
  <si>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</si>
  <si>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</si>
  <si>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</si>
  <si>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</si>
  <si>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</si>
  <si>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</si>
  <si>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</si>
  <si>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</si>
  <si>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</si>
  <si>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</si>
  <si>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</si>
  <si>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</si>
  <si>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</si>
  <si>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</si>
  <si>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</si>
  <si>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</si>
  <si>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</si>
  <si>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</si>
  <si>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</si>
  <si>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</si>
  <si>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</si>
  <si>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</si>
  <si>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</si>
  <si>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</si>
  <si>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</si>
  <si>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</si>
  <si>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</si>
  <si>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</si>
  <si>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</si>
  <si>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</si>
  <si>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</si>
  <si>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</si>
  <si>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</si>
  <si>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</si>
  <si>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</si>
  <si>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</si>
  <si>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</si>
  <si>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</si>
  <si>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</si>
  <si>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</si>
  <si>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</si>
  <si>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</si>
  <si>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</si>
  <si>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</si>
  <si>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</si>
  <si>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</si>
  <si>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</si>
  <si>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</si>
  <si>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</si>
  <si>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</si>
  <si>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</si>
  <si>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</si>
  <si>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</si>
  <si>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</si>
  <si>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</si>
  <si>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</si>
  <si>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</si>
  <si>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</si>
  <si>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</si>
  <si>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</si>
  <si>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</si>
  <si>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</si>
  <si>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</si>
  <si>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</si>
  <si>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</si>
  <si>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</si>
  <si>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</si>
  <si>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</si>
  <si>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</si>
  <si>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</si>
  <si>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</si>
  <si>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</si>
  <si>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</si>
  <si>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</si>
  <si>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</si>
  <si>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</si>
  <si>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</si>
  <si>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</si>
  <si>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</si>
  <si>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</si>
  <si>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</si>
  <si>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</si>
  <si>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</si>
  <si>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</si>
  <si>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</si>
  <si>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</si>
  <si>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</si>
  <si>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</si>
  <si>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</si>
  <si>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</si>
  <si>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</si>
  <si>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</si>
  <si>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</si>
  <si>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</si>
  <si>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</si>
  <si>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</si>
  <si>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</si>
  <si>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</si>
  <si>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</si>
  <si>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</si>
  <si>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</si>
  <si>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</si>
  <si>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</si>
  <si>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</si>
  <si>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</si>
  <si>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</si>
  <si>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</si>
  <si>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</si>
  <si>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</si>
  <si>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</si>
  <si>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</si>
  <si>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</si>
  <si>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</si>
  <si>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</si>
  <si>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</si>
  <si>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</si>
  <si>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</si>
  <si>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</si>
  <si>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</si>
  <si>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</si>
  <si>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</si>
  <si>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</si>
  <si>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</si>
  <si>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</si>
  <si>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</si>
  <si>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</si>
  <si>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</si>
  <si>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</si>
  <si>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</si>
  <si>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</si>
  <si>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</si>
  <si>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</si>
  <si>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</si>
  <si>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</si>
  <si>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</si>
  <si>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</si>
  <si>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</si>
  <si>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</si>
  <si>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</si>
  <si>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</si>
  <si>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</si>
  <si>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</si>
  <si>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</si>
  <si>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</si>
  <si>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</si>
  <si>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</si>
  <si>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</si>
  <si>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</si>
  <si>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</si>
  <si>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</si>
  <si>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</si>
  <si>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</si>
  <si>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</si>
  <si>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</si>
  <si>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</si>
  <si>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</si>
  <si>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</si>
  <si>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</si>
  <si>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</si>
  <si>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</si>
  <si>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</si>
  <si>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</si>
  <si>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</si>
  <si>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</si>
  <si>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</si>
  <si>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</si>
  <si>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</si>
  <si>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</si>
  <si>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</si>
  <si>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</si>
  <si>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</si>
  <si>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</si>
  <si>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</si>
  <si>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</si>
  <si>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</si>
  <si>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</si>
  <si>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</si>
  <si>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</si>
  <si>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</si>
  <si>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</si>
  <si>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</si>
  <si>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</si>
  <si>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</si>
  <si>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</si>
  <si>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</si>
  <si>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</si>
  <si>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</si>
  <si>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</si>
  <si>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</si>
  <si>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</si>
  <si>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</si>
  <si>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</si>
  <si>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</si>
  <si>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</si>
  <si>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</si>
  <si>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</si>
  <si>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</si>
  <si>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</si>
  <si>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</si>
  <si>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</si>
  <si>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</si>
  <si>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</si>
  <si>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</si>
  <si>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</si>
  <si>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</si>
  <si>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</si>
  <si>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</si>
  <si>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</si>
  <si>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</si>
  <si>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</si>
  <si>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</si>
  <si>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</si>
  <si>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</si>
  <si>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</si>
  <si>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</si>
  <si>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</si>
  <si>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</si>
  <si>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</si>
  <si>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</si>
  <si>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</si>
  <si>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</si>
  <si>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</si>
  <si>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</si>
  <si>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</si>
  <si>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</si>
  <si>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</si>
  <si>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</si>
  <si>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</si>
  <si>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</si>
  <si>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</si>
  <si>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</si>
  <si>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</si>
  <si>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</si>
  <si>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</si>
  <si>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</si>
  <si>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</si>
  <si>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</si>
  <si>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</si>
  <si>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</si>
  <si>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</si>
  <si>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</si>
  <si>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</si>
  <si>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</si>
  <si>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</si>
  <si>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</si>
  <si>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</si>
  <si>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</si>
  <si>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</si>
  <si>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</si>
  <si>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</si>
  <si>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</si>
  <si>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</si>
  <si>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</si>
  <si>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</si>
  <si>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</si>
  <si>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</si>
  <si>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</si>
  <si>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</si>
  <si>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</si>
  <si>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</si>
  <si>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</si>
  <si>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</si>
  <si>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</si>
  <si>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</si>
  <si>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</si>
  <si>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</si>
  <si>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</si>
  <si>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</si>
  <si>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</si>
  <si>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</si>
  <si>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</si>
  <si>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</si>
  <si>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</si>
  <si>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</si>
  <si>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</si>
  <si>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</si>
  <si>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</si>
  <si>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</si>
  <si>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</si>
  <si>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</si>
  <si>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</si>
  <si>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</si>
  <si>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</si>
  <si>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</si>
  <si>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</si>
  <si>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</si>
  <si>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</si>
  <si>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</si>
  <si>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</si>
  <si>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</si>
  <si>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</si>
  <si>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</si>
  <si>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</si>
  <si>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</si>
  <si>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</si>
  <si>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</si>
  <si>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</si>
  <si>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</si>
  <si>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</si>
  <si>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</si>
  <si>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</si>
  <si>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</si>
  <si>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</si>
  <si>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</si>
  <si>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</si>
  <si>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</si>
  <si>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</si>
  <si>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</si>
  <si>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</si>
  <si>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</si>
  <si>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</si>
  <si>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</si>
  <si>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</si>
  <si>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</si>
  <si>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</si>
  <si>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</si>
  <si>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</si>
  <si>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</si>
  <si>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</si>
  <si>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</si>
  <si>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</si>
  <si>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</si>
  <si>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</si>
  <si>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</si>
  <si>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</si>
  <si>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</si>
  <si>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</si>
  <si>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</si>
  <si>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</si>
  <si>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</si>
  <si>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</si>
  <si>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</si>
  <si>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</si>
  <si>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</si>
  <si>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</si>
  <si>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</si>
  <si>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</si>
  <si>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</si>
  <si>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</si>
  <si>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</si>
  <si>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</si>
  <si>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</si>
  <si>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</si>
  <si>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</si>
  <si>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</si>
  <si>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</si>
  <si>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</si>
  <si>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</si>
  <si>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</si>
  <si>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</si>
  <si>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</si>
  <si>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</si>
  <si>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</si>
  <si>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</si>
  <si>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</si>
  <si>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</si>
  <si>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</si>
  <si>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</si>
  <si>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</si>
  <si>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</si>
  <si>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</si>
  <si>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</si>
  <si>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</si>
  <si>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</si>
  <si>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</si>
  <si>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</si>
  <si>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</si>
  <si>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</si>
  <si>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</si>
  <si>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</si>
  <si>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</si>
  <si>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</si>
  <si>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</si>
  <si>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</si>
  <si>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</si>
  <si>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</si>
  <si>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</si>
  <si>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</si>
  <si>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</si>
  <si>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</si>
  <si>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</si>
  <si>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</si>
  <si>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</si>
  <si>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</si>
  <si>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</si>
  <si>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</si>
  <si>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</si>
  <si>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</si>
  <si>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</si>
  <si>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</si>
  <si>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</si>
  <si>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</si>
  <si>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</si>
  <si>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</si>
  <si>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</si>
  <si>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</si>
  <si>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</si>
  <si>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</si>
  <si>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</si>
  <si>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</si>
  <si>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</si>
  <si>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</si>
  <si>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</si>
  <si>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</si>
  <si>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</si>
  <si>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</si>
  <si>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</si>
  <si>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</si>
  <si>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</si>
  <si>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</si>
  <si>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</si>
  <si>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</si>
  <si>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</si>
  <si>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</si>
  <si>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</si>
  <si>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</si>
  <si>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</si>
  <si>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</si>
  <si>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</si>
  <si>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</si>
  <si>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</si>
  <si>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</si>
  <si>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</si>
  <si>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</si>
  <si>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</si>
  <si>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</si>
  <si>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</si>
  <si>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</si>
  <si>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</si>
  <si>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</si>
  <si>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</si>
  <si>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</si>
  <si>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</si>
  <si>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</si>
  <si>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</si>
  <si>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</si>
  <si>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</si>
  <si>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</si>
  <si>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</si>
  <si>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</si>
  <si>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</si>
  <si>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</si>
  <si>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</si>
  <si>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</si>
  <si>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</si>
  <si>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</si>
  <si>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</si>
  <si>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</si>
  <si>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</si>
  <si>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</si>
  <si>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</si>
  <si>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</si>
  <si>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</si>
  <si>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</si>
  <si>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</si>
  <si>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</si>
  <si>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</si>
  <si>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</si>
  <si>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</si>
  <si>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</si>
  <si>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</si>
  <si>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</si>
  <si>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</si>
  <si>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</si>
  <si>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</si>
  <si>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</si>
  <si>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</si>
  <si>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</si>
  <si>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</si>
  <si>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</si>
  <si>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</si>
  <si>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</si>
  <si>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</si>
  <si>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</si>
  <si>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</si>
  <si>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</si>
  <si>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</si>
  <si>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</si>
  <si>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</si>
  <si>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</si>
  <si>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</si>
  <si>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</si>
  <si>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</si>
  <si>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</si>
  <si>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</si>
  <si>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</si>
  <si>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</si>
  <si>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</si>
  <si>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</si>
  <si>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</si>
  <si>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</si>
  <si>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</si>
  <si>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</si>
  <si>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</si>
  <si>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</si>
  <si>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</si>
  <si>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</si>
  <si>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</si>
  <si>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</si>
  <si>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</si>
  <si>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</si>
  <si>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</si>
  <si>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</si>
  <si>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</si>
  <si>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</si>
  <si>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</si>
  <si>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</si>
  <si>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</si>
  <si>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</si>
  <si>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</si>
  <si>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</si>
  <si>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</si>
  <si>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</si>
  <si>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</si>
  <si>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</si>
  <si>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</si>
  <si>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</si>
  <si>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</si>
  <si>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</si>
  <si>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</si>
  <si>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</si>
  <si>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</si>
  <si>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</si>
  <si>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</si>
  <si>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</si>
  <si>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</si>
  <si>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</si>
  <si>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</si>
  <si>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</si>
  <si>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</si>
  <si>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</si>
  <si>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</si>
  <si>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</si>
  <si>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</si>
  <si>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</si>
  <si>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</si>
  <si>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</si>
  <si>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</si>
  <si>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</si>
  <si>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</si>
  <si>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</si>
  <si>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</si>
  <si>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</si>
  <si>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</si>
  <si>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</si>
  <si>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</si>
  <si>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</si>
  <si>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</si>
  <si>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</si>
  <si>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</si>
  <si>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</si>
  <si>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</si>
  <si>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</si>
  <si>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</si>
  <si>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</si>
  <si>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</si>
  <si>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</si>
  <si>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</si>
  <si>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</si>
  <si>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</si>
  <si>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</si>
  <si>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</si>
  <si>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</si>
  <si>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</si>
  <si>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</si>
  <si>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</si>
  <si>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</si>
  <si>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</si>
  <si>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</si>
  <si>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</si>
  <si>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</si>
  <si>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</si>
  <si>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</si>
  <si>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</si>
  <si>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</si>
  <si>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</si>
  <si>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</si>
  <si>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</si>
  <si>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</si>
  <si>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</si>
  <si>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</si>
  <si>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</si>
  <si>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</si>
  <si>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</si>
  <si>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</si>
  <si>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</si>
  <si>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</si>
  <si>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</si>
  <si>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</si>
  <si>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</si>
  <si>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</si>
  <si>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</si>
  <si>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</si>
  <si>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</si>
  <si>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</si>
  <si>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</si>
  <si>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</si>
  <si>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</si>
  <si>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</si>
  <si>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</si>
  <si>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</si>
  <si>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</si>
  <si>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</si>
  <si>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</si>
  <si>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</si>
  <si>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</si>
  <si>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</si>
  <si>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</si>
  <si>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</si>
  <si>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</si>
  <si>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</si>
  <si>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</si>
  <si>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</si>
  <si>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</si>
  <si>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</si>
  <si>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</si>
  <si>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</si>
  <si>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</si>
  <si>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</si>
  <si>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</si>
  <si>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</si>
  <si>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</si>
  <si>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</si>
  <si>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</si>
  <si>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</si>
  <si>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</si>
  <si>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</si>
  <si>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</si>
  <si>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</si>
  <si>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</si>
  <si>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</si>
  <si>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</si>
  <si>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</si>
  <si>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</si>
  <si>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</si>
  <si>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</si>
  <si>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</si>
  <si>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</si>
  <si>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</si>
  <si>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</si>
  <si>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</si>
  <si>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</si>
  <si>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</si>
  <si>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</si>
  <si>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</si>
  <si>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</si>
  <si>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</si>
  <si>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</si>
  <si>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</si>
  <si>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</si>
  <si>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</si>
  <si>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</si>
  <si>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</si>
  <si>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</si>
  <si>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</si>
  <si>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</si>
  <si>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</si>
  <si>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</si>
  <si>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</si>
  <si>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</si>
  <si>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</si>
  <si>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</si>
  <si>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</si>
  <si>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</si>
  <si>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</si>
  <si>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</si>
  <si>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</si>
  <si>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</si>
  <si>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</si>
  <si>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</si>
  <si>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</si>
  <si>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</si>
  <si>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</si>
  <si>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</si>
  <si>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</si>
  <si>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</si>
  <si>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</si>
  <si>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</si>
  <si>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</si>
  <si>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</si>
  <si>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</si>
  <si>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</si>
  <si>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</si>
  <si>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</si>
  <si>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</si>
  <si>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</si>
  <si>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</si>
  <si>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</si>
  <si>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</si>
  <si>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</si>
  <si>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</si>
  <si>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</si>
  <si>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</si>
  <si>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</si>
  <si>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</si>
  <si>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</si>
  <si>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</si>
  <si>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</si>
  <si>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</si>
  <si>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</si>
  <si>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</si>
  <si>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</si>
  <si>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</si>
  <si>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</si>
  <si>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</si>
  <si>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</si>
  <si>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</si>
  <si>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</si>
  <si>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</si>
  <si>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</si>
  <si>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</si>
  <si>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</si>
  <si>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</si>
  <si>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</si>
  <si>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</si>
  <si>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</si>
  <si>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</si>
  <si>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</si>
  <si>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</si>
  <si>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</si>
  <si>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</si>
  <si>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</si>
  <si>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</si>
  <si>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</si>
  <si>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</si>
  <si>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</si>
  <si>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</si>
  <si>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</si>
  <si>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</si>
  <si>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</si>
  <si>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</si>
  <si>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</si>
  <si>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</si>
  <si>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</si>
  <si>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</si>
  <si>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</si>
  <si>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</si>
  <si>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</si>
  <si>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</si>
  <si>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</si>
  <si>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</si>
  <si>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</si>
  <si>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</si>
  <si>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</si>
  <si>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</si>
  <si>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</si>
  <si>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</si>
  <si>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</si>
  <si>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</si>
  <si>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</si>
  <si>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</si>
  <si>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</si>
  <si>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</si>
  <si>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</si>
  <si>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</si>
  <si>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</si>
  <si>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</si>
  <si>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</si>
  <si>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</si>
  <si>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</si>
  <si>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</si>
  <si>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</si>
  <si>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</si>
  <si>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</si>
  <si>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</si>
  <si>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</si>
  <si>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</si>
  <si>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</si>
  <si>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</si>
  <si>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</si>
  <si>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</si>
  <si>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</si>
  <si>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</si>
  <si>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</si>
  <si>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</si>
  <si>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</si>
  <si>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</si>
  <si>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</si>
  <si>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</si>
  <si>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</si>
  <si>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</si>
  <si>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</si>
  <si>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</si>
  <si>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</si>
  <si>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</si>
  <si>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</si>
  <si>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</si>
  <si>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</si>
  <si>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</si>
  <si>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</si>
  <si>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</si>
  <si>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</si>
  <si>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</si>
  <si>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</si>
  <si>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</si>
  <si>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</si>
  <si>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</si>
  <si>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</si>
  <si>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</si>
  <si>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</si>
  <si>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</si>
  <si>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</si>
  <si>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</si>
  <si>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</si>
  <si>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</si>
  <si>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</si>
  <si>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</si>
  <si>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</si>
  <si>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</si>
  <si>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</si>
  <si>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</si>
  <si>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</si>
  <si>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</si>
  <si>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</si>
  <si>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</si>
  <si>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</si>
  <si>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</si>
  <si>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</si>
  <si>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</si>
  <si>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</si>
  <si>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</si>
  <si>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</si>
  <si>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</si>
  <si>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</si>
  <si>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</si>
  <si>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</si>
  <si>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</si>
  <si>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</si>
  <si>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</si>
  <si>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</si>
  <si>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</si>
  <si>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</si>
  <si>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</si>
  <si>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</si>
  <si>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</si>
  <si>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</si>
  <si>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</si>
  <si>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</si>
  <si>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</si>
  <si>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</si>
  <si>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</si>
  <si>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</si>
  <si>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</si>
  <si>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</si>
  <si>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</si>
  <si>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</si>
  <si>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</si>
  <si>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</si>
  <si>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</si>
  <si>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</si>
  <si>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</si>
  <si>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</si>
  <si>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</si>
  <si>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</si>
  <si>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</si>
  <si>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</si>
  <si>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</si>
  <si>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</si>
  <si>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</si>
  <si>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</si>
  <si>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</si>
  <si>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</si>
  <si>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</si>
  <si>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</si>
  <si>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</si>
  <si>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</si>
  <si>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</si>
  <si>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</si>
  <si>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</si>
  <si>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</si>
  <si>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</si>
  <si>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</si>
  <si>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</si>
  <si>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</si>
  <si>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</si>
  <si>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</si>
  <si>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</si>
  <si>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</si>
  <si>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</si>
  <si>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</si>
  <si>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</si>
  <si>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</si>
  <si>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</si>
  <si>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</si>
  <si>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</si>
  <si>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</si>
  <si>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</si>
  <si>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</si>
  <si>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</si>
  <si>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</si>
  <si>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</si>
  <si>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</si>
  <si>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</si>
  <si>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</si>
  <si>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</si>
  <si>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</si>
  <si>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</si>
  <si>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</si>
  <si>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</si>
  <si>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</si>
  <si>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</si>
  <si>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</si>
  <si>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</si>
  <si>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</si>
  <si>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</si>
  <si>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</si>
  <si>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</si>
  <si>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</si>
  <si>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</si>
  <si>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</si>
  <si>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</si>
  <si>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</si>
  <si>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</si>
  <si>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</si>
  <si>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</si>
  <si>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</si>
  <si>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</si>
  <si>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</si>
  <si>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</si>
  <si>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</si>
  <si>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</si>
  <si>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</si>
  <si>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</si>
  <si>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</si>
  <si>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</si>
  <si>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</si>
  <si>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</si>
  <si>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</si>
  <si>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</si>
  <si>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</si>
  <si>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</si>
  <si>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</si>
  <si>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</si>
  <si>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</si>
  <si>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</si>
  <si>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</si>
  <si>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</si>
  <si>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</si>
  <si>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</si>
  <si>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</si>
  <si>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</si>
  <si>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</si>
  <si>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</si>
  <si>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</si>
  <si>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</si>
  <si>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</si>
  <si>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</si>
  <si>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</si>
  <si>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</si>
  <si>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</si>
  <si>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</si>
  <si>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</si>
  <si>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</si>
  <si>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</si>
  <si>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</si>
  <si>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</si>
  <si>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</si>
  <si>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</si>
  <si>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</si>
  <si>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</si>
  <si>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</si>
  <si>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</si>
  <si>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</si>
  <si>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</si>
  <si>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</si>
  <si>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</si>
  <si>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</si>
  <si>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</si>
  <si>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</si>
  <si>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</si>
  <si>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</si>
  <si>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</si>
  <si>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</si>
  <si>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</si>
  <si>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</si>
  <si>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</si>
  <si>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</si>
  <si>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</si>
  <si>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</si>
  <si>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</si>
  <si>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</si>
  <si>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</si>
  <si>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</si>
  <si>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</si>
  <si>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</si>
  <si>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</si>
  <si>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</si>
  <si>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</si>
  <si>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</si>
  <si>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</si>
  <si>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</si>
  <si>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</si>
  <si>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</si>
  <si>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</si>
  <si>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</si>
  <si>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</si>
  <si>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</si>
  <si>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</si>
  <si>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</si>
  <si>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</si>
  <si>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</si>
  <si>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</si>
  <si>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</si>
  <si>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</si>
  <si>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</si>
  <si>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</si>
  <si>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</si>
  <si>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</si>
  <si>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</si>
  <si>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</si>
  <si>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</si>
  <si>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</si>
  <si>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</si>
  <si>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</si>
  <si>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</si>
  <si>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</si>
  <si>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</si>
  <si>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</si>
  <si>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</si>
  <si>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</si>
  <si>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</si>
  <si>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</si>
  <si>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</si>
  <si>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</si>
  <si>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</si>
  <si>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</si>
  <si>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</si>
  <si>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</si>
  <si>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</si>
  <si>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</si>
  <si>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</si>
  <si>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</si>
  <si>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</si>
  <si>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</si>
  <si>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</si>
  <si>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</si>
  <si>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</si>
  <si>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</si>
  <si>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</si>
  <si>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</si>
  <si>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</si>
  <si>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</si>
  <si>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</si>
  <si>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</si>
  <si>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</si>
  <si>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</si>
  <si>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</si>
  <si>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</si>
  <si>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</si>
  <si>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</si>
  <si>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</si>
  <si>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</si>
  <si>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</si>
  <si>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</si>
  <si>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</si>
  <si>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</si>
  <si>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</si>
  <si>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</si>
  <si>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</si>
  <si>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</si>
  <si>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</si>
  <si>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</si>
  <si>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</si>
  <si>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</si>
  <si>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</si>
  <si>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</si>
  <si>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</si>
  <si>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</si>
  <si>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</si>
  <si>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</si>
  <si>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</si>
  <si>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</si>
  <si>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</si>
  <si>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</si>
  <si>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</si>
  <si>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</si>
  <si>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</si>
  <si>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</si>
  <si>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</si>
  <si>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</si>
  <si>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</si>
  <si>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</si>
  <si>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</si>
  <si>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</si>
  <si>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</si>
  <si>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</si>
  <si>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</si>
  <si>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</si>
  <si>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</si>
  <si>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</si>
  <si>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</si>
  <si>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</si>
  <si>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</si>
  <si>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</si>
  <si>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</si>
  <si>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</si>
  <si>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</si>
  <si>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</si>
  <si>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</si>
  <si>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</si>
  <si>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</si>
  <si>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</si>
  <si>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</si>
  <si>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</si>
  <si>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</si>
  <si>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</si>
  <si>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</si>
  <si>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</si>
  <si>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</si>
  <si>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</si>
  <si>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</si>
  <si>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</si>
  <si>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</si>
  <si>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</si>
  <si>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</si>
  <si>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</si>
  <si>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</si>
  <si>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</si>
  <si>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</si>
  <si>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</si>
  <si>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</si>
  <si>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</si>
  <si>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</si>
  <si>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</si>
  <si>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</si>
  <si>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</si>
  <si>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</si>
  <si>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</si>
  <si>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</si>
  <si>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</si>
  <si>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</si>
  <si>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</si>
  <si>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</si>
  <si>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</si>
  <si>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</si>
  <si>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</si>
  <si>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</si>
  <si>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</si>
  <si>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</si>
  <si>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</si>
  <si>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</si>
  <si>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</si>
  <si>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</si>
  <si>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</si>
  <si>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</si>
  <si>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</si>
  <si>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</si>
  <si>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</si>
  <si>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</si>
  <si>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</si>
  <si>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</si>
  <si>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</si>
  <si>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</si>
  <si>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</si>
  <si>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</si>
  <si>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</si>
  <si>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</si>
  <si>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</si>
  <si>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</si>
  <si>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</si>
  <si>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</si>
  <si>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</si>
  <si>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</si>
  <si>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</si>
  <si>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</si>
  <si>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</si>
  <si>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</si>
  <si>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</si>
  <si>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</si>
  <si>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</si>
  <si>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</si>
  <si>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</si>
  <si>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</si>
  <si>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</si>
  <si>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</si>
  <si>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</si>
  <si>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</si>
  <si>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</si>
  <si>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</si>
  <si>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</si>
  <si>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</si>
  <si>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</si>
  <si>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</si>
  <si>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</si>
  <si>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</si>
  <si>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</si>
  <si>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</si>
  <si>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</si>
  <si>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</si>
  <si>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</si>
  <si>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</si>
  <si>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</si>
  <si>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</si>
  <si>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</si>
  <si>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</si>
  <si>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</si>
  <si>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</si>
  <si>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</si>
  <si>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</si>
  <si>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</si>
  <si>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</si>
  <si>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</si>
  <si>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</si>
  <si>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</si>
  <si>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</si>
  <si>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</si>
  <si>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</si>
  <si>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</si>
  <si>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</si>
  <si>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</si>
  <si>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</si>
  <si>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</si>
  <si>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</si>
  <si>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</si>
  <si>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</si>
  <si>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</si>
  <si>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</si>
  <si>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</si>
  <si>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</si>
  <si>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</si>
  <si>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</si>
  <si>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</si>
  <si>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</si>
  <si>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</si>
  <si>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</si>
  <si>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</si>
  <si>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</si>
  <si>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</si>
  <si>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</si>
  <si>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</si>
  <si>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</si>
  <si>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</si>
  <si>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</si>
  <si>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</si>
  <si>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</si>
  <si>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</si>
  <si>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</si>
  <si>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</si>
  <si>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</si>
  <si>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</si>
  <si>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</si>
  <si>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</si>
  <si>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</si>
  <si>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</si>
  <si>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</si>
  <si>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</si>
  <si>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</si>
  <si>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</si>
  <si>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</si>
  <si>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</si>
  <si>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</si>
  <si>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</si>
  <si>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</si>
  <si>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</si>
  <si>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</si>
  <si>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</si>
  <si>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</si>
  <si>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</si>
  <si>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</si>
  <si>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</si>
  <si>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</si>
  <si>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</si>
  <si>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</si>
  <si>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</si>
  <si>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</si>
  <si>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</si>
  <si>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</si>
  <si>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</si>
  <si>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</si>
  <si>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</si>
  <si>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</si>
  <si>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</si>
  <si>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</si>
  <si>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</si>
  <si>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</si>
  <si>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</si>
  <si>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</si>
  <si>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</si>
  <si>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</si>
  <si>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</si>
  <si>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</si>
  <si>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</si>
  <si>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</si>
  <si>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</si>
  <si>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</si>
  <si>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</si>
  <si>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</si>
  <si>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</si>
  <si>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</si>
  <si>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</si>
  <si>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</si>
  <si>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</si>
  <si>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</si>
  <si>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</si>
  <si>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</si>
  <si>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</si>
  <si>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</si>
  <si>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</si>
  <si>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</si>
  <si>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</si>
  <si>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</si>
  <si>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</si>
  <si>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</si>
  <si>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</si>
  <si>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</si>
  <si>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</si>
  <si>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</si>
  <si>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</si>
  <si>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</si>
  <si>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</si>
  <si>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</si>
  <si>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</si>
  <si>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</si>
  <si>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</si>
  <si>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</si>
  <si>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</si>
  <si>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</si>
  <si>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</si>
  <si>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</si>
  <si>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</si>
  <si>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</si>
  <si>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</si>
  <si>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</si>
  <si>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</si>
  <si>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</si>
  <si>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</si>
  <si>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</si>
  <si>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</si>
  <si>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</si>
  <si>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</si>
  <si>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</si>
  <si>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</si>
  <si>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</si>
  <si>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</si>
  <si>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</si>
  <si>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</si>
  <si>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</si>
  <si>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</si>
  <si>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</si>
  <si>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</si>
  <si>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</si>
  <si>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</si>
  <si>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</si>
  <si>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</si>
  <si>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</si>
  <si>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</si>
  <si>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</si>
  <si>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</si>
  <si>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</si>
  <si>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</si>
  <si>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</si>
  <si>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</si>
  <si>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</si>
  <si>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</si>
  <si>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</si>
  <si>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</si>
  <si>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</si>
  <si>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</si>
  <si>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</si>
  <si>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</si>
  <si>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</si>
  <si>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</si>
  <si>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</si>
  <si>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</si>
  <si>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</si>
  <si>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</si>
  <si>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</si>
  <si>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</si>
  <si>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</si>
  <si>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</si>
  <si>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</si>
  <si>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</si>
  <si>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</si>
  <si>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</si>
  <si>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</si>
  <si>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</si>
  <si>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</si>
  <si>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</si>
  <si>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</si>
  <si>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</si>
  <si>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</si>
  <si>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</si>
  <si>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</si>
  <si>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</si>
  <si>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</si>
  <si>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</si>
  <si>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</si>
  <si>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</si>
  <si>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</si>
  <si>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</si>
  <si>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</si>
  <si>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</si>
  <si>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</si>
  <si>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</si>
  <si>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</si>
  <si>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</si>
  <si>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</si>
  <si>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</si>
  <si>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</si>
  <si>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</si>
  <si>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</si>
  <si>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</si>
  <si>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</si>
  <si>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</si>
  <si>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</si>
  <si>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</si>
  <si>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</si>
  <si>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</si>
  <si>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</si>
  <si>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</si>
  <si>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</si>
  <si>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</si>
  <si>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</si>
  <si>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</si>
  <si>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</si>
  <si>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</si>
  <si>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</si>
  <si>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</si>
  <si>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</si>
  <si>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</si>
  <si>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</si>
  <si>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</si>
  <si>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</si>
  <si>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</si>
  <si>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</si>
  <si>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</si>
  <si>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</si>
  <si>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</si>
  <si>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</si>
  <si>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</si>
  <si>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</si>
  <si>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</si>
  <si>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</si>
  <si>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</si>
  <si>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</si>
  <si>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</si>
  <si>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</si>
  <si>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</si>
  <si>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</si>
  <si>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</si>
  <si>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</si>
  <si>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</si>
  <si>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</si>
  <si>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</si>
  <si>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</si>
  <si>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</si>
  <si>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</si>
  <si>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</si>
  <si>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</si>
  <si>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</si>
  <si>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</si>
  <si>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</si>
  <si>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</si>
  <si>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</si>
  <si>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</si>
  <si>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</si>
  <si>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</si>
  <si>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</si>
  <si>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</si>
  <si>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</si>
  <si>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</si>
  <si>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</si>
  <si>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</si>
  <si>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</si>
  <si>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</si>
  <si>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</si>
  <si>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</si>
  <si>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</si>
  <si>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</si>
  <si>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</si>
  <si>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</si>
  <si>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</si>
  <si>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</si>
  <si>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</si>
  <si>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</si>
  <si>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</si>
  <si>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</si>
  <si>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</si>
  <si>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</si>
  <si>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</si>
  <si>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</si>
  <si>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</si>
  <si>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</si>
  <si>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</si>
  <si>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</si>
  <si>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</si>
  <si>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</si>
  <si>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</si>
  <si>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</si>
  <si>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</si>
  <si>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</si>
  <si>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</si>
  <si>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</si>
  <si>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</si>
  <si>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</si>
  <si>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</si>
  <si>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</si>
  <si>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</si>
  <si>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</si>
  <si>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</si>
  <si>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</si>
  <si>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</si>
  <si>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</si>
  <si>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</si>
  <si>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</si>
  <si>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</si>
  <si>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</si>
  <si>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</si>
  <si>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</si>
  <si>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</si>
  <si>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</si>
  <si>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</si>
  <si>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</si>
  <si>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</si>
  <si>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</si>
  <si>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</si>
  <si>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</si>
  <si>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</si>
  <si>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</si>
  <si>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</si>
  <si>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</si>
  <si>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</si>
  <si>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</si>
  <si>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</si>
  <si>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</si>
  <si>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</si>
  <si>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</si>
  <si>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</si>
  <si>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</si>
  <si>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</si>
  <si>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</si>
  <si>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</si>
  <si>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</si>
  <si>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</si>
  <si>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</si>
  <si>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</si>
  <si>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</si>
  <si>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</si>
  <si>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</si>
  <si>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</si>
  <si>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</si>
  <si>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</si>
  <si>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</si>
  <si>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</si>
  <si>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</si>
  <si>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</si>
  <si>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</si>
  <si>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</si>
  <si>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</si>
  <si>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</si>
  <si>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</si>
  <si>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</si>
  <si>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</si>
  <si>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</si>
  <si>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</si>
  <si>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</si>
  <si>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</si>
  <si>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</si>
  <si>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</si>
  <si>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</si>
  <si>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</si>
  <si>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</si>
  <si>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</si>
  <si>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</si>
  <si>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</si>
  <si>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</si>
  <si>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</si>
  <si>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</si>
  <si>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</si>
  <si>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</si>
  <si>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</si>
  <si>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</si>
  <si>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</si>
  <si>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</si>
  <si>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</si>
  <si>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</si>
  <si>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</si>
  <si>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</si>
  <si>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</si>
  <si>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</si>
  <si>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</si>
  <si>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</si>
  <si>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</si>
  <si>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</si>
  <si>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</si>
  <si>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</si>
  <si>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</si>
  <si>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</si>
  <si>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</si>
  <si>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</si>
  <si>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</si>
  <si>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</si>
  <si>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</si>
  <si>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</si>
  <si>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</si>
  <si>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</si>
  <si>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</si>
  <si>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</si>
  <si>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</si>
  <si>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</si>
  <si>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</si>
  <si>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</si>
  <si>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</si>
  <si>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</si>
  <si>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</si>
  <si>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</si>
  <si>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</si>
  <si>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</si>
  <si>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</si>
  <si>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</si>
  <si>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</si>
  <si>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</si>
  <si>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</si>
  <si>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</si>
  <si>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</si>
  <si>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</si>
  <si>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</si>
  <si>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</si>
  <si>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</si>
  <si>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</si>
  <si>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</si>
  <si>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</si>
  <si>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</si>
  <si>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</si>
  <si>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</si>
  <si>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</si>
  <si>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</si>
  <si>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</si>
  <si>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</si>
  <si>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</si>
  <si>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</si>
  <si>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</si>
  <si>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</si>
  <si>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</si>
  <si>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</si>
  <si>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</si>
  <si>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</si>
  <si>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</si>
  <si>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</si>
  <si>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</si>
  <si>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</si>
  <si>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</si>
  <si>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</si>
  <si>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</si>
  <si>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</si>
  <si>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</si>
  <si>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</si>
  <si>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</si>
  <si>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</si>
  <si>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</si>
  <si>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</si>
  <si>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</si>
  <si>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</si>
  <si>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</si>
  <si>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</si>
  <si>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</si>
  <si>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</si>
  <si>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</si>
  <si>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</si>
  <si>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</si>
  <si>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</si>
  <si>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</si>
  <si>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</si>
  <si>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</si>
  <si>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</si>
  <si>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</si>
  <si>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</si>
  <si>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</si>
  <si>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</si>
  <si>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</si>
  <si>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</si>
  <si>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</si>
  <si>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</si>
  <si>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</si>
  <si>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</si>
  <si>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</si>
  <si>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</si>
  <si>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</si>
  <si>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</si>
  <si>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</si>
  <si>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</si>
  <si>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</si>
  <si>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</si>
  <si>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</si>
  <si>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</si>
  <si>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</si>
  <si>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</si>
  <si>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</si>
  <si>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</si>
  <si>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</si>
  <si>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</si>
  <si>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</si>
  <si>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</si>
  <si>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</si>
  <si>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</si>
  <si>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</si>
  <si>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</si>
  <si>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</si>
  <si>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</si>
  <si>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</si>
  <si>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</si>
  <si>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</si>
  <si>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</si>
  <si>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</si>
  <si>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</si>
  <si>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</si>
  <si>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</si>
  <si>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</si>
  <si>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</si>
  <si>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</si>
  <si>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</si>
  <si>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</si>
  <si>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</si>
  <si>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</si>
  <si>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</si>
  <si>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</si>
  <si>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</si>
  <si>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</si>
  <si>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</si>
  <si>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</si>
  <si>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</si>
  <si>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</si>
  <si>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</si>
  <si>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</si>
  <si>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</si>
  <si>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</si>
  <si>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</si>
  <si>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</si>
  <si>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</si>
  <si>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</si>
  <si>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</si>
  <si>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</si>
  <si>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</si>
  <si>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</si>
  <si>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</si>
  <si>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</si>
  <si>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</si>
  <si>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</si>
  <si>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</si>
  <si>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</si>
  <si>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</si>
  <si>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</si>
  <si>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</si>
  <si>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</si>
  <si>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</si>
  <si>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</si>
  <si>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</si>
  <si>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</si>
  <si>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</si>
  <si>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</si>
  <si>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</si>
  <si>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</si>
  <si>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</si>
  <si>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</si>
  <si>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</si>
  <si>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</si>
  <si>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</si>
  <si>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</si>
  <si>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</si>
  <si>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</si>
  <si>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</si>
  <si>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</si>
  <si>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</si>
  <si>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</si>
  <si>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</si>
  <si>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</si>
  <si>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</si>
  <si>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</si>
  <si>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</si>
  <si>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</si>
  <si>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</si>
  <si>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</si>
  <si>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</si>
  <si>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</si>
  <si>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</si>
  <si>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</si>
  <si>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</si>
  <si>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</si>
  <si>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</si>
  <si>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</si>
  <si>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</si>
  <si>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</si>
  <si>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</si>
  <si>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</si>
  <si>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</si>
  <si>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</si>
  <si>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</si>
  <si>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</si>
  <si>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</si>
  <si>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</si>
  <si>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</si>
  <si>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</si>
  <si>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</si>
  <si>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</si>
  <si>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</si>
  <si>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</si>
  <si>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</si>
  <si>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</si>
  <si>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</si>
  <si>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</si>
  <si>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</si>
  <si>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</si>
  <si>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</si>
  <si>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</si>
  <si>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</si>
  <si>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</si>
  <si>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</si>
  <si>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</si>
  <si>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</si>
  <si>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</si>
  <si>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</si>
  <si>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</si>
  <si>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</si>
  <si>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</si>
  <si>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</si>
  <si>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</si>
  <si>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</si>
  <si>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</si>
  <si>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</si>
  <si>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</si>
  <si>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</si>
  <si>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</si>
  <si>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</si>
  <si>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</si>
  <si>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</si>
  <si>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</si>
  <si>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</si>
  <si>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</si>
  <si>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</si>
  <si>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</si>
  <si>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</si>
  <si>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</si>
  <si>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</si>
  <si>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</si>
  <si>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</si>
  <si>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</si>
  <si>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</si>
  <si>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</si>
  <si>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</si>
  <si>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</si>
  <si>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</si>
  <si>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</si>
  <si>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</si>
  <si>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</si>
  <si>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</si>
  <si>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</si>
  <si>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</si>
  <si>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</si>
  <si>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</si>
  <si>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</si>
  <si>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</si>
  <si>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</si>
  <si>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</si>
  <si>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</si>
  <si>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</si>
  <si>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</si>
  <si>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</si>
  <si>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</si>
  <si>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</si>
  <si>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</si>
  <si>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</si>
  <si>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</si>
  <si>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</si>
  <si>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</si>
  <si>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</si>
  <si>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</si>
  <si>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</si>
  <si>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</si>
  <si>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</si>
  <si>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</si>
  <si>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</si>
  <si>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</si>
  <si>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</si>
  <si>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</si>
  <si>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</si>
  <si>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</si>
  <si>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</si>
  <si>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</si>
  <si>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</si>
  <si>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</si>
  <si>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</si>
  <si>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</si>
  <si>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</si>
  <si>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</si>
  <si>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</si>
  <si>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</si>
  <si>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</si>
  <si>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</si>
  <si>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</si>
  <si>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</si>
  <si>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</si>
  <si>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</si>
  <si>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</si>
  <si>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</si>
  <si>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</si>
  <si>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</si>
  <si>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</si>
  <si>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</si>
  <si>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</si>
  <si>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</si>
  <si>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</si>
  <si>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</si>
  <si>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</si>
  <si>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</si>
  <si>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</si>
  <si>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</si>
  <si>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</si>
  <si>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</si>
  <si>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</si>
  <si>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</si>
  <si>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</si>
  <si>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</si>
  <si>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</si>
  <si>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</si>
  <si>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</si>
  <si>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</si>
  <si>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</si>
  <si>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</si>
  <si>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</si>
  <si>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</si>
  <si>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</si>
  <si>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</si>
  <si>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</si>
  <si>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</si>
  <si>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</si>
  <si>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</si>
  <si>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</si>
  <si>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</si>
  <si>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</si>
  <si>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</si>
  <si>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</si>
  <si>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</si>
  <si>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</si>
  <si>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</si>
  <si>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</si>
  <si>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</si>
  <si>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</si>
  <si>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</si>
  <si>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</si>
  <si>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</si>
  <si>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</si>
  <si>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</si>
  <si>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</si>
  <si>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</si>
  <si>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</si>
  <si>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</si>
  <si>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</si>
  <si>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</si>
  <si>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</si>
  <si>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</si>
  <si>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</si>
  <si>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</si>
  <si>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</si>
  <si>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</si>
  <si>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</si>
  <si>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</si>
  <si>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</si>
  <si>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</si>
  <si>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</si>
  <si>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</si>
  <si>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</si>
  <si>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</si>
  <si>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</si>
  <si>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</si>
  <si>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</si>
  <si>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</si>
  <si>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</si>
  <si>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</si>
  <si>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</si>
  <si>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</si>
  <si>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</si>
  <si>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</si>
  <si>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</si>
  <si>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</si>
  <si>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</si>
  <si>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</si>
  <si>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</si>
  <si>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</si>
  <si>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</si>
  <si>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</si>
  <si>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</si>
  <si>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</si>
  <si>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</si>
  <si>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</si>
  <si>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</si>
  <si>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</si>
  <si>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</si>
  <si>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</si>
  <si>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</si>
  <si>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</si>
  <si>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</si>
  <si>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</si>
  <si>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</si>
  <si>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</si>
  <si>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</si>
  <si>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</si>
  <si>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</si>
  <si>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</si>
  <si>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</si>
  <si>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</si>
  <si>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</si>
  <si>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</si>
  <si>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</si>
  <si>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</si>
  <si>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</si>
  <si>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</si>
  <si>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</si>
  <si>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</si>
  <si>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</si>
  <si>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</si>
  <si>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</si>
  <si>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</si>
  <si>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</si>
  <si>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</si>
  <si>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</si>
  <si>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</si>
  <si>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</si>
  <si>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</si>
  <si>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</si>
  <si>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</si>
  <si>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</si>
  <si>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</si>
  <si>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</si>
  <si>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</si>
  <si>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</si>
  <si>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</si>
  <si>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</si>
  <si>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</si>
  <si>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</si>
  <si>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</si>
  <si>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</si>
  <si>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</si>
  <si>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</si>
  <si>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</si>
  <si>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</si>
  <si>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</si>
  <si>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</si>
  <si>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</si>
  <si>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</si>
  <si>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</si>
  <si>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</si>
  <si>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</si>
  <si>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</si>
  <si>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</si>
  <si>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</si>
  <si>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</si>
  <si>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</si>
  <si>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</si>
  <si>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</si>
  <si>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</si>
  <si>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</si>
  <si>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</si>
  <si>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</si>
  <si>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</si>
  <si>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</si>
  <si>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</si>
  <si>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</si>
  <si>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</si>
  <si>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</si>
  <si>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</si>
  <si>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</si>
  <si>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</si>
  <si>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</si>
  <si>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</si>
  <si>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</si>
  <si>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</si>
  <si>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</si>
  <si>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</si>
  <si>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</si>
  <si>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</si>
  <si>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</si>
  <si>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</si>
  <si>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</si>
  <si>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</si>
  <si>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</si>
  <si>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</si>
  <si>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</si>
  <si>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</si>
  <si>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</si>
  <si>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</si>
  <si>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</si>
  <si>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</si>
  <si>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</si>
  <si>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</si>
  <si>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</si>
  <si>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</si>
  <si>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</si>
  <si>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</si>
  <si>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</si>
  <si>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</si>
  <si>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</si>
  <si>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</si>
  <si>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</si>
  <si>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</si>
  <si>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</si>
  <si>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</si>
  <si>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</si>
  <si>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</si>
  <si>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</si>
  <si>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</si>
  <si>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</si>
  <si>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</si>
  <si>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</si>
  <si>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</si>
  <si>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</si>
  <si>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</si>
  <si>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</si>
  <si>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</si>
  <si>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</si>
  <si>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</si>
  <si>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</si>
  <si>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</si>
  <si>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</si>
  <si>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</si>
  <si>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</si>
  <si>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</si>
  <si>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</si>
  <si>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</si>
  <si>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</si>
  <si>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</si>
  <si>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</si>
  <si>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</si>
  <si>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</si>
  <si>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</si>
  <si>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</si>
  <si>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</si>
  <si>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</si>
  <si>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</si>
  <si>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</si>
  <si>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</si>
  <si>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</si>
  <si>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</si>
  <si>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</si>
  <si>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</si>
  <si>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</si>
  <si>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</si>
  <si>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</si>
  <si>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</si>
  <si>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</si>
  <si>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</si>
  <si>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</si>
  <si>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</si>
  <si>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</si>
  <si>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</si>
  <si>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</si>
  <si>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</si>
  <si>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</si>
  <si>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</si>
  <si>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</si>
  <si>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</si>
  <si>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</si>
  <si>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</si>
  <si>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</si>
  <si>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</si>
  <si>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</si>
  <si>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</si>
  <si>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</si>
  <si>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</si>
  <si>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</si>
  <si>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</si>
  <si>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</si>
  <si>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</si>
  <si>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</si>
  <si>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</si>
  <si>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</si>
  <si>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</si>
  <si>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</si>
  <si>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</si>
  <si>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</si>
  <si>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</si>
  <si>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</si>
  <si>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</si>
  <si>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</si>
  <si>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</si>
  <si>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</si>
  <si>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</si>
  <si>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</si>
  <si>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</si>
  <si>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</si>
  <si>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</si>
  <si>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</si>
  <si>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</si>
  <si>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</si>
  <si>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</si>
  <si>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</si>
  <si>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</si>
  <si>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</si>
  <si>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</si>
  <si>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</si>
  <si>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</si>
  <si>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</si>
  <si>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</si>
  <si>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</si>
  <si>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</si>
  <si>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</si>
  <si>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</si>
  <si>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</si>
  <si>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</si>
  <si>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</si>
  <si>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</si>
  <si>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</si>
  <si>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</si>
  <si>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</si>
  <si>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</si>
  <si>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</si>
  <si>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</si>
  <si>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</si>
  <si>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</si>
  <si>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</si>
  <si>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</si>
  <si>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</si>
  <si>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</si>
  <si>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</si>
  <si>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</si>
  <si>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</si>
  <si>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</si>
  <si>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</si>
  <si>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</si>
  <si>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</si>
  <si>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</si>
  <si>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</si>
  <si>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</si>
  <si>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</si>
  <si>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</si>
  <si>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</si>
  <si>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</si>
  <si>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</si>
  <si>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</si>
  <si>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</si>
  <si>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</si>
  <si>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</si>
  <si>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</si>
  <si>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</si>
  <si>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</si>
  <si>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</si>
  <si>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</si>
  <si>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</si>
  <si>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</si>
  <si>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</si>
  <si>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</si>
  <si>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</si>
  <si>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</si>
  <si>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</si>
  <si>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</si>
  <si>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</si>
  <si>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</si>
  <si>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</si>
  <si>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</si>
  <si>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</si>
  <si>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</si>
  <si>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</si>
  <si>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</si>
  <si>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</si>
  <si>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</si>
  <si>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</si>
  <si>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</si>
  <si>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</si>
  <si>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</si>
  <si>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</si>
  <si>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</si>
  <si>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</si>
  <si>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</si>
  <si>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</si>
  <si>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</si>
  <si>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</si>
  <si>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</si>
  <si>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</si>
  <si>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</si>
  <si>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</si>
  <si>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</si>
  <si>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</si>
  <si>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</si>
  <si>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</si>
  <si>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</si>
  <si>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</si>
  <si>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</si>
  <si>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</si>
  <si>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</si>
  <si>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</si>
  <si>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</si>
  <si>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</si>
  <si>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</si>
  <si>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</si>
  <si>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</si>
  <si>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</si>
  <si>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</si>
  <si>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</si>
  <si>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</si>
  <si>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</si>
  <si>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</si>
  <si>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</si>
  <si>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</si>
  <si>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</si>
  <si>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</si>
  <si>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</si>
  <si>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</si>
  <si>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</si>
  <si>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</si>
  <si>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</si>
  <si>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</si>
  <si>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</si>
  <si>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</si>
  <si>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</si>
  <si>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</si>
  <si>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</si>
  <si>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</si>
  <si>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</si>
  <si>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</si>
  <si>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</si>
  <si>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</si>
  <si>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</si>
  <si>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</si>
  <si>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</si>
  <si>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</si>
  <si>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</si>
  <si>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</si>
  <si>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</si>
  <si>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</si>
  <si>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</si>
  <si>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</si>
  <si>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</si>
  <si>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</si>
  <si>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</si>
  <si>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</si>
  <si>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</si>
  <si>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</si>
  <si>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</si>
  <si>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</si>
  <si>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</si>
  <si>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</si>
  <si>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</si>
  <si>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</si>
  <si>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</si>
  <si>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</si>
  <si>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</si>
  <si>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</si>
  <si>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</si>
  <si>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</si>
  <si>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</si>
  <si>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</si>
  <si>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</si>
  <si>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</si>
  <si>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</si>
  <si>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</si>
  <si>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</si>
  <si>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</si>
  <si>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</si>
  <si>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</si>
  <si>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</si>
  <si>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</si>
  <si>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</si>
  <si>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</si>
  <si>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</si>
  <si>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</si>
  <si>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</si>
  <si>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</si>
  <si>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</si>
  <si>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</si>
  <si>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</si>
  <si>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</si>
  <si>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</si>
  <si>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</si>
  <si>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</si>
  <si>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</si>
  <si>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</si>
  <si>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</si>
  <si>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</si>
  <si>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</si>
  <si>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</si>
  <si>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</si>
  <si>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</si>
  <si>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</si>
  <si>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</si>
  <si>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</si>
  <si>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</si>
  <si>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</si>
  <si>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</si>
  <si>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</si>
  <si>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</si>
  <si>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</si>
  <si>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</si>
  <si>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</si>
  <si>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</si>
  <si>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</si>
  <si>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</si>
  <si>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</si>
  <si>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</si>
  <si>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</si>
  <si>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</si>
  <si>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</si>
  <si>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</si>
  <si>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</si>
  <si>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</si>
  <si>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</si>
  <si>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</si>
  <si>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</si>
  <si>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</si>
  <si>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</si>
  <si>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</si>
  <si>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</si>
  <si>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</si>
  <si>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</si>
  <si>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</si>
  <si>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</si>
  <si>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</si>
  <si>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</si>
  <si>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</si>
  <si>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</si>
  <si>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</si>
  <si>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</si>
  <si>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</si>
  <si>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</si>
  <si>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</si>
  <si>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</si>
  <si>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</si>
  <si>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</si>
  <si>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</si>
  <si>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</si>
  <si>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</si>
  <si>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</si>
  <si>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</si>
  <si>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</si>
  <si>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</si>
  <si>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</si>
  <si>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</si>
  <si>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</si>
  <si>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</si>
  <si>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</si>
  <si>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</si>
  <si>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</si>
  <si>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</si>
  <si>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</si>
  <si>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</si>
  <si>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</si>
  <si>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</si>
  <si>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</si>
  <si>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</si>
  <si>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</si>
  <si>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</si>
  <si>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</si>
  <si>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</si>
  <si>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</si>
  <si>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</si>
  <si>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</si>
  <si>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</si>
  <si>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</si>
  <si>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</si>
  <si>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</si>
  <si>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</si>
  <si>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</si>
  <si>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</si>
  <si>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</si>
  <si>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</si>
  <si>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</si>
  <si>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</si>
  <si>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</si>
  <si>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</si>
  <si>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</si>
  <si>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</si>
  <si>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</si>
  <si>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</si>
  <si>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</si>
  <si>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</si>
  <si>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</si>
  <si>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</si>
  <si>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</si>
  <si>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</si>
  <si>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</si>
  <si>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</si>
  <si>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</si>
  <si>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</si>
  <si>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</si>
  <si>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</si>
  <si>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</si>
  <si>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</si>
  <si>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</si>
  <si>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</si>
  <si>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</si>
  <si>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</si>
  <si>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</si>
  <si>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</si>
  <si>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</si>
  <si>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</si>
  <si>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</si>
  <si>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</si>
  <si>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</si>
  <si>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</si>
  <si>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</si>
  <si>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</si>
  <si>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</si>
  <si>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</si>
  <si>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</si>
  <si>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</si>
  <si>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</si>
  <si>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</si>
  <si>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</si>
  <si>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</si>
  <si>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</si>
  <si>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</si>
  <si>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</si>
  <si>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</si>
  <si>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</si>
  <si>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</si>
  <si>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</si>
  <si>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</si>
  <si>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</si>
  <si>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</si>
  <si>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</si>
  <si>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</si>
  <si>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</si>
  <si>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</si>
  <si>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</si>
  <si>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</si>
  <si>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</si>
  <si>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</si>
  <si>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</si>
  <si>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</si>
  <si>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</si>
  <si>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</si>
  <si>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</si>
  <si>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</si>
  <si>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</si>
  <si>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</si>
  <si>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</si>
  <si>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</si>
  <si>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</si>
  <si>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</si>
  <si>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</si>
  <si>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</si>
  <si>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</si>
  <si>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</si>
  <si>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</si>
  <si>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</si>
  <si>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</si>
  <si>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</si>
  <si>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</si>
  <si>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</si>
  <si>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</si>
  <si>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</si>
  <si>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</si>
  <si>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</si>
  <si>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</si>
  <si>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</si>
  <si>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</si>
  <si>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</si>
  <si>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</si>
  <si>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</si>
  <si>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</si>
  <si>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</si>
  <si>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</si>
  <si>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</si>
  <si>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</si>
  <si>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</si>
  <si>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</si>
  <si>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</si>
  <si>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</si>
  <si>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</si>
  <si>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</si>
  <si>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</si>
  <si>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</si>
  <si>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</si>
  <si>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</si>
  <si>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</si>
  <si>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</si>
  <si>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</si>
  <si>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</si>
  <si>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</si>
  <si>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</si>
  <si>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</si>
  <si>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</si>
  <si>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</si>
  <si>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</si>
  <si>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</si>
  <si>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</si>
  <si>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</si>
  <si>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</si>
  <si>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</si>
  <si>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</si>
  <si>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</si>
  <si>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</si>
  <si>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</si>
  <si>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</si>
  <si>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</si>
  <si>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</si>
  <si>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</si>
  <si>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</si>
  <si>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</si>
  <si>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</si>
  <si>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</si>
  <si>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</si>
  <si>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</si>
  <si>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</si>
  <si>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</si>
  <si>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</si>
  <si>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</si>
  <si>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</si>
  <si>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</si>
  <si>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</si>
  <si>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</si>
  <si>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</si>
  <si>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</si>
  <si>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</si>
  <si>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</si>
  <si>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</si>
  <si>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</si>
  <si>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</si>
  <si>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</si>
  <si>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</si>
  <si>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</si>
  <si>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</si>
  <si>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</si>
  <si>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</si>
  <si>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</si>
  <si>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</si>
  <si>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</si>
  <si>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</si>
  <si>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</si>
  <si>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</si>
  <si>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</si>
  <si>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</si>
  <si>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</si>
  <si>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</si>
  <si>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</si>
  <si>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</si>
  <si>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</si>
  <si>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</si>
  <si>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</si>
  <si>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</si>
  <si>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</si>
  <si>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</si>
  <si>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</si>
  <si>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</si>
  <si>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</si>
  <si>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</si>
  <si>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</si>
  <si>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</si>
  <si>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</si>
  <si>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</si>
  <si>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</si>
  <si>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</si>
  <si>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</si>
  <si>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</si>
  <si>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</si>
  <si>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</si>
  <si>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</si>
  <si>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</si>
  <si>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</si>
  <si>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</si>
  <si>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</si>
  <si>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</si>
  <si>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</si>
  <si>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</si>
  <si>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</si>
  <si>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</si>
  <si>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</si>
  <si>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</si>
  <si>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</si>
  <si>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</si>
  <si>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</si>
  <si>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</si>
  <si>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</si>
  <si>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</si>
  <si>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</si>
  <si>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</si>
  <si>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</si>
  <si>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</si>
  <si>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</si>
  <si>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</si>
  <si>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</si>
  <si>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</si>
  <si>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</si>
  <si>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</si>
  <si>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</si>
  <si>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</si>
  <si>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</si>
  <si>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</si>
  <si>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</si>
  <si>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</si>
  <si>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</si>
  <si>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</si>
  <si>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</si>
  <si>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</si>
  <si>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</si>
  <si>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</si>
  <si>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</si>
  <si>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</si>
  <si>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</si>
  <si>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</si>
  <si>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</si>
  <si>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</si>
  <si>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</si>
  <si>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</si>
  <si>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</si>
  <si>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</si>
  <si>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</si>
  <si>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</si>
  <si>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</si>
  <si>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</si>
  <si>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</si>
  <si>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</si>
  <si>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</si>
  <si>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</si>
  <si>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</si>
  <si>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</si>
  <si>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</si>
  <si>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</si>
  <si>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</si>
  <si>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</si>
  <si>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</si>
  <si>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</si>
  <si>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</si>
  <si>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</si>
  <si>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</si>
  <si>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</si>
  <si>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</si>
  <si>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</si>
  <si>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</si>
  <si>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</si>
  <si>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</si>
  <si>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</si>
  <si>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</si>
  <si>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</si>
  <si>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</si>
  <si>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</si>
  <si>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</si>
  <si>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</si>
  <si>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</si>
  <si>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</si>
  <si>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</si>
  <si>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</si>
  <si>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</si>
  <si>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</si>
  <si>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</si>
  <si>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</si>
  <si>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</si>
  <si>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</si>
  <si>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</si>
  <si>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</si>
  <si>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</si>
  <si>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</si>
  <si>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</si>
  <si>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</si>
  <si>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</si>
  <si>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</si>
  <si>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</si>
  <si>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</si>
  <si>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</si>
  <si>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</si>
  <si>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</si>
  <si>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</si>
  <si>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</si>
  <si>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</si>
  <si>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</si>
  <si>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</si>
  <si>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</si>
  <si>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</si>
  <si>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</si>
  <si>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</si>
  <si>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</si>
  <si>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</si>
  <si>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</si>
  <si>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</si>
  <si>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</si>
  <si>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</si>
  <si>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</si>
  <si>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</si>
  <si>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</si>
  <si>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</si>
  <si>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</si>
  <si>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</si>
  <si>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</si>
  <si>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</si>
  <si>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</si>
  <si>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</si>
  <si>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</si>
  <si>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</si>
  <si>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</si>
  <si>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</si>
  <si>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</si>
  <si>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</si>
  <si>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</si>
  <si>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</si>
  <si>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</si>
  <si>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</si>
  <si>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</si>
  <si>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</si>
  <si>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</si>
  <si>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</si>
  <si>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</si>
  <si>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</si>
  <si>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</si>
  <si>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</si>
  <si>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</si>
  <si>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</si>
  <si>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</si>
  <si>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</si>
  <si>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</si>
  <si>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</si>
  <si>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</si>
  <si>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</si>
  <si>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</si>
  <si>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</si>
  <si>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</si>
  <si>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</si>
  <si>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</si>
  <si>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</si>
  <si>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</si>
  <si>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</si>
  <si>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</si>
  <si>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</si>
  <si>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</si>
  <si>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</si>
  <si>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</si>
  <si>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</si>
  <si>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</si>
  <si>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</si>
  <si>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</si>
  <si>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</si>
  <si>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</si>
  <si>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</si>
  <si>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</si>
  <si>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</si>
  <si>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</si>
  <si>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</si>
  <si>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</si>
  <si>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</si>
  <si>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</si>
  <si>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</si>
  <si>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</si>
  <si>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</si>
  <si>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</si>
  <si>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</si>
  <si>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</si>
  <si>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</si>
  <si>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</si>
  <si>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</si>
  <si>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</si>
  <si>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</si>
  <si>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</si>
  <si>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</si>
  <si>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</si>
  <si>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</si>
  <si>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</si>
  <si>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</si>
  <si>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</si>
  <si>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</si>
  <si>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</si>
  <si>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</si>
  <si>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</si>
  <si>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</si>
  <si>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</si>
  <si>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</si>
  <si>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</si>
  <si>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</si>
  <si>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</si>
  <si>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</si>
  <si>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</si>
  <si>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</si>
  <si>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</si>
  <si>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</si>
  <si>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</si>
  <si>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</si>
  <si>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</si>
  <si>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</si>
  <si>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</si>
  <si>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</si>
  <si>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</si>
  <si>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</si>
  <si>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</si>
  <si>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</si>
  <si>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</si>
  <si>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</si>
  <si>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</si>
  <si>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</si>
  <si>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</si>
  <si>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</si>
  <si>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</si>
  <si>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</si>
  <si>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</si>
  <si>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</si>
  <si>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</si>
  <si>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</si>
  <si>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</si>
  <si>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</si>
  <si>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</si>
  <si>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</si>
  <si>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</si>
  <si>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</si>
  <si>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</si>
  <si>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</si>
  <si>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</si>
  <si>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</si>
  <si>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</si>
  <si>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</si>
  <si>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</si>
  <si>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</si>
  <si>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</si>
  <si>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</si>
  <si>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</si>
  <si>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</si>
  <si>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</si>
  <si>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</si>
  <si>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</si>
  <si>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</si>
  <si>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</si>
  <si>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</si>
  <si>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</si>
  <si>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</si>
  <si>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</si>
  <si>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</si>
  <si>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</si>
  <si>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</si>
  <si>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</si>
  <si>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</si>
  <si>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</si>
  <si>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</si>
  <si>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</si>
  <si>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</si>
  <si>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</si>
  <si>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</si>
  <si>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</si>
  <si>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</si>
  <si>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</si>
  <si>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</si>
  <si>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</si>
  <si>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</si>
  <si>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</si>
  <si>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</si>
  <si>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</si>
  <si>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</si>
  <si>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</si>
  <si>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</si>
  <si>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</si>
  <si>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</si>
  <si>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</si>
  <si>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</si>
  <si>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</si>
  <si>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</si>
  <si>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</si>
  <si>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</si>
  <si>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</si>
  <si>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</si>
  <si>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</si>
  <si>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</si>
  <si>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</si>
  <si>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</si>
  <si>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</si>
  <si>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</si>
  <si>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</si>
  <si>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</si>
  <si>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</si>
  <si>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</si>
  <si>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</si>
  <si>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</si>
  <si>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</si>
  <si>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</si>
  <si>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</si>
  <si>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</si>
  <si>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</si>
  <si>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</si>
  <si>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</si>
  <si>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</si>
  <si>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</si>
  <si>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</si>
  <si>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</si>
  <si>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</si>
  <si>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</si>
  <si>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</si>
  <si>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</si>
  <si>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</si>
  <si>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</si>
  <si>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</si>
  <si>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</si>
  <si>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</si>
  <si>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</si>
  <si>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</si>
  <si>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</si>
  <si>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</si>
  <si>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</si>
  <si>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</si>
  <si>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</si>
  <si>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</si>
  <si>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</si>
  <si>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</si>
  <si>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</si>
  <si>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</si>
  <si>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</si>
  <si>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</si>
  <si>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</si>
  <si>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</si>
  <si>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</si>
  <si>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</si>
  <si>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</si>
  <si>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</si>
  <si>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</si>
  <si>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</si>
  <si>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</si>
  <si>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</si>
  <si>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</si>
  <si>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</si>
  <si>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</si>
  <si>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</si>
  <si>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</si>
  <si>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</si>
  <si>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</si>
  <si>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</si>
  <si>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</si>
  <si>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</si>
  <si>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</si>
  <si>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</si>
  <si>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</si>
  <si>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</si>
  <si>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</si>
  <si>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</si>
  <si>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</si>
  <si>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</si>
  <si>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</si>
  <si>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</si>
  <si>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</si>
  <si>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</si>
  <si>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</si>
  <si>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</si>
  <si>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</si>
  <si>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</si>
  <si>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</si>
  <si>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</si>
  <si>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</si>
  <si>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</si>
  <si>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</si>
  <si>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</si>
  <si>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</si>
  <si>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</si>
  <si>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</si>
  <si>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</si>
  <si>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</si>
  <si>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</si>
  <si>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</si>
  <si>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</si>
  <si>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</si>
  <si>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</si>
  <si>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</si>
  <si>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</si>
  <si>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</si>
  <si>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</si>
  <si>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</si>
  <si>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</si>
  <si>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</si>
  <si>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</si>
  <si>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</si>
  <si>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</si>
  <si>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</si>
  <si>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</si>
  <si>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</si>
  <si>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</si>
  <si>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</si>
  <si>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</si>
  <si>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</si>
  <si>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</si>
  <si>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</si>
  <si>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</si>
  <si>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</si>
  <si>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</si>
  <si>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</si>
  <si>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</si>
  <si>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</si>
  <si>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</si>
  <si>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</si>
  <si>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</si>
  <si>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</si>
  <si>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</si>
  <si>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</si>
  <si>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</si>
  <si>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</si>
  <si>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</si>
  <si>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</si>
  <si>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</si>
  <si>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</si>
  <si>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</si>
  <si>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</si>
  <si>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</si>
  <si>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</si>
  <si>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</si>
  <si>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</si>
  <si>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</si>
  <si>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</si>
  <si>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</si>
  <si>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</si>
  <si>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</si>
  <si>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</si>
  <si>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</si>
  <si>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</si>
  <si>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</si>
  <si>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</si>
  <si>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</si>
  <si>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</si>
  <si>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</si>
  <si>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</si>
  <si>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</si>
  <si>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</si>
  <si>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</si>
  <si>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</si>
  <si>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</si>
  <si>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</si>
  <si>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</si>
  <si>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</si>
  <si>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</si>
  <si>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</si>
  <si>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</si>
  <si>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</si>
  <si>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</si>
  <si>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</si>
  <si>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</si>
  <si>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</si>
  <si>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</si>
  <si>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</si>
  <si>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</si>
  <si>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</si>
  <si>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</si>
  <si>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</si>
  <si>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</si>
  <si>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</si>
  <si>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</si>
  <si>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</si>
  <si>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</si>
  <si>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</si>
  <si>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</si>
  <si>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</si>
  <si>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</si>
  <si>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</si>
  <si>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</si>
  <si>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</si>
  <si>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</si>
  <si>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</si>
  <si>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</si>
  <si>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</si>
  <si>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</si>
  <si>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</si>
  <si>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</si>
  <si>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</si>
  <si>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</si>
  <si>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</si>
  <si>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</si>
  <si>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</si>
  <si>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</si>
  <si>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</si>
  <si>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</si>
  <si>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</si>
  <si>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</si>
  <si>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</si>
  <si>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</si>
  <si>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</si>
  <si>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</si>
  <si>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</si>
  <si>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</si>
  <si>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</si>
  <si>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</si>
  <si>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</si>
  <si>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</si>
  <si>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</si>
  <si>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</si>
  <si>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</si>
  <si>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</si>
  <si>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</si>
  <si>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</si>
  <si>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</si>
  <si>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</si>
  <si>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</si>
  <si>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</si>
  <si>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</si>
  <si>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</si>
  <si>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</si>
  <si>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</si>
  <si>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</si>
  <si>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</si>
  <si>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</si>
  <si>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</si>
  <si>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</si>
  <si>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</si>
  <si>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</si>
  <si>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</si>
  <si>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</si>
  <si>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</si>
  <si>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</si>
  <si>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</si>
  <si>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</si>
  <si>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</si>
  <si>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</si>
  <si>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</si>
  <si>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</si>
  <si>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</si>
  <si>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</si>
  <si>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</si>
  <si>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</si>
  <si>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</si>
  <si>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</si>
  <si>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</si>
  <si>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</si>
  <si>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</si>
  <si>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</si>
  <si>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</si>
  <si>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</si>
  <si>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</si>
  <si>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</si>
  <si>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</si>
  <si>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</si>
  <si>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</si>
  <si>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</si>
  <si>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</si>
  <si>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</si>
  <si>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</si>
  <si>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</si>
  <si>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</si>
  <si>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</si>
  <si>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</si>
  <si>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</si>
  <si>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</si>
  <si>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</si>
  <si>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</si>
  <si>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</si>
  <si>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</si>
  <si>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</si>
  <si>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</si>
  <si>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</si>
  <si>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</si>
  <si>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</si>
  <si>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</si>
  <si>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</si>
  <si>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</si>
  <si>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</si>
  <si>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</si>
  <si>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</si>
  <si>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</si>
  <si>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</si>
  <si>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</si>
  <si>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</si>
  <si>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</si>
  <si>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</si>
  <si>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</si>
  <si>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</si>
  <si>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</si>
  <si>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</si>
  <si>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</si>
  <si>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</si>
  <si>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</si>
  <si>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</si>
  <si>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</si>
  <si>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</si>
  <si>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</si>
  <si>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</si>
  <si>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</si>
  <si>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</si>
  <si>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</si>
  <si>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</si>
  <si>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</si>
  <si>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</si>
  <si>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</si>
  <si>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</si>
  <si>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</si>
  <si>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</si>
  <si>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</si>
  <si>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</si>
  <si>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</si>
  <si>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</si>
  <si>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</si>
  <si>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</si>
  <si>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</si>
  <si>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</si>
  <si>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</si>
  <si>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</si>
  <si>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</si>
  <si>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</si>
  <si>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</si>
  <si>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</si>
  <si>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</si>
  <si>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</si>
  <si>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</si>
  <si>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</si>
  <si>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</si>
  <si>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</si>
  <si>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</si>
  <si>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</si>
  <si>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</si>
  <si>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</si>
  <si>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</si>
  <si>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</si>
  <si>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</si>
  <si>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</si>
  <si>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</si>
  <si>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</si>
  <si>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</si>
  <si>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</si>
  <si>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</si>
  <si>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</si>
  <si>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</si>
  <si>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</si>
  <si>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</si>
  <si>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</si>
  <si>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</si>
  <si>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</si>
  <si>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</si>
  <si>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</si>
  <si>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</si>
  <si>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</si>
  <si>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</si>
  <si>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</si>
  <si>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</si>
  <si>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</si>
  <si>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</si>
  <si>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</si>
  <si>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</si>
  <si>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</si>
  <si>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</si>
  <si>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</si>
  <si>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</si>
  <si>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</si>
  <si>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</si>
  <si>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</si>
  <si>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</si>
  <si>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</si>
  <si>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</si>
  <si>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</si>
  <si>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</si>
  <si>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</si>
  <si>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</si>
  <si>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</si>
  <si>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</si>
  <si>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</si>
  <si>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</si>
  <si>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</si>
  <si>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</si>
  <si>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</si>
  <si>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</si>
  <si>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</si>
  <si>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</si>
  <si>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</si>
  <si>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</si>
  <si>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</si>
  <si>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</si>
  <si>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</si>
  <si>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</si>
  <si>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</si>
  <si>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</si>
  <si>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</si>
  <si>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</si>
  <si>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</si>
  <si>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</si>
  <si>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</si>
  <si>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</si>
  <si>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</si>
  <si>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</si>
  <si>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</si>
  <si>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</si>
  <si>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</si>
  <si>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</si>
  <si>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</si>
  <si>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</si>
  <si>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</si>
  <si>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</si>
  <si>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</si>
  <si>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</si>
  <si>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</si>
  <si>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</si>
  <si>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</si>
  <si>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</si>
  <si>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</si>
  <si>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</si>
  <si>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</si>
  <si>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</si>
  <si>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</si>
  <si>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</si>
  <si>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</si>
  <si>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</si>
  <si>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</si>
  <si>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</si>
  <si>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</si>
  <si>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</si>
  <si>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</si>
  <si>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</si>
  <si>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</si>
  <si>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</si>
  <si>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</si>
  <si>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</si>
  <si>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</si>
  <si>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</si>
  <si>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</si>
  <si>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</si>
  <si>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</si>
  <si>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</si>
  <si>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</si>
  <si>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</si>
  <si>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</si>
  <si>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</si>
  <si>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</si>
  <si>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</si>
  <si>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</si>
  <si>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</si>
  <si>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</si>
  <si>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</si>
  <si>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</si>
  <si>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</si>
  <si>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</si>
  <si>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</si>
  <si>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</si>
  <si>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</si>
  <si>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</si>
  <si>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</si>
  <si>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</si>
  <si>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</si>
  <si>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</si>
  <si>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</si>
  <si>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</si>
  <si>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</si>
  <si>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</si>
  <si>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</si>
  <si>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</si>
  <si>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</si>
  <si>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</si>
  <si>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</si>
  <si>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</si>
  <si>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</si>
  <si>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</si>
  <si>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</si>
  <si>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</si>
  <si>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</si>
  <si>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</si>
  <si>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</si>
  <si>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</si>
  <si>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</si>
  <si>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</si>
  <si>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</si>
  <si>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</si>
  <si>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</si>
  <si>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</si>
  <si>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</si>
  <si>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</si>
  <si>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</si>
  <si>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</si>
  <si>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</si>
  <si>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</si>
  <si>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</si>
  <si>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</si>
  <si>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</si>
  <si>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</si>
  <si>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</si>
  <si>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</si>
  <si>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</si>
  <si>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</si>
  <si>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</si>
  <si>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</si>
  <si>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</si>
  <si>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</si>
  <si>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</si>
  <si>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</si>
  <si>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</si>
  <si>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</si>
  <si>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</si>
  <si>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</si>
  <si>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</si>
  <si>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</si>
  <si>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</si>
  <si>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</si>
  <si>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</si>
  <si>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</si>
  <si>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</si>
  <si>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</si>
  <si>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</si>
  <si>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</si>
  <si>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</si>
  <si>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</si>
  <si>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</si>
  <si>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</si>
  <si>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</si>
  <si>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</si>
  <si>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</si>
  <si>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</si>
  <si>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</si>
  <si>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</si>
  <si>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</si>
  <si>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</si>
  <si>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</si>
  <si>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</si>
  <si>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</si>
  <si>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</si>
  <si>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</si>
  <si>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</si>
  <si>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</si>
  <si>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</si>
  <si>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</si>
  <si>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</si>
  <si>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</si>
  <si>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</si>
  <si>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</si>
  <si>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</si>
  <si>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</si>
  <si>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</si>
  <si>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</si>
  <si>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</si>
  <si>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</si>
  <si>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</si>
  <si>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</si>
  <si>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</si>
  <si>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</si>
  <si>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</si>
  <si>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</si>
  <si>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</si>
  <si>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</si>
  <si>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</si>
  <si>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</si>
  <si>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</si>
  <si>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</si>
  <si>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</si>
  <si>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</si>
  <si>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</si>
  <si>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</si>
  <si>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</si>
  <si>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</si>
  <si>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</si>
  <si>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</si>
  <si>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</si>
  <si>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</si>
  <si>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</si>
  <si>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</si>
  <si>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</si>
  <si>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</si>
  <si>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</si>
  <si>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</si>
  <si>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</si>
  <si>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</si>
  <si>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</si>
  <si>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</si>
  <si>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</si>
  <si>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</si>
  <si>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</si>
  <si>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</si>
  <si>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</si>
  <si>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</si>
  <si>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</si>
  <si>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</si>
  <si>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</si>
  <si>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</si>
  <si>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</si>
  <si>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</si>
  <si>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</si>
  <si>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</si>
  <si>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</si>
  <si>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</si>
  <si>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</si>
  <si>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</si>
  <si>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</si>
  <si>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</si>
  <si>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</si>
  <si>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</si>
  <si>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</si>
  <si>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</si>
  <si>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</si>
  <si>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</si>
  <si>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</si>
  <si>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</si>
  <si>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</si>
  <si>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</si>
  <si>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</si>
  <si>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</si>
  <si>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</si>
  <si>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</si>
  <si>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</si>
  <si>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</si>
  <si>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</si>
  <si>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</si>
  <si>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</si>
  <si>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</si>
  <si>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</si>
  <si>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</si>
  <si>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</si>
  <si>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</si>
  <si>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</si>
  <si>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</si>
  <si>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</si>
  <si>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</si>
  <si>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</si>
  <si>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</si>
  <si>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</si>
  <si>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</si>
  <si>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</si>
  <si>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</si>
  <si>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</si>
  <si>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</si>
  <si>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</si>
  <si>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</si>
  <si>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</si>
  <si>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</si>
  <si>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</si>
  <si>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</si>
  <si>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</si>
  <si>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</si>
  <si>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</si>
  <si>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</si>
  <si>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</si>
  <si>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</si>
  <si>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</si>
  <si>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</si>
  <si>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</si>
  <si>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</si>
  <si>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</si>
  <si>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</si>
  <si>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</si>
  <si>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</si>
  <si>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</si>
  <si>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</si>
  <si>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</si>
  <si>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</si>
  <si>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</si>
  <si>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</si>
  <si>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</si>
  <si>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</si>
  <si>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</si>
  <si>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</si>
  <si>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</si>
  <si>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</si>
  <si>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</si>
  <si>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</si>
  <si>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</si>
  <si>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</si>
  <si>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</si>
  <si>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</si>
  <si>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</si>
  <si>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</si>
  <si>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</si>
  <si>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</si>
  <si>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</si>
  <si>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</si>
  <si>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</si>
  <si>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</si>
  <si>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</si>
  <si>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</si>
  <si>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</si>
  <si>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</si>
  <si>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</si>
  <si>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</si>
  <si>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</si>
  <si>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</si>
  <si>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</si>
  <si>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</si>
  <si>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</si>
  <si>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</si>
  <si>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</si>
  <si>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</si>
  <si>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</si>
  <si>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</si>
  <si>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</si>
  <si>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</si>
  <si>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</si>
  <si>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</si>
  <si>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</si>
  <si>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</si>
  <si>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</si>
  <si>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</si>
  <si>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</si>
  <si>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</si>
  <si>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</si>
  <si>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</si>
  <si>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</si>
  <si>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</si>
  <si>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</si>
  <si>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</si>
  <si>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</si>
  <si>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</si>
  <si>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</si>
  <si>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</si>
  <si>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</si>
  <si>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</si>
  <si>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</si>
  <si>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</si>
  <si>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</si>
  <si>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</si>
  <si>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</si>
  <si>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</si>
  <si>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</si>
  <si>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</si>
  <si>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</si>
  <si>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</si>
  <si>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</si>
  <si>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</si>
  <si>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</si>
  <si>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</si>
  <si>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</si>
  <si>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</si>
  <si>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</si>
  <si>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</si>
  <si>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</si>
  <si>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</si>
  <si>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</si>
  <si>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</si>
  <si>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</si>
  <si>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</si>
  <si>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</si>
  <si>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</si>
  <si>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</si>
  <si>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</si>
  <si>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</si>
  <si>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</si>
  <si>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</si>
  <si>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</si>
  <si>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</si>
  <si>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</si>
  <si>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</si>
  <si>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</si>
  <si>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</si>
  <si>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</si>
  <si>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</si>
  <si>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</si>
  <si>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</si>
  <si>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</si>
  <si>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</si>
  <si>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</si>
  <si>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</si>
  <si>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</si>
  <si>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</si>
  <si>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</si>
  <si>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</si>
  <si>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</si>
  <si>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</si>
  <si>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</si>
  <si>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</si>
  <si>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</si>
  <si>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</si>
  <si>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</si>
  <si>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</si>
  <si>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</si>
  <si>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</si>
  <si>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</si>
  <si>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</si>
  <si>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</si>
  <si>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</si>
  <si>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</si>
  <si>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</si>
  <si>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</si>
  <si>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</si>
  <si>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</si>
  <si>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</si>
  <si>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</si>
  <si>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</si>
  <si>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</si>
  <si>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</si>
  <si>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</si>
  <si>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</si>
  <si>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</si>
  <si>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</si>
  <si>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</si>
  <si>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</si>
  <si>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</si>
  <si>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</si>
  <si>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</si>
  <si>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</si>
  <si>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</si>
  <si>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</si>
  <si>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</si>
  <si>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</si>
  <si>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</si>
  <si>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</si>
  <si>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</si>
  <si>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</si>
  <si>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</si>
  <si>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</si>
  <si>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</si>
  <si>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</si>
  <si>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</si>
  <si>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</si>
  <si>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</si>
  <si>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</si>
  <si>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</si>
  <si>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</si>
  <si>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</si>
  <si>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</si>
  <si>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</si>
  <si>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</si>
  <si>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</si>
  <si>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</si>
  <si>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</si>
  <si>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</si>
  <si>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</si>
  <si>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</si>
  <si>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</si>
  <si>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</si>
  <si>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</si>
  <si>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</si>
  <si>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</si>
  <si>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</si>
  <si>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</si>
  <si>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</si>
  <si>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</si>
  <si>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</si>
  <si>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</si>
  <si>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</si>
  <si>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</si>
  <si>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</si>
  <si>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</si>
  <si>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</si>
  <si>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</si>
  <si>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</si>
  <si>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</si>
  <si>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</si>
  <si>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</si>
  <si>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</si>
  <si>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</si>
  <si>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</si>
  <si>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</si>
  <si>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</si>
  <si>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</si>
  <si>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</si>
  <si>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</si>
  <si>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</si>
  <si>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</si>
  <si>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</si>
  <si>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</si>
  <si>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</si>
  <si>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</si>
  <si>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</si>
  <si>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</si>
  <si>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</si>
  <si>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</si>
  <si>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</si>
  <si>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</si>
  <si>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</si>
  <si>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</si>
  <si>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</si>
  <si>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</si>
  <si>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</si>
  <si>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</si>
  <si>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</si>
  <si>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</si>
  <si>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</si>
  <si>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</si>
  <si>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</si>
  <si>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</si>
  <si>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</si>
  <si>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</si>
  <si>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</si>
  <si>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</si>
  <si>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</si>
  <si>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</si>
  <si>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</si>
  <si>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</si>
  <si>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</si>
  <si>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</si>
  <si>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</si>
  <si>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</si>
  <si>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</si>
  <si>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</si>
  <si>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</si>
  <si>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</si>
  <si>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</si>
  <si>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</si>
  <si>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</si>
  <si>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</si>
  <si>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</si>
  <si>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</si>
  <si>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</si>
  <si>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</si>
  <si>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</si>
  <si>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</si>
  <si>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</si>
  <si>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</si>
  <si>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</si>
  <si>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</si>
  <si>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</si>
  <si>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</si>
  <si>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</si>
  <si>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</si>
  <si>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</si>
  <si>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</si>
  <si>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</si>
  <si>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</si>
  <si>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</si>
  <si>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</si>
  <si>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</si>
  <si>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</si>
  <si>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</si>
  <si>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</si>
  <si>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</si>
  <si>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</si>
  <si>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</si>
  <si>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</si>
  <si>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</si>
  <si>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</si>
  <si>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</si>
  <si>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</si>
  <si>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</si>
  <si>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</si>
  <si>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</si>
  <si>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</si>
  <si>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</si>
  <si>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</si>
  <si>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</si>
  <si>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</si>
  <si>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</si>
  <si>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</si>
  <si>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</si>
  <si>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</si>
  <si>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</si>
  <si>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</si>
  <si>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</si>
  <si>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</si>
  <si>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</si>
  <si>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</si>
  <si>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</si>
  <si>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</si>
  <si>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</si>
  <si>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</si>
  <si>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</si>
  <si>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</si>
  <si>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</si>
  <si>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</si>
  <si>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</si>
  <si>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</si>
  <si>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</si>
  <si>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</si>
  <si>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</si>
  <si>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</si>
  <si>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</si>
  <si>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</si>
  <si>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</si>
  <si>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</si>
  <si>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</si>
  <si>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</si>
  <si>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</si>
  <si>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</si>
  <si>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</si>
  <si>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</si>
  <si>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</si>
  <si>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</si>
  <si>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</si>
  <si>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</si>
  <si>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</si>
  <si>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</si>
  <si>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</si>
  <si>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</si>
  <si>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</si>
  <si>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</si>
  <si>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</si>
  <si>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</si>
  <si>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</si>
  <si>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</si>
  <si>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</si>
  <si>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</si>
  <si>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</si>
  <si>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</si>
  <si>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</si>
  <si>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</si>
  <si>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</si>
  <si>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</si>
  <si>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</si>
  <si>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</si>
  <si>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</si>
  <si>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</si>
  <si>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</si>
  <si>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</si>
  <si>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</si>
  <si>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</si>
  <si>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</si>
  <si>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</si>
  <si>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</si>
  <si>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</si>
  <si>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</si>
  <si>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</si>
  <si>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</si>
  <si>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</si>
  <si>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</si>
  <si>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</si>
  <si>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</si>
  <si>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</si>
  <si>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</si>
  <si>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</si>
  <si>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</si>
  <si>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</si>
  <si>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</si>
  <si>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</si>
  <si>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</si>
  <si>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</si>
  <si>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</si>
  <si>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</si>
  <si>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</si>
  <si>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</si>
  <si>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</si>
  <si>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</si>
  <si>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</si>
  <si>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</si>
  <si>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</si>
  <si>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</si>
  <si>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</si>
  <si>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</si>
  <si>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</si>
  <si>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</si>
  <si>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</si>
  <si>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</si>
  <si>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</si>
  <si>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</si>
  <si>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</si>
  <si>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</si>
  <si>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</si>
  <si>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</si>
  <si>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</si>
  <si>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</si>
  <si>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</si>
  <si>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</si>
  <si>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</si>
  <si>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</si>
  <si>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</si>
  <si>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</si>
  <si>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</si>
  <si>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</si>
  <si>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</si>
  <si>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</si>
  <si>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</si>
  <si>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</si>
  <si>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</si>
  <si>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</si>
  <si>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</si>
  <si>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</si>
  <si>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</si>
  <si>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</si>
  <si>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</si>
  <si>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</si>
  <si>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</si>
  <si>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</si>
  <si>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</si>
  <si>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</si>
  <si>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</si>
  <si>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</si>
  <si>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</si>
  <si>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</si>
  <si>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</si>
  <si>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</si>
  <si>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</si>
  <si>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</si>
  <si>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</si>
  <si>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</si>
  <si>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</si>
  <si>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</si>
  <si>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</si>
  <si>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</si>
  <si>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</si>
  <si>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</si>
  <si>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</si>
  <si>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</si>
  <si>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</si>
  <si>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</si>
  <si>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</si>
  <si>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</si>
  <si>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</si>
  <si>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</si>
  <si>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</si>
  <si>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</si>
  <si>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</si>
  <si>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</si>
  <si>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</si>
  <si>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</si>
  <si>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</si>
  <si>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</si>
  <si>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</si>
  <si>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</si>
  <si>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</si>
  <si>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</si>
  <si>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</si>
  <si>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</si>
  <si>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</si>
  <si>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</si>
  <si>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</si>
  <si>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</si>
  <si>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</si>
  <si>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</si>
  <si>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</si>
  <si>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</si>
  <si>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</si>
  <si>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</si>
  <si>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</si>
  <si>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</si>
  <si>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</si>
  <si>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</si>
  <si>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</si>
  <si>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</si>
  <si>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</si>
  <si>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</si>
  <si>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</si>
  <si>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</si>
  <si>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</si>
  <si>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</si>
  <si>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</si>
  <si>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</si>
  <si>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</si>
  <si>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</si>
  <si>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</si>
  <si>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</si>
  <si>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</si>
  <si>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</si>
  <si>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</si>
  <si>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</si>
  <si>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</si>
  <si>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</si>
  <si>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</si>
  <si>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</si>
  <si>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</si>
  <si>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</si>
  <si>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</si>
  <si>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</si>
  <si>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</si>
  <si>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</si>
  <si>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</si>
  <si>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</si>
  <si>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</si>
  <si>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</si>
  <si>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</si>
  <si>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</si>
  <si>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</si>
  <si>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</si>
  <si>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</si>
  <si>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</si>
  <si>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</si>
  <si>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</si>
  <si>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</si>
  <si>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</si>
  <si>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</si>
  <si>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</si>
  <si>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</si>
  <si>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</si>
  <si>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</si>
  <si>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</si>
  <si>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</si>
  <si>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</si>
  <si>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</si>
  <si>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</si>
  <si>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</si>
  <si>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</si>
  <si>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</si>
  <si>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</si>
  <si>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</si>
  <si>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</si>
  <si>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</si>
  <si>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</si>
  <si>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</si>
  <si>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</si>
  <si>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</si>
  <si>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</si>
  <si>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</si>
  <si>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</si>
  <si>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</si>
  <si>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</si>
  <si>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</si>
  <si>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</si>
  <si>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</si>
  <si>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</si>
  <si>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</si>
  <si>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</si>
  <si>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</si>
  <si>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</si>
  <si>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</si>
  <si>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</si>
  <si>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</si>
  <si>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</si>
  <si>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</si>
  <si>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</si>
  <si>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</si>
  <si>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</si>
  <si>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</si>
  <si>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</si>
  <si>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</si>
  <si>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</si>
  <si>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</si>
  <si>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</si>
  <si>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</si>
  <si>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</si>
  <si>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</si>
  <si>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</si>
  <si>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</si>
  <si>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</si>
  <si>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</si>
  <si>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</si>
  <si>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</si>
  <si>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</si>
  <si>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</si>
  <si>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</si>
  <si>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</si>
  <si>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</si>
  <si>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</si>
  <si>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</si>
  <si>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</si>
  <si>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</si>
  <si>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</si>
  <si>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</si>
  <si>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</si>
  <si>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</si>
  <si>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</si>
  <si>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</si>
  <si>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</si>
  <si>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</si>
  <si>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</si>
  <si>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</si>
  <si>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</si>
  <si>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</si>
  <si>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</si>
  <si>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</si>
  <si>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</si>
  <si>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</si>
  <si>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</si>
  <si>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</si>
  <si>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</si>
  <si>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</si>
  <si>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</si>
  <si>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</si>
  <si>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</si>
  <si>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</si>
  <si>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</si>
  <si>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</si>
  <si>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</si>
  <si>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</si>
  <si>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</si>
  <si>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</si>
  <si>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</si>
  <si>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</si>
  <si>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</si>
  <si>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</si>
  <si>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</si>
  <si>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</si>
  <si>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</si>
  <si>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</si>
  <si>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</si>
  <si>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</si>
  <si>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</si>
  <si>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</si>
  <si>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</si>
  <si>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</si>
  <si>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</si>
  <si>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</si>
  <si>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</si>
  <si>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</si>
  <si>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</si>
  <si>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</si>
  <si>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</si>
  <si>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</si>
  <si>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</si>
  <si>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</si>
  <si>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</si>
  <si>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</si>
  <si>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</si>
  <si>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</si>
  <si>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</si>
  <si>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</si>
  <si>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</si>
  <si>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</si>
  <si>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</si>
  <si>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</si>
  <si>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</si>
  <si>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</si>
  <si>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</si>
  <si>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</si>
  <si>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</si>
  <si>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</si>
  <si>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</si>
  <si>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</si>
  <si>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</si>
  <si>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</si>
  <si>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</si>
  <si>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</si>
  <si>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</si>
  <si>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</si>
  <si>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</si>
  <si>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</si>
  <si>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</si>
  <si>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</si>
  <si>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</si>
  <si>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</si>
  <si>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</si>
  <si>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</si>
  <si>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</si>
  <si>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</si>
  <si>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</si>
  <si>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</si>
  <si>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</si>
  <si>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</si>
  <si>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</si>
  <si>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</si>
  <si>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</si>
  <si>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</si>
  <si>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</si>
  <si>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</si>
  <si>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</si>
  <si>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</si>
  <si>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</si>
  <si>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</si>
  <si>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</si>
  <si>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</si>
  <si>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</si>
  <si>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</si>
  <si>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</si>
  <si>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</si>
  <si>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</si>
  <si>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</si>
  <si>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</si>
  <si>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</si>
  <si>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</si>
  <si>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</si>
  <si>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</si>
  <si>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</si>
  <si>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</si>
  <si>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</si>
  <si>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</si>
  <si>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</si>
  <si>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</si>
  <si>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</si>
  <si>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</si>
  <si>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</si>
  <si>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</si>
  <si>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</si>
  <si>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</si>
  <si>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</si>
  <si>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</si>
  <si>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</si>
  <si>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</si>
  <si>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</si>
  <si>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</si>
  <si>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</si>
  <si>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</si>
  <si>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</si>
  <si>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</si>
  <si>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</si>
  <si>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</si>
  <si>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</si>
  <si>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</si>
  <si>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</si>
  <si>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</si>
  <si>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</si>
  <si>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</si>
  <si>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</si>
  <si>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</si>
  <si>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</si>
  <si>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</si>
  <si>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</si>
  <si>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</si>
  <si>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</si>
  <si>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</si>
  <si>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</si>
  <si>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</si>
  <si>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</si>
  <si>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</si>
  <si>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</si>
  <si>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</si>
  <si>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</si>
  <si>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</si>
  <si>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</si>
  <si>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</si>
  <si>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</si>
  <si>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</si>
  <si>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</si>
  <si>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</si>
  <si>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</si>
  <si>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</si>
  <si>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</si>
  <si>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</si>
  <si>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</si>
  <si>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</si>
  <si>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</si>
  <si>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</si>
  <si>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</si>
  <si>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</si>
  <si>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</si>
  <si>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</si>
  <si>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</si>
  <si>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</si>
  <si>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</si>
  <si>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</si>
  <si>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</si>
  <si>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</si>
  <si>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</si>
  <si>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</si>
  <si>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</si>
  <si>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</si>
  <si>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</si>
  <si>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</si>
  <si>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</si>
  <si>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</si>
  <si>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</si>
  <si>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</si>
  <si>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</si>
  <si>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</si>
  <si>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</si>
  <si>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</si>
  <si>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</si>
  <si>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</si>
  <si>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</si>
  <si>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</si>
  <si>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</si>
  <si>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</si>
  <si>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</si>
  <si>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</si>
  <si>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</si>
  <si>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</si>
  <si>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</si>
  <si>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</si>
  <si>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</si>
  <si>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</si>
  <si>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</si>
  <si>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</si>
  <si>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</si>
  <si>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</si>
  <si>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</si>
  <si>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</si>
  <si>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</si>
  <si>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</si>
  <si>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</si>
  <si>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</si>
  <si>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</si>
  <si>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</si>
  <si>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</si>
  <si>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</si>
  <si>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</si>
  <si>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</si>
  <si>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</si>
  <si>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</si>
  <si>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</si>
  <si>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</si>
  <si>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</si>
  <si>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</si>
  <si>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</si>
  <si>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</si>
  <si>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</si>
  <si>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</si>
  <si>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</si>
  <si>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</si>
  <si>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</si>
  <si>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</si>
  <si>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</si>
  <si>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</si>
  <si>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</si>
  <si>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</si>
  <si>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</si>
  <si>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</si>
  <si>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</si>
  <si>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</si>
  <si>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</si>
  <si>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</si>
  <si>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</si>
  <si>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</si>
  <si>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</si>
  <si>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</si>
  <si>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</si>
  <si>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</si>
  <si>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</si>
  <si>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</si>
  <si>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</si>
  <si>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</si>
  <si>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</si>
  <si>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</si>
  <si>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</si>
  <si>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</si>
  <si>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</si>
  <si>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</si>
  <si>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</si>
  <si>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</si>
  <si>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</si>
  <si>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</si>
  <si>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</si>
  <si>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</si>
  <si>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</si>
  <si>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</si>
  <si>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</si>
  <si>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</si>
  <si>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</si>
  <si>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</si>
  <si>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</si>
  <si>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</si>
  <si>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</si>
  <si>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</si>
  <si>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</si>
  <si>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</si>
  <si>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</si>
  <si>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</si>
  <si>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</si>
  <si>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</si>
  <si>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</si>
  <si>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</si>
  <si>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</si>
  <si>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</si>
  <si>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</si>
  <si>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</si>
  <si>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</si>
  <si>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</si>
  <si>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</si>
  <si>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</si>
  <si>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</si>
  <si>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</si>
  <si>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</si>
  <si>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</si>
  <si>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</si>
  <si>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</si>
  <si>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</si>
  <si>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</si>
  <si>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</si>
  <si>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</si>
  <si>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</si>
  <si>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</si>
  <si>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</si>
  <si>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</si>
  <si>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</si>
  <si>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</si>
  <si>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</si>
  <si>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</si>
  <si>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</si>
  <si>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</si>
  <si>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</si>
  <si>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</si>
  <si>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</si>
  <si>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</si>
  <si>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</si>
  <si>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</si>
  <si>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</si>
  <si>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</si>
  <si>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</si>
  <si>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</si>
  <si>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</si>
  <si>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</si>
  <si>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</si>
  <si>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</si>
  <si>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</si>
  <si>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</si>
  <si>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</si>
  <si>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</si>
  <si>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</si>
  <si>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</si>
  <si>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</si>
  <si>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</si>
  <si>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</si>
  <si>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</si>
  <si>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</si>
  <si>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</si>
  <si>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</si>
  <si>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</si>
  <si>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</si>
  <si>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</si>
  <si>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</si>
  <si>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</si>
  <si>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</si>
  <si>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</si>
  <si>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</si>
  <si>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</si>
  <si>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</si>
  <si>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</si>
  <si>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</si>
  <si>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</si>
  <si>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</si>
  <si>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</si>
  <si>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</si>
  <si>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</si>
  <si>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</si>
  <si>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</si>
  <si>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</si>
  <si>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</si>
  <si>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</si>
  <si>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</si>
  <si>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</si>
  <si>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</si>
  <si>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</si>
  <si>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</si>
  <si>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</si>
  <si>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</si>
  <si>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</si>
  <si>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</si>
  <si>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</si>
  <si>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</si>
  <si>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</si>
  <si>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</si>
  <si>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</si>
  <si>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</si>
  <si>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</si>
  <si>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</si>
  <si>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</si>
  <si>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</si>
  <si>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</si>
  <si>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</si>
  <si>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</si>
  <si>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</si>
  <si>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</si>
  <si>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</si>
  <si>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</si>
  <si>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</si>
  <si>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</si>
  <si>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</si>
  <si>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</si>
  <si>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</si>
  <si>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</si>
  <si>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</si>
  <si>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</si>
  <si>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</si>
  <si>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</si>
  <si>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</si>
  <si>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</si>
  <si>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</si>
  <si>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</si>
  <si>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</si>
  <si>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</si>
  <si>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</si>
  <si>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</si>
  <si>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</si>
  <si>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</si>
  <si>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</si>
  <si>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</si>
  <si>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</si>
  <si>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</si>
  <si>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</si>
  <si>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</si>
  <si>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</si>
  <si>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</si>
  <si>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</si>
  <si>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</si>
  <si>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</si>
  <si>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</si>
  <si>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</si>
  <si>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</si>
  <si>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</si>
  <si>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</si>
  <si>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</si>
  <si>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</si>
  <si>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</si>
  <si>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</si>
  <si>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</si>
  <si>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</si>
  <si>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</si>
  <si>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</si>
  <si>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</si>
  <si>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</si>
  <si>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</si>
  <si>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</si>
  <si>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</si>
  <si>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</si>
  <si>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</si>
  <si>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</si>
  <si>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</si>
  <si>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</si>
  <si>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</si>
  <si>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</si>
  <si>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</si>
  <si>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</si>
  <si>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</si>
  <si>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</si>
  <si>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</si>
  <si>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</si>
  <si>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</si>
  <si>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</si>
  <si>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</si>
  <si>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</si>
  <si>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</si>
  <si>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</si>
  <si>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</si>
  <si>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</si>
  <si>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</si>
  <si>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</si>
  <si>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</si>
  <si>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</si>
  <si>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</si>
  <si>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</si>
  <si>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</si>
  <si>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</si>
  <si>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</si>
  <si>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</si>
  <si>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</si>
  <si>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</si>
  <si>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</si>
  <si>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</si>
  <si>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</si>
  <si>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</si>
  <si>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</si>
  <si>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</si>
  <si>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</si>
  <si>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</si>
  <si>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</si>
  <si>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</si>
  <si>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</si>
  <si>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</si>
  <si>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</si>
  <si>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</si>
  <si>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</si>
  <si>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</si>
  <si>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</si>
  <si>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</si>
  <si>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</si>
  <si>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</si>
  <si>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</si>
  <si>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</si>
  <si>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</si>
  <si>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</si>
  <si>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</si>
  <si>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</si>
  <si>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</si>
  <si>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</si>
  <si>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</si>
  <si>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</si>
  <si>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</si>
  <si>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</si>
  <si>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</si>
  <si>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</si>
  <si>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</si>
  <si>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</si>
  <si>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</si>
  <si>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</si>
  <si>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</si>
  <si>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</si>
  <si>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</si>
  <si>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</si>
  <si>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</si>
  <si>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</si>
  <si>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</si>
  <si>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</si>
  <si>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</si>
  <si>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</si>
  <si>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</si>
  <si>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</si>
  <si>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</si>
  <si>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</si>
  <si>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</si>
  <si>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</si>
  <si>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</si>
  <si>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</si>
  <si>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</si>
  <si>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</si>
  <si>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</si>
  <si>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</si>
  <si>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</si>
  <si>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</si>
  <si>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</si>
  <si>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</si>
  <si>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</si>
  <si>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</si>
  <si>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</si>
  <si>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</si>
  <si>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</si>
  <si>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</si>
  <si>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</si>
  <si>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</si>
  <si>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</si>
  <si>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</si>
  <si>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</si>
  <si>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</si>
  <si>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</si>
  <si>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</si>
  <si>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</si>
  <si>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</si>
  <si>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</si>
  <si>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</si>
  <si>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</si>
  <si>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</si>
  <si>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</si>
  <si>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</si>
  <si>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</si>
  <si>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</si>
  <si>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</si>
  <si>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</si>
  <si>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</si>
  <si>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</si>
  <si>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</si>
  <si>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</si>
  <si>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</si>
  <si>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</si>
  <si>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</si>
  <si>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</si>
  <si>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</si>
  <si>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</si>
  <si>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</si>
  <si>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</si>
  <si>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</si>
  <si>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</si>
  <si>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</si>
  <si>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</si>
  <si>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</si>
  <si>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</si>
  <si>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</si>
  <si>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</si>
  <si>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</si>
  <si>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</si>
  <si>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</si>
  <si>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</si>
  <si>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</si>
  <si>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</si>
  <si>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</si>
  <si>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</si>
  <si>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</si>
  <si>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</si>
  <si>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</si>
  <si>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</si>
  <si>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</si>
  <si>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</si>
  <si>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</si>
  <si>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</si>
  <si>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</si>
  <si>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</si>
  <si>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</si>
  <si>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</si>
  <si>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</si>
  <si>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</si>
  <si>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</si>
  <si>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</si>
  <si>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</si>
  <si>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</si>
  <si>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</si>
  <si>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</si>
  <si>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</si>
  <si>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</si>
  <si>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</si>
  <si>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</si>
  <si>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</si>
  <si>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</si>
  <si>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</si>
  <si>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</si>
  <si>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</si>
  <si>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</si>
  <si>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</si>
  <si>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</si>
  <si>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</si>
  <si>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</si>
  <si>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</si>
  <si>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</si>
  <si>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</si>
  <si>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</si>
  <si>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</si>
  <si>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</si>
  <si>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</si>
  <si>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</si>
  <si>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</si>
  <si>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</si>
  <si>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</si>
  <si>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</si>
  <si>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</si>
  <si>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</si>
  <si>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</si>
  <si>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</si>
  <si>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</si>
  <si>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</si>
  <si>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</si>
  <si>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</si>
  <si>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</si>
  <si>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</si>
  <si>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</si>
  <si>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</si>
  <si>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</si>
  <si>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</si>
  <si>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</si>
  <si>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</si>
  <si>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</si>
  <si>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</si>
  <si>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</si>
  <si>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</si>
  <si>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</si>
  <si>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</si>
  <si>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</si>
  <si>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</si>
  <si>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</si>
  <si>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</si>
  <si>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</si>
  <si>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</si>
  <si>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</si>
  <si>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</si>
  <si>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</si>
  <si>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</si>
  <si>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</si>
  <si>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</si>
  <si>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</si>
  <si>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</si>
  <si>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</si>
  <si>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</si>
  <si>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</si>
  <si>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</si>
  <si>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</si>
  <si>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</si>
  <si>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</si>
  <si>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</si>
  <si>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</si>
  <si>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</si>
  <si>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</si>
  <si>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</si>
  <si>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</si>
  <si>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</si>
  <si>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</si>
  <si>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</si>
  <si>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</si>
  <si>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</si>
  <si>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</si>
  <si>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</si>
  <si>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</si>
  <si>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</si>
  <si>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</si>
  <si>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</si>
  <si>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</si>
  <si>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</si>
  <si>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</si>
  <si>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</si>
  <si>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</si>
  <si>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</si>
  <si>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</si>
  <si>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</si>
  <si>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</si>
  <si>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</si>
  <si>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</si>
  <si>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</si>
  <si>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</si>
  <si>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</si>
  <si>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</si>
  <si>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</si>
  <si>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</si>
  <si>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</si>
  <si>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</si>
  <si>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</si>
  <si>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</si>
  <si>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</si>
  <si>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</si>
  <si>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</si>
  <si>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</si>
  <si>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</si>
  <si>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</si>
  <si>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</si>
  <si>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</si>
  <si>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</si>
  <si>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</si>
  <si>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</si>
  <si>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</si>
  <si>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</si>
  <si>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</si>
  <si>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</si>
  <si>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</si>
  <si>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</si>
  <si>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</si>
  <si>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</si>
  <si>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</si>
  <si>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</si>
  <si>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</si>
  <si>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</si>
  <si>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</si>
  <si>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</si>
  <si>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</si>
  <si>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</si>
  <si>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</si>
  <si>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</si>
  <si>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</si>
  <si>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</si>
  <si>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</si>
  <si>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</si>
  <si>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</si>
  <si>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</si>
  <si>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</si>
  <si>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</si>
  <si>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</si>
  <si>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</si>
  <si>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</si>
  <si>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</si>
  <si>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</si>
  <si>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</si>
  <si>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</si>
  <si>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</si>
  <si>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</si>
  <si>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</si>
  <si>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</si>
  <si>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</si>
  <si>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</si>
  <si>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</si>
  <si>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</si>
  <si>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</si>
  <si>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</si>
  <si>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</si>
  <si>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</si>
  <si>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</si>
  <si>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</si>
  <si>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</si>
  <si>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</si>
  <si>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</si>
  <si>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</si>
  <si>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</si>
  <si>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</si>
  <si>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</si>
  <si>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</si>
  <si>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</si>
  <si>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</si>
  <si>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</si>
  <si>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</si>
  <si>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</si>
  <si>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</si>
  <si>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</si>
  <si>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</si>
  <si>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</si>
  <si>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</si>
  <si>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</si>
  <si>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</si>
  <si>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</si>
  <si>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</si>
  <si>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</si>
  <si>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</si>
  <si>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</si>
  <si>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</si>
  <si>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</si>
  <si>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</si>
  <si>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</si>
  <si>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</si>
  <si>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</si>
  <si>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</si>
  <si>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</si>
  <si>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</si>
  <si>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</si>
  <si>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</si>
  <si>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</si>
  <si>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</si>
  <si>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</si>
  <si>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</si>
  <si>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</si>
  <si>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</si>
  <si>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</si>
  <si>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</si>
  <si>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</si>
  <si>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</si>
  <si>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</si>
  <si>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</si>
  <si>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</si>
  <si>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</si>
  <si>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</si>
  <si>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</si>
  <si>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</si>
  <si>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</si>
  <si>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</si>
  <si>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</si>
  <si>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</si>
  <si>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</si>
  <si>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</si>
  <si>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</si>
  <si>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</si>
  <si>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</si>
  <si>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</si>
  <si>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</si>
  <si>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</si>
  <si>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</si>
  <si>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</si>
  <si>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</si>
  <si>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</si>
  <si>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</si>
  <si>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</si>
  <si>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</si>
  <si>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</si>
  <si>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</si>
  <si>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</si>
  <si>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</si>
  <si>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</si>
  <si>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</si>
  <si>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</si>
  <si>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</si>
  <si>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</si>
  <si>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</si>
  <si>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</si>
  <si>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</si>
  <si>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</si>
  <si>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</si>
  <si>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</si>
  <si>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</si>
  <si>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</si>
  <si>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</si>
  <si>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</si>
  <si>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</si>
  <si>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</si>
  <si>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</si>
  <si>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</si>
  <si>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</si>
  <si>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</si>
  <si>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</si>
  <si>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</si>
  <si>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</si>
  <si>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</si>
  <si>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</si>
  <si>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</si>
  <si>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</si>
  <si>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</si>
  <si>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</si>
  <si>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</si>
  <si>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</si>
  <si>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</si>
  <si>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</si>
  <si>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</si>
  <si>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</si>
  <si>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</si>
  <si>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</si>
  <si>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</si>
  <si>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</si>
  <si>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</si>
  <si>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</si>
  <si>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</si>
  <si>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</si>
  <si>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</si>
  <si>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</si>
  <si>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</si>
  <si>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</si>
  <si>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</si>
  <si>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</si>
  <si>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</si>
  <si>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</si>
  <si>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</si>
  <si>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</si>
  <si>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</si>
  <si>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</si>
  <si>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</si>
  <si>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</si>
  <si>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</si>
  <si>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</si>
  <si>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</si>
  <si>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</si>
  <si>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</si>
  <si>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</si>
  <si>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</si>
  <si>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</si>
  <si>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</si>
  <si>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</si>
  <si>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</si>
  <si>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</si>
  <si>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</si>
  <si>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</si>
  <si>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</si>
  <si>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</si>
  <si>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</si>
  <si>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</si>
  <si>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</si>
  <si>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</si>
  <si>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</si>
  <si>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</si>
  <si>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</si>
  <si>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</si>
  <si>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</si>
  <si>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</si>
  <si>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</si>
  <si>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</si>
  <si>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</si>
  <si>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</si>
  <si>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</si>
  <si>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</si>
  <si>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</si>
  <si>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</si>
  <si>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</si>
  <si>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</si>
  <si>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</si>
  <si>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</si>
  <si>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</si>
  <si>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</si>
  <si>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</si>
  <si>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</si>
  <si>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</si>
  <si>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</si>
  <si>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</si>
  <si>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</si>
  <si>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</si>
  <si>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</si>
  <si>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</si>
  <si>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</si>
  <si>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</si>
  <si>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</si>
  <si>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</si>
  <si>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</si>
  <si>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</si>
  <si>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</si>
  <si>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</si>
  <si>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</si>
  <si>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</si>
  <si>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</si>
  <si>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</si>
  <si>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</si>
  <si>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</si>
  <si>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</si>
  <si>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</si>
  <si>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</si>
  <si>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</si>
  <si>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</si>
  <si>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</si>
  <si>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</si>
  <si>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</si>
  <si>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</si>
  <si>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</si>
  <si>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</si>
  <si>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</si>
  <si>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</si>
  <si>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</si>
  <si>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</si>
  <si>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</si>
  <si>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</si>
  <si>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</si>
  <si>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</si>
  <si>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</si>
  <si>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</si>
  <si>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</si>
  <si>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</si>
  <si>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</si>
  <si>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</si>
  <si>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</si>
  <si>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</si>
  <si>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</si>
  <si>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</si>
  <si>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</si>
  <si>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</si>
  <si>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</si>
  <si>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</si>
  <si>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</si>
  <si>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</si>
  <si>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</si>
  <si>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</si>
  <si>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</si>
  <si>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</si>
  <si>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</si>
  <si>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</si>
  <si>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</si>
  <si>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</si>
  <si>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</si>
  <si>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</si>
  <si>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</si>
  <si>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</si>
  <si>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</si>
  <si>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</si>
  <si>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</si>
  <si>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</si>
  <si>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</si>
  <si>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</si>
  <si>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</si>
  <si>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</si>
  <si>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</si>
  <si>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</si>
  <si>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</si>
  <si>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</si>
  <si>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</si>
  <si>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</si>
  <si>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</si>
  <si>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</si>
  <si>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</si>
  <si>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</si>
  <si>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</si>
  <si>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</si>
  <si>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</si>
  <si>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</si>
  <si>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</si>
  <si>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</si>
  <si>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</si>
  <si>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</si>
  <si>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</si>
  <si>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</si>
  <si>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</si>
  <si>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</si>
  <si>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</si>
  <si>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</si>
  <si>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</si>
  <si>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</si>
  <si>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</si>
  <si>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</si>
  <si>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</si>
  <si>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</si>
  <si>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</si>
  <si>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</si>
  <si>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</si>
  <si>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</si>
  <si>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</si>
  <si>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</si>
  <si>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</si>
  <si>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</si>
  <si>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</si>
  <si>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</si>
  <si>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</si>
  <si>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</si>
  <si>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</si>
  <si>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</si>
  <si>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</si>
  <si>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</si>
  <si>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</si>
  <si>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</si>
  <si>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</si>
  <si>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</si>
  <si>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</si>
  <si>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</si>
  <si>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</si>
  <si>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</si>
  <si>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</si>
  <si>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</si>
  <si>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</si>
  <si>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</si>
  <si>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</si>
  <si>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</si>
  <si>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</si>
  <si>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</si>
  <si>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</si>
  <si>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</si>
  <si>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</si>
  <si>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</si>
  <si>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</si>
  <si>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</si>
  <si>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</si>
  <si>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</si>
  <si>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</si>
  <si>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</si>
  <si>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</si>
  <si>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</si>
  <si>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</si>
  <si>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</si>
  <si>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</si>
  <si>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</si>
  <si>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</si>
  <si>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</si>
  <si>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</si>
  <si>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</si>
  <si>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</si>
  <si>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</si>
  <si>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</si>
  <si>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</si>
  <si>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</si>
  <si>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</si>
  <si>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</si>
  <si>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</si>
  <si>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</si>
  <si>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</si>
  <si>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</si>
  <si>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</si>
  <si>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</si>
  <si>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</si>
  <si>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</si>
  <si>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</si>
  <si>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</si>
  <si>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</si>
  <si>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</si>
  <si>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</si>
  <si>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</si>
  <si>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</si>
  <si>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</si>
  <si>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</si>
  <si>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</si>
  <si>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</si>
  <si>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</si>
  <si>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</si>
  <si>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</si>
  <si>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</si>
  <si>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</si>
  <si>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</si>
  <si>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</si>
  <si>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</si>
  <si>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</si>
  <si>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</si>
  <si>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</si>
  <si>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</si>
  <si>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</si>
  <si>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</si>
  <si>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</si>
  <si>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</si>
  <si>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</si>
  <si>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</si>
  <si>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</si>
  <si>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</si>
  <si>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</si>
  <si>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</si>
  <si>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</si>
  <si>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</si>
  <si>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</si>
  <si>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</si>
  <si>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</si>
  <si>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</si>
  <si>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</si>
  <si>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</si>
  <si>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</si>
  <si>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</si>
  <si>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</si>
  <si>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</si>
  <si>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</si>
  <si>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</si>
  <si>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</si>
  <si>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</si>
  <si>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</si>
  <si>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</si>
  <si>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</si>
  <si>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</si>
  <si>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</si>
  <si>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</si>
  <si>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</si>
  <si>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</si>
  <si>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</si>
  <si>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</si>
  <si>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</si>
  <si>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</si>
  <si>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</si>
  <si>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</si>
  <si>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</si>
  <si>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</si>
  <si>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</si>
  <si>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</si>
  <si>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</si>
  <si>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</si>
  <si>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</si>
  <si>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</si>
  <si>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</si>
  <si>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</si>
  <si>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</si>
  <si>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</si>
  <si>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</si>
  <si>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</si>
  <si>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</si>
  <si>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</si>
  <si>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</si>
  <si>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</si>
  <si>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</si>
  <si>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</si>
  <si>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</si>
  <si>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</si>
  <si>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</si>
  <si>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</si>
  <si>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</si>
  <si>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</si>
  <si>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</si>
  <si>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</si>
  <si>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</si>
  <si>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</si>
  <si>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</si>
  <si>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</si>
  <si>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</si>
  <si>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</si>
  <si>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</si>
  <si>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</si>
  <si>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</si>
  <si>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</si>
  <si>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</si>
  <si>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</si>
  <si>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</si>
  <si>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</si>
  <si>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</si>
  <si>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</si>
  <si>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</si>
  <si>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</si>
  <si>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</si>
  <si>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</si>
  <si>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</si>
  <si>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</si>
  <si>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</si>
  <si>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</si>
  <si>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</si>
  <si>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</si>
  <si>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</si>
  <si>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</si>
  <si>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</si>
  <si>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</si>
  <si>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</si>
  <si>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</si>
  <si>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</si>
  <si>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</si>
  <si>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</si>
  <si>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</si>
  <si>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</si>
  <si>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</si>
  <si>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</si>
  <si>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</si>
  <si>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</si>
  <si>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</si>
  <si>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</si>
  <si>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</si>
  <si>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</si>
  <si>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</si>
  <si>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</si>
  <si>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</si>
  <si>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</si>
  <si>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</si>
  <si>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</si>
  <si>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</si>
  <si>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</si>
  <si>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</si>
  <si>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</si>
  <si>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</si>
  <si>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</si>
  <si>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</si>
  <si>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</si>
  <si>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</si>
  <si>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</si>
  <si>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</si>
  <si>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</si>
  <si>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</si>
  <si>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</si>
  <si>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</si>
  <si>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</si>
  <si>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</si>
  <si>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</si>
  <si>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</si>
  <si>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</si>
  <si>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</si>
  <si>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</si>
  <si>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</si>
  <si>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</si>
  <si>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</si>
  <si>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</si>
  <si>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</si>
  <si>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</si>
  <si>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</si>
  <si>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</si>
  <si>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</si>
  <si>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</si>
  <si>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</si>
  <si>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</si>
  <si>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</si>
  <si>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</si>
  <si>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</si>
  <si>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</si>
  <si>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</si>
  <si>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</si>
  <si>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</si>
  <si>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</si>
  <si>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</si>
  <si>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</si>
  <si>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</si>
  <si>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</si>
  <si>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</si>
  <si>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</si>
  <si>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</si>
  <si>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</si>
  <si>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</si>
  <si>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</si>
  <si>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</si>
  <si>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</si>
  <si>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</si>
  <si>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</si>
  <si>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</si>
  <si>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</si>
  <si>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</si>
  <si>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</si>
  <si>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</si>
  <si>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</si>
  <si>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</si>
  <si>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</si>
  <si>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</si>
  <si>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</si>
  <si>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</si>
  <si>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</si>
  <si>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</si>
  <si>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</si>
  <si>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</si>
  <si>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</si>
  <si>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</si>
  <si>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</si>
  <si>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</si>
  <si>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</si>
  <si>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</si>
  <si>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</si>
  <si>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</si>
  <si>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</si>
  <si>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</si>
  <si>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</si>
  <si>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</si>
  <si>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</si>
  <si>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</si>
  <si>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</si>
  <si>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</si>
  <si>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</si>
  <si>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</si>
  <si>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</si>
  <si>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</si>
  <si>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</si>
  <si>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</si>
  <si>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</si>
  <si>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</si>
  <si>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</si>
  <si>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</si>
  <si>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</si>
  <si>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</si>
  <si>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</si>
  <si>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</si>
  <si>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</si>
  <si>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</si>
  <si>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</si>
  <si>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</si>
  <si>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</si>
  <si>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</si>
  <si>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</si>
  <si>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</si>
  <si>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</si>
  <si>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</si>
  <si>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</si>
  <si>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</si>
  <si>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</si>
  <si>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</si>
  <si>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</si>
  <si>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</si>
  <si>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</si>
  <si>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</si>
  <si>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</si>
  <si>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</si>
  <si>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</si>
  <si>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</si>
  <si>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</si>
  <si>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</si>
  <si>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</si>
  <si>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</si>
  <si>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</si>
  <si>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</si>
  <si>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</si>
  <si>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</si>
  <si>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</si>
  <si>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</si>
  <si>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</si>
  <si>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</si>
  <si>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</si>
  <si>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</si>
  <si>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</si>
  <si>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</si>
  <si>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</si>
  <si>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</si>
  <si>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</si>
  <si>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</si>
  <si>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</si>
  <si>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</si>
  <si>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</si>
  <si>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</si>
  <si>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</si>
  <si>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</si>
  <si>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</si>
  <si>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</si>
  <si>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</si>
  <si>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</si>
  <si>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</si>
  <si>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</si>
  <si>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</si>
  <si>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</si>
  <si>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</si>
  <si>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</si>
  <si>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</si>
  <si>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</si>
  <si>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</si>
  <si>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</si>
  <si>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</si>
  <si>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</si>
  <si>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</si>
  <si>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</si>
  <si>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</si>
  <si>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</si>
  <si>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</si>
  <si>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</si>
  <si>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</si>
  <si>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</si>
  <si>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</si>
  <si>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</si>
  <si>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</si>
  <si>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</si>
  <si>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</si>
  <si>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</si>
  <si>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</si>
  <si>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</si>
  <si>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</si>
  <si>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</si>
  <si>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</si>
  <si>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</si>
  <si>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</si>
  <si>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</si>
  <si>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</si>
  <si>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</si>
  <si>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</si>
  <si>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</si>
  <si>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</si>
  <si>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</si>
  <si>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</si>
  <si>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</si>
  <si>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</si>
  <si>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</si>
  <si>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</si>
  <si>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</si>
  <si>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</si>
  <si>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</si>
  <si>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</si>
  <si>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</si>
  <si>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</si>
  <si>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</si>
  <si>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</si>
  <si>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</si>
  <si>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</si>
  <si>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</si>
  <si>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</si>
  <si>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</si>
  <si>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</si>
  <si>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</si>
  <si>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</si>
  <si>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</si>
  <si>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</si>
  <si>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</si>
  <si>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</si>
  <si>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</si>
  <si>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</si>
  <si>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</si>
  <si>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</si>
  <si>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</si>
  <si>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</si>
  <si>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</si>
  <si>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</si>
  <si>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</si>
  <si>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</si>
  <si>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</si>
  <si>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</si>
  <si>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</si>
  <si>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</si>
  <si>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</si>
  <si>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</si>
  <si>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</si>
  <si>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</si>
  <si>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</si>
  <si>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</si>
  <si>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</si>
  <si>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</si>
  <si>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</si>
  <si>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</si>
  <si>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</si>
  <si>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</si>
  <si>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</si>
  <si>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</si>
  <si>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</si>
  <si>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</si>
  <si>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</si>
  <si>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</si>
  <si>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</si>
  <si>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</si>
  <si>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</si>
  <si>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</si>
  <si>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</si>
  <si>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</si>
  <si>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</si>
  <si>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</si>
  <si>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</si>
  <si>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</si>
  <si>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</si>
  <si>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</si>
  <si>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</si>
  <si>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</si>
  <si>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</si>
  <si>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</si>
  <si>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</si>
  <si>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</si>
  <si>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</si>
  <si>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</si>
  <si>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</si>
  <si>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</si>
  <si>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</si>
  <si>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</si>
  <si>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</si>
  <si>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</si>
  <si>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</si>
  <si>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</si>
  <si>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</si>
  <si>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</si>
  <si>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</si>
  <si>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</si>
  <si>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</si>
  <si>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</si>
  <si>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</si>
  <si>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</si>
  <si>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</si>
  <si>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</si>
  <si>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</si>
  <si>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</si>
  <si>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</si>
  <si>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</si>
  <si>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</si>
  <si>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</si>
  <si>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</si>
  <si>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</si>
  <si>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</si>
  <si>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</si>
  <si>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</si>
  <si>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</si>
  <si>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</si>
  <si>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</si>
  <si>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</si>
  <si>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</si>
  <si>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</si>
  <si>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</si>
  <si>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</si>
  <si>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</si>
  <si>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</si>
  <si>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</si>
  <si>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</si>
  <si>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</si>
  <si>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</si>
  <si>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</si>
  <si>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</si>
  <si>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</si>
  <si>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</si>
  <si>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</si>
  <si>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</si>
  <si>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</si>
  <si>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</si>
  <si>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</si>
  <si>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</si>
  <si>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</si>
  <si>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</si>
  <si>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</si>
  <si>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</si>
  <si>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</si>
  <si>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</si>
  <si>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</si>
  <si>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</si>
  <si>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</si>
  <si>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</si>
  <si>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</si>
  <si>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</si>
  <si>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</si>
  <si>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</si>
  <si>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</si>
  <si>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</si>
  <si>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</si>
  <si>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</si>
  <si>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</si>
  <si>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</si>
  <si>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</si>
  <si>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</si>
  <si>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</si>
  <si>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</si>
  <si>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</si>
  <si>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</si>
  <si>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</si>
  <si>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</si>
  <si>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</si>
  <si>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</si>
  <si>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</si>
  <si>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</si>
  <si>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</si>
  <si>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</si>
  <si>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</si>
  <si>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</si>
  <si>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</si>
  <si>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</si>
  <si>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</si>
  <si>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</si>
  <si>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</si>
  <si>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</si>
  <si>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</si>
  <si>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</si>
  <si>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</si>
  <si>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</si>
  <si>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</si>
  <si>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</si>
  <si>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</si>
  <si>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</si>
  <si>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</si>
  <si>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</si>
  <si>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</si>
  <si>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</si>
  <si>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</si>
  <si>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</si>
  <si>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</si>
  <si>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</si>
  <si>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</si>
  <si>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</si>
  <si>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</si>
  <si>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</si>
  <si>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</si>
  <si>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</si>
  <si>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</si>
  <si>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</si>
  <si>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</si>
  <si>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</si>
  <si>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</si>
  <si>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</si>
  <si>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</si>
  <si>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</si>
  <si>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</si>
  <si>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</si>
  <si>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</si>
  <si>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</si>
  <si>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</si>
  <si>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</si>
  <si>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</si>
  <si>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</si>
  <si>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</si>
  <si>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</si>
  <si>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</si>
  <si>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</si>
  <si>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</si>
  <si>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</si>
  <si>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</si>
  <si>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</si>
  <si>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</si>
  <si>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</si>
  <si>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</si>
  <si>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</si>
  <si>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</si>
  <si>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</si>
  <si>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</si>
  <si>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</si>
  <si>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</si>
  <si>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</si>
  <si>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</si>
  <si>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</si>
  <si>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</si>
  <si>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</si>
  <si>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</si>
  <si>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</si>
  <si>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</si>
  <si>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</si>
  <si>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</si>
  <si>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</si>
  <si>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</si>
  <si>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</si>
  <si>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</si>
  <si>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</si>
  <si>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</si>
  <si>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</si>
  <si>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</si>
  <si>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</si>
  <si>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</si>
  <si>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</si>
  <si>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</si>
  <si>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</si>
  <si>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</si>
  <si>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</si>
  <si>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</si>
  <si>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</si>
  <si>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</si>
  <si>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</si>
  <si>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</si>
  <si>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</si>
  <si>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</si>
  <si>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</si>
  <si>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</si>
  <si>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</si>
  <si>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</si>
  <si>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</si>
  <si>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</si>
  <si>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</si>
  <si>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</si>
  <si>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</si>
  <si>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</si>
  <si>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</si>
  <si>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</si>
  <si>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</si>
  <si>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</si>
  <si>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</si>
  <si>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</si>
  <si>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</si>
  <si>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</si>
  <si>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</si>
  <si>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</si>
  <si>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</si>
  <si>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</si>
  <si>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</si>
  <si>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</si>
  <si>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</si>
  <si>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</si>
  <si>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</si>
  <si>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</si>
  <si>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</si>
  <si>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</si>
  <si>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</si>
  <si>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</si>
  <si>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</si>
  <si>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</si>
  <si>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</si>
  <si>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</si>
  <si>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</si>
  <si>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</si>
  <si>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</si>
  <si>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</si>
  <si>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</si>
  <si>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</si>
  <si>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</si>
  <si>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</si>
  <si>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</si>
  <si>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</si>
  <si>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</si>
  <si>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</si>
  <si>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</si>
  <si>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</si>
  <si>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</si>
  <si>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</si>
  <si>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</si>
  <si>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</si>
  <si>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</si>
  <si>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</si>
  <si>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</si>
  <si>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</si>
  <si>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</si>
  <si>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</si>
  <si>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</si>
  <si>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</si>
  <si>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</si>
  <si>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</si>
  <si>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</si>
  <si>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</si>
  <si>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</si>
  <si>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</si>
  <si>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</si>
  <si>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</si>
  <si>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</si>
  <si>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</si>
  <si>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</si>
  <si>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</si>
  <si>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</si>
  <si>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</si>
  <si>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</si>
  <si>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</si>
  <si>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</si>
  <si>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</si>
  <si>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</si>
  <si>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</si>
  <si>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</si>
  <si>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</si>
  <si>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</si>
  <si>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</si>
  <si>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</si>
  <si>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</si>
  <si>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</si>
  <si>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</si>
  <si>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</si>
  <si>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</si>
  <si>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</si>
  <si>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</si>
  <si>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</si>
  <si>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</si>
  <si>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</si>
  <si>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</si>
  <si>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</si>
  <si>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</si>
  <si>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</si>
  <si>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</si>
  <si>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</si>
  <si>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</si>
  <si>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</si>
  <si>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</si>
  <si>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</si>
  <si>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</si>
  <si>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</si>
  <si>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</si>
  <si>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</si>
  <si>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</si>
  <si>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</si>
  <si>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</si>
  <si>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</si>
  <si>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</si>
  <si>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</si>
  <si>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</si>
  <si>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</si>
  <si>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</si>
  <si>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</si>
  <si>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</si>
  <si>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</si>
  <si>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</si>
  <si>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</si>
  <si>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</si>
  <si>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</si>
  <si>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</si>
  <si>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</si>
  <si>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</si>
  <si>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</si>
  <si>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</si>
  <si>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</si>
  <si>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</si>
  <si>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</si>
  <si>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</si>
  <si>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</si>
  <si>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</si>
  <si>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</si>
  <si>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</si>
  <si>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</si>
  <si>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</si>
  <si>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</si>
  <si>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</si>
  <si>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</si>
  <si>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</si>
  <si>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</si>
  <si>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</si>
  <si>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</si>
  <si>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</si>
  <si>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</si>
  <si>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</si>
  <si>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</si>
  <si>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</si>
  <si>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</si>
  <si>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</si>
  <si>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</si>
  <si>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</si>
  <si>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</si>
  <si>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</si>
  <si>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</si>
  <si>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</si>
  <si>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</si>
  <si>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</si>
  <si>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</si>
  <si>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</si>
  <si>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</si>
  <si>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</si>
  <si>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</si>
  <si>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</si>
  <si>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</si>
  <si>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</si>
  <si>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</si>
  <si>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</si>
  <si>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</si>
  <si>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</si>
  <si>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</si>
  <si>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</si>
  <si>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</si>
  <si>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</si>
  <si>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</si>
  <si>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</si>
  <si>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</si>
  <si>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</si>
  <si>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</si>
  <si>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</si>
  <si>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</si>
  <si>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</si>
  <si>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</si>
  <si>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</si>
  <si>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</si>
  <si>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</si>
  <si>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</si>
  <si>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</si>
  <si>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</si>
  <si>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</si>
  <si>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</si>
  <si>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</si>
  <si>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</si>
  <si>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</si>
  <si>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</si>
  <si>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</si>
  <si>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</si>
  <si>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</si>
  <si>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</si>
  <si>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</si>
  <si>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</si>
  <si>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</si>
  <si>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</si>
  <si>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</si>
  <si>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</si>
  <si>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</si>
  <si>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</si>
  <si>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</si>
  <si>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</si>
  <si>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</si>
  <si>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</si>
  <si>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</si>
  <si>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</si>
  <si>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</si>
  <si>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</si>
  <si>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</si>
  <si>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</si>
  <si>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</si>
  <si>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</si>
  <si>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</si>
  <si>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</si>
  <si>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</si>
  <si>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</si>
  <si>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</si>
  <si>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</si>
  <si>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</si>
  <si>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</si>
  <si>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</si>
  <si>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</si>
  <si>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</si>
  <si>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</si>
  <si>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</si>
  <si>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</si>
  <si>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</si>
  <si>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</si>
  <si>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</si>
  <si>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</si>
  <si>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</si>
  <si>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</si>
  <si>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</si>
  <si>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</si>
  <si>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</si>
  <si>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</si>
  <si>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</si>
  <si>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</si>
  <si>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</si>
  <si>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</si>
  <si>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</si>
  <si>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</si>
  <si>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</si>
  <si>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</si>
  <si>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</si>
  <si>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</si>
  <si>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</si>
  <si>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</si>
  <si>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</si>
  <si>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</si>
  <si>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</si>
  <si>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</si>
  <si>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</si>
  <si>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</si>
  <si>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</si>
  <si>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</si>
  <si>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</si>
  <si>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</si>
  <si>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</si>
  <si>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</si>
  <si>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</si>
  <si>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</si>
  <si>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</si>
  <si>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</si>
  <si>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</si>
  <si>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</si>
  <si>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</si>
  <si>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</si>
  <si>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</si>
  <si>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</si>
  <si>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</si>
  <si>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</si>
  <si>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</si>
  <si>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</si>
  <si>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</si>
  <si>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</si>
  <si>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</si>
  <si>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</si>
  <si>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</si>
  <si>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</si>
  <si>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</si>
  <si>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</si>
  <si>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</si>
  <si>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</si>
  <si>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</si>
  <si>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</si>
  <si>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</si>
  <si>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</si>
  <si>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</si>
  <si>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</si>
  <si>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</si>
  <si>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</si>
  <si>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</si>
  <si>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</si>
  <si>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</si>
  <si>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</si>
  <si>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</si>
  <si>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</si>
  <si>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</si>
  <si>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</si>
  <si>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</si>
  <si>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</si>
  <si>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</si>
  <si>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</si>
  <si>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</si>
  <si>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</si>
  <si>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</si>
  <si>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</si>
  <si>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</si>
  <si>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</si>
  <si>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</si>
  <si>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</si>
  <si>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</si>
  <si>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</si>
  <si>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</si>
  <si>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</si>
  <si>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</si>
  <si>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</si>
  <si>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</si>
  <si>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</si>
  <si>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</si>
  <si>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</si>
  <si>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</si>
  <si>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</si>
  <si>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</si>
  <si>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</si>
  <si>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</si>
  <si>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</si>
  <si>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</si>
  <si>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</si>
  <si>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</si>
  <si>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</si>
  <si>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</si>
  <si>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</si>
  <si>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</si>
  <si>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</si>
  <si>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</si>
  <si>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</si>
  <si>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</si>
  <si>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</si>
  <si>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</si>
  <si>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</si>
  <si>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</si>
  <si>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</si>
  <si>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</si>
  <si>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</si>
  <si>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</si>
  <si>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</si>
  <si>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</si>
  <si>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</si>
  <si>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</si>
  <si>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</si>
  <si>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</si>
  <si>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</si>
  <si>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</si>
  <si>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</si>
  <si>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</si>
  <si>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</si>
  <si>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</si>
  <si>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</si>
  <si>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</si>
  <si>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</si>
  <si>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</si>
  <si>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</si>
  <si>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</si>
  <si>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</si>
  <si>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</si>
  <si>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</si>
  <si>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</si>
  <si>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</si>
  <si>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</si>
  <si>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</si>
  <si>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</si>
  <si>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</si>
  <si>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</si>
  <si>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</si>
  <si>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</si>
  <si>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</si>
  <si>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</si>
  <si>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</si>
  <si>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</si>
  <si>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</si>
  <si>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</si>
  <si>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</si>
  <si>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</si>
  <si>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</si>
  <si>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</si>
  <si>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</si>
  <si>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</si>
  <si>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</si>
  <si>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</si>
  <si>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</si>
  <si>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</si>
  <si>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</si>
  <si>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</si>
  <si>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</si>
  <si>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</si>
  <si>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</si>
  <si>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</si>
  <si>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</si>
  <si>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</si>
  <si>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</si>
  <si>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</si>
  <si>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</si>
  <si>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</si>
  <si>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</si>
  <si>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</si>
  <si>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</si>
  <si>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</si>
  <si>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</si>
  <si>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</si>
  <si>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</si>
  <si>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</si>
  <si>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</si>
  <si>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</si>
  <si>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</si>
  <si>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</si>
  <si>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</si>
  <si>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</si>
  <si>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</si>
  <si>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</si>
  <si>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</si>
  <si>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</si>
  <si>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</si>
  <si>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</si>
  <si>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</si>
  <si>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</si>
  <si>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</si>
  <si>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</si>
  <si>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</si>
  <si>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</si>
  <si>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</si>
  <si>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</si>
  <si>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</si>
  <si>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</si>
  <si>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</si>
  <si>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</si>
  <si>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</si>
  <si>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</si>
  <si>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</si>
  <si>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</si>
  <si>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</si>
  <si>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</si>
  <si>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</si>
  <si>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</si>
  <si>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</si>
  <si>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</si>
  <si>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</si>
  <si>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</si>
  <si>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</si>
  <si>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</si>
  <si>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</si>
  <si>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</si>
  <si>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</si>
  <si>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</si>
  <si>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</si>
  <si>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</si>
  <si>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</si>
  <si>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</si>
  <si>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</si>
  <si>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</si>
  <si>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</si>
  <si>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</si>
  <si>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</si>
  <si>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</si>
  <si>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</si>
  <si>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</si>
  <si>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</si>
  <si>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</si>
  <si>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</si>
  <si>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</si>
  <si>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</si>
  <si>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</si>
  <si>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</si>
  <si>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</si>
  <si>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</si>
  <si>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</si>
  <si>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</si>
  <si>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</si>
  <si>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</si>
  <si>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</si>
  <si>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</si>
  <si>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</si>
  <si>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</si>
  <si>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</si>
  <si>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</si>
  <si>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</si>
  <si>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</si>
  <si>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</si>
  <si>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</si>
  <si>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</si>
  <si>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</si>
  <si>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</si>
  <si>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</si>
  <si>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</si>
  <si>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</si>
  <si>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</si>
  <si>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</si>
  <si>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</si>
  <si>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</si>
  <si>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</si>
  <si>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</si>
  <si>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</si>
  <si>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</si>
  <si>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</si>
  <si>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</si>
  <si>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</si>
  <si>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</si>
  <si>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</si>
  <si>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</si>
  <si>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</si>
  <si>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</si>
  <si>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</si>
  <si>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</si>
  <si>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</si>
  <si>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</si>
  <si>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</si>
  <si>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</si>
  <si>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</si>
  <si>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</si>
  <si>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</si>
  <si>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</si>
  <si>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</si>
  <si>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</si>
  <si>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</si>
  <si>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</si>
  <si>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</si>
  <si>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</si>
  <si>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</si>
  <si>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</si>
  <si>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</si>
  <si>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</si>
  <si>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</si>
  <si>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</si>
  <si>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</si>
  <si>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</si>
  <si>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</si>
  <si>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</si>
  <si>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</si>
  <si>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</si>
  <si>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</si>
  <si>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</si>
  <si>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</si>
  <si>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</si>
  <si>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</si>
  <si>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</si>
  <si>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</si>
  <si>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</si>
  <si>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</si>
  <si>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</si>
  <si>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</si>
  <si>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</si>
  <si>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</si>
  <si>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</si>
  <si>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</si>
  <si>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</si>
  <si>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</si>
  <si>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</si>
  <si>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</si>
  <si>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</si>
  <si>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</si>
  <si>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</si>
  <si>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</si>
  <si>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</si>
  <si>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</si>
  <si>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</si>
  <si>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</si>
  <si>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</si>
  <si>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</si>
  <si>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</si>
  <si>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</si>
  <si>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</si>
  <si>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</si>
  <si>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</si>
  <si>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</si>
  <si>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</si>
  <si>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</si>
  <si>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</si>
  <si>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</si>
  <si>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</si>
  <si>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</si>
  <si>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</si>
  <si>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</si>
  <si>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</si>
  <si>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</si>
  <si>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</si>
  <si>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</si>
  <si>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</si>
  <si>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</si>
  <si>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</si>
  <si>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</si>
  <si>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</si>
  <si>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</si>
  <si>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</si>
  <si>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</si>
  <si>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</si>
  <si>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</si>
  <si>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</si>
  <si>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</si>
  <si>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</si>
  <si>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</si>
  <si>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</si>
  <si>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</si>
  <si>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</si>
  <si>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</si>
  <si>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</si>
  <si>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</si>
  <si>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</si>
  <si>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</si>
  <si>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</si>
  <si>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</si>
  <si>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</si>
  <si>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</si>
  <si>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</si>
  <si>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</si>
  <si>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</si>
  <si>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</si>
  <si>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</si>
  <si>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</si>
  <si>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</si>
  <si>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</si>
  <si>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</si>
  <si>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</si>
  <si>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</si>
  <si>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</si>
  <si>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</si>
  <si>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</si>
  <si>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</si>
  <si>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</si>
  <si>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</si>
  <si>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</si>
  <si>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</si>
  <si>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</si>
  <si>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</si>
  <si>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</si>
  <si>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</si>
  <si>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</si>
  <si>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</si>
  <si>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</si>
  <si>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</si>
  <si>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</si>
  <si>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</si>
  <si>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</si>
  <si>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</si>
  <si>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</si>
  <si>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</si>
  <si>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</si>
  <si>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</si>
  <si>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</si>
  <si>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</si>
  <si>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</si>
  <si>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</si>
  <si>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</si>
  <si>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</si>
  <si>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</si>
  <si>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</si>
  <si>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</si>
  <si>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</si>
  <si>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</si>
  <si>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</si>
  <si>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</si>
  <si>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</si>
  <si>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</si>
  <si>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</si>
  <si>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</si>
  <si>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</si>
  <si>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</si>
  <si>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</si>
  <si>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</si>
  <si>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</si>
  <si>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</si>
  <si>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</si>
  <si>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</si>
  <si>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</si>
  <si>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</si>
  <si>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</si>
  <si>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</si>
  <si>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</si>
  <si>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</si>
  <si>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</si>
  <si>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</si>
  <si>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</si>
  <si>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</si>
  <si>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</si>
  <si>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</si>
  <si>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</si>
  <si>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</si>
  <si>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</si>
  <si>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</si>
  <si>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</si>
  <si>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</si>
  <si>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</si>
  <si>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</si>
  <si>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</si>
  <si>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</si>
  <si>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</si>
  <si>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</si>
  <si>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</si>
  <si>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</si>
  <si>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</si>
  <si>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</si>
  <si>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</si>
  <si>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</si>
  <si>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</si>
  <si>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</si>
  <si>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</si>
  <si>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</si>
  <si>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</si>
  <si>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</si>
  <si>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</si>
  <si>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</si>
  <si>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</si>
  <si>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</si>
  <si>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</si>
  <si>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</si>
  <si>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</si>
  <si>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</si>
  <si>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</si>
  <si>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</si>
  <si>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</si>
  <si>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</si>
  <si>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</si>
  <si>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</si>
  <si>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</si>
  <si>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</si>
  <si>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</si>
  <si>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</si>
  <si>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</si>
  <si>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</si>
  <si>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</si>
  <si>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</si>
  <si>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</si>
  <si>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</si>
  <si>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</si>
  <si>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</si>
  <si>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</si>
  <si>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</si>
  <si>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</si>
  <si>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</si>
  <si>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</si>
  <si>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</si>
  <si>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</si>
  <si>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</si>
  <si>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</si>
  <si>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</si>
  <si>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</si>
  <si>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</si>
  <si>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</si>
  <si>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</si>
  <si>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</si>
  <si>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</si>
  <si>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</si>
  <si>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</si>
  <si>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</si>
  <si>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</si>
  <si>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</si>
  <si>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</si>
  <si>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</si>
  <si>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</si>
  <si>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</si>
  <si>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</si>
  <si>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</si>
  <si>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</si>
  <si>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</si>
  <si>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</si>
  <si>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</si>
  <si>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</si>
  <si>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</si>
  <si>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</si>
  <si>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</si>
  <si>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</si>
  <si>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</si>
  <si>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</si>
  <si>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</si>
  <si>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</si>
  <si>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</si>
  <si>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</si>
  <si>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</si>
  <si>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</si>
  <si>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</si>
  <si>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</si>
  <si>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</si>
  <si>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</si>
  <si>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</si>
  <si>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</si>
  <si>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</si>
  <si>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</si>
  <si>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</si>
  <si>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</si>
  <si>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</si>
  <si>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</si>
  <si>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</si>
  <si>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</si>
  <si>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</si>
  <si>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</si>
  <si>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</si>
  <si>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</si>
  <si>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</si>
  <si>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</si>
  <si>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</si>
  <si>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</si>
  <si>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</si>
  <si>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</si>
  <si>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</si>
  <si>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</si>
  <si>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</si>
  <si>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</si>
  <si>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</si>
  <si>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</si>
  <si>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</si>
  <si>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</si>
  <si>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</si>
  <si>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</si>
  <si>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</si>
  <si>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</si>
  <si>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</si>
  <si>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</si>
  <si>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</si>
  <si>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</si>
  <si>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</si>
  <si>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</si>
  <si>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</si>
  <si>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</si>
  <si>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</si>
  <si>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</si>
  <si>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</si>
  <si>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</si>
  <si>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</si>
  <si>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</si>
  <si>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</si>
  <si>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</si>
  <si>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</si>
  <si>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</si>
  <si>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</si>
  <si>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</si>
  <si>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</si>
  <si>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</si>
  <si>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</si>
  <si>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</si>
  <si>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</si>
  <si>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</si>
  <si>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</si>
  <si>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</si>
  <si>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</si>
  <si>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</si>
  <si>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</si>
  <si>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</si>
  <si>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</si>
  <si>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</si>
  <si>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</si>
  <si>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</si>
  <si>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</si>
  <si>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</si>
  <si>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</si>
  <si>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</si>
  <si>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</si>
  <si>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</si>
  <si>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</si>
  <si>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</si>
  <si>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</si>
  <si>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</si>
  <si>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</si>
  <si>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</si>
  <si>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</si>
  <si>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</si>
  <si>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</si>
  <si>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</si>
  <si>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</si>
  <si>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</si>
  <si>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</si>
  <si>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</si>
  <si>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</si>
  <si>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</si>
  <si>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</si>
  <si>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</si>
  <si>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</si>
  <si>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</si>
  <si>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</si>
  <si>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</si>
  <si>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</si>
  <si>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</si>
  <si>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</si>
  <si>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</si>
  <si>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</si>
  <si>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</si>
  <si>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</si>
  <si>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</si>
  <si>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</si>
  <si>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</si>
  <si>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</si>
  <si>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</si>
  <si>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</si>
  <si>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</si>
  <si>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</si>
  <si>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</si>
  <si>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</si>
  <si>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</si>
  <si>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</si>
  <si>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</si>
  <si>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</si>
  <si>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</si>
  <si>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</si>
  <si>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</si>
  <si>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</si>
  <si>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</si>
  <si>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</si>
  <si>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</si>
  <si>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</si>
  <si>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</si>
  <si>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</si>
  <si>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</si>
  <si>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</si>
  <si>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</si>
  <si>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</si>
  <si>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</si>
  <si>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</si>
  <si>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</si>
  <si>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</si>
  <si>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</si>
  <si>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</si>
  <si>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</si>
  <si>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</si>
  <si>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</si>
  <si>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</si>
  <si>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</si>
  <si>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</si>
  <si>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</si>
  <si>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</si>
  <si>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</si>
  <si>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</si>
  <si>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</si>
  <si>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</si>
  <si>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</si>
  <si>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</si>
  <si>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</si>
  <si>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</si>
  <si>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</si>
  <si>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</si>
  <si>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</si>
  <si>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</si>
  <si>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</si>
  <si>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</si>
  <si>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</si>
  <si>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</si>
  <si>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</si>
  <si>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</si>
  <si>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</si>
  <si>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</si>
  <si>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</si>
  <si>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</si>
  <si>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</si>
  <si>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</si>
  <si>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</si>
  <si>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</si>
  <si>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</si>
  <si>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</si>
  <si>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</si>
  <si>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</si>
  <si>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</si>
  <si>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</si>
  <si>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</si>
  <si>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</si>
  <si>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</si>
  <si>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</si>
  <si>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</si>
  <si>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</si>
  <si>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</si>
  <si>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</si>
  <si>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</si>
  <si>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</si>
  <si>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</si>
  <si>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</si>
  <si>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</si>
  <si>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</si>
  <si>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</si>
  <si>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</si>
  <si>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</si>
  <si>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</si>
  <si>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</si>
  <si>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</si>
  <si>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</si>
  <si>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</si>
  <si>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</si>
  <si>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</si>
  <si>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</si>
  <si>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</si>
  <si>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</si>
  <si>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</si>
  <si>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</si>
  <si>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</si>
  <si>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</si>
  <si>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</si>
  <si>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</si>
  <si>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</si>
  <si>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</si>
  <si>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</si>
  <si>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</si>
  <si>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</si>
  <si>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</si>
  <si>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</si>
  <si>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</si>
  <si>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</si>
  <si>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</si>
  <si>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</si>
  <si>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</si>
  <si>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</si>
  <si>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</si>
  <si>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</si>
  <si>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</si>
  <si>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</si>
  <si>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</si>
  <si>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</si>
  <si>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</si>
  <si>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</si>
  <si>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</si>
  <si>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</si>
  <si>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</si>
  <si>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</si>
  <si>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</si>
  <si>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</si>
  <si>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</si>
  <si>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</si>
  <si>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</si>
  <si>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</si>
  <si>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</si>
  <si>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</si>
  <si>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</si>
  <si>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</si>
  <si>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</si>
  <si>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</si>
  <si>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</si>
  <si>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</si>
  <si>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</si>
  <si>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</si>
  <si>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</si>
  <si>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</si>
  <si>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</si>
  <si>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</si>
  <si>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</si>
  <si>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</si>
  <si>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</si>
  <si>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</si>
  <si>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</si>
  <si>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</si>
  <si>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</si>
  <si>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</si>
  <si>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</si>
  <si>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</si>
  <si>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</si>
  <si>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</si>
  <si>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</si>
  <si>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</si>
  <si>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</si>
  <si>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</si>
  <si>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</si>
  <si>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</si>
  <si>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</si>
  <si>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</si>
  <si>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</si>
  <si>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</si>
  <si>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</si>
  <si>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</si>
  <si>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</si>
  <si>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</si>
  <si>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</si>
  <si>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</si>
  <si>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</si>
  <si>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</si>
  <si>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</si>
  <si>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</si>
  <si>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</si>
  <si>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</si>
  <si>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</si>
  <si>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</si>
  <si>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</si>
  <si>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</si>
  <si>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</si>
  <si>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</si>
  <si>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</si>
  <si>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</si>
  <si>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</si>
  <si>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</si>
  <si>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</si>
  <si>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</si>
  <si>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</si>
  <si>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</si>
  <si>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</si>
  <si>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</si>
  <si>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</si>
  <si>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</si>
  <si>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</si>
  <si>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</si>
  <si>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</si>
  <si>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</si>
  <si>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</si>
  <si>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</si>
  <si>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</si>
  <si>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</si>
  <si>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</si>
  <si>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</si>
  <si>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</si>
  <si>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</si>
  <si>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</si>
  <si>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</si>
  <si>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</si>
  <si>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</si>
  <si>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</si>
  <si>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</si>
  <si>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</si>
  <si>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</si>
  <si>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</si>
  <si>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</si>
  <si>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</si>
  <si>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</si>
  <si>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</si>
  <si>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</si>
  <si>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</si>
  <si>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</si>
  <si>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</si>
  <si>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</si>
  <si>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</si>
  <si>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</si>
  <si>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</si>
  <si>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</si>
  <si>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</si>
  <si>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</si>
  <si>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</si>
  <si>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</si>
  <si>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</si>
  <si>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</si>
  <si>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</si>
  <si>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</si>
  <si>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</si>
  <si>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</si>
  <si>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</si>
  <si>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</si>
  <si>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</si>
  <si>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</si>
  <si>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</si>
  <si>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</si>
  <si>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</si>
  <si>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</si>
  <si>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</si>
  <si>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</si>
  <si>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</si>
  <si>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</si>
  <si>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</si>
  <si>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</si>
  <si>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</si>
  <si>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</si>
  <si>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</si>
  <si>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</si>
  <si>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</si>
  <si>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</si>
  <si>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</si>
  <si>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</si>
  <si>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</si>
  <si>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</si>
  <si>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</si>
  <si>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</si>
  <si>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</si>
  <si>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</si>
  <si>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</si>
  <si>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</si>
  <si>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</si>
  <si>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</si>
  <si>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</si>
  <si>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</si>
  <si>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</si>
  <si>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</si>
  <si>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</si>
  <si>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</si>
  <si>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</si>
  <si>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</si>
  <si>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</si>
  <si>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</si>
  <si>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</si>
  <si>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</si>
  <si>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</si>
  <si>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</si>
  <si>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</si>
  <si>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</si>
  <si>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</si>
  <si>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</si>
  <si>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</si>
  <si>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</si>
  <si>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</si>
  <si>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</si>
  <si>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</si>
  <si>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</si>
  <si>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</si>
  <si>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</si>
  <si>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</si>
  <si>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</si>
  <si>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</si>
  <si>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</si>
  <si>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</si>
  <si>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</si>
  <si>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</si>
  <si>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</si>
  <si>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</si>
  <si>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</si>
  <si>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</si>
  <si>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</si>
  <si>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</si>
  <si>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</si>
  <si>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</si>
  <si>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</si>
  <si>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</si>
  <si>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</si>
  <si>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</si>
  <si>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</si>
  <si>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</si>
  <si>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</si>
  <si>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</si>
  <si>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</si>
  <si>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</si>
  <si>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</si>
  <si>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</si>
  <si>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</si>
  <si>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</si>
  <si>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</si>
  <si>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</si>
  <si>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</si>
  <si>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</si>
  <si>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</si>
  <si>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</si>
  <si>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</si>
  <si>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</si>
  <si>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</si>
  <si>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</si>
  <si>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</si>
  <si>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</si>
  <si>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</si>
  <si>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</si>
  <si>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</si>
  <si>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</si>
  <si>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</si>
  <si>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</si>
  <si>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</si>
  <si>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</si>
  <si>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</si>
  <si>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</si>
  <si>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</si>
  <si>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</si>
  <si>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</si>
  <si>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</si>
  <si>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</si>
  <si>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</si>
  <si>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</si>
  <si>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</si>
  <si>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</si>
  <si>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</si>
  <si>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</si>
  <si>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</si>
  <si>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</si>
  <si>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</si>
  <si>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</si>
  <si>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</si>
  <si>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</si>
  <si>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</si>
  <si>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</si>
  <si>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</si>
  <si>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</si>
  <si>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</si>
  <si>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</si>
  <si>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</si>
  <si>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</si>
  <si>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</si>
  <si>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</si>
  <si>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</si>
  <si>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</si>
  <si>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</si>
  <si>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</si>
  <si>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</si>
  <si>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</si>
  <si>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</si>
  <si>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</si>
  <si>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</si>
  <si>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</si>
  <si>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</si>
  <si>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</si>
  <si>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</si>
  <si>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</si>
  <si>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</si>
  <si>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</si>
  <si>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</si>
  <si>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</si>
  <si>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</si>
  <si>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</si>
  <si>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</si>
  <si>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</si>
  <si>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</si>
  <si>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</si>
  <si>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</si>
  <si>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</si>
  <si>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</si>
  <si>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</si>
  <si>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</si>
  <si>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</si>
  <si>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</si>
  <si>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</si>
  <si>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</si>
  <si>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</si>
  <si>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</si>
  <si>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</si>
  <si>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</si>
  <si>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</si>
  <si>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</si>
  <si>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</si>
  <si>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</si>
  <si>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</si>
  <si>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</si>
  <si>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</si>
  <si>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</si>
  <si>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</si>
  <si>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</si>
  <si>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</si>
  <si>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</si>
  <si>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</si>
  <si>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</si>
  <si>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</si>
  <si>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</si>
  <si>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</si>
  <si>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</si>
  <si>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</si>
  <si>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</si>
  <si>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</si>
  <si>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</si>
  <si>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</si>
  <si>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</si>
  <si>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</si>
  <si>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</si>
  <si>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</si>
  <si>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</si>
  <si>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</si>
  <si>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</si>
  <si>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</si>
  <si>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</si>
  <si>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</si>
  <si>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</si>
  <si>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</si>
  <si>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</si>
  <si>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</si>
  <si>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</si>
  <si>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</si>
  <si>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</si>
  <si>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</si>
  <si>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</si>
  <si>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</si>
  <si>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</si>
  <si>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</si>
  <si>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</si>
  <si>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</si>
  <si>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</si>
  <si>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</si>
  <si>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</si>
  <si>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</si>
  <si>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</si>
  <si>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</si>
  <si>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</si>
  <si>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</si>
  <si>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</si>
  <si>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</si>
  <si>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</si>
  <si>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</si>
  <si>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</si>
  <si>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</si>
  <si>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</si>
  <si>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</si>
  <si>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</si>
  <si>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</si>
  <si>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</si>
  <si>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</si>
  <si>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</si>
  <si>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</si>
  <si>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</si>
  <si>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</si>
  <si>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</si>
  <si>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</si>
  <si>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</si>
  <si>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</si>
  <si>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</si>
  <si>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</si>
  <si>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</si>
  <si>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</si>
  <si>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</si>
  <si>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</si>
  <si>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</si>
  <si>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</si>
  <si>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</si>
  <si>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</si>
  <si>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</si>
  <si>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</si>
  <si>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</si>
  <si>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</si>
  <si>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</si>
  <si>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</si>
  <si>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</si>
  <si>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</si>
  <si>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</si>
  <si>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</si>
  <si>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</si>
  <si>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</si>
  <si>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</si>
  <si>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</si>
  <si>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</si>
  <si>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</si>
  <si>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</si>
  <si>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</si>
  <si>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</si>
  <si>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</si>
  <si>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</si>
  <si>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</si>
  <si>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</si>
  <si>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</si>
  <si>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</si>
  <si>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</si>
  <si>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</si>
  <si>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</si>
  <si>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</si>
  <si>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</si>
  <si>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</si>
  <si>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</si>
  <si>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</si>
  <si>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</si>
  <si>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</si>
  <si>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</si>
  <si>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</si>
  <si>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</si>
  <si>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</si>
  <si>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</si>
  <si>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</si>
  <si>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</si>
  <si>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</si>
  <si>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</si>
  <si>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</si>
  <si>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</si>
  <si>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</si>
  <si>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</si>
  <si>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</si>
  <si>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</si>
  <si>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</si>
  <si>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</si>
  <si>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</si>
  <si>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</si>
  <si>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</si>
  <si>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</si>
  <si>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</si>
  <si>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</si>
  <si>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</si>
  <si>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</si>
  <si>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</si>
  <si>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</si>
  <si>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</si>
  <si>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</si>
  <si>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</si>
  <si>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</si>
  <si>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</si>
  <si>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</si>
  <si>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</si>
  <si>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</si>
  <si>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</si>
  <si>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</si>
  <si>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</si>
  <si>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</si>
  <si>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</si>
  <si>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</si>
  <si>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</si>
  <si>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</si>
  <si>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</si>
  <si>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</si>
  <si>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</si>
  <si>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</si>
  <si>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</si>
  <si>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</si>
  <si>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</si>
  <si>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</si>
  <si>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</si>
  <si>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</si>
  <si>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</si>
  <si>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</si>
  <si>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</si>
  <si>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</si>
  <si>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</si>
  <si>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</si>
  <si>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</si>
  <si>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</si>
  <si>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</si>
  <si>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</si>
  <si>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</si>
  <si>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</si>
  <si>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</si>
  <si>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</si>
  <si>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</si>
  <si>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</si>
  <si>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</si>
  <si>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</si>
  <si>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</si>
  <si>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</si>
  <si>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</si>
  <si>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</si>
  <si>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</si>
  <si>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</si>
  <si>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</si>
  <si>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</si>
  <si>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</si>
  <si>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</si>
  <si>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</si>
  <si>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</si>
  <si>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</si>
  <si>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</si>
  <si>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</si>
  <si>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</si>
  <si>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</si>
  <si>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</si>
  <si>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</si>
  <si>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</si>
  <si>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</si>
  <si>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</si>
  <si>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</si>
  <si>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</si>
  <si>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</si>
  <si>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</si>
  <si>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</si>
  <si>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</si>
  <si>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</si>
  <si>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</si>
  <si>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</si>
  <si>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</si>
  <si>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</si>
  <si>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</si>
  <si>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</si>
  <si>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</si>
  <si>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</si>
  <si>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</si>
  <si>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</si>
  <si>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</si>
  <si>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</si>
  <si>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</si>
  <si>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</si>
  <si>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</si>
  <si>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</si>
  <si>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</si>
  <si>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</si>
  <si>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</si>
  <si>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</si>
  <si>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</si>
  <si>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</si>
  <si>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</si>
  <si>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</si>
  <si>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</si>
  <si>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</si>
  <si>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</si>
  <si>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</si>
  <si>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</si>
  <si>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</si>
  <si>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</si>
  <si>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</si>
  <si>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</si>
  <si>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</si>
  <si>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</si>
  <si>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</si>
  <si>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</si>
  <si>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</si>
  <si>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</si>
  <si>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</si>
  <si>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</si>
  <si>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</si>
  <si>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</si>
  <si>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</si>
  <si>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</si>
  <si>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</si>
  <si>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</si>
  <si>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</si>
  <si>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</si>
  <si>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</si>
  <si>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</si>
  <si>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</si>
  <si>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</si>
  <si>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</si>
  <si>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</si>
  <si>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</si>
  <si>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</si>
  <si>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</si>
  <si>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</si>
  <si>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</si>
  <si>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</si>
  <si>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</si>
  <si>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</si>
  <si>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</si>
  <si>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</si>
  <si>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</si>
  <si>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</si>
  <si>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</si>
  <si>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</si>
  <si>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</si>
  <si>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</si>
  <si>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</si>
  <si>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</si>
  <si>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</si>
  <si>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</si>
  <si>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</si>
  <si>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</si>
  <si>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</si>
  <si>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</si>
  <si>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</si>
  <si>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</si>
  <si>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</si>
  <si>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</si>
  <si>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</si>
  <si>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</si>
  <si>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</si>
  <si>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</si>
  <si>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</si>
  <si>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</si>
  <si>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</si>
  <si>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</si>
  <si>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</si>
  <si>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</si>
  <si>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</si>
  <si>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</si>
  <si>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</si>
  <si>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</si>
  <si>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</si>
  <si>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</si>
  <si>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</si>
  <si>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</si>
  <si>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</si>
  <si>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</si>
  <si>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</si>
  <si>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</si>
  <si>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</si>
  <si>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</si>
  <si>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</si>
  <si>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</si>
  <si>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</si>
  <si>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</si>
  <si>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</si>
  <si>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</si>
  <si>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</si>
  <si>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</si>
  <si>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</si>
  <si>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</si>
  <si>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</si>
  <si>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</si>
  <si>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</si>
  <si>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</si>
  <si>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</si>
  <si>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</si>
  <si>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</si>
  <si>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</si>
  <si>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</si>
  <si>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</si>
  <si>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</si>
  <si>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</si>
  <si>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</si>
  <si>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</si>
  <si>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</si>
  <si>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</si>
  <si>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</si>
  <si>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</si>
  <si>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</si>
  <si>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</si>
  <si>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</si>
  <si>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</si>
  <si>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</si>
  <si>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</si>
  <si>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</si>
  <si>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</si>
  <si>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</si>
  <si>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</si>
  <si>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</si>
  <si>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</si>
  <si>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</si>
  <si>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</si>
  <si>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</si>
  <si>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</si>
  <si>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</si>
  <si>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</si>
  <si>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</si>
  <si>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</si>
  <si>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</si>
  <si>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</si>
  <si>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</si>
  <si>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</si>
  <si>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</si>
  <si>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</si>
  <si>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</si>
  <si>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</si>
  <si>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</si>
  <si>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</si>
  <si>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</si>
  <si>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</si>
  <si>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</si>
  <si>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</si>
  <si>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</si>
  <si>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</si>
  <si>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</si>
  <si>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</si>
  <si>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</si>
  <si>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</si>
  <si>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</si>
  <si>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</si>
  <si>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</si>
  <si>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</si>
  <si>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</si>
  <si>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</si>
  <si>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</si>
  <si>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</si>
  <si>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</si>
  <si>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</si>
  <si>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</si>
  <si>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</si>
  <si>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</si>
  <si>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</si>
  <si>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</si>
  <si>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</si>
  <si>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</si>
  <si>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</si>
  <si>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</si>
  <si>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</si>
  <si>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</si>
  <si>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</si>
  <si>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</si>
  <si>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</si>
  <si>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</si>
  <si>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</si>
  <si>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</si>
  <si>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</si>
  <si>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</si>
  <si>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</si>
  <si>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</si>
  <si>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</si>
  <si>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</si>
  <si>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</si>
  <si>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</si>
  <si>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</si>
  <si>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</si>
  <si>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</si>
  <si>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</si>
  <si>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</si>
  <si>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</si>
  <si>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</si>
  <si>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</si>
  <si>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</si>
  <si>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</si>
  <si>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</si>
  <si>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</si>
  <si>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</si>
  <si>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</si>
  <si>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</si>
  <si>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</si>
  <si>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</si>
  <si>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</si>
  <si>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</si>
  <si>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</si>
  <si>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</si>
  <si>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</si>
  <si>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</si>
  <si>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</si>
  <si>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</si>
  <si>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</si>
  <si>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</si>
  <si>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</si>
  <si>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</si>
  <si>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</si>
  <si>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</si>
  <si>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</si>
  <si>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</si>
  <si>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</si>
  <si>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</si>
  <si>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</si>
  <si>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</si>
  <si>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</si>
  <si>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</si>
  <si>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</si>
  <si>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</si>
  <si>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</si>
  <si>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</si>
  <si>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</si>
  <si>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</si>
  <si>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</si>
  <si>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</si>
  <si>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</si>
  <si>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</si>
  <si>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</si>
  <si>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</si>
  <si>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</si>
  <si>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</si>
  <si>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</si>
  <si>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</si>
  <si>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</si>
  <si>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</si>
  <si>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</si>
  <si>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</si>
  <si>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</si>
  <si>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</si>
  <si>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</si>
  <si>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</si>
  <si>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</si>
  <si>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</si>
  <si>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</si>
  <si>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</si>
  <si>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</si>
  <si>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</si>
  <si>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</si>
  <si>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</si>
  <si>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</si>
  <si>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</si>
  <si>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</si>
  <si>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</si>
  <si>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</si>
  <si>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</si>
  <si>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</si>
  <si>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</si>
  <si>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</si>
  <si>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</si>
  <si>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</si>
  <si>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</si>
  <si>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</si>
  <si>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</si>
  <si>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</si>
  <si>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</si>
  <si>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</si>
  <si>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</si>
  <si>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</si>
  <si>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</si>
  <si>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</si>
  <si>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</si>
  <si>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</si>
  <si>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</si>
  <si>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</si>
  <si>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</si>
  <si>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</si>
  <si>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</si>
  <si>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</si>
  <si>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</si>
  <si>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</si>
  <si>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</si>
  <si>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</si>
  <si>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</si>
  <si>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</si>
  <si>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</si>
  <si>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</si>
  <si>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</si>
  <si>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</si>
  <si>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</si>
  <si>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</si>
  <si>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</si>
  <si>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</si>
  <si>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</si>
  <si>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</si>
  <si>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</si>
  <si>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</si>
  <si>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</si>
  <si>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</si>
  <si>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</si>
  <si>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</si>
  <si>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</si>
  <si>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</si>
  <si>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</si>
  <si>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</si>
  <si>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</si>
  <si>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</si>
  <si>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</si>
  <si>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</si>
  <si>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</si>
  <si>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</si>
  <si>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</si>
  <si>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</si>
  <si>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</si>
  <si>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</si>
  <si>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</si>
  <si>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</si>
  <si>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</si>
  <si>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</si>
  <si>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</si>
  <si>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</si>
  <si>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</si>
  <si>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</si>
  <si>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</si>
  <si>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</si>
  <si>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</si>
  <si>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</si>
  <si>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</si>
  <si>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</si>
  <si>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</si>
  <si>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</si>
  <si>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</si>
  <si>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</si>
  <si>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</si>
  <si>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</si>
  <si>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</si>
  <si>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</si>
  <si>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</si>
  <si>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</si>
  <si>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</si>
  <si>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</si>
  <si>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</si>
  <si>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</si>
  <si>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</si>
  <si>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</si>
  <si>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</si>
  <si>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</si>
  <si>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</si>
  <si>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</si>
  <si>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</si>
  <si>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</si>
  <si>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</si>
  <si>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</si>
  <si>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</si>
  <si>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</si>
  <si>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</si>
  <si>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</si>
  <si>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</si>
  <si>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</si>
  <si>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</si>
  <si>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</si>
  <si>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</si>
  <si>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</si>
  <si>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</si>
  <si>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</si>
  <si>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</si>
  <si>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</si>
  <si>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</si>
  <si>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</si>
  <si>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</si>
  <si>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</si>
  <si>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</si>
  <si>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</si>
  <si>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</si>
  <si>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</si>
  <si>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</si>
  <si>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</si>
  <si>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</si>
  <si>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</si>
  <si>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</si>
  <si>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</si>
  <si>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</si>
  <si>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</si>
  <si>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</si>
  <si>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</si>
  <si>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</si>
  <si>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</si>
  <si>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</si>
  <si>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</si>
  <si>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</si>
  <si>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</si>
  <si>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</si>
  <si>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</si>
  <si>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</si>
  <si>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</si>
  <si>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</si>
  <si>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</si>
  <si>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</si>
  <si>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</si>
  <si>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</si>
  <si>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</si>
  <si>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</si>
  <si>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</si>
  <si>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</si>
  <si>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</si>
  <si>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</si>
  <si>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</si>
  <si>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</si>
  <si>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</si>
  <si>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</si>
  <si>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</si>
  <si>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</si>
  <si>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</si>
  <si>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</si>
  <si>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</si>
  <si>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</si>
  <si>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</si>
  <si>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</si>
  <si>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</si>
  <si>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</si>
  <si>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</si>
  <si>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</si>
  <si>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</si>
  <si>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</si>
  <si>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</si>
  <si>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</si>
  <si>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</si>
  <si>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</si>
  <si>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</si>
  <si>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</si>
  <si>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</si>
  <si>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</si>
  <si>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</si>
  <si>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</si>
  <si>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</si>
  <si>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</si>
  <si>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</si>
  <si>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</si>
  <si>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</si>
  <si>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</si>
  <si>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</si>
  <si>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</si>
  <si>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</si>
  <si>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</si>
  <si>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</si>
  <si>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</si>
  <si>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</si>
  <si>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</si>
  <si>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</si>
  <si>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</si>
  <si>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</si>
  <si>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</si>
  <si>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</si>
  <si>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</si>
  <si>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</si>
  <si>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</si>
  <si>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</si>
  <si>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</si>
  <si>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</si>
  <si>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</si>
  <si>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</si>
  <si>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</si>
  <si>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</si>
  <si>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</si>
  <si>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</si>
  <si>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</si>
  <si>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</si>
  <si>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</si>
  <si>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</si>
  <si>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</si>
  <si>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</si>
  <si>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</si>
  <si>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</si>
  <si>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</si>
  <si>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</si>
  <si>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</si>
  <si>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</si>
  <si>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</si>
  <si>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</si>
  <si>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</si>
  <si>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</si>
  <si>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</si>
  <si>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</si>
  <si>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</si>
  <si>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</si>
  <si>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</si>
  <si>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</si>
  <si>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</si>
  <si>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</si>
  <si>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</si>
  <si>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</si>
  <si>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</si>
  <si>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</si>
  <si>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</si>
  <si>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</si>
  <si>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</si>
  <si>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</si>
  <si>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</si>
  <si>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</si>
  <si>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</si>
  <si>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</si>
  <si>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</si>
  <si>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</si>
  <si>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</si>
  <si>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</si>
  <si>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</si>
  <si>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</si>
  <si>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</si>
  <si>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</si>
  <si>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</si>
  <si>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</si>
  <si>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</si>
  <si>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</si>
  <si>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</si>
  <si>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</si>
  <si>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</si>
  <si>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</si>
  <si>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</si>
  <si>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</si>
  <si>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</si>
  <si>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</si>
  <si>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</si>
  <si>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</si>
  <si>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</si>
  <si>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</si>
  <si>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</si>
  <si>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</si>
  <si>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</si>
  <si>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</si>
  <si>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</si>
  <si>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</si>
  <si>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</si>
  <si>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</si>
  <si>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</si>
  <si>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</si>
  <si>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</si>
  <si>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</si>
  <si>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</si>
  <si>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</si>
  <si>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</si>
  <si>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</si>
  <si>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</si>
  <si>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</si>
  <si>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</si>
  <si>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</si>
  <si>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</si>
  <si>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</si>
  <si>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</si>
  <si>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</si>
  <si>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</si>
  <si>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</si>
  <si>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</si>
  <si>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</si>
  <si>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</si>
  <si>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</si>
  <si>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</si>
  <si>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</si>
  <si>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</si>
  <si>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</si>
  <si>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</si>
  <si>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</si>
  <si>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</si>
  <si>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</si>
  <si>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</si>
  <si>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</si>
  <si>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</si>
  <si>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</si>
  <si>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</si>
  <si>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</si>
  <si>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</si>
  <si>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</si>
  <si>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</si>
  <si>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</si>
  <si>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</si>
  <si>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</si>
  <si>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</si>
  <si>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</si>
  <si>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</si>
  <si>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</si>
  <si>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</si>
  <si>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</si>
  <si>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</si>
  <si>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</si>
  <si>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</si>
  <si>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</si>
  <si>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</si>
  <si>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</si>
  <si>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</si>
  <si>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</si>
  <si>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</si>
  <si>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</si>
  <si>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</si>
  <si>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</si>
  <si>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</si>
  <si>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</si>
  <si>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</si>
  <si>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</si>
  <si>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</si>
  <si>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</si>
  <si>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</si>
  <si>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</si>
  <si>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</si>
  <si>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</si>
  <si>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</si>
  <si>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</si>
  <si>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</si>
  <si>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</si>
  <si>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</si>
  <si>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</si>
  <si>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</si>
  <si>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</si>
  <si>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</si>
  <si>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</si>
  <si>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</si>
  <si>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</si>
  <si>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</si>
  <si>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</si>
  <si>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</si>
  <si>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</si>
  <si>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</si>
  <si>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</si>
  <si>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</si>
  <si>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</si>
  <si>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</si>
  <si>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</si>
  <si>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</si>
  <si>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</si>
  <si>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</si>
  <si>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</si>
  <si>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</si>
  <si>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</si>
  <si>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</si>
  <si>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</si>
  <si>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</si>
  <si>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</si>
  <si>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</si>
  <si>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</si>
  <si>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</si>
  <si>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</si>
  <si>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</si>
  <si>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</si>
  <si>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</si>
  <si>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</si>
  <si>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</si>
  <si>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</si>
  <si>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</si>
  <si>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</si>
  <si>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</si>
  <si>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</si>
  <si>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</si>
  <si>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</si>
  <si>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</si>
  <si>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</si>
  <si>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</si>
  <si>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</si>
  <si>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</si>
  <si>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</si>
  <si>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</si>
  <si>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</si>
  <si>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</si>
  <si>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</si>
  <si>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</si>
  <si>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</si>
  <si>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</si>
  <si>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</si>
  <si>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</si>
  <si>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</si>
  <si>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</si>
  <si>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</si>
  <si>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</si>
  <si>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</si>
  <si>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</si>
  <si>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</si>
  <si>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</si>
  <si>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</si>
  <si>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</si>
  <si>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</si>
  <si>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</si>
  <si>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</si>
  <si>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</si>
  <si>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</si>
  <si>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</si>
  <si>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</si>
  <si>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</si>
  <si>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</si>
  <si>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</si>
  <si>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</si>
  <si>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</si>
  <si>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</si>
  <si>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</si>
  <si>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</si>
  <si>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</si>
  <si>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</si>
  <si>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</si>
  <si>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</si>
  <si>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</si>
  <si>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</si>
  <si>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</si>
  <si>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</si>
  <si>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</si>
  <si>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</si>
  <si>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</si>
  <si>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</si>
  <si>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</si>
  <si>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</si>
  <si>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</si>
  <si>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</si>
  <si>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</si>
  <si>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</si>
  <si>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</si>
  <si>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</si>
  <si>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</si>
  <si>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</si>
  <si>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</si>
  <si>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</si>
  <si>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</si>
  <si>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</si>
  <si>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</si>
  <si>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</si>
  <si>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</si>
  <si>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</si>
  <si>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</si>
  <si>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</si>
  <si>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</si>
  <si>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</si>
  <si>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</si>
  <si>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</si>
  <si>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</si>
  <si>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</si>
  <si>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</si>
  <si>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</si>
  <si>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</si>
  <si>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</si>
  <si>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</si>
  <si>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</si>
  <si>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</si>
  <si>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</si>
  <si>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</si>
  <si>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</si>
  <si>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</si>
  <si>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</si>
  <si>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</si>
  <si>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</si>
  <si>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</si>
  <si>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</si>
  <si>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</si>
  <si>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</si>
  <si>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</si>
  <si>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</si>
  <si>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</si>
  <si>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</si>
  <si>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</si>
  <si>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</si>
  <si>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</si>
  <si>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</si>
  <si>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</si>
  <si>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</si>
  <si>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</si>
  <si>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</si>
  <si>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</si>
  <si>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</si>
  <si>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</si>
  <si>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</si>
  <si>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</si>
  <si>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</si>
  <si>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</si>
  <si>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</si>
  <si>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</si>
  <si>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</si>
  <si>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</si>
  <si>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</si>
  <si>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</si>
  <si>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</si>
  <si>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</si>
  <si>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</si>
  <si>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</si>
  <si>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</si>
  <si>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</si>
  <si>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</si>
  <si>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</si>
  <si>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</si>
  <si>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</si>
  <si>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</si>
  <si>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</si>
  <si>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</si>
  <si>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</si>
  <si>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</si>
  <si>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</si>
  <si>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</si>
  <si>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</si>
  <si>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</si>
  <si>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</si>
  <si>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</si>
  <si>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</si>
  <si>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</si>
  <si>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</si>
  <si>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</si>
  <si>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</si>
  <si>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</si>
  <si>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</si>
  <si>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</si>
  <si>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</si>
  <si>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</si>
  <si>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</si>
  <si>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</si>
  <si>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</si>
  <si>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</si>
  <si>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</si>
  <si>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</si>
  <si>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</si>
  <si>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</si>
  <si>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</si>
  <si>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</si>
  <si>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</si>
  <si>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</si>
  <si>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</si>
  <si>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</si>
  <si>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</si>
  <si>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</si>
  <si>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</si>
  <si>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</si>
  <si>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</si>
  <si>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</si>
  <si>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</si>
  <si>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</si>
  <si>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</si>
  <si>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</si>
  <si>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</si>
  <si>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</si>
  <si>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</si>
  <si>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</si>
  <si>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</si>
  <si>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</si>
  <si>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</si>
  <si>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</si>
  <si>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</si>
  <si>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</si>
  <si>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</si>
  <si>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</si>
  <si>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</si>
  <si>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</si>
  <si>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</si>
  <si>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</si>
  <si>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</si>
  <si>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</si>
  <si>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</si>
  <si>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</si>
  <si>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</si>
  <si>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</si>
  <si>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</si>
  <si>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</si>
  <si>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</si>
  <si>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</si>
  <si>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</si>
  <si>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</si>
  <si>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</si>
  <si>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</si>
  <si>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</si>
  <si>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</si>
  <si>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</si>
  <si>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</si>
  <si>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</si>
  <si>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</si>
  <si>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</si>
  <si>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</si>
  <si>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</si>
  <si>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</si>
  <si>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</si>
  <si>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</si>
  <si>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</si>
  <si>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</si>
  <si>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</si>
  <si>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</si>
  <si>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</si>
  <si>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</si>
  <si>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</si>
  <si>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</si>
  <si>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</si>
  <si>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</si>
  <si>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</si>
  <si>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</si>
  <si>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</si>
  <si>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</si>
  <si>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</si>
  <si>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</si>
  <si>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</si>
  <si>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</si>
  <si>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</si>
  <si>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</si>
  <si>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</si>
  <si>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</si>
  <si>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</si>
  <si>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</si>
  <si>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</si>
  <si>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</si>
  <si>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</si>
  <si>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</si>
  <si>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</si>
  <si>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</si>
  <si>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</si>
  <si>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</si>
  <si>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</si>
  <si>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</si>
  <si>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</si>
  <si>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</si>
  <si>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</si>
  <si>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</si>
  <si>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</si>
  <si>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</si>
  <si>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</si>
  <si>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</si>
  <si>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</si>
  <si>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</si>
  <si>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</si>
  <si>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</si>
  <si>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</si>
  <si>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</si>
  <si>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</si>
  <si>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</si>
  <si>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</si>
  <si>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</si>
  <si>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</si>
  <si>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</si>
  <si>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</si>
  <si>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</si>
  <si>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</si>
  <si>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</si>
  <si>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</si>
  <si>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</si>
  <si>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</si>
  <si>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</si>
  <si>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</si>
  <si>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</si>
  <si>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</si>
  <si>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</si>
  <si>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</si>
  <si>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</si>
  <si>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</si>
  <si>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</si>
  <si>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</si>
  <si>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</si>
  <si>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</si>
  <si>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</si>
  <si>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</si>
  <si>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</si>
  <si>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</si>
  <si>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</si>
  <si>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</si>
  <si>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</si>
  <si>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</si>
  <si>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</si>
  <si>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</si>
  <si>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</si>
  <si>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</si>
  <si>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</si>
  <si>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</si>
  <si>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</si>
  <si>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</si>
  <si>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</si>
  <si>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</si>
  <si>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</si>
  <si>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</si>
  <si>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</si>
  <si>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</si>
  <si>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</si>
  <si>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</si>
  <si>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</si>
  <si>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</si>
  <si>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</si>
  <si>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</si>
  <si>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</si>
  <si>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</si>
  <si>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</si>
  <si>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</si>
  <si>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</si>
  <si>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</si>
  <si>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</si>
  <si>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</si>
  <si>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</si>
  <si>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</si>
  <si>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</si>
  <si>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</si>
  <si>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</si>
  <si>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</si>
  <si>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</si>
  <si>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</si>
  <si>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</si>
  <si>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</si>
  <si>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</si>
  <si>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</si>
  <si>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</si>
  <si>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</si>
  <si>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</si>
  <si>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</si>
  <si>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</si>
  <si>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</si>
  <si>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</si>
  <si>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</si>
  <si>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</si>
  <si>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</si>
  <si>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</si>
  <si>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</si>
  <si>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</si>
  <si>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</si>
  <si>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</si>
  <si>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</si>
  <si>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</si>
  <si>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</si>
  <si>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</si>
  <si>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</si>
  <si>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</si>
  <si>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</si>
  <si>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</si>
  <si>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</si>
  <si>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</si>
  <si>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</si>
  <si>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</si>
  <si>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</si>
  <si>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</si>
  <si>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</si>
  <si>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</si>
  <si>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</si>
  <si>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</si>
  <si>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</si>
  <si>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</si>
  <si>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</si>
  <si>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</si>
  <si>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</si>
  <si>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</si>
  <si>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</si>
  <si>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</si>
  <si>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</si>
  <si>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</si>
  <si>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</si>
  <si>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</si>
  <si>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</si>
  <si>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</si>
  <si>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</si>
  <si>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</si>
  <si>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</si>
  <si>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</si>
  <si>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</si>
  <si>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</si>
  <si>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</si>
  <si>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</si>
  <si>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</si>
  <si>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</si>
  <si>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</si>
  <si>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</si>
  <si>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</si>
  <si>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</si>
  <si>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</si>
  <si>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</si>
  <si>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</si>
  <si>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</si>
  <si>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</si>
  <si>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</si>
  <si>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</si>
  <si>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</si>
  <si>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</si>
  <si>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</si>
  <si>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</si>
  <si>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</si>
  <si>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</si>
  <si>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</si>
  <si>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</si>
  <si>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</si>
  <si>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</si>
  <si>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</si>
  <si>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</si>
  <si>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</si>
  <si>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</si>
  <si>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</si>
  <si>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</si>
  <si>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</si>
  <si>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</si>
  <si>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</si>
  <si>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</si>
  <si>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</si>
  <si>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</si>
  <si>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</si>
  <si>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</si>
  <si>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</si>
  <si>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</si>
  <si>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</si>
  <si>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</si>
  <si>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</si>
  <si>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</si>
  <si>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</si>
  <si>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</si>
  <si>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</si>
  <si>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</si>
  <si>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</si>
  <si>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</si>
  <si>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</si>
  <si>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</si>
  <si>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</si>
  <si>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</si>
  <si>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</si>
  <si>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</si>
  <si>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</si>
  <si>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</si>
  <si>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</si>
  <si>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</si>
  <si>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</si>
  <si>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</si>
  <si>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</si>
  <si>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</si>
  <si>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</si>
  <si>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</si>
  <si>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</si>
  <si>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</si>
  <si>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</si>
  <si>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</si>
  <si>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</si>
  <si>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</si>
  <si>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</si>
  <si>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</si>
  <si>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</si>
  <si>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</si>
  <si>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</si>
  <si>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</si>
  <si>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</si>
  <si>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</si>
  <si>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</si>
  <si>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</si>
  <si>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</si>
  <si>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</si>
  <si>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</si>
  <si>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</si>
  <si>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</si>
  <si>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</si>
  <si>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</si>
  <si>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</si>
  <si>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</si>
  <si>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</si>
  <si>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</si>
  <si>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</si>
  <si>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</si>
  <si>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</si>
  <si>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</si>
  <si>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</si>
  <si>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</si>
  <si>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</si>
  <si>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</si>
  <si>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</si>
  <si>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</si>
  <si>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</si>
  <si>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</si>
  <si>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</si>
  <si>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</si>
  <si>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</si>
  <si>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</si>
  <si>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</si>
  <si>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</si>
  <si>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</si>
  <si>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</si>
  <si>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</si>
  <si>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</si>
  <si>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</si>
  <si>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</si>
  <si>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</si>
  <si>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</si>
  <si>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</si>
  <si>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</si>
  <si>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</si>
  <si>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</si>
  <si>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</si>
  <si>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</si>
  <si>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</si>
  <si>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</si>
  <si>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</si>
  <si>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</si>
  <si>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</si>
  <si>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</si>
  <si>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</si>
  <si>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</si>
  <si>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</si>
  <si>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</si>
  <si>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</si>
  <si>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</si>
  <si>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</si>
  <si>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</si>
  <si>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</si>
  <si>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</si>
  <si>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</si>
  <si>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</si>
  <si>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</si>
  <si>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</si>
  <si>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</si>
  <si>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</si>
  <si>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</si>
  <si>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</si>
  <si>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</si>
  <si>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</si>
  <si>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</si>
  <si>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</si>
  <si>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</si>
  <si>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</si>
  <si>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</si>
  <si>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</si>
  <si>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</si>
  <si>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</si>
  <si>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</si>
  <si>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</si>
  <si>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</si>
  <si>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</si>
  <si>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</si>
  <si>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</si>
  <si>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</si>
  <si>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</si>
  <si>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</si>
  <si>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</si>
  <si>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</si>
  <si>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</si>
  <si>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</si>
  <si>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</si>
  <si>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</si>
  <si>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</si>
  <si>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</si>
  <si>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</si>
  <si>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</si>
  <si>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</si>
  <si>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</si>
  <si>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</si>
  <si>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</si>
  <si>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</si>
  <si>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</si>
  <si>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</si>
  <si>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</si>
  <si>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</si>
  <si>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</si>
  <si>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</si>
  <si>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</si>
  <si>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</si>
  <si>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</si>
  <si>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</si>
  <si>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</si>
  <si>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</si>
  <si>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</si>
  <si>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</si>
  <si>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</si>
  <si>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</si>
  <si>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</si>
  <si>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</si>
  <si>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</si>
  <si>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</si>
  <si>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</si>
  <si>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</si>
  <si>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</si>
  <si>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</si>
  <si>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</si>
  <si>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</si>
  <si>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</si>
  <si>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</si>
  <si>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</si>
  <si>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</si>
  <si>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</si>
  <si>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</si>
  <si>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</si>
  <si>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</si>
  <si>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</si>
  <si>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</si>
  <si>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</si>
  <si>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</si>
  <si>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</si>
  <si>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</si>
  <si>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</si>
  <si>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</si>
  <si>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</si>
  <si>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</si>
  <si>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</si>
  <si>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</si>
  <si>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</si>
  <si>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</si>
  <si>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</si>
  <si>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</si>
  <si>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</si>
  <si>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</si>
  <si>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</si>
  <si>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</si>
  <si>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</si>
  <si>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</si>
  <si>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</si>
  <si>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</si>
  <si>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</si>
  <si>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</si>
  <si>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</si>
  <si>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</si>
  <si>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</si>
  <si>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</si>
  <si>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</si>
  <si>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</si>
  <si>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</si>
  <si>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</si>
  <si>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</si>
  <si>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</si>
  <si>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</si>
  <si>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</si>
  <si>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</si>
  <si>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</si>
  <si>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</si>
  <si>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</si>
  <si>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</si>
  <si>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</si>
  <si>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</si>
  <si>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</si>
  <si>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</si>
  <si>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</si>
  <si>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</si>
  <si>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</si>
  <si>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</si>
  <si>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</si>
  <si>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</si>
  <si>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</si>
  <si>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</si>
  <si>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</si>
  <si>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</si>
  <si>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</si>
  <si>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</si>
  <si>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</si>
  <si>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</si>
  <si>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</si>
  <si>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</si>
  <si>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</si>
  <si>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</si>
  <si>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</si>
  <si>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</si>
  <si>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</si>
  <si>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</si>
  <si>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</si>
  <si>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</si>
  <si>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</si>
  <si>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</si>
  <si>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</si>
  <si>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</si>
  <si>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</si>
  <si>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</si>
  <si>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</si>
  <si>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</si>
  <si>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</si>
  <si>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</si>
  <si>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</si>
  <si>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</si>
  <si>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</si>
  <si>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</si>
  <si>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</si>
  <si>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</si>
  <si>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</si>
  <si>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</si>
  <si>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</si>
  <si>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</si>
  <si>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</si>
  <si>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</si>
  <si>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</si>
  <si>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</si>
  <si>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</si>
  <si>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</si>
  <si>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</si>
  <si>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</si>
  <si>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</si>
  <si>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</si>
  <si>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</si>
  <si>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</si>
  <si>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</si>
  <si>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</si>
  <si>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</si>
  <si>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</si>
  <si>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</si>
  <si>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</si>
  <si>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</si>
  <si>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</si>
  <si>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</si>
  <si>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</si>
  <si>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</si>
  <si>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</si>
  <si>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</si>
  <si>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</si>
  <si>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</si>
  <si>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</si>
  <si>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</si>
  <si>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</si>
  <si>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</si>
  <si>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</si>
  <si>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</si>
  <si>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</si>
  <si>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</si>
  <si>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</si>
  <si>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</si>
  <si>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</si>
  <si>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</si>
  <si>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</si>
  <si>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</si>
  <si>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</si>
  <si>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</si>
  <si>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</si>
  <si>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</si>
  <si>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</si>
  <si>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</si>
  <si>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</si>
  <si>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</si>
  <si>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</si>
  <si>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</si>
  <si>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</si>
  <si>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</si>
  <si>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</si>
  <si>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</si>
  <si>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</si>
  <si>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</si>
  <si>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</si>
  <si>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</si>
  <si>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</si>
  <si>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</si>
  <si>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</si>
  <si>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</si>
  <si>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</si>
  <si>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</si>
  <si>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</si>
  <si>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</si>
  <si>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</si>
  <si>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</si>
  <si>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</si>
  <si>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</si>
  <si>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</si>
  <si>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</si>
  <si>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</si>
  <si>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</si>
  <si>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</si>
  <si>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</si>
  <si>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</si>
  <si>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</si>
  <si>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</si>
  <si>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</si>
  <si>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</si>
  <si>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</si>
  <si>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</si>
  <si>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</si>
  <si>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</si>
  <si>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</si>
  <si>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</si>
  <si>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</si>
  <si>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</si>
  <si>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</si>
  <si>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</si>
  <si>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</si>
  <si>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</si>
  <si>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</si>
  <si>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</si>
  <si>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</si>
  <si>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</si>
  <si>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</si>
  <si>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</si>
  <si>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</si>
  <si>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</si>
  <si>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</si>
  <si>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</si>
  <si>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</si>
  <si>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</si>
  <si>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</si>
  <si>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</si>
  <si>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</si>
  <si>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</si>
  <si>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</si>
  <si>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</si>
  <si>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</si>
  <si>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</si>
  <si>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</si>
  <si>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</si>
  <si>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</si>
  <si>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</si>
  <si>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</si>
  <si>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</si>
  <si>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</si>
  <si>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</si>
  <si>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</si>
  <si>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</si>
  <si>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</si>
  <si>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</si>
  <si>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</si>
  <si>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</si>
  <si>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</si>
  <si>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</si>
  <si>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</si>
  <si>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</si>
  <si>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</si>
  <si>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</si>
  <si>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</si>
  <si>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</si>
  <si>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</si>
  <si>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</si>
  <si>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</si>
  <si>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</si>
  <si>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</si>
  <si>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</si>
  <si>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</si>
  <si>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</si>
  <si>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</si>
  <si>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</si>
  <si>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</si>
  <si>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</si>
  <si>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</si>
  <si>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</si>
  <si>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</si>
  <si>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</si>
  <si>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</si>
  <si>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</si>
  <si>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</si>
  <si>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</si>
  <si>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</si>
  <si>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</si>
  <si>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</si>
  <si>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</si>
  <si>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</si>
  <si>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</si>
  <si>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</si>
  <si>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</si>
  <si>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</si>
  <si>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</si>
  <si>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</si>
  <si>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</si>
  <si>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</si>
  <si>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</si>
  <si>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</si>
  <si>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</si>
  <si>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</si>
  <si>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</si>
  <si>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</si>
  <si>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</si>
  <si>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</si>
  <si>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</si>
  <si>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</si>
  <si>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</si>
  <si>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</si>
  <si>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</si>
  <si>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</si>
  <si>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</si>
  <si>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</si>
  <si>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</si>
  <si>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</si>
  <si>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</si>
  <si>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</si>
  <si>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</si>
  <si>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</si>
  <si>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</si>
  <si>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</si>
  <si>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</si>
  <si>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</si>
  <si>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</si>
  <si>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</si>
  <si>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</si>
  <si>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</si>
  <si>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</si>
  <si>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</si>
  <si>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</si>
  <si>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</si>
  <si>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</si>
  <si>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</si>
  <si>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</si>
  <si>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</si>
  <si>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</si>
  <si>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</si>
  <si>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</si>
  <si>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</si>
  <si>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</si>
  <si>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</si>
  <si>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</si>
  <si>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</si>
  <si>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</si>
  <si>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</si>
  <si>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</si>
  <si>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</si>
  <si>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</si>
  <si>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</si>
  <si>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</si>
  <si>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</si>
  <si>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</si>
  <si>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</si>
  <si>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</si>
  <si>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</si>
  <si>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</si>
  <si>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</si>
  <si>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</si>
  <si>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</si>
  <si>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</si>
  <si>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</si>
  <si>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</si>
  <si>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</si>
  <si>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</si>
  <si>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</si>
  <si>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</si>
  <si>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</si>
  <si>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</si>
  <si>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</si>
  <si>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</si>
  <si>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</si>
  <si>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</si>
  <si>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</si>
  <si>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</si>
  <si>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</si>
  <si>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</si>
  <si>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</si>
  <si>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</si>
  <si>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</si>
  <si>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</si>
  <si>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</si>
  <si>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</si>
  <si>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</si>
  <si>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</si>
  <si>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</si>
  <si>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</si>
  <si>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</si>
  <si>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</si>
  <si>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</si>
  <si>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</si>
  <si>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</si>
  <si>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</si>
  <si>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</si>
  <si>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</si>
  <si>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</si>
  <si>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</si>
  <si>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</si>
  <si>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</si>
  <si>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</si>
  <si>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</si>
  <si>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</si>
  <si>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</si>
  <si>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</si>
  <si>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</si>
  <si>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</si>
  <si>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</si>
  <si>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</si>
  <si>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</si>
  <si>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</si>
  <si>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</si>
  <si>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</si>
  <si>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</si>
  <si>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</si>
  <si>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</si>
  <si>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</si>
  <si>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</si>
  <si>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</si>
  <si>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</si>
  <si>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</si>
  <si>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</si>
  <si>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</si>
  <si>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</si>
  <si>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</si>
  <si>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</si>
  <si>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</si>
  <si>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</si>
  <si>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</si>
  <si>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</si>
  <si>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</si>
  <si>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</si>
  <si>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</si>
  <si>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</si>
  <si>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</si>
  <si>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</si>
  <si>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</si>
  <si>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</si>
  <si>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</si>
  <si>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</si>
  <si>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</si>
  <si>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</si>
  <si>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</si>
  <si>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</si>
  <si>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</si>
  <si>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</si>
  <si>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</si>
  <si>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</si>
  <si>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</si>
  <si>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</si>
  <si>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</si>
  <si>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</si>
  <si>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</si>
  <si>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</si>
  <si>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</si>
  <si>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</si>
  <si>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</si>
  <si>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</si>
  <si>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</si>
  <si>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</si>
  <si>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</si>
  <si>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</si>
  <si>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</si>
  <si>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</si>
  <si>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</si>
  <si>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</si>
  <si>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</si>
  <si>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</si>
  <si>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</si>
  <si>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</si>
  <si>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</si>
  <si>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</si>
  <si>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</si>
  <si>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</si>
  <si>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</si>
  <si>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</si>
  <si>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</si>
  <si>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</si>
  <si>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</si>
  <si>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</si>
  <si>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</si>
  <si>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</si>
  <si>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</si>
  <si>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</si>
  <si>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</si>
  <si>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</si>
  <si>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</si>
  <si>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</si>
  <si>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</si>
  <si>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</si>
  <si>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</si>
  <si>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</si>
  <si>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</si>
  <si>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</si>
  <si>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</si>
  <si>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</si>
  <si>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</si>
  <si>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</si>
  <si>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</si>
  <si>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</si>
  <si>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</si>
  <si>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</si>
  <si>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</si>
  <si>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</si>
  <si>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</si>
  <si>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</si>
  <si>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</si>
  <si>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</si>
  <si>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</si>
  <si>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</si>
  <si>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</si>
  <si>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</si>
  <si>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</si>
  <si>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</si>
  <si>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</si>
  <si>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</si>
  <si>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</si>
  <si>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</si>
  <si>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</si>
  <si>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</si>
  <si>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</si>
  <si>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</si>
  <si>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</si>
  <si>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</si>
  <si>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</si>
  <si>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</si>
  <si>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</si>
  <si>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</si>
  <si>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</si>
  <si>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</si>
  <si>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</si>
  <si>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</si>
  <si>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</si>
  <si>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</si>
  <si>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</si>
  <si>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</si>
  <si>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</si>
  <si>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</si>
  <si>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</si>
  <si>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</si>
  <si>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</si>
  <si>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</si>
  <si>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</si>
  <si>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</si>
  <si>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</si>
  <si>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</si>
  <si>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</si>
  <si>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</si>
  <si>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</si>
  <si>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</si>
  <si>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</si>
  <si>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</si>
  <si>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</si>
  <si>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</si>
  <si>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</si>
  <si>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</si>
  <si>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</si>
  <si>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</si>
  <si>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</si>
  <si>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</si>
  <si>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</si>
  <si>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</si>
  <si>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</si>
  <si>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</si>
  <si>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</si>
  <si>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</si>
  <si>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</si>
  <si>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</si>
  <si>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</si>
  <si>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</si>
  <si>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</si>
  <si>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</si>
  <si>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</si>
  <si>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</si>
  <si>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</si>
  <si>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</si>
  <si>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</si>
  <si>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</si>
  <si>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</si>
  <si>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</si>
  <si>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</si>
  <si>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</si>
  <si>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</si>
  <si>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</si>
  <si>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</si>
  <si>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</si>
  <si>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</si>
  <si>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</si>
  <si>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</si>
  <si>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</si>
  <si>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</si>
  <si>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</si>
  <si>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</si>
  <si>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</si>
  <si>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</si>
  <si>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</si>
  <si>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</si>
  <si>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</si>
  <si>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</si>
  <si>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</si>
  <si>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</si>
  <si>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</si>
  <si>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</si>
  <si>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</si>
  <si>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</si>
  <si>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</si>
  <si>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</si>
  <si>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</si>
  <si>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</si>
  <si>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</si>
  <si>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</si>
  <si>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</si>
  <si>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</si>
  <si>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</si>
  <si>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</si>
  <si>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</si>
  <si>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</si>
  <si>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</si>
  <si>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</si>
  <si>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</si>
  <si>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</si>
  <si>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</si>
  <si>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</si>
  <si>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</si>
  <si>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</si>
  <si>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</si>
  <si>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</si>
  <si>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</si>
  <si>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</si>
  <si>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</si>
  <si>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</si>
  <si>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</si>
  <si>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</si>
  <si>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</si>
  <si>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</si>
  <si>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</si>
  <si>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</si>
  <si>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</si>
  <si>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</si>
  <si>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</si>
  <si>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</si>
  <si>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</si>
  <si>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</si>
  <si>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</si>
  <si>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</si>
  <si>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</si>
  <si>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</si>
  <si>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</si>
  <si>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</si>
  <si>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</si>
  <si>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</si>
  <si>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</si>
  <si>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</si>
  <si>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</si>
  <si>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</si>
  <si>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</si>
  <si>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</si>
  <si>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</si>
  <si>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</si>
  <si>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</si>
  <si>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</si>
  <si>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</si>
  <si>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</si>
  <si>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</si>
  <si>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</si>
  <si>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</si>
  <si>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</si>
  <si>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</si>
  <si>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</si>
  <si>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</si>
  <si>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</si>
  <si>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</si>
  <si>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</si>
  <si>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</si>
  <si>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</si>
  <si>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</si>
  <si>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</si>
  <si>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</si>
  <si>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</si>
  <si>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</si>
  <si>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</si>
  <si>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</si>
  <si>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</si>
  <si>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</si>
  <si>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</si>
  <si>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</si>
  <si>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</si>
  <si>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</si>
  <si>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</si>
  <si>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</si>
  <si>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</si>
  <si>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</si>
  <si>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</si>
  <si>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</si>
  <si>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</si>
  <si>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</si>
  <si>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</si>
  <si>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</si>
  <si>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</si>
  <si>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</si>
  <si>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</si>
  <si>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</si>
  <si>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</si>
  <si>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</si>
  <si>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</si>
  <si>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</si>
  <si>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</si>
  <si>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</si>
  <si>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</si>
  <si>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</si>
  <si>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</si>
  <si>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</si>
  <si>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</si>
  <si>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</si>
  <si>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</si>
  <si>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</si>
  <si>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</si>
  <si>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</si>
  <si>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</si>
  <si>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</si>
  <si>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</si>
  <si>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</si>
  <si>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</si>
  <si>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</si>
  <si>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</si>
  <si>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</si>
  <si>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</si>
  <si>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</si>
  <si>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</si>
  <si>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</si>
  <si>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</si>
  <si>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</si>
  <si>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</si>
  <si>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</si>
  <si>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</si>
  <si>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</si>
  <si>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</si>
  <si>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</si>
  <si>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</si>
  <si>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</si>
  <si>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</si>
  <si>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</si>
  <si>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</si>
  <si>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</si>
  <si>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</si>
  <si>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</si>
  <si>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</si>
  <si>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</si>
  <si>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</si>
  <si>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</si>
  <si>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</si>
  <si>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</si>
  <si>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</si>
  <si>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</si>
  <si>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</si>
  <si>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</si>
  <si>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</si>
  <si>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</si>
  <si>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</si>
  <si>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</si>
  <si>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</si>
  <si>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</si>
  <si>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</si>
  <si>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</si>
  <si>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</si>
  <si>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</si>
  <si>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</si>
  <si>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</si>
  <si>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</si>
  <si>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</si>
  <si>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</si>
  <si>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</si>
  <si>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</si>
  <si>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</si>
  <si>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</si>
  <si>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</si>
  <si>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</si>
  <si>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</si>
  <si>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</si>
  <si>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</si>
  <si>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</si>
  <si>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</si>
  <si>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</si>
  <si>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</si>
  <si>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</si>
  <si>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</si>
  <si>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</si>
  <si>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</si>
  <si>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</si>
  <si>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</si>
  <si>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</si>
  <si>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</si>
  <si>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</si>
  <si>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</si>
  <si>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</si>
  <si>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</si>
  <si>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</si>
  <si>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</si>
  <si>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</si>
  <si>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</si>
  <si>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</si>
  <si>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</si>
  <si>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</si>
  <si>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</si>
  <si>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</si>
  <si>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</si>
  <si>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</si>
  <si>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</si>
  <si>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</si>
  <si>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</si>
  <si>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</si>
  <si>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</si>
  <si>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</si>
  <si>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</si>
  <si>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</si>
  <si>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</si>
  <si>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</si>
  <si>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</si>
  <si>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</si>
  <si>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</si>
  <si>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</si>
  <si>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</si>
  <si>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</si>
  <si>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</si>
  <si>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</si>
  <si>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</si>
  <si>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</si>
  <si>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</si>
  <si>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</si>
  <si>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</si>
  <si>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</si>
  <si>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</si>
  <si>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</si>
  <si>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</si>
  <si>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</si>
  <si>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</si>
  <si>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</si>
  <si>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</si>
  <si>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</si>
  <si>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</si>
  <si>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</si>
  <si>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</si>
  <si>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</si>
  <si>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</si>
  <si>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</si>
  <si>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</si>
  <si>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</si>
  <si>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</si>
  <si>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</si>
  <si>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</si>
  <si>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</si>
  <si>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</si>
  <si>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</si>
  <si>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</si>
  <si>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</si>
  <si>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</si>
  <si>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</si>
  <si>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</si>
  <si>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</si>
  <si>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</si>
  <si>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</si>
  <si>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</si>
  <si>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</si>
  <si>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</si>
  <si>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</si>
  <si>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</si>
  <si>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</si>
  <si>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</si>
  <si>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</si>
  <si>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</si>
  <si>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</si>
  <si>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</si>
  <si>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</si>
  <si>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</si>
  <si>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</si>
  <si>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</si>
  <si>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</si>
  <si>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</si>
  <si>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</si>
  <si>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</si>
  <si>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</si>
  <si>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</si>
  <si>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</si>
  <si>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</si>
  <si>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</si>
  <si>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</si>
  <si>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</si>
  <si>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</si>
  <si>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</si>
  <si>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</si>
  <si>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</si>
  <si>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</si>
  <si>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</si>
  <si>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</si>
  <si>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</si>
  <si>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</si>
  <si>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</si>
  <si>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</si>
  <si>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</si>
  <si>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</si>
  <si>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</si>
  <si>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</si>
  <si>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</si>
  <si>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</si>
  <si>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</si>
  <si>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</si>
  <si>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</si>
  <si>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</si>
  <si>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</si>
  <si>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</si>
  <si>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</si>
  <si>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</si>
  <si>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</si>
  <si>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</si>
  <si>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</si>
  <si>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</si>
  <si>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</si>
  <si>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</si>
  <si>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</si>
  <si>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</si>
  <si>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</si>
  <si>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</si>
  <si>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</si>
  <si>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</si>
  <si>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</si>
  <si>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</si>
  <si>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</si>
  <si>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</si>
  <si>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</si>
  <si>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</si>
  <si>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</si>
  <si>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</si>
  <si>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</si>
  <si>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</si>
  <si>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</si>
  <si>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</si>
  <si>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</si>
  <si>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</si>
  <si>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</si>
  <si>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</si>
  <si>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</si>
  <si>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</si>
  <si>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</si>
  <si>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</si>
  <si>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</si>
  <si>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</si>
  <si>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</si>
  <si>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</si>
  <si>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</si>
  <si>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</si>
  <si>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</si>
  <si>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</si>
  <si>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</si>
  <si>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</si>
  <si>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</si>
  <si>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</si>
  <si>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</si>
  <si>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</si>
  <si>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</si>
  <si>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</si>
  <si>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</si>
  <si>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</si>
  <si>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</si>
  <si>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</si>
  <si>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</si>
  <si>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</si>
  <si>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</si>
  <si>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</si>
  <si>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</si>
  <si>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</si>
  <si>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</si>
  <si>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</si>
  <si>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</si>
  <si>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</si>
  <si>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</si>
  <si>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</si>
  <si>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</si>
  <si>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</si>
  <si>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</si>
  <si>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</si>
  <si>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</si>
  <si>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</si>
  <si>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</si>
  <si>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</si>
  <si>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</si>
  <si>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</si>
  <si>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</si>
  <si>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</si>
  <si>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</si>
  <si>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</si>
  <si>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</si>
  <si>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</si>
  <si>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</si>
  <si>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</si>
  <si>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</si>
  <si>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</si>
  <si>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</si>
  <si>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</si>
  <si>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</si>
  <si>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</si>
  <si>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</si>
  <si>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</si>
  <si>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</si>
  <si>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</si>
  <si>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</si>
  <si>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</si>
  <si>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</si>
  <si>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</si>
  <si>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</si>
  <si>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</si>
  <si>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</si>
  <si>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</si>
  <si>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</si>
  <si>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</si>
  <si>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</si>
  <si>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</si>
  <si>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</si>
  <si>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</si>
  <si>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</si>
  <si>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</si>
  <si>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</si>
  <si>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</si>
  <si>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</si>
  <si>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</si>
  <si>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</si>
  <si>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</si>
  <si>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</si>
  <si>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</si>
  <si>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</si>
  <si>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</si>
  <si>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</si>
  <si>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</si>
  <si>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</si>
  <si>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</si>
  <si>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</si>
  <si>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</si>
  <si>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</si>
  <si>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</si>
  <si>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</si>
  <si>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</si>
  <si>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</si>
  <si>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</si>
  <si>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</si>
  <si>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</si>
  <si>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</si>
  <si>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</si>
  <si>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</si>
  <si>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</si>
  <si>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</si>
  <si>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</si>
  <si>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</si>
  <si>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</si>
  <si>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</si>
  <si>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</si>
  <si>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</si>
  <si>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</si>
  <si>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</si>
  <si>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</si>
  <si>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</si>
  <si>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</si>
  <si>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</si>
  <si>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</si>
  <si>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</si>
  <si>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</si>
  <si>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</si>
  <si>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</si>
  <si>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</si>
  <si>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</si>
  <si>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</si>
  <si>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</si>
  <si>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</si>
  <si>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</si>
  <si>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</si>
  <si>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</si>
  <si>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</si>
  <si>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</si>
  <si>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</si>
  <si>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</si>
  <si>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</si>
  <si>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</si>
  <si>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</si>
  <si>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</si>
  <si>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</si>
  <si>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</si>
  <si>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</si>
  <si>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</si>
  <si>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</si>
  <si>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</si>
  <si>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</si>
  <si>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</si>
  <si>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</si>
  <si>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</si>
  <si>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</si>
  <si>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</si>
  <si>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</si>
  <si>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</si>
  <si>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</si>
  <si>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</si>
  <si>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</si>
  <si>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</si>
  <si>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</si>
  <si>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</si>
  <si>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</si>
  <si>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</si>
  <si>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</si>
  <si>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</si>
  <si>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</si>
  <si>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</si>
  <si>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</si>
  <si>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</si>
  <si>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</si>
  <si>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</si>
  <si>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</si>
  <si>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</si>
  <si>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</si>
  <si>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</si>
  <si>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</si>
  <si>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</si>
  <si>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</si>
  <si>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</si>
  <si>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</si>
  <si>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</si>
  <si>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</si>
  <si>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</si>
  <si>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</si>
  <si>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</si>
  <si>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</si>
  <si>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</si>
  <si>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</si>
  <si>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</si>
  <si>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</si>
  <si>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</si>
  <si>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</si>
  <si>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</si>
  <si>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</si>
  <si>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</si>
  <si>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</si>
  <si>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</si>
  <si>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</si>
  <si>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</si>
  <si>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</si>
  <si>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</si>
  <si>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</si>
  <si>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</si>
  <si>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</si>
  <si>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</si>
  <si>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</si>
  <si>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</si>
  <si>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</si>
  <si>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</si>
  <si>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</si>
  <si>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</si>
  <si>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</si>
  <si>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</si>
  <si>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</si>
  <si>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</si>
  <si>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</si>
  <si>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</si>
  <si>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</si>
  <si>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</si>
  <si>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</si>
  <si>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</si>
  <si>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</si>
  <si>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</si>
  <si>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</si>
  <si>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</si>
  <si>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</si>
  <si>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</si>
  <si>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</si>
  <si>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</si>
  <si>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</si>
  <si>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</si>
  <si>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</si>
  <si>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</si>
  <si>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</si>
  <si>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</si>
  <si>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</si>
  <si>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</si>
  <si>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</si>
  <si>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</si>
  <si>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</si>
  <si>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</si>
  <si>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</si>
  <si>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</si>
  <si>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</si>
  <si>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</si>
  <si>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</si>
  <si>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</si>
  <si>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</si>
  <si>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</si>
  <si>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</si>
  <si>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</si>
  <si>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</si>
  <si>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</si>
  <si>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</si>
  <si>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</si>
  <si>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</si>
  <si>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</si>
  <si>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</si>
  <si>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</si>
  <si>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</si>
  <si>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</si>
  <si>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</si>
  <si>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</si>
  <si>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</si>
  <si>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</si>
  <si>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</si>
  <si>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</si>
  <si>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</si>
  <si>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</si>
  <si>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</si>
  <si>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</si>
  <si>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</si>
  <si>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</si>
  <si>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</si>
  <si>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</si>
  <si>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</si>
  <si>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</si>
  <si>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</si>
  <si>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</si>
  <si>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</si>
  <si>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</si>
  <si>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</si>
  <si>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</si>
  <si>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</si>
  <si>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</si>
  <si>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</si>
  <si>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</si>
  <si>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</si>
  <si>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</si>
  <si>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</si>
  <si>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</si>
  <si>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</si>
  <si>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</si>
  <si>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</si>
  <si>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</si>
  <si>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</si>
  <si>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</si>
  <si>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</si>
  <si>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</si>
  <si>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</si>
  <si>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</si>
  <si>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</si>
  <si>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</si>
  <si>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</si>
  <si>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</si>
  <si>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</si>
  <si>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</si>
  <si>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</si>
  <si>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</si>
  <si>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</si>
  <si>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</si>
  <si>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</si>
  <si>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</si>
  <si>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</si>
  <si>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</si>
  <si>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</si>
  <si>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</si>
  <si>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</si>
  <si>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</si>
  <si>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</si>
  <si>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</si>
  <si>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</si>
  <si>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</si>
  <si>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</si>
  <si>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</si>
  <si>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</si>
  <si>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</si>
  <si>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</si>
  <si>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</si>
  <si>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</si>
  <si>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</si>
  <si>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</si>
  <si>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</si>
  <si>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</si>
  <si>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</si>
  <si>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</si>
  <si>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</si>
  <si>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</si>
  <si>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</si>
  <si>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</si>
  <si>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</si>
  <si>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</si>
  <si>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</si>
  <si>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</si>
  <si>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</si>
  <si>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</si>
  <si>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</si>
  <si>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</si>
  <si>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</si>
  <si>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</si>
  <si>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</si>
  <si>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</si>
  <si>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</si>
  <si>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</si>
  <si>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</si>
  <si>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</si>
  <si>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</si>
  <si>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</si>
  <si>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</si>
  <si>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</si>
  <si>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</si>
  <si>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</si>
  <si>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</si>
  <si>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</si>
  <si>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</si>
  <si>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</si>
  <si>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</si>
  <si>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</si>
  <si>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</si>
  <si>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</si>
  <si>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</si>
  <si>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</si>
  <si>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</si>
  <si>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</si>
  <si>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</si>
  <si>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</si>
  <si>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</si>
  <si>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</si>
  <si>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</si>
  <si>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</si>
  <si>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</si>
  <si>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</si>
  <si>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</si>
  <si>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</si>
  <si>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</si>
  <si>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</si>
  <si>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</si>
  <si>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</si>
  <si>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</si>
  <si>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</si>
  <si>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</si>
  <si>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</si>
  <si>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</si>
  <si>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</si>
  <si>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</si>
  <si>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</si>
  <si>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</si>
  <si>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</si>
  <si>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</si>
  <si>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</si>
  <si>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</si>
  <si>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</si>
  <si>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</si>
  <si>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</si>
  <si>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</si>
  <si>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</si>
  <si>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</si>
  <si>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</si>
  <si>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</si>
  <si>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</si>
  <si>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</si>
  <si>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</si>
  <si>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</si>
  <si>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</si>
  <si>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</si>
  <si>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</si>
  <si>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</si>
  <si>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</si>
  <si>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</si>
  <si>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</si>
  <si>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</si>
  <si>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</si>
  <si>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</si>
  <si>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</si>
  <si>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</si>
  <si>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</si>
  <si>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</si>
  <si>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</si>
  <si>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</si>
  <si>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</si>
  <si>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</si>
  <si>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</si>
  <si>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</si>
  <si>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</si>
  <si>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</si>
  <si>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</si>
  <si>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</si>
  <si>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</si>
  <si>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</si>
  <si>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</si>
  <si>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</si>
  <si>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</si>
  <si>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</si>
  <si>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</si>
  <si>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</si>
  <si>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</si>
  <si>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</si>
  <si>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</si>
  <si>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</si>
  <si>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</si>
  <si>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</si>
  <si>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</si>
  <si>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</si>
  <si>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</si>
  <si>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</si>
  <si>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</si>
  <si>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</si>
  <si>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</si>
  <si>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</si>
  <si>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</si>
  <si>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</si>
  <si>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</si>
  <si>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</si>
  <si>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</si>
  <si>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</si>
  <si>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</si>
  <si>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</si>
  <si>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</si>
  <si>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</si>
  <si>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</si>
  <si>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</si>
  <si>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</si>
  <si>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</si>
  <si>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</si>
  <si>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</si>
  <si>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</si>
  <si>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</si>
  <si>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</si>
  <si>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</si>
  <si>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</si>
  <si>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</si>
  <si>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</si>
  <si>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</si>
  <si>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</si>
  <si>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</si>
  <si>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</si>
  <si>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</si>
  <si>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</si>
  <si>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</si>
  <si>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</si>
  <si>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</si>
  <si>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</si>
  <si>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</si>
  <si>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</si>
  <si>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</si>
  <si>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</si>
  <si>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</si>
  <si>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</si>
  <si>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</si>
  <si>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</si>
  <si>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</si>
  <si>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</si>
  <si>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</si>
  <si>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</si>
  <si>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</si>
  <si>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</si>
  <si>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</si>
  <si>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</si>
  <si>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</si>
  <si>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</si>
  <si>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</si>
  <si>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</si>
  <si>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</si>
  <si>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</si>
  <si>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</si>
  <si>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</si>
  <si>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</si>
  <si>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</si>
  <si>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</si>
  <si>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</si>
  <si>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</si>
  <si>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</si>
  <si>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</si>
  <si>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</si>
  <si>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</si>
  <si>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</si>
  <si>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</si>
  <si>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</si>
  <si>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</si>
  <si>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</si>
  <si>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</si>
  <si>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</si>
  <si>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</si>
  <si>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</si>
  <si>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</si>
  <si>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</si>
  <si>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</si>
  <si>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</si>
  <si>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</si>
  <si>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</si>
  <si>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</si>
  <si>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</si>
  <si>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</si>
  <si>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</si>
  <si>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</si>
  <si>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</si>
  <si>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</si>
  <si>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</si>
  <si>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</si>
  <si>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</si>
  <si>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</si>
  <si>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</si>
  <si>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</si>
  <si>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</si>
  <si>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</si>
  <si>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</si>
  <si>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</si>
  <si>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</si>
  <si>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</si>
  <si>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</si>
  <si>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</si>
  <si>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</si>
  <si>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</si>
  <si>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</si>
  <si>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</si>
  <si>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</si>
  <si>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</si>
  <si>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</si>
  <si>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</si>
  <si>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</si>
  <si>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</si>
  <si>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</si>
  <si>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</si>
  <si>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</si>
  <si>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</si>
  <si>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</si>
  <si>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</si>
  <si>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</si>
  <si>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</si>
  <si>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</si>
  <si>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</si>
  <si>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</si>
  <si>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</si>
  <si>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</si>
  <si>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</si>
  <si>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</si>
  <si>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</si>
  <si>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</si>
  <si>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</si>
  <si>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</si>
  <si>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</si>
  <si>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</si>
  <si>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</si>
  <si>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</si>
  <si>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</si>
  <si>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</si>
  <si>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</si>
  <si>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</si>
  <si>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</si>
  <si>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</si>
  <si>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</si>
  <si>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</si>
  <si>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</si>
  <si>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</si>
  <si>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</si>
  <si>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</si>
  <si>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</si>
  <si>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</si>
  <si>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</si>
  <si>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</si>
  <si>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</si>
  <si>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</si>
  <si>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</si>
  <si>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</si>
  <si>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</si>
  <si>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</si>
  <si>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</si>
  <si>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</si>
  <si>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</si>
  <si>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</si>
  <si>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</si>
  <si>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</si>
  <si>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</si>
  <si>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</si>
  <si>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</si>
  <si>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</si>
  <si>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</si>
  <si>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</si>
  <si>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</si>
  <si>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</si>
  <si>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</si>
  <si>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</si>
  <si>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</si>
  <si>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</si>
  <si>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</si>
  <si>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</si>
  <si>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</si>
  <si>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</si>
  <si>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</si>
  <si>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</si>
  <si>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</si>
  <si>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</si>
  <si>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</si>
  <si>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</si>
  <si>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</si>
  <si>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</si>
  <si>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</si>
  <si>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</si>
  <si>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</si>
  <si>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</si>
  <si>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</si>
  <si>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</si>
  <si>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</si>
  <si>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</si>
  <si>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</si>
  <si>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</si>
  <si>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</si>
  <si>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</si>
  <si>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</si>
  <si>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</si>
  <si>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</si>
  <si>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</si>
  <si>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</si>
  <si>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</si>
  <si>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</si>
  <si>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</si>
  <si>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</si>
  <si>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</si>
  <si>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</si>
  <si>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</si>
  <si>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</si>
  <si>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</si>
  <si>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</si>
  <si>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</si>
  <si>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</si>
  <si>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</si>
  <si>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</si>
  <si>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</si>
  <si>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</si>
  <si>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</si>
  <si>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</si>
  <si>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</si>
  <si>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</si>
  <si>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</si>
  <si>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</si>
  <si>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</si>
  <si>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</si>
  <si>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</si>
  <si>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</si>
  <si>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</si>
  <si>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</si>
  <si>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</si>
  <si>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</si>
  <si>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</si>
  <si>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</si>
  <si>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</si>
  <si>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</si>
  <si>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</si>
  <si>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</si>
  <si>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</si>
  <si>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</si>
  <si>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</si>
  <si>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</si>
  <si>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</si>
  <si>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</si>
  <si>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</si>
  <si>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</si>
  <si>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</si>
  <si>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</si>
  <si>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</si>
  <si>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</si>
  <si>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</si>
  <si>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</si>
  <si>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</si>
  <si>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</si>
  <si>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</si>
  <si>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</si>
  <si>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</si>
  <si>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</si>
  <si>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</si>
  <si>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</si>
  <si>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</si>
  <si>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</si>
  <si>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</si>
  <si>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</si>
  <si>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</si>
  <si>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</si>
  <si>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</si>
  <si>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</si>
  <si>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</si>
  <si>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</si>
  <si>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</si>
  <si>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</si>
  <si>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</si>
  <si>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</si>
  <si>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</si>
  <si>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</si>
  <si>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</si>
  <si>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</si>
  <si>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</si>
  <si>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</si>
  <si>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</si>
  <si>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</si>
  <si>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</si>
  <si>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</si>
  <si>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</si>
  <si>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</si>
  <si>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</si>
  <si>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</si>
  <si>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</si>
  <si>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</si>
  <si>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</si>
  <si>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</si>
  <si>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</si>
  <si>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</si>
  <si>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</si>
  <si>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</si>
  <si>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</si>
  <si>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</si>
  <si>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</si>
  <si>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</si>
  <si>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</si>
  <si>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</si>
  <si>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</si>
  <si>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</si>
  <si>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</si>
  <si>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</si>
  <si>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</si>
  <si>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</si>
  <si>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</si>
  <si>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</si>
  <si>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</si>
  <si>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</si>
  <si>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</si>
  <si>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</si>
  <si>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</si>
  <si>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</si>
  <si>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</si>
  <si>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</si>
  <si>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</si>
  <si>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</si>
  <si>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</si>
  <si>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</si>
  <si>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</si>
  <si>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</si>
  <si>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</si>
  <si>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</si>
  <si>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</si>
  <si>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</si>
  <si>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</si>
  <si>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</si>
  <si>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</si>
  <si>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</si>
  <si>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</si>
  <si>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</si>
  <si>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</si>
  <si>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</si>
  <si>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</si>
  <si>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</si>
  <si>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</si>
  <si>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</si>
  <si>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</si>
  <si>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</si>
  <si>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</si>
  <si>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</si>
  <si>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</si>
  <si>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</si>
  <si>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</si>
  <si>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</si>
  <si>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</si>
  <si>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</si>
  <si>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</si>
  <si>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</si>
  <si>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</si>
  <si>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</si>
  <si>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</si>
  <si>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</si>
  <si>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</si>
  <si>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</si>
  <si>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</si>
  <si>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</si>
  <si>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</si>
  <si>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</si>
  <si>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</si>
  <si>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</si>
  <si>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</si>
  <si>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</si>
  <si>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</si>
  <si>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</si>
  <si>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</si>
  <si>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</si>
  <si>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</si>
  <si>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</si>
  <si>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</si>
  <si>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</si>
  <si>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</si>
  <si>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</si>
  <si>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</si>
  <si>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</si>
  <si>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</si>
  <si>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</si>
  <si>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</si>
  <si>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</si>
  <si>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</si>
  <si>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</si>
  <si>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</si>
  <si>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</si>
  <si>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</si>
  <si>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</si>
  <si>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</si>
  <si>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</si>
  <si>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</si>
  <si>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</si>
  <si>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</si>
  <si>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</si>
  <si>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</si>
  <si>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</si>
  <si>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</si>
  <si>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</si>
  <si>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</si>
  <si>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</si>
  <si>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</si>
  <si>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</si>
  <si>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</si>
  <si>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</si>
  <si>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</si>
  <si>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</si>
  <si>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</si>
  <si>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</si>
  <si>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</si>
  <si>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</si>
  <si>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</si>
  <si>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</si>
  <si>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</si>
  <si>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</si>
  <si>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</si>
  <si>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</si>
  <si>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</si>
  <si>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</si>
  <si>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</si>
  <si>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</si>
  <si>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</si>
  <si>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</si>
  <si>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</si>
  <si>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</si>
  <si>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</si>
  <si>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</si>
  <si>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</si>
  <si>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</si>
  <si>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</si>
  <si>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</si>
  <si>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</si>
  <si>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</si>
  <si>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</si>
  <si>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</si>
  <si>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</si>
  <si>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</si>
  <si>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</si>
  <si>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</si>
  <si>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</si>
  <si>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</si>
  <si>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</si>
  <si>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</si>
  <si>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</si>
  <si>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</si>
  <si>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</si>
  <si>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</si>
  <si>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</si>
  <si>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</si>
  <si>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</si>
  <si>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</si>
  <si>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</si>
  <si>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</si>
  <si>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</si>
  <si>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</si>
  <si>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</si>
  <si>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</si>
  <si>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</si>
  <si>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</si>
  <si>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</si>
  <si>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</si>
  <si>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</si>
  <si>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</si>
  <si>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</si>
  <si>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</si>
  <si>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</si>
  <si>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</si>
  <si>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</si>
  <si>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</si>
  <si>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</si>
  <si>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</si>
  <si>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</si>
  <si>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</si>
  <si>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</si>
  <si>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</si>
  <si>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</si>
  <si>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</si>
  <si>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</si>
  <si>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</si>
  <si>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</si>
  <si>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</si>
  <si>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</si>
  <si>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</si>
  <si>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</si>
  <si>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</si>
  <si>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</si>
  <si>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</si>
  <si>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</si>
  <si>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</si>
  <si>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</si>
  <si>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</si>
  <si>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</si>
  <si>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</si>
  <si>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</si>
  <si>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</si>
  <si>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</si>
  <si>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</si>
  <si>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</si>
  <si>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</si>
  <si>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</si>
  <si>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</si>
  <si>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</si>
  <si>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</si>
  <si>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</si>
  <si>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</si>
  <si>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</si>
  <si>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</si>
  <si>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</si>
  <si>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</si>
  <si>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</si>
  <si>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</si>
  <si>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</si>
  <si>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</si>
  <si>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</si>
  <si>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</si>
  <si>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</si>
  <si>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</si>
  <si>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</si>
  <si>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</si>
  <si>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</si>
  <si>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</si>
  <si>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</si>
  <si>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</si>
  <si>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</si>
  <si>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</si>
  <si>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</si>
  <si>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</si>
  <si>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</si>
  <si>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</si>
  <si>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</si>
  <si>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</si>
  <si>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</si>
  <si>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</si>
  <si>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</si>
  <si>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</si>
  <si>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</si>
  <si>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</si>
  <si>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</si>
  <si>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</si>
  <si>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</si>
  <si>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</si>
  <si>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</si>
  <si>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</si>
  <si>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</si>
  <si>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</si>
  <si>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</si>
  <si>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</si>
  <si>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</si>
  <si>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</si>
  <si>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</si>
  <si>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</si>
  <si>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</si>
  <si>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</si>
  <si>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</si>
  <si>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</si>
  <si>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</si>
  <si>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</si>
  <si>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</si>
  <si>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</si>
  <si>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</si>
  <si>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</si>
  <si>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</si>
  <si>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</si>
  <si>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</si>
  <si>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</si>
  <si>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</si>
  <si>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</si>
  <si>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</si>
  <si>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</si>
  <si>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</si>
  <si>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</si>
  <si>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</si>
  <si>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</si>
  <si>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</si>
  <si>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</si>
  <si>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</si>
  <si>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</si>
  <si>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</si>
  <si>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</si>
  <si>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</si>
  <si>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</si>
  <si>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</si>
  <si>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</si>
  <si>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</si>
  <si>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</si>
  <si>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</si>
  <si>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</si>
  <si>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</si>
  <si>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</si>
  <si>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</si>
  <si>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</si>
  <si>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</si>
  <si>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</si>
  <si>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</si>
  <si>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</si>
  <si>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</si>
  <si>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</si>
  <si>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</si>
  <si>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</si>
  <si>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</si>
  <si>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</si>
  <si>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</si>
  <si>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</si>
  <si>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</si>
  <si>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</si>
  <si>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</si>
  <si>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</si>
  <si>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</si>
  <si>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</si>
  <si>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</si>
  <si>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</si>
  <si>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</si>
  <si>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</si>
  <si>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</si>
  <si>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</si>
  <si>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</si>
  <si>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</si>
  <si>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</si>
  <si>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</si>
  <si>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</si>
  <si>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</si>
  <si>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</si>
  <si>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</si>
  <si>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</si>
  <si>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</si>
  <si>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</si>
  <si>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</si>
  <si>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</si>
  <si>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</si>
  <si>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</si>
  <si>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</si>
  <si>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</si>
  <si>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</si>
  <si>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</si>
  <si>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</si>
  <si>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</si>
  <si>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</si>
  <si>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</si>
  <si>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</si>
  <si>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</si>
  <si>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</si>
  <si>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</si>
  <si>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</si>
  <si>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</si>
  <si>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</si>
  <si>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</si>
  <si>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</si>
  <si>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</si>
  <si>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</si>
  <si>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</si>
  <si>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</si>
  <si>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</si>
  <si>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</si>
  <si>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</si>
  <si>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</si>
  <si>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</si>
  <si>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</si>
  <si>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</si>
  <si>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</si>
  <si>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</si>
  <si>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</si>
  <si>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</si>
  <si>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</si>
  <si>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</si>
  <si>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</si>
  <si>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</si>
  <si>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</si>
  <si>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</si>
  <si>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</si>
  <si>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</si>
  <si>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</si>
  <si>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</si>
  <si>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</si>
  <si>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</si>
  <si>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</si>
  <si>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</si>
  <si>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</si>
  <si>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</si>
  <si>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</si>
  <si>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</si>
  <si>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</si>
  <si>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</si>
  <si>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</si>
  <si>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</si>
  <si>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</si>
  <si>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</si>
  <si>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</si>
  <si>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</si>
  <si>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</si>
  <si>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</si>
  <si>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</si>
  <si>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</si>
  <si>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</si>
  <si>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</si>
  <si>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</si>
  <si>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</si>
  <si>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</si>
  <si>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</si>
  <si>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</si>
  <si>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</si>
  <si>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</si>
  <si>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</si>
  <si>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</si>
  <si>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</si>
  <si>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</si>
  <si>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</si>
  <si>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</si>
  <si>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</si>
  <si>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</si>
  <si>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</si>
  <si>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</si>
  <si>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</si>
  <si>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</si>
  <si>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</si>
  <si>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</si>
  <si>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</si>
  <si>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</si>
  <si>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</si>
  <si>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</si>
  <si>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</si>
  <si>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</si>
  <si>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</si>
  <si>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</si>
  <si>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</si>
  <si>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</si>
  <si>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</si>
  <si>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</si>
  <si>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</si>
  <si>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</si>
  <si>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</si>
  <si>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</si>
  <si>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</si>
  <si>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</si>
  <si>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</si>
  <si>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</si>
  <si>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</si>
  <si>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</si>
  <si>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</si>
  <si>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</si>
  <si>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</si>
  <si>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</si>
  <si>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</si>
  <si>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</si>
  <si>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</si>
  <si>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</si>
  <si>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</si>
  <si>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</si>
  <si>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</si>
  <si>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</si>
  <si>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</si>
  <si>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</si>
  <si>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</si>
  <si>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</si>
  <si>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</si>
  <si>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</si>
  <si>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</si>
  <si>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</si>
  <si>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</si>
  <si>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</si>
  <si>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</si>
  <si>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</si>
  <si>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</si>
  <si>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</si>
  <si>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</si>
  <si>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</si>
  <si>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</si>
  <si>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</si>
  <si>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</si>
  <si>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</si>
  <si>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</si>
  <si>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</si>
  <si>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</si>
  <si>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</si>
  <si>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</si>
  <si>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</si>
  <si>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</si>
  <si>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</si>
  <si>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</si>
  <si>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</si>
  <si>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</si>
  <si>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</si>
  <si>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</si>
  <si>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</si>
  <si>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</si>
  <si>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</si>
  <si>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</si>
  <si>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</si>
  <si>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</si>
  <si>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</si>
  <si>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</si>
  <si>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</si>
  <si>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</si>
  <si>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</si>
  <si>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</si>
  <si>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</si>
  <si>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</si>
  <si>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</si>
  <si>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</si>
  <si>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</si>
  <si>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</si>
  <si>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</si>
  <si>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</si>
  <si>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</si>
  <si>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</si>
  <si>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</si>
  <si>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</si>
  <si>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</si>
  <si>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</si>
  <si>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</si>
  <si>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</si>
  <si>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</si>
  <si>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</si>
  <si>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</si>
  <si>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</si>
  <si>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</si>
  <si>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</si>
  <si>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</si>
  <si>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</si>
  <si>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</si>
  <si>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</si>
  <si>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</si>
  <si>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</si>
  <si>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</si>
  <si>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</si>
  <si>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</si>
  <si>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</si>
  <si>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</si>
  <si>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</si>
  <si>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</si>
  <si>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</si>
  <si>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</si>
  <si>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</si>
  <si>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</si>
  <si>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</si>
  <si>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</si>
  <si>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</si>
  <si>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</si>
  <si>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</si>
  <si>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</si>
  <si>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</si>
  <si>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</si>
  <si>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</si>
  <si>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</si>
  <si>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</si>
  <si>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</si>
  <si>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</si>
  <si>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</si>
  <si>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</si>
  <si>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</si>
  <si>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</si>
  <si>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</si>
  <si>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</si>
  <si>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</si>
  <si>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</si>
  <si>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</si>
  <si>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</si>
  <si>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</si>
  <si>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</si>
  <si>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</si>
  <si>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</si>
  <si>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</si>
  <si>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</si>
  <si>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</si>
  <si>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</si>
  <si>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</si>
  <si>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</si>
  <si>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</si>
  <si>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</si>
  <si>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</si>
  <si>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</si>
  <si>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</si>
  <si>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</si>
  <si>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</si>
  <si>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</si>
  <si>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</si>
  <si>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</si>
  <si>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</si>
  <si>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</si>
  <si>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</si>
  <si>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</si>
  <si>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</si>
  <si>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</si>
  <si>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</si>
  <si>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</si>
  <si>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</si>
  <si>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</si>
  <si>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</si>
  <si>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</si>
  <si>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</si>
  <si>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</si>
  <si>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</si>
  <si>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</si>
  <si>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</si>
  <si>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</si>
  <si>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</si>
  <si>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</si>
  <si>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</si>
  <si>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</si>
  <si>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</si>
  <si>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</si>
  <si>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</si>
  <si>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</si>
  <si>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</si>
  <si>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</si>
  <si>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</si>
  <si>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</si>
  <si>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</si>
  <si>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</si>
  <si>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</si>
  <si>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</si>
  <si>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</si>
  <si>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</si>
  <si>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</si>
  <si>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</si>
  <si>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</si>
  <si>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</si>
  <si>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</si>
  <si>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</si>
  <si>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</si>
  <si>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</si>
  <si>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</si>
  <si>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</si>
  <si>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</si>
  <si>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</si>
  <si>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</si>
  <si>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</si>
  <si>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</si>
  <si>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</si>
  <si>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</si>
  <si>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</si>
  <si>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</si>
  <si>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</si>
  <si>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</si>
  <si>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</si>
  <si>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</si>
  <si>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</si>
  <si>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</si>
  <si>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</si>
  <si>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</si>
  <si>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</si>
  <si>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</si>
  <si>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</si>
  <si>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</si>
  <si>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</si>
  <si>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</si>
  <si>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</si>
  <si>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</si>
  <si>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</si>
  <si>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</si>
  <si>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</si>
  <si>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</si>
  <si>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</si>
  <si>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</si>
  <si>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</si>
  <si>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</si>
  <si>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</si>
  <si>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</si>
  <si>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</si>
  <si>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</si>
  <si>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</si>
  <si>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</si>
  <si>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</si>
  <si>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</si>
  <si>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</si>
  <si>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</si>
  <si>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</si>
  <si>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</si>
  <si>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</si>
  <si>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</si>
  <si>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</si>
  <si>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</si>
  <si>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</si>
  <si>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</si>
  <si>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</si>
  <si>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</si>
  <si>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</si>
  <si>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</si>
  <si>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</si>
  <si>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</si>
  <si>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</si>
  <si>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</si>
  <si>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</si>
  <si>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</si>
  <si>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</si>
  <si>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</si>
  <si>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</si>
  <si>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</si>
  <si>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</si>
  <si>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</si>
  <si>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</si>
  <si>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</si>
  <si>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</si>
  <si>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</si>
  <si>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</si>
  <si>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</si>
  <si>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</si>
  <si>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</si>
  <si>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</si>
  <si>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</si>
  <si>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</si>
  <si>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</si>
  <si>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</si>
  <si>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</si>
  <si>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</si>
  <si>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</si>
  <si>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</si>
  <si>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</si>
  <si>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</si>
  <si>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</si>
  <si>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</si>
  <si>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</si>
  <si>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</si>
  <si>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</si>
  <si>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</si>
  <si>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</si>
  <si>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</si>
  <si>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</si>
  <si>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</si>
  <si>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</si>
  <si>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</si>
  <si>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</si>
  <si>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</si>
  <si>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</si>
  <si>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</si>
  <si>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</si>
  <si>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</si>
  <si>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</si>
  <si>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</si>
  <si>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</si>
  <si>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</si>
  <si>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</si>
  <si>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</si>
  <si>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</si>
  <si>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</si>
  <si>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</si>
  <si>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</si>
  <si>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</si>
  <si>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</si>
  <si>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</si>
  <si>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</si>
  <si>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</si>
  <si>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</si>
  <si>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</si>
  <si>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</si>
  <si>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</si>
  <si>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</si>
  <si>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</si>
  <si>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</si>
  <si>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</si>
  <si>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</si>
  <si>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</si>
  <si>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</si>
  <si>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</si>
  <si>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</si>
  <si>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</si>
  <si>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</si>
  <si>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</si>
  <si>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</si>
  <si>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</si>
  <si>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</si>
  <si>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</si>
  <si>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</si>
  <si>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</si>
  <si>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</si>
  <si>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</si>
  <si>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</si>
  <si>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</si>
  <si>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</si>
  <si>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</si>
  <si>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</si>
  <si>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</si>
  <si>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</si>
  <si>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</si>
  <si>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</si>
  <si>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</si>
  <si>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</si>
  <si>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</si>
  <si>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</si>
  <si>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</si>
  <si>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</si>
  <si>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</si>
  <si>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</si>
  <si>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</si>
  <si>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</si>
  <si>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</si>
  <si>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</si>
  <si>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</si>
  <si>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</si>
  <si>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</si>
  <si>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</si>
  <si>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</si>
  <si>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</si>
  <si>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</si>
  <si>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</si>
  <si>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</si>
  <si>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</si>
  <si>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</si>
  <si>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</si>
  <si>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</si>
  <si>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</si>
  <si>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</si>
  <si>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</si>
  <si>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</si>
  <si>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</si>
  <si>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</si>
  <si>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</si>
  <si>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</si>
  <si>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</si>
  <si>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</si>
  <si>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</si>
  <si>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</si>
  <si>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</si>
  <si>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</si>
  <si>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</si>
  <si>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</si>
  <si>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</si>
  <si>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</si>
  <si>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</si>
  <si>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</si>
  <si>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</si>
  <si>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</si>
  <si>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</si>
  <si>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</si>
  <si>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</si>
  <si>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</si>
  <si>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</si>
  <si>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</si>
  <si>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</si>
  <si>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</si>
  <si>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</si>
  <si>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</si>
  <si>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</si>
  <si>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</si>
  <si>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</si>
  <si>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</si>
  <si>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</si>
  <si>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</si>
  <si>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</si>
  <si>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</si>
  <si>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</si>
  <si>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</si>
  <si>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</si>
  <si>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</si>
  <si>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</si>
  <si>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</si>
  <si>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</si>
  <si>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</si>
  <si>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</si>
  <si>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</si>
  <si>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</si>
  <si>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</si>
  <si>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</si>
  <si>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</si>
  <si>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</si>
  <si>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</si>
  <si>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</si>
  <si>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</si>
  <si>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</si>
  <si>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</si>
  <si>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</si>
  <si>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</si>
  <si>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</si>
  <si>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</si>
  <si>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</si>
  <si>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</si>
  <si>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</si>
  <si>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</si>
  <si>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</si>
  <si>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</si>
  <si>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</si>
  <si>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</si>
  <si>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</si>
  <si>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</si>
  <si>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</si>
  <si>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</si>
  <si>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</si>
  <si>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</si>
  <si>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</si>
  <si>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</si>
  <si>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</si>
  <si>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</si>
  <si>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</si>
  <si>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</si>
  <si>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</si>
  <si>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</si>
  <si>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</si>
  <si>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</si>
  <si>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</si>
  <si>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</si>
  <si>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</si>
  <si>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</si>
  <si>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</si>
  <si>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</si>
  <si>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</si>
  <si>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</si>
  <si>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</si>
  <si>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</si>
  <si>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</si>
  <si>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</si>
  <si>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</si>
  <si>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</si>
  <si>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</si>
  <si>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</si>
  <si>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</si>
  <si>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</si>
  <si>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</si>
  <si>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</si>
  <si>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</si>
  <si>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</si>
  <si>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</si>
  <si>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</si>
  <si>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</si>
  <si>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</si>
  <si>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</si>
  <si>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</si>
  <si>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</si>
  <si>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</si>
  <si>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</si>
  <si>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</si>
  <si>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</si>
  <si>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</si>
  <si>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</si>
  <si>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</si>
  <si>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</si>
  <si>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</si>
  <si>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</si>
  <si>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</si>
  <si>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</si>
  <si>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</si>
  <si>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</si>
  <si>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</si>
  <si>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</si>
  <si>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</si>
  <si>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</si>
  <si>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</si>
  <si>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</si>
  <si>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</si>
  <si>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</si>
  <si>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</si>
  <si>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</si>
  <si>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</si>
  <si>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</si>
  <si>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</si>
  <si>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</si>
  <si>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</si>
  <si>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</si>
  <si>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</si>
  <si>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</si>
  <si>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</si>
  <si>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</si>
  <si>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</si>
  <si>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</si>
  <si>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</si>
  <si>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</si>
  <si>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</si>
  <si>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</si>
  <si>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</si>
  <si>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</si>
  <si>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</si>
  <si>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</si>
  <si>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</si>
  <si>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</si>
  <si>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</si>
  <si>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</si>
  <si>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</si>
  <si>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</si>
  <si>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</si>
  <si>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</si>
  <si>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</si>
  <si>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</si>
  <si>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</si>
  <si>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</si>
  <si>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</si>
  <si>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</si>
  <si>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</si>
  <si>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</si>
  <si>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</si>
  <si>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</si>
  <si>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</si>
  <si>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</si>
  <si>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</si>
  <si>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</si>
  <si>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</si>
  <si>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</si>
  <si>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</si>
  <si>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</si>
  <si>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</si>
  <si>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</si>
  <si>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</si>
  <si>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</si>
  <si>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</si>
  <si>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</si>
  <si>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</si>
  <si>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</si>
  <si>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</si>
  <si>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</si>
  <si>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</si>
  <si>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</si>
  <si>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</si>
  <si>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</si>
  <si>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</si>
  <si>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</si>
  <si>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</si>
  <si>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</si>
  <si>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</si>
  <si>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</si>
  <si>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</si>
  <si>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</si>
  <si>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</si>
  <si>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</si>
  <si>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</si>
  <si>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</si>
  <si>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</si>
  <si>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</si>
  <si>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</si>
  <si>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</si>
  <si>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</si>
  <si>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</si>
  <si>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</si>
  <si>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</si>
  <si>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</si>
  <si>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</si>
  <si>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</si>
  <si>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</si>
  <si>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</si>
  <si>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</si>
  <si>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</si>
  <si>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</si>
  <si>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</si>
  <si>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</si>
  <si>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</si>
  <si>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</si>
  <si>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</si>
  <si>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</si>
  <si>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</si>
  <si>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</si>
  <si>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</si>
  <si>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</si>
  <si>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</si>
  <si>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</si>
  <si>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</si>
  <si>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</si>
  <si>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</si>
  <si>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</si>
  <si>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</si>
  <si>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</si>
  <si>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</si>
  <si>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</si>
  <si>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</si>
  <si>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</si>
  <si>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</si>
  <si>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</si>
  <si>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</si>
  <si>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</si>
  <si>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</si>
  <si>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</si>
  <si>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</si>
  <si>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</si>
  <si>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</si>
  <si>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</si>
  <si>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</si>
  <si>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</si>
  <si>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</si>
  <si>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</si>
  <si>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</si>
  <si>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</si>
  <si>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</si>
  <si>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</si>
  <si>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</si>
  <si>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</si>
  <si>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</si>
  <si>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</si>
  <si>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</si>
  <si>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</si>
  <si>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</si>
  <si>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</si>
  <si>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</si>
  <si>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</si>
  <si>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</si>
  <si>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</si>
  <si>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</si>
  <si>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</si>
  <si>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</si>
  <si>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</si>
  <si>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</si>
  <si>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</si>
  <si>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</si>
  <si>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</si>
  <si>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</si>
  <si>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</si>
  <si>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</si>
  <si>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</si>
  <si>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</si>
  <si>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</si>
  <si>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</si>
  <si>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</si>
  <si>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</si>
  <si>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</si>
  <si>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</si>
  <si>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</si>
  <si>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</si>
  <si>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</si>
  <si>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</si>
  <si>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</si>
  <si>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</si>
  <si>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</si>
  <si>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</si>
  <si>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</si>
  <si>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</si>
  <si>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</si>
  <si>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</si>
  <si>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</si>
  <si>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</si>
  <si>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</si>
  <si>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</si>
  <si>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</si>
  <si>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</si>
  <si>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</si>
  <si>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</si>
  <si>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</si>
  <si>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</si>
  <si>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</si>
  <si>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</si>
  <si>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</si>
  <si>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</si>
  <si>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</si>
  <si>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</si>
  <si>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</si>
  <si>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</si>
  <si>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</si>
  <si>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</si>
  <si>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</si>
  <si>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</si>
  <si>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</si>
  <si>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</si>
  <si>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</si>
  <si>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</si>
  <si>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</si>
  <si>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</si>
  <si>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</si>
  <si>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</si>
  <si>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</si>
  <si>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</si>
  <si>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</si>
  <si>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</si>
  <si>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</si>
  <si>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</si>
  <si>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</si>
  <si>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</si>
  <si>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</si>
  <si>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</si>
  <si>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</si>
  <si>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</si>
  <si>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</si>
  <si>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</si>
  <si>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</si>
  <si>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</si>
  <si>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</si>
  <si>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</si>
  <si>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</si>
  <si>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</si>
  <si>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</si>
  <si>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</si>
  <si>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</si>
  <si>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</si>
  <si>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</si>
  <si>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</si>
  <si>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</si>
  <si>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</si>
  <si>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</si>
  <si>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</si>
  <si>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</si>
  <si>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</si>
  <si>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</si>
  <si>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</si>
  <si>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</si>
  <si>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</si>
  <si>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</si>
  <si>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</si>
  <si>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</si>
  <si>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</si>
  <si>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</si>
  <si>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</si>
  <si>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</si>
  <si>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</si>
  <si>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</si>
  <si>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</si>
  <si>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</si>
  <si>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</si>
  <si>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</si>
  <si>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</si>
  <si>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</si>
  <si>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</si>
  <si>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</si>
  <si>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</si>
  <si>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</si>
  <si>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</si>
  <si>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</si>
  <si>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</si>
  <si>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</si>
  <si>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</si>
  <si>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</si>
  <si>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</si>
  <si>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</si>
  <si>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</si>
  <si>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</si>
  <si>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</si>
  <si>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</si>
  <si>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</si>
  <si>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</si>
  <si>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</si>
  <si>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</si>
  <si>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</si>
  <si>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</si>
  <si>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</si>
  <si>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</si>
  <si>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</si>
  <si>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</si>
  <si>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</si>
  <si>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</si>
  <si>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</si>
  <si>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</si>
  <si>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</si>
  <si>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</si>
  <si>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</si>
  <si>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</si>
  <si>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</si>
  <si>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</si>
  <si>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</si>
  <si>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</si>
  <si>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</si>
  <si>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</si>
  <si>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</si>
  <si>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</si>
  <si>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</si>
  <si>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</si>
  <si>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</si>
  <si>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</si>
  <si>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</si>
  <si>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</si>
  <si>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</si>
  <si>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</si>
  <si>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</si>
  <si>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</si>
  <si>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</si>
  <si>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</si>
  <si>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</si>
  <si>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</si>
  <si>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</si>
  <si>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</si>
  <si>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</si>
  <si>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</si>
  <si>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</si>
  <si>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</si>
  <si>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</si>
  <si>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</si>
  <si>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</si>
  <si>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</si>
  <si>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</si>
  <si>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</si>
  <si>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</si>
  <si>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</si>
  <si>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</si>
  <si>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</si>
  <si>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</si>
  <si>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</si>
  <si>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</si>
  <si>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</si>
  <si>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</si>
  <si>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</si>
  <si>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</si>
  <si>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</si>
  <si>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</si>
  <si>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</si>
  <si>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</si>
  <si>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</si>
  <si>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</si>
  <si>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</si>
  <si>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</si>
  <si>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</si>
  <si>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</si>
  <si>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</si>
  <si>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</si>
  <si>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</si>
  <si>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</si>
  <si>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</si>
  <si>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</si>
  <si>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</si>
  <si>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</si>
  <si>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</si>
  <si>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</si>
  <si>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</si>
  <si>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</si>
  <si>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</si>
  <si>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</si>
  <si>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</si>
  <si>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</si>
  <si>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</si>
  <si>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</si>
  <si>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</si>
  <si>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</si>
  <si>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</si>
  <si>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</si>
  <si>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</si>
  <si>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</si>
  <si>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</si>
  <si>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</si>
  <si>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</si>
  <si>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</si>
  <si>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</si>
  <si>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</si>
  <si>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</si>
  <si>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</si>
  <si>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</si>
  <si>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</si>
  <si>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</si>
  <si>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</si>
  <si>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</si>
  <si>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</si>
  <si>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</si>
  <si>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</si>
  <si>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</si>
  <si>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</si>
  <si>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</si>
  <si>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</si>
  <si>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</si>
  <si>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</si>
  <si>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</si>
  <si>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</si>
  <si>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</si>
  <si>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</si>
  <si>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</si>
  <si>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</si>
  <si>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</si>
  <si>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</si>
  <si>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</si>
  <si>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</si>
  <si>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</si>
  <si>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</si>
  <si>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</si>
  <si>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</si>
  <si>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</si>
  <si>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</si>
  <si>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</si>
  <si>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</si>
  <si>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</si>
  <si>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</si>
  <si>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</si>
  <si>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</si>
  <si>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</si>
  <si>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</si>
  <si>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</si>
  <si>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</si>
  <si>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</si>
  <si>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</si>
  <si>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</si>
  <si>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</si>
  <si>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</si>
  <si>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</si>
  <si>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</si>
  <si>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</si>
  <si>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</si>
  <si>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</si>
  <si>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</si>
  <si>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</si>
  <si>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</si>
  <si>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</si>
  <si>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</si>
  <si>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</si>
  <si>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</si>
  <si>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</si>
  <si>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</si>
  <si>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</si>
  <si>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</si>
  <si>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</si>
  <si>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</si>
  <si>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</si>
  <si>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</si>
  <si>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</si>
  <si>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</si>
  <si>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</si>
  <si>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</si>
  <si>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</si>
  <si>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</si>
  <si>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</si>
  <si>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</si>
  <si>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</si>
  <si>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</si>
  <si>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</si>
  <si>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</si>
  <si>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</si>
  <si>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</si>
  <si>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</si>
  <si>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</si>
  <si>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</si>
  <si>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</si>
  <si>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</si>
  <si>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</si>
  <si>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</si>
  <si>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</si>
  <si>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</si>
  <si>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</si>
  <si>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</si>
  <si>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</si>
  <si>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</si>
  <si>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</si>
  <si>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</si>
  <si>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</si>
  <si>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</si>
  <si>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</si>
  <si>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</si>
  <si>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</si>
  <si>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</si>
  <si>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</si>
  <si>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</si>
  <si>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</si>
  <si>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</si>
  <si>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</si>
  <si>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</si>
  <si>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</si>
  <si>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</si>
  <si>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</si>
  <si>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</si>
  <si>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</si>
  <si>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</si>
  <si>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</si>
  <si>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</si>
  <si>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</si>
  <si>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</si>
  <si>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</si>
  <si>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</si>
  <si>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</si>
  <si>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</si>
  <si>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</si>
  <si>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</si>
  <si>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</si>
  <si>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</si>
  <si>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</si>
  <si>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</si>
  <si>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</si>
  <si>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</si>
  <si>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</si>
  <si>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</si>
  <si>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</si>
  <si>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</si>
  <si>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</si>
  <si>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</si>
  <si>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</si>
  <si>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</si>
  <si>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</si>
  <si>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</si>
  <si>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</si>
  <si>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</si>
  <si>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</si>
  <si>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</si>
  <si>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</si>
  <si>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</si>
  <si>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</si>
  <si>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</si>
  <si>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</si>
  <si>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</si>
  <si>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</si>
  <si>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</si>
  <si>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</si>
  <si>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</si>
  <si>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</si>
  <si>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</si>
  <si>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</si>
  <si>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</si>
  <si>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</si>
  <si>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</si>
  <si>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</si>
  <si>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</si>
  <si>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</si>
  <si>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</si>
  <si>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</si>
  <si>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</si>
  <si>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</si>
  <si>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</si>
  <si>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</si>
  <si>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</si>
  <si>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</si>
  <si>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</si>
  <si>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</si>
  <si>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</si>
  <si>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</si>
  <si>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</si>
  <si>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</si>
  <si>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</si>
  <si>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</si>
  <si>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</si>
  <si>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</si>
  <si>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</si>
  <si>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</si>
  <si>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</si>
  <si>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</si>
  <si>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</si>
  <si>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</si>
  <si>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</si>
  <si>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</si>
  <si>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</si>
  <si>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</si>
  <si>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</si>
  <si>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</si>
  <si>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</si>
  <si>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</si>
  <si>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</si>
  <si>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</si>
  <si>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</si>
  <si>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</si>
  <si>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</si>
  <si>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</si>
  <si>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</si>
  <si>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</si>
  <si>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</si>
  <si>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</si>
  <si>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</si>
  <si>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</si>
  <si>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</si>
  <si>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</si>
  <si>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</si>
  <si>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</si>
  <si>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</si>
  <si>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</si>
  <si>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</si>
  <si>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</si>
  <si>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</si>
  <si>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</si>
  <si>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</si>
  <si>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</si>
  <si>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</si>
  <si>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</si>
  <si>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</si>
  <si>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</si>
  <si>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</si>
  <si>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</si>
  <si>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</si>
  <si>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</si>
  <si>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</si>
  <si>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</si>
  <si>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</si>
  <si>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</si>
  <si>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</si>
  <si>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</si>
  <si>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</si>
  <si>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</si>
  <si>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</si>
  <si>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</si>
  <si>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</si>
  <si>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</si>
  <si>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</si>
  <si>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</si>
  <si>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</si>
  <si>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</si>
  <si>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</si>
  <si>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</si>
  <si>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</si>
  <si>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</si>
  <si>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</si>
  <si>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</si>
  <si>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</si>
  <si>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</si>
  <si>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</si>
  <si>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</si>
  <si>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</si>
  <si>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</si>
  <si>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</si>
  <si>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</si>
  <si>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</si>
  <si>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</si>
  <si>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</si>
  <si>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</si>
  <si>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</si>
  <si>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</si>
  <si>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</si>
  <si>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</si>
  <si>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</si>
  <si>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</si>
  <si>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</si>
  <si>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</si>
  <si>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</si>
  <si>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</si>
  <si>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</si>
  <si>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</si>
  <si>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</si>
  <si>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</si>
  <si>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</si>
  <si>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</si>
  <si>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</si>
  <si>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</si>
  <si>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</si>
  <si>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</si>
  <si>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</si>
  <si>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</si>
  <si>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</si>
  <si>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</si>
  <si>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</si>
  <si>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</si>
  <si>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</si>
  <si>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</si>
  <si>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</si>
  <si>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</si>
  <si>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</si>
  <si>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</si>
  <si>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</si>
  <si>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</si>
  <si>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</si>
  <si>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</si>
  <si>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</si>
  <si>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</si>
  <si>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</si>
  <si>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</si>
  <si>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</si>
  <si>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</si>
  <si>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</si>
  <si>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</si>
  <si>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</si>
  <si>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</si>
  <si>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</si>
  <si>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</si>
  <si>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</si>
  <si>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</si>
  <si>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</si>
  <si>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</si>
  <si>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</si>
  <si>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</si>
  <si>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</si>
  <si>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</si>
  <si>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</si>
  <si>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</si>
  <si>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</si>
  <si>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</si>
  <si>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</si>
  <si>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</si>
  <si>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</si>
  <si>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</si>
  <si>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</si>
  <si>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</si>
  <si>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</si>
  <si>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</si>
  <si>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</si>
  <si>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</si>
  <si>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</si>
  <si>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</si>
  <si>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</si>
  <si>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</si>
  <si>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</si>
  <si>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</si>
  <si>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</si>
  <si>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</si>
  <si>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</si>
  <si>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</si>
  <si>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</si>
  <si>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</si>
  <si>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</si>
  <si>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</si>
  <si>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</si>
  <si>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</si>
  <si>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</si>
  <si>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</si>
  <si>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</si>
  <si>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</si>
  <si>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</si>
  <si>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</si>
  <si>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</si>
  <si>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</si>
  <si>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</si>
  <si>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</si>
  <si>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</si>
  <si>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</si>
  <si>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</si>
  <si>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</si>
  <si>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</si>
  <si>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</si>
  <si>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</si>
  <si>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</si>
  <si>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</si>
  <si>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</si>
  <si>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</si>
  <si>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</si>
  <si>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</si>
  <si>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</si>
  <si>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</si>
  <si>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</si>
  <si>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</si>
  <si>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</si>
  <si>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</si>
  <si>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</si>
  <si>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</si>
  <si>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</si>
  <si>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</si>
  <si>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</si>
  <si>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</si>
  <si>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</si>
  <si>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</si>
  <si>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</si>
  <si>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</si>
  <si>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</si>
  <si>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</si>
  <si>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</si>
  <si>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</si>
  <si>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</si>
  <si>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</si>
  <si>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</si>
  <si>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</si>
  <si>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</si>
  <si>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</si>
  <si>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</si>
  <si>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</si>
  <si>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</si>
  <si>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</si>
  <si>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</si>
  <si>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</si>
  <si>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</si>
  <si>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</si>
  <si>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</si>
  <si>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</si>
  <si>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</si>
  <si>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</si>
  <si>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</si>
  <si>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</si>
  <si>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</si>
  <si>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</si>
  <si>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</si>
  <si>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</si>
  <si>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</si>
  <si>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</si>
  <si>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</si>
  <si>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</si>
  <si>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</si>
  <si>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</si>
  <si>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</si>
  <si>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</si>
  <si>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</si>
  <si>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</si>
  <si>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</si>
  <si>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</si>
  <si>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</si>
  <si>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</si>
  <si>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</si>
  <si>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</si>
  <si>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</si>
  <si>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</si>
  <si>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</si>
  <si>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</si>
  <si>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</si>
  <si>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</si>
  <si>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</si>
  <si>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</si>
  <si>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</si>
  <si>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</si>
  <si>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</si>
  <si>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</si>
  <si>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</si>
  <si>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</si>
  <si>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</si>
  <si>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</si>
  <si>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</si>
  <si>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</si>
  <si>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</si>
  <si>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</si>
  <si>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</si>
  <si>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</si>
  <si>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</si>
  <si>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</si>
  <si>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</si>
  <si>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</si>
  <si>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</si>
  <si>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</si>
  <si>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</si>
  <si>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</si>
  <si>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</si>
  <si>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</si>
  <si>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</si>
  <si>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</si>
  <si>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</si>
  <si>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</si>
  <si>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</si>
  <si>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</si>
  <si>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</si>
  <si>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</si>
  <si>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</si>
  <si>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</si>
  <si>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</si>
  <si>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</si>
  <si>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</si>
  <si>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</si>
  <si>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</si>
  <si>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</si>
  <si>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</si>
  <si>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</si>
  <si>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</si>
  <si>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</si>
  <si>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</si>
  <si>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</si>
  <si>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</si>
  <si>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</si>
  <si>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</si>
  <si>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</si>
  <si>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</si>
  <si>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</si>
  <si>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</si>
  <si>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</si>
  <si>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</si>
  <si>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</si>
  <si>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</si>
  <si>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</si>
  <si>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</si>
  <si>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</si>
  <si>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</si>
  <si>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</si>
  <si>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</si>
  <si>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</si>
  <si>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</si>
  <si>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</si>
  <si>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</si>
  <si>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</si>
  <si>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</si>
  <si>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</si>
  <si>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</si>
  <si>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</si>
  <si>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</si>
  <si>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</si>
  <si>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</si>
  <si>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</si>
  <si>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</si>
  <si>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</si>
  <si>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</si>
  <si>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</si>
  <si>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</si>
  <si>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</si>
  <si>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</si>
  <si>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</si>
  <si>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</si>
  <si>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</si>
  <si>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</si>
  <si>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</si>
  <si>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</si>
  <si>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</si>
  <si>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</si>
  <si>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</si>
  <si>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</si>
  <si>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</si>
  <si>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</si>
  <si>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</si>
  <si>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</si>
  <si>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</si>
  <si>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</si>
  <si>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</si>
  <si>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</si>
  <si>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</si>
  <si>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</si>
  <si>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</si>
  <si>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</si>
  <si>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</si>
  <si>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</si>
  <si>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</si>
  <si>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</si>
  <si>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</si>
  <si>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</si>
  <si>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</si>
  <si>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</si>
  <si>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</si>
  <si>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</si>
  <si>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</si>
  <si>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</si>
  <si>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</si>
  <si>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</si>
  <si>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</si>
  <si>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</si>
  <si>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</si>
  <si>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</si>
  <si>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</si>
  <si>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</si>
  <si>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</si>
  <si>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</si>
  <si>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</si>
  <si>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</si>
  <si>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</si>
  <si>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</si>
  <si>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</si>
  <si>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</si>
  <si>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</si>
  <si>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</si>
  <si>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</si>
  <si>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</si>
  <si>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</si>
  <si>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</si>
  <si>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</si>
  <si>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</si>
  <si>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</si>
  <si>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</si>
  <si>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</si>
  <si>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</si>
  <si>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</si>
  <si>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</si>
  <si>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</si>
  <si>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</si>
  <si>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</si>
  <si>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</si>
  <si>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</si>
  <si>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</si>
  <si>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</si>
  <si>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</si>
  <si>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</si>
  <si>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</si>
  <si>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</si>
  <si>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</si>
  <si>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</si>
  <si>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</si>
  <si>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</si>
  <si>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</si>
  <si>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</si>
  <si>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</si>
  <si>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</si>
  <si>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</si>
  <si>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</si>
  <si>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</si>
  <si>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</si>
  <si>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</si>
  <si>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</si>
  <si>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</si>
  <si>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</si>
  <si>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</si>
  <si>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</si>
  <si>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</si>
  <si>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</si>
  <si>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</si>
  <si>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</si>
  <si>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</si>
  <si>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</si>
  <si>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</si>
  <si>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</si>
  <si>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</si>
  <si>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</si>
  <si>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</si>
  <si>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</si>
  <si>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</si>
  <si>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</si>
  <si>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</si>
  <si>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</si>
  <si>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</si>
  <si>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</si>
  <si>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</si>
  <si>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</si>
  <si>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</si>
  <si>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</si>
  <si>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</si>
  <si>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</si>
  <si>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</si>
  <si>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</si>
  <si>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</si>
  <si>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</si>
  <si>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</si>
  <si>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</si>
  <si>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</si>
  <si>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</si>
  <si>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</si>
  <si>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</si>
  <si>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</si>
  <si>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</si>
  <si>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</si>
  <si>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</si>
  <si>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</si>
  <si>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</si>
  <si>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</si>
  <si>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</si>
  <si>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</si>
  <si>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</si>
  <si>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</si>
  <si>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</si>
  <si>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</si>
  <si>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</si>
  <si>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</si>
  <si>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</si>
  <si>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</si>
  <si>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</si>
  <si>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</si>
  <si>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</si>
  <si>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</si>
  <si>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</si>
  <si>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</si>
  <si>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</si>
  <si>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</si>
  <si>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</si>
  <si>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</si>
  <si>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</si>
  <si>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</si>
  <si>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</si>
  <si>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</si>
  <si>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</si>
  <si>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</si>
  <si>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</si>
  <si>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</si>
  <si>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</si>
  <si>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</si>
  <si>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</si>
  <si>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</si>
  <si>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</si>
  <si>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</si>
  <si>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</si>
  <si>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</si>
  <si>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</si>
  <si>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</si>
  <si>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</si>
  <si>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</si>
  <si>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</si>
  <si>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</si>
  <si>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</si>
  <si>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</si>
  <si>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</si>
  <si>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</si>
  <si>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</si>
  <si>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</si>
  <si>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</si>
  <si>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</si>
  <si>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</si>
  <si>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</si>
  <si>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</si>
  <si>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</si>
  <si>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</si>
  <si>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</si>
  <si>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</si>
  <si>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</si>
  <si>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</si>
  <si>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</si>
  <si>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</si>
  <si>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</si>
  <si>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</si>
  <si>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</si>
  <si>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</si>
  <si>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</si>
  <si>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</si>
  <si>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</si>
  <si>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</si>
  <si>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</si>
  <si>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</si>
  <si>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</si>
  <si>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</si>
  <si>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</si>
  <si>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</si>
  <si>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</si>
  <si>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</si>
  <si>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</si>
  <si>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</si>
  <si>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</si>
  <si>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</si>
  <si>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</si>
  <si>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</si>
  <si>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</si>
  <si>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</si>
  <si>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</si>
  <si>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</si>
  <si>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</si>
  <si>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</si>
  <si>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</si>
  <si>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</si>
  <si>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</si>
  <si>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</si>
  <si>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</si>
  <si>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</si>
  <si>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</si>
  <si>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</si>
  <si>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</si>
  <si>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</si>
  <si>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</si>
  <si>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</si>
  <si>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</si>
  <si>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</si>
  <si>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</si>
  <si>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</si>
  <si>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</si>
  <si>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</si>
  <si>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</si>
  <si>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</si>
  <si>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</si>
  <si>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</si>
  <si>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</si>
  <si>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</si>
  <si>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</si>
  <si>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</si>
  <si>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</si>
  <si>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</si>
  <si>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</si>
  <si>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</si>
  <si>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</si>
  <si>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</si>
  <si>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</si>
  <si>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</si>
  <si>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</si>
  <si>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</si>
  <si>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</si>
  <si>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</si>
  <si>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</si>
  <si>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</si>
  <si>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</si>
  <si>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</si>
  <si>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</si>
  <si>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</si>
  <si>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</si>
  <si>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</si>
  <si>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</si>
  <si>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</si>
  <si>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</si>
  <si>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</si>
  <si>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</si>
  <si>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</si>
  <si>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</si>
  <si>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</si>
  <si>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</si>
  <si>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</si>
  <si>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</si>
  <si>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</si>
  <si>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</si>
  <si>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</si>
  <si>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</si>
  <si>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</si>
  <si>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</si>
  <si>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</si>
  <si>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</si>
  <si>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</si>
  <si>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</si>
  <si>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</si>
  <si>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</si>
  <si>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</si>
  <si>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</si>
  <si>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</si>
  <si>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</si>
  <si>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</si>
  <si>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</si>
  <si>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</si>
  <si>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</si>
  <si>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</si>
  <si>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</si>
  <si>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</si>
  <si>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</si>
  <si>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</si>
  <si>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</si>
  <si>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</si>
  <si>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</si>
  <si>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</si>
  <si>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</si>
  <si>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</si>
  <si>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</si>
  <si>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</si>
  <si>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</si>
  <si>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</si>
  <si>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</si>
  <si>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</si>
  <si>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</si>
  <si>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</si>
  <si>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</si>
  <si>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</si>
  <si>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</si>
  <si>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</si>
  <si>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</si>
  <si>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</si>
  <si>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</si>
  <si>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</si>
  <si>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</si>
  <si>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</si>
  <si>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</si>
  <si>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</si>
  <si>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</si>
  <si>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</si>
  <si>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</si>
  <si>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</si>
  <si>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</si>
  <si>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</si>
  <si>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</si>
  <si>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</si>
  <si>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</si>
  <si>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</si>
  <si>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</si>
  <si>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</si>
  <si>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</si>
  <si>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</si>
  <si>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</si>
  <si>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</si>
  <si>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</si>
  <si>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</si>
  <si>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</si>
  <si>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</si>
  <si>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</si>
  <si>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</si>
  <si>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</si>
  <si>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</si>
  <si>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</si>
  <si>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</si>
  <si>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</si>
  <si>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</si>
  <si>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</si>
  <si>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</si>
  <si>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</si>
  <si>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</si>
  <si>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</si>
  <si>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</si>
  <si>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</si>
  <si>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</si>
  <si>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</si>
  <si>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</si>
  <si>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</si>
  <si>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</si>
  <si>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</si>
  <si>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</si>
  <si>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</si>
  <si>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</si>
  <si>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</si>
  <si>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</si>
  <si>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</si>
  <si>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</si>
  <si>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</si>
  <si>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</si>
  <si>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</si>
  <si>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</si>
  <si>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</si>
  <si>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</si>
  <si>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</si>
  <si>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</si>
  <si>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</si>
  <si>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</si>
  <si>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</si>
  <si>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</si>
  <si>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</si>
  <si>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</si>
  <si>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</si>
  <si>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</si>
  <si>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</si>
  <si>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</si>
  <si>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</si>
  <si>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</si>
  <si>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</si>
  <si>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</si>
  <si>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</si>
  <si>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</si>
  <si>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</si>
  <si>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</si>
  <si>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</si>
  <si>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</si>
  <si>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</si>
  <si>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</si>
  <si>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</si>
  <si>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</si>
  <si>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</si>
  <si>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</si>
  <si>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</si>
  <si>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</si>
  <si>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</si>
  <si>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</si>
  <si>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</si>
  <si>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</si>
  <si>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</si>
  <si>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</si>
  <si>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</si>
  <si>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</si>
  <si>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</si>
  <si>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</si>
  <si>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</si>
  <si>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</si>
  <si>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</si>
  <si>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</si>
  <si>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</si>
  <si>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</si>
  <si>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</si>
  <si>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</si>
  <si>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</si>
  <si>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</si>
  <si>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</si>
  <si>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</si>
  <si>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</si>
  <si>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</si>
  <si>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</si>
  <si>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</si>
  <si>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</si>
  <si>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</si>
  <si>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</si>
  <si>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</si>
  <si>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</si>
  <si>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</si>
  <si>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</si>
  <si>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</si>
  <si>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</si>
  <si>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</si>
  <si>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</si>
  <si>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</si>
  <si>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</si>
  <si>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</si>
  <si>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</si>
  <si>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</si>
  <si>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</si>
  <si>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</si>
  <si>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</si>
  <si>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</si>
  <si>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</si>
  <si>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</si>
  <si>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</si>
  <si>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</si>
  <si>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</si>
  <si>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</si>
  <si>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</si>
  <si>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</si>
  <si>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</si>
  <si>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</si>
  <si>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</si>
  <si>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</si>
  <si>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</si>
  <si>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</si>
  <si>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</si>
  <si>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</si>
  <si>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</si>
  <si>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</si>
  <si>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</si>
  <si>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</si>
  <si>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</si>
  <si>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</si>
  <si>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</si>
  <si>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</si>
  <si>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</si>
  <si>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</si>
  <si>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</si>
  <si>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</si>
  <si>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</si>
  <si>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</si>
  <si>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</si>
  <si>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</si>
  <si>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</si>
  <si>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</si>
  <si>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</si>
  <si>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</si>
  <si>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</si>
  <si>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</si>
  <si>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</si>
  <si>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</si>
  <si>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</si>
  <si>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</si>
  <si>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</si>
  <si>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</si>
  <si>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</si>
  <si>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</si>
  <si>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</si>
  <si>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</si>
  <si>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</si>
  <si>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</si>
  <si>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</si>
  <si>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</si>
  <si>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</si>
  <si>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</si>
  <si>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</si>
  <si>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</si>
  <si>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</si>
  <si>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</si>
  <si>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</si>
  <si>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</si>
  <si>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</si>
  <si>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</si>
  <si>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</si>
  <si>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</si>
  <si>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</si>
  <si>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</si>
  <si>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</si>
  <si>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</si>
  <si>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</si>
  <si>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</si>
  <si>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</si>
  <si>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</si>
  <si>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</si>
  <si>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</si>
  <si>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</si>
  <si>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</si>
  <si>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</si>
  <si>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</si>
  <si>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</si>
  <si>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</si>
  <si>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</si>
  <si>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</si>
  <si>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</si>
  <si>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</si>
  <si>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</si>
  <si>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</si>
  <si>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</si>
  <si>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</si>
  <si>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</si>
  <si>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</si>
  <si>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</si>
  <si>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</si>
  <si>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</si>
  <si>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</si>
  <si>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</si>
  <si>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</si>
  <si>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</si>
  <si>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</si>
  <si>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</si>
  <si>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</si>
  <si>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</si>
  <si>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</si>
  <si>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</si>
  <si>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</si>
  <si>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</si>
  <si>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</si>
  <si>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</si>
  <si>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</si>
  <si>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</si>
  <si>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</si>
  <si>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</si>
  <si>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</si>
  <si>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</si>
  <si>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</si>
  <si>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</si>
  <si>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</si>
  <si>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</si>
  <si>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</si>
  <si>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</si>
  <si>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</si>
  <si>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</si>
  <si>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</si>
  <si>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</si>
  <si>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</si>
  <si>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</si>
  <si>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</si>
  <si>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</si>
  <si>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</si>
  <si>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</si>
  <si>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</si>
  <si>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</si>
  <si>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</si>
  <si>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</si>
  <si>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</si>
  <si>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</si>
  <si>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</si>
  <si>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</si>
  <si>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</si>
  <si>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</si>
  <si>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</si>
  <si>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</si>
  <si>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</si>
  <si>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</si>
  <si>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</si>
  <si>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</si>
  <si>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</si>
  <si>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</si>
  <si>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</si>
  <si>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</si>
  <si>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</si>
  <si>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</si>
  <si>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</si>
  <si>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</si>
  <si>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</si>
  <si>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</si>
  <si>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</si>
  <si>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</si>
  <si>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</si>
  <si>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</si>
  <si>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</si>
  <si>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</si>
  <si>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</si>
  <si>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</si>
  <si>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</si>
  <si>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</si>
  <si>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</si>
  <si>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</si>
  <si>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</si>
  <si>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</si>
  <si>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</si>
  <si>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</si>
  <si>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</si>
  <si>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</si>
  <si>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</si>
  <si>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</si>
  <si>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</si>
  <si>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</si>
  <si>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</si>
  <si>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</si>
  <si>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</si>
  <si>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</si>
  <si>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</si>
  <si>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</si>
  <si>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</si>
  <si>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</si>
  <si>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</si>
  <si>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</si>
  <si>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</si>
  <si>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</si>
  <si>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</si>
  <si>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</si>
  <si>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</si>
  <si>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</si>
  <si>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</si>
  <si>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</si>
  <si>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</si>
  <si>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</si>
  <si>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</si>
  <si>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</si>
  <si>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</si>
  <si>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</si>
  <si>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</si>
  <si>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</si>
  <si>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</si>
  <si>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</si>
  <si>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</si>
  <si>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</si>
  <si>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</si>
  <si>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</si>
  <si>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</si>
  <si>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</si>
  <si>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</si>
  <si>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</si>
  <si>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</si>
  <si>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</si>
  <si>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</si>
  <si>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</si>
  <si>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</si>
  <si>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</si>
  <si>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</si>
  <si>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</si>
  <si>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</si>
  <si>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</si>
  <si>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</si>
  <si>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</si>
  <si>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</si>
  <si>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</si>
  <si>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</si>
  <si>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</si>
  <si>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</si>
  <si>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</si>
  <si>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</si>
  <si>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</si>
  <si>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</si>
  <si>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</si>
  <si>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</si>
  <si>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</si>
  <si>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</si>
  <si>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</si>
  <si>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</si>
  <si>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</si>
  <si>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</si>
  <si>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</si>
  <si>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</si>
  <si>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</si>
  <si>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</si>
  <si>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</si>
  <si>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</si>
  <si>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</si>
  <si>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</si>
  <si>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</si>
  <si>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</si>
  <si>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</si>
  <si>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</si>
  <si>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</si>
  <si>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</si>
  <si>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</si>
  <si>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</si>
  <si>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</si>
  <si>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</si>
  <si>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</si>
  <si>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</si>
  <si>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</si>
  <si>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</si>
  <si>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</si>
  <si>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</si>
  <si>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</si>
  <si>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</si>
  <si>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</si>
  <si>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</si>
  <si>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</si>
  <si>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</si>
  <si>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</si>
  <si>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</si>
  <si>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</si>
  <si>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</si>
  <si>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</si>
  <si>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</si>
  <si>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</si>
  <si>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</si>
  <si>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</si>
  <si>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</si>
  <si>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</si>
  <si>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</si>
  <si>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</si>
  <si>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</si>
  <si>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</si>
  <si>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</si>
  <si>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</si>
  <si>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</si>
  <si>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</si>
  <si>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</si>
  <si>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</si>
  <si>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</si>
  <si>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</si>
  <si>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</si>
  <si>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</si>
  <si>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</si>
  <si>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</si>
  <si>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</si>
  <si>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</si>
  <si>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</si>
  <si>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</si>
  <si>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</si>
  <si>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</si>
  <si>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</si>
  <si>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</si>
  <si>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</si>
  <si>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</si>
  <si>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</si>
  <si>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</si>
  <si>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</si>
  <si>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</si>
  <si>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</si>
  <si>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</si>
  <si>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</si>
  <si>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</si>
  <si>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</si>
  <si>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</si>
  <si>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</si>
  <si>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</si>
  <si>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</si>
  <si>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</si>
  <si>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</si>
  <si>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</si>
  <si>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</si>
  <si>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</si>
  <si>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</si>
  <si>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</si>
  <si>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</si>
  <si>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</si>
  <si>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</si>
  <si>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</si>
  <si>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</si>
  <si>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</si>
  <si>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</si>
  <si>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</si>
  <si>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</si>
  <si>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</si>
  <si>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</si>
  <si>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</si>
  <si>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</si>
  <si>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</si>
  <si>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</si>
  <si>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</si>
  <si>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</si>
  <si>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</si>
  <si>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</si>
  <si>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</si>
  <si>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</si>
  <si>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</si>
  <si>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</si>
  <si>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</si>
  <si>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</si>
  <si>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</si>
  <si>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</si>
  <si>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</si>
  <si>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</si>
  <si>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</si>
  <si>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</si>
  <si>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</si>
  <si>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</si>
  <si>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</si>
  <si>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</si>
  <si>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</si>
  <si>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</si>
  <si>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</si>
  <si>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</si>
  <si>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</si>
  <si>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</si>
  <si>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</si>
  <si>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</si>
  <si>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</si>
  <si>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</si>
  <si>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</si>
  <si>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</si>
  <si>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</si>
  <si>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</si>
  <si>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</si>
  <si>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</si>
  <si>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</si>
  <si>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</si>
  <si>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</si>
  <si>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</si>
  <si>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</si>
  <si>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</si>
  <si>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</si>
  <si>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</si>
  <si>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</si>
  <si>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</si>
  <si>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</si>
  <si>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</si>
  <si>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</si>
  <si>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</si>
  <si>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</si>
  <si>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</si>
  <si>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</si>
  <si>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</si>
  <si>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</si>
  <si>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</si>
  <si>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</si>
  <si>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</si>
  <si>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</si>
  <si>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</si>
  <si>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</si>
  <si>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</si>
  <si>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</si>
  <si>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</si>
  <si>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</si>
  <si>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</si>
  <si>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</si>
  <si>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</si>
  <si>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</si>
  <si>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</si>
  <si>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</si>
  <si>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</si>
  <si>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</si>
  <si>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</si>
  <si>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</si>
  <si>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</si>
  <si>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</si>
  <si>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</si>
  <si>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</si>
  <si>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</si>
  <si>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</si>
  <si>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</si>
  <si>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</si>
  <si>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</si>
  <si>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</si>
  <si>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</si>
  <si>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</si>
  <si>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</si>
  <si>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</si>
  <si>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</si>
  <si>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</si>
  <si>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</si>
  <si>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</si>
  <si>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</si>
  <si>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</si>
  <si>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</si>
  <si>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</si>
  <si>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</si>
  <si>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</si>
  <si>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</si>
  <si>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</si>
  <si>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</si>
  <si>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</si>
  <si>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</si>
  <si>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</si>
  <si>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</si>
  <si>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</si>
  <si>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</si>
  <si>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</si>
  <si>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</si>
  <si>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</si>
  <si>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</si>
  <si>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</si>
  <si>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</si>
  <si>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</si>
  <si>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</si>
  <si>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</si>
  <si>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</si>
  <si>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</si>
  <si>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</si>
  <si>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</si>
  <si>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</si>
  <si>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</si>
  <si>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</si>
  <si>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</si>
  <si>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</si>
  <si>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</si>
  <si>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</si>
  <si>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</si>
  <si>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</si>
  <si>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</si>
  <si>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</si>
  <si>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</si>
  <si>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</si>
  <si>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</si>
  <si>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</si>
  <si>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</si>
  <si>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</si>
  <si>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</si>
  <si>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</si>
  <si>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</si>
  <si>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</si>
  <si>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</si>
  <si>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</si>
  <si>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</si>
  <si>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</si>
  <si>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</si>
  <si>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</si>
  <si>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</si>
  <si>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</si>
  <si>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</si>
  <si>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</si>
  <si>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</si>
  <si>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</si>
  <si>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</si>
  <si>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</si>
  <si>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</si>
  <si>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</si>
  <si>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</si>
  <si>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</si>
  <si>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</si>
  <si>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</si>
  <si>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</si>
  <si>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</si>
  <si>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</si>
  <si>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</si>
  <si>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</si>
  <si>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</si>
  <si>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</si>
  <si>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</si>
  <si>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</si>
  <si>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</si>
  <si>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</si>
  <si>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</si>
  <si>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</si>
  <si>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</si>
  <si>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</si>
  <si>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</si>
  <si>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</si>
  <si>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</si>
  <si>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</si>
  <si>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</si>
  <si>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</si>
  <si>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</si>
  <si>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</si>
  <si>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</si>
  <si>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</si>
  <si>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</si>
  <si>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</si>
  <si>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</si>
  <si>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</si>
  <si>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</si>
  <si>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</si>
  <si>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</si>
  <si>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</si>
  <si>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</si>
  <si>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</si>
  <si>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</si>
  <si>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</si>
  <si>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</si>
  <si>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</si>
  <si>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</si>
  <si>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</si>
  <si>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</si>
  <si>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</si>
  <si>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</si>
  <si>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</si>
  <si>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</si>
  <si>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</si>
  <si>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</si>
  <si>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</si>
  <si>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</si>
  <si>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</si>
  <si>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</si>
  <si>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</si>
  <si>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</si>
  <si>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</si>
  <si>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</si>
  <si>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</si>
  <si>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</si>
  <si>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</si>
  <si>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</si>
  <si>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</si>
  <si>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</si>
  <si>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</si>
  <si>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</si>
  <si>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</si>
  <si>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</si>
  <si>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</si>
  <si>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</si>
  <si>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</si>
  <si>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</si>
  <si>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</si>
  <si>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</si>
  <si>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</si>
  <si>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</si>
  <si>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</si>
  <si>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</si>
  <si>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</si>
  <si>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</si>
  <si>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</si>
  <si>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</si>
  <si>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</si>
  <si>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</si>
  <si>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</si>
  <si>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</si>
  <si>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</si>
  <si>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</si>
  <si>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</si>
  <si>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</si>
  <si>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</si>
  <si>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</si>
  <si>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</si>
  <si>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</si>
  <si>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</si>
  <si>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</si>
  <si>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</si>
  <si>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</si>
  <si>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</si>
  <si>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</si>
  <si>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</si>
  <si>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</si>
  <si>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</si>
  <si>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</si>
  <si>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</si>
  <si>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</si>
  <si>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</si>
  <si>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</si>
  <si>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</si>
  <si>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</si>
  <si>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</si>
  <si>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</si>
  <si>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</si>
  <si>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</si>
  <si>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</si>
  <si>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</si>
  <si>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</si>
  <si>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</si>
  <si>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</si>
  <si>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</si>
  <si>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</si>
  <si>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</si>
  <si>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</si>
  <si>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</si>
  <si>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</si>
  <si>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</si>
  <si>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</si>
  <si>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</si>
  <si>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</si>
  <si>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</si>
  <si>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</si>
  <si>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</si>
  <si>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</si>
  <si>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</si>
  <si>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</si>
  <si>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</si>
  <si>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</si>
  <si>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</si>
  <si>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</si>
  <si>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</si>
  <si>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</si>
  <si>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</si>
  <si>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</si>
  <si>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</si>
  <si>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</si>
  <si>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</si>
  <si>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</si>
  <si>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</si>
  <si>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</si>
  <si>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</si>
  <si>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</si>
  <si>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</si>
  <si>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</si>
  <si>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</si>
  <si>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</si>
  <si>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</si>
  <si>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</si>
  <si>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</si>
  <si>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</si>
  <si>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</si>
  <si>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</si>
  <si>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</si>
  <si>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</si>
  <si>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</si>
  <si>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</si>
  <si>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</si>
  <si>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</si>
  <si>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</si>
  <si>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</si>
  <si>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</si>
  <si>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</si>
  <si>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</si>
  <si>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</si>
  <si>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</si>
  <si>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</si>
  <si>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</si>
  <si>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</si>
  <si>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</si>
  <si>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</si>
  <si>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</si>
  <si>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</si>
  <si>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</si>
  <si>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</si>
  <si>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</si>
  <si>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</si>
  <si>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</si>
  <si>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</si>
  <si>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</si>
  <si>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</si>
  <si>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</si>
  <si>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</si>
  <si>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</si>
  <si>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</si>
  <si>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</si>
  <si>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</si>
  <si>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</si>
  <si>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</si>
  <si>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</si>
  <si>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</si>
  <si>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</si>
  <si>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</si>
  <si>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</si>
  <si>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</si>
  <si>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</si>
  <si>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</si>
  <si>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</si>
  <si>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</si>
  <si>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</si>
  <si>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</si>
  <si>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</si>
  <si>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</si>
  <si>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</si>
  <si>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</si>
  <si>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</si>
  <si>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</si>
  <si>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</si>
  <si>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</si>
  <si>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</si>
  <si>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</si>
  <si>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</si>
  <si>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</si>
  <si>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</si>
  <si>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</si>
  <si>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</si>
  <si>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</si>
  <si>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</si>
  <si>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</si>
  <si>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</si>
  <si>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</si>
  <si>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</si>
  <si>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</si>
  <si>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</si>
  <si>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</si>
  <si>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</si>
  <si>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</si>
  <si>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</si>
  <si>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</si>
  <si>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</si>
  <si>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</si>
  <si>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</si>
  <si>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</si>
  <si>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</si>
  <si>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</si>
  <si>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</si>
  <si>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</si>
  <si>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</si>
  <si>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</si>
  <si>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</si>
  <si>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</si>
  <si>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</si>
  <si>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</si>
  <si>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</si>
  <si>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</si>
  <si>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</si>
  <si>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</si>
  <si>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</si>
  <si>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</si>
  <si>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</si>
  <si>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</si>
  <si>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</si>
  <si>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</si>
  <si>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</si>
  <si>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</si>
  <si>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</si>
  <si>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</si>
  <si>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</si>
  <si>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</si>
  <si>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</si>
  <si>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</si>
  <si>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</si>
  <si>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</si>
  <si>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</si>
  <si>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</si>
  <si>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</si>
  <si>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</si>
  <si>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</si>
  <si>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</si>
  <si>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</si>
  <si>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</si>
  <si>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</si>
  <si>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</si>
  <si>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</si>
  <si>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</si>
  <si>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</si>
  <si>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</si>
  <si>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</si>
  <si>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</si>
  <si>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</si>
  <si>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</si>
  <si>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</si>
  <si>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</si>
  <si>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</si>
  <si>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</si>
  <si>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</si>
  <si>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</si>
  <si>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</si>
  <si>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</si>
  <si>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</si>
  <si>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</si>
  <si>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</si>
  <si>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</si>
  <si>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</si>
  <si>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</si>
  <si>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</si>
  <si>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</si>
  <si>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</si>
  <si>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</si>
  <si>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</si>
  <si>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</si>
  <si>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</si>
  <si>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</si>
  <si>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</si>
  <si>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</si>
  <si>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</si>
  <si>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</si>
  <si>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</si>
  <si>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</si>
  <si>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</si>
  <si>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</si>
  <si>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</si>
  <si>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</si>
  <si>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</si>
  <si>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</si>
  <si>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</si>
  <si>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</si>
  <si>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</si>
  <si>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</si>
  <si>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</si>
  <si>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</si>
  <si>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</si>
  <si>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</si>
  <si>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</si>
  <si>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</si>
  <si>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</si>
  <si>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</si>
  <si>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</si>
  <si>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</si>
  <si>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</si>
  <si>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</si>
  <si>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</si>
  <si>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</si>
  <si>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</si>
  <si>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</si>
  <si>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</si>
  <si>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</si>
  <si>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</si>
  <si>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</si>
  <si>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</si>
  <si>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</si>
  <si>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</si>
  <si>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</si>
  <si>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</si>
  <si>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</si>
  <si>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</si>
  <si>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</si>
  <si>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</si>
  <si>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</si>
  <si>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</si>
  <si>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</si>
  <si>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</si>
  <si>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</si>
  <si>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</si>
  <si>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</si>
  <si>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</si>
  <si>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</si>
  <si>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</si>
  <si>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</si>
  <si>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</si>
  <si>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</si>
  <si>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</si>
  <si>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</si>
  <si>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</si>
  <si>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</si>
  <si>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</si>
  <si>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</si>
  <si>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</si>
  <si>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</si>
  <si>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</si>
  <si>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</si>
  <si>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</si>
  <si>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</si>
  <si>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</si>
  <si>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</si>
  <si>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</si>
  <si>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</si>
  <si>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</si>
  <si>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</si>
  <si>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</si>
  <si>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</si>
  <si>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</si>
  <si>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</si>
  <si>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</si>
  <si>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</si>
  <si>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</si>
  <si>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</si>
  <si>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</si>
  <si>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</si>
  <si>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</si>
  <si>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</si>
  <si>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</si>
  <si>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</si>
  <si>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</si>
  <si>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</si>
  <si>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</si>
  <si>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</si>
  <si>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</si>
  <si>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</si>
  <si>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</si>
  <si>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</si>
  <si>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</si>
  <si>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</si>
  <si>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</si>
  <si>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</si>
  <si>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</si>
  <si>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</si>
  <si>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</si>
  <si>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</si>
  <si>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</si>
  <si>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</si>
  <si>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</si>
  <si>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</si>
  <si>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</si>
  <si>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</si>
  <si>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</si>
  <si>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</si>
  <si>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</si>
  <si>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</si>
  <si>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</si>
  <si>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</si>
  <si>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</si>
  <si>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</si>
  <si>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</si>
  <si>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</si>
  <si>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</si>
  <si>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</si>
  <si>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</si>
  <si>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</si>
  <si>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</si>
  <si>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</si>
  <si>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</si>
  <si>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</si>
  <si>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</si>
  <si>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</si>
  <si>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</si>
  <si>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</si>
  <si>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</si>
  <si>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</si>
  <si>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</si>
  <si>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</si>
  <si>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</si>
  <si>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</si>
  <si>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</si>
  <si>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</si>
  <si>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</si>
  <si>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</si>
  <si>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</si>
  <si>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</si>
  <si>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</si>
  <si>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</si>
  <si>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</si>
  <si>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</si>
  <si>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</si>
  <si>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</si>
  <si>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</si>
  <si>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</si>
  <si>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</si>
  <si>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</si>
  <si>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</si>
  <si>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</si>
  <si>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</si>
  <si>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</si>
  <si>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</si>
  <si>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</si>
  <si>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</si>
  <si>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</si>
  <si>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</si>
  <si>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</si>
  <si>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</si>
  <si>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</si>
  <si>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</si>
  <si>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</si>
  <si>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</si>
  <si>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</si>
  <si>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</si>
  <si>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</si>
  <si>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</si>
  <si>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</si>
  <si>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</si>
  <si>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</si>
  <si>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</si>
  <si>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</si>
  <si>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</si>
  <si>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</si>
  <si>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</si>
  <si>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</si>
  <si>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</si>
  <si>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</si>
  <si>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</si>
  <si>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</si>
  <si>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</si>
  <si>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</si>
  <si>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</si>
  <si>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</si>
  <si>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</si>
  <si>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</si>
  <si>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</si>
  <si>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</si>
  <si>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</si>
  <si>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</si>
  <si>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</si>
  <si>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</si>
  <si>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</si>
  <si>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</si>
  <si>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</si>
  <si>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</si>
  <si>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</si>
  <si>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</si>
  <si>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</si>
  <si>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</si>
  <si>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</si>
  <si>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</si>
  <si>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</si>
  <si>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</si>
  <si>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</si>
  <si>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</si>
  <si>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</si>
  <si>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</si>
  <si>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</si>
  <si>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</si>
  <si>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</si>
  <si>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</si>
  <si>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</si>
  <si>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</si>
  <si>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</si>
  <si>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</si>
  <si>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</si>
  <si>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</si>
  <si>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</si>
  <si>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</si>
  <si>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</si>
  <si>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</si>
  <si>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</si>
  <si>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</si>
  <si>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</si>
  <si>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</si>
  <si>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</si>
  <si>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</si>
  <si>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</si>
  <si>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</si>
  <si>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</si>
  <si>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</si>
  <si>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</si>
  <si>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</si>
  <si>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</si>
  <si>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</si>
  <si>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</si>
  <si>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</si>
  <si>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</si>
  <si>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</si>
  <si>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</si>
  <si>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</si>
  <si>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95-081-80</t>
  </si>
  <si>
    <t>95-082-72</t>
  </si>
  <si>
    <t>95-083-72</t>
  </si>
  <si>
    <t>95-084-09</t>
  </si>
  <si>
    <t>95-085-80</t>
  </si>
  <si>
    <t>95-086-06</t>
  </si>
  <si>
    <t>95-087-09</t>
  </si>
  <si>
    <t>95-088-72</t>
  </si>
  <si>
    <t>95-089-09</t>
  </si>
  <si>
    <t>95-090-80</t>
  </si>
  <si>
    <t>95-091-14</t>
  </si>
  <si>
    <t>95-092-14</t>
  </si>
  <si>
    <t>95-093-72</t>
  </si>
  <si>
    <t>95-094-80</t>
  </si>
  <si>
    <t>95-095-06</t>
  </si>
  <si>
    <t>95-096-14</t>
  </si>
  <si>
    <t>95-097-72</t>
  </si>
  <si>
    <t>95-098-09</t>
  </si>
  <si>
    <t>95-099-09</t>
  </si>
  <si>
    <t>95-100-14</t>
  </si>
  <si>
    <t>95-101-09</t>
  </si>
  <si>
    <t>3035-635/75</t>
  </si>
  <si>
    <t>3035-667/70</t>
  </si>
  <si>
    <t>3101-667/70</t>
  </si>
  <si>
    <t>3101-676/76</t>
  </si>
  <si>
    <t>3109-635/75</t>
  </si>
  <si>
    <t>3125-618/28</t>
  </si>
  <si>
    <t>3125-620/21</t>
  </si>
  <si>
    <t>3125-641/76</t>
  </si>
  <si>
    <t>3125-667/70</t>
  </si>
  <si>
    <t>3125-676/76</t>
  </si>
  <si>
    <t>3142-635/75</t>
  </si>
  <si>
    <t>3142-655/55</t>
  </si>
  <si>
    <t>3147-655/55</t>
  </si>
  <si>
    <t>3147-667/70</t>
  </si>
  <si>
    <t>3155-635/75</t>
  </si>
  <si>
    <t>3190-618/28</t>
  </si>
  <si>
    <t>3190-655/55</t>
  </si>
  <si>
    <t>3190-667/70</t>
  </si>
  <si>
    <t>3190-676/76</t>
  </si>
  <si>
    <t>3216-624/91</t>
  </si>
  <si>
    <t>3216-655/55</t>
  </si>
  <si>
    <t>3363-676/76</t>
  </si>
  <si>
    <t>Fredrikson</t>
  </si>
  <si>
    <t>635/75</t>
  </si>
  <si>
    <t>667/70</t>
  </si>
  <si>
    <t>676/76</t>
  </si>
  <si>
    <t>618/28</t>
  </si>
  <si>
    <t>620/21</t>
  </si>
  <si>
    <t>641/76</t>
  </si>
  <si>
    <t>655/55</t>
  </si>
  <si>
    <t>624/91</t>
  </si>
  <si>
    <t>80% шерсть - 20% полиамид / Подклад: 100% вискоза</t>
  </si>
  <si>
    <t>80% шерсть - 20% полиамид / Подклад: 100% хлопок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</si>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</sst>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29052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29053</v>
      </c>
      <c r="B53" s="28" t="s">
        <v>29054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29055</v>
      </c>
      <c r="B58" s="28" t="s">
        <v>29056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29057</v>
      </c>
      <c r="B61" s="28" t="s">
        <v>29058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29059</v>
      </c>
      <c r="B77" s="28" t="s">
        <v>29060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29061</v>
      </c>
      <c r="B83" s="28" t="s">
        <v>29062</v>
      </c>
    </row>
    <row r="84" spans="1:2" x14ac:dyDescent="0.25">
      <c r="A84" s="28" t="s">
        <v>29063</v>
      </c>
      <c r="B84" s="28" t="s">
        <v>29064</v>
      </c>
    </row>
    <row r="85" spans="1:2" x14ac:dyDescent="0.25">
      <c r="A85" s="28" t="s">
        <v>29065</v>
      </c>
      <c r="B85" s="28" t="s">
        <v>29066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29067</v>
      </c>
      <c r="B92" s="28" t="s">
        <v>29068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29069</v>
      </c>
      <c r="B103" s="28" t="s">
        <v>29070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29071</v>
      </c>
      <c r="B109" s="28" t="s">
        <v>29072</v>
      </c>
    </row>
    <row r="110" spans="1:2" x14ac:dyDescent="0.25">
      <c r="A110" s="28" t="s">
        <v>29073</v>
      </c>
      <c r="B110" s="28" t="s">
        <v>29074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29075</v>
      </c>
      <c r="B121" s="28" t="s">
        <v>29076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29077</v>
      </c>
      <c r="B129" s="28" t="s">
        <v>29078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29079</v>
      </c>
      <c r="B135" s="28" t="s">
        <v>29080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29081</v>
      </c>
      <c r="B151" s="28" t="s">
        <v>29082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29083</v>
      </c>
      <c r="B157" s="28" t="s">
        <v>29084</v>
      </c>
    </row>
    <row r="158" spans="1:2" x14ac:dyDescent="0.25">
      <c r="A158" s="28" t="s">
        <v>29085</v>
      </c>
      <c r="B158" s="28" t="s">
        <v>29086</v>
      </c>
    </row>
    <row r="159" spans="1:2" x14ac:dyDescent="0.25">
      <c r="A159" s="28" t="s">
        <v>29087</v>
      </c>
      <c r="B159" s="28" t="s">
        <v>29088</v>
      </c>
    </row>
    <row r="160" spans="1:2" x14ac:dyDescent="0.25">
      <c r="A160" s="28" t="s">
        <v>29089</v>
      </c>
      <c r="B160" s="28" t="s">
        <v>29090</v>
      </c>
    </row>
    <row r="161" spans="1:2" x14ac:dyDescent="0.25">
      <c r="A161" s="28" t="s">
        <v>29091</v>
      </c>
      <c r="B161" s="28" t="s">
        <v>29092</v>
      </c>
    </row>
    <row r="162" spans="1:2" x14ac:dyDescent="0.25">
      <c r="A162" s="28" t="s">
        <v>29093</v>
      </c>
      <c r="B162" s="28" t="s">
        <v>29094</v>
      </c>
    </row>
    <row r="163" spans="1:2" x14ac:dyDescent="0.25">
      <c r="A163" s="28" t="s">
        <v>29095</v>
      </c>
      <c r="B163" s="28" t="s">
        <v>29096</v>
      </c>
    </row>
    <row r="164" spans="1:2" x14ac:dyDescent="0.25">
      <c r="A164" s="28" t="s">
        <v>29097</v>
      </c>
      <c r="B164" s="28" t="s">
        <v>29098</v>
      </c>
    </row>
    <row r="165" spans="1:2" x14ac:dyDescent="0.25">
      <c r="A165" s="28" t="s">
        <v>29099</v>
      </c>
      <c r="B165" s="28" t="s">
        <v>29100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29101</v>
      </c>
      <c r="B175" s="28" t="s">
        <v>29102</v>
      </c>
    </row>
    <row r="176" spans="1:2" x14ac:dyDescent="0.25">
      <c r="A176" s="28" t="s">
        <v>29103</v>
      </c>
      <c r="B176" s="28" t="s">
        <v>29104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29105</v>
      </c>
      <c r="B179" s="28" t="s">
        <v>29106</v>
      </c>
    </row>
    <row r="180" spans="1:2" x14ac:dyDescent="0.25">
      <c r="A180" s="28" t="s">
        <v>29107</v>
      </c>
      <c r="B180" s="28" t="s">
        <v>29108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29109</v>
      </c>
      <c r="B183" s="28" t="s">
        <v>29110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29111</v>
      </c>
      <c r="B187" s="28" t="s">
        <v>29112</v>
      </c>
    </row>
    <row r="188" spans="1:2" x14ac:dyDescent="0.25">
      <c r="A188" s="28" t="s">
        <v>29113</v>
      </c>
      <c r="B188" s="28" t="s">
        <v>29114</v>
      </c>
    </row>
    <row r="189" spans="1:2" x14ac:dyDescent="0.25">
      <c r="A189" s="28" t="s">
        <v>29115</v>
      </c>
      <c r="B189" s="28" t="s">
        <v>29116</v>
      </c>
    </row>
    <row r="190" spans="1:2" x14ac:dyDescent="0.25">
      <c r="A190" s="28" t="s">
        <v>29117</v>
      </c>
      <c r="B190" s="28" t="s">
        <v>29118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29119</v>
      </c>
      <c r="B194" s="28" t="s">
        <v>29120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29121</v>
      </c>
      <c r="B196" s="28" t="s">
        <v>29122</v>
      </c>
    </row>
    <row r="197" spans="1:2" x14ac:dyDescent="0.25">
      <c r="A197" s="28" t="s">
        <v>29123</v>
      </c>
      <c r="B197" s="28" t="s">
        <v>29124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29125</v>
      </c>
      <c r="B202" s="28" t="s">
        <v>29126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29127</v>
      </c>
      <c r="B205" s="28" t="s">
        <v>29128</v>
      </c>
    </row>
    <row r="206" spans="1:2" x14ac:dyDescent="0.25">
      <c r="A206" s="28" t="s">
        <v>29129</v>
      </c>
      <c r="B206" s="28" t="s">
        <v>29130</v>
      </c>
    </row>
    <row r="207" spans="1:2" x14ac:dyDescent="0.25">
      <c r="A207" s="28" t="s">
        <v>29131</v>
      </c>
      <c r="B207" s="28" t="s">
        <v>29132</v>
      </c>
    </row>
    <row r="208" spans="1:2" x14ac:dyDescent="0.25">
      <c r="A208" s="28" t="s">
        <v>29133</v>
      </c>
      <c r="B208" s="28" t="s">
        <v>29134</v>
      </c>
    </row>
    <row r="209" spans="1:2" x14ac:dyDescent="0.25">
      <c r="A209" s="28" t="s">
        <v>29135</v>
      </c>
      <c r="B209" s="28" t="s">
        <v>29136</v>
      </c>
    </row>
    <row r="210" spans="1:2" x14ac:dyDescent="0.25">
      <c r="A210" s="28" t="s">
        <v>29137</v>
      </c>
      <c r="B210" s="28" t="s">
        <v>27006</v>
      </c>
    </row>
    <row r="211" spans="1:2" x14ac:dyDescent="0.25">
      <c r="A211" s="28" t="s">
        <v>29138</v>
      </c>
      <c r="B211" s="28" t="s">
        <v>27007</v>
      </c>
    </row>
    <row r="212" spans="1:2" x14ac:dyDescent="0.25">
      <c r="A212" s="28" t="s">
        <v>29139</v>
      </c>
      <c r="B212" s="28" t="s">
        <v>27008</v>
      </c>
    </row>
    <row r="213" spans="1:2" x14ac:dyDescent="0.25">
      <c r="A213" s="28" t="s">
        <v>29140</v>
      </c>
      <c r="B213" s="28" t="s">
        <v>27009</v>
      </c>
    </row>
    <row r="214" spans="1:2" x14ac:dyDescent="0.25">
      <c r="A214" s="28" t="s">
        <v>29141</v>
      </c>
      <c r="B214" s="28" t="s">
        <v>29142</v>
      </c>
    </row>
    <row r="215" spans="1:2" x14ac:dyDescent="0.25">
      <c r="A215" s="28" t="s">
        <v>29143</v>
      </c>
      <c r="B215" s="28" t="s">
        <v>29144</v>
      </c>
    </row>
    <row r="216" spans="1:2" x14ac:dyDescent="0.25">
      <c r="A216" s="28" t="s">
        <v>29145</v>
      </c>
      <c r="B216" s="28" t="s">
        <v>29146</v>
      </c>
    </row>
    <row r="217" spans="1:2" x14ac:dyDescent="0.25">
      <c r="A217" s="28" t="s">
        <v>29147</v>
      </c>
      <c r="B217" s="28" t="s">
        <v>29148</v>
      </c>
    </row>
    <row r="218" spans="1:2" x14ac:dyDescent="0.25">
      <c r="A218" s="28" t="s">
        <v>29149</v>
      </c>
      <c r="B218" s="28" t="s">
        <v>27010</v>
      </c>
    </row>
    <row r="219" spans="1:2" x14ac:dyDescent="0.25">
      <c r="A219" s="28" t="s">
        <v>29150</v>
      </c>
      <c r="B219" s="28" t="s">
        <v>29151</v>
      </c>
    </row>
    <row r="220" spans="1:2" x14ac:dyDescent="0.25">
      <c r="A220" s="28" t="s">
        <v>29152</v>
      </c>
      <c r="B220" s="28" t="s">
        <v>29153</v>
      </c>
    </row>
    <row r="221" spans="1:2" x14ac:dyDescent="0.25">
      <c r="A221" s="28" t="s">
        <v>29154</v>
      </c>
      <c r="B221" s="28" t="s">
        <v>29155</v>
      </c>
    </row>
    <row r="222" spans="1:2" x14ac:dyDescent="0.25">
      <c r="A222" s="28" t="s">
        <v>29156</v>
      </c>
      <c r="B222" s="28" t="s">
        <v>29157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29158</v>
      </c>
      <c r="B224" s="28" t="s">
        <v>29159</v>
      </c>
    </row>
    <row r="225" spans="1:2" x14ac:dyDescent="0.25">
      <c r="A225" s="28" t="s">
        <v>29160</v>
      </c>
      <c r="B225" s="28" t="s">
        <v>29161</v>
      </c>
    </row>
    <row r="226" spans="1:2" x14ac:dyDescent="0.25">
      <c r="A226" s="28" t="s">
        <v>29162</v>
      </c>
      <c r="B226" s="28" t="s">
        <v>29163</v>
      </c>
    </row>
    <row r="227" spans="1:2" x14ac:dyDescent="0.25">
      <c r="A227" s="28" t="s">
        <v>29164</v>
      </c>
      <c r="B227" s="28" t="s">
        <v>29165</v>
      </c>
    </row>
    <row r="228" spans="1:2" x14ac:dyDescent="0.25">
      <c r="A228" s="28" t="s">
        <v>29166</v>
      </c>
      <c r="B228" s="28" t="s">
        <v>29167</v>
      </c>
    </row>
    <row r="229" spans="1:2" x14ac:dyDescent="0.25">
      <c r="A229" s="28" t="s">
        <v>29168</v>
      </c>
      <c r="B229" s="28" t="s">
        <v>29169</v>
      </c>
    </row>
    <row r="230" spans="1:2" x14ac:dyDescent="0.25">
      <c r="A230" s="28" t="s">
        <v>29170</v>
      </c>
      <c r="B230" s="28" t="s">
        <v>29171</v>
      </c>
    </row>
    <row r="231" spans="1:2" x14ac:dyDescent="0.25">
      <c r="A231" s="28" t="s">
        <v>29172</v>
      </c>
      <c r="B231" s="28" t="s">
        <v>29173</v>
      </c>
    </row>
    <row r="232" spans="1:2" x14ac:dyDescent="0.25">
      <c r="A232" s="28" t="s">
        <v>29174</v>
      </c>
      <c r="B232" s="28" t="s">
        <v>29175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29176</v>
      </c>
      <c r="B234" s="28" t="s">
        <v>29177</v>
      </c>
    </row>
    <row r="235" spans="1:2" x14ac:dyDescent="0.25">
      <c r="A235" s="28" t="s">
        <v>29178</v>
      </c>
      <c r="B235" s="28" t="s">
        <v>29179</v>
      </c>
    </row>
    <row r="236" spans="1:2" x14ac:dyDescent="0.25">
      <c r="A236" s="28" t="s">
        <v>29180</v>
      </c>
      <c r="B236" s="28" t="s">
        <v>29181</v>
      </c>
    </row>
    <row r="237" spans="1:2" x14ac:dyDescent="0.25">
      <c r="A237" s="28" t="s">
        <v>29182</v>
      </c>
      <c r="B237" s="28" t="s">
        <v>29183</v>
      </c>
    </row>
    <row r="238" spans="1:2" x14ac:dyDescent="0.25">
      <c r="A238" s="28" t="s">
        <v>29184</v>
      </c>
      <c r="B238" s="28" t="s">
        <v>29185</v>
      </c>
    </row>
    <row r="239" spans="1:2" x14ac:dyDescent="0.25">
      <c r="A239" s="28" t="s">
        <v>29186</v>
      </c>
      <c r="B239" s="28" t="s">
        <v>29187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29188</v>
      </c>
      <c r="B241" s="28" t="s">
        <v>29189</v>
      </c>
    </row>
    <row r="242" spans="1:2" x14ac:dyDescent="0.25">
      <c r="A242" s="28" t="s">
        <v>29190</v>
      </c>
      <c r="B242" s="28" t="s">
        <v>29191</v>
      </c>
    </row>
    <row r="243" spans="1:2" x14ac:dyDescent="0.25">
      <c r="A243" s="28" t="s">
        <v>29192</v>
      </c>
      <c r="B243" s="28" t="s">
        <v>29193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29194</v>
      </c>
      <c r="B245" s="28" t="s">
        <v>29195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29196</v>
      </c>
      <c r="B259" s="28" t="s">
        <v>29197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29198</v>
      </c>
      <c r="B279" s="28" t="s">
        <v>29199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29200</v>
      </c>
      <c r="B282" s="28" t="s">
        <v>29201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29202</v>
      </c>
      <c r="B284" s="28" t="s">
        <v>29203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29204</v>
      </c>
      <c r="B286" s="28" t="s">
        <v>29205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29206</v>
      </c>
      <c r="B288" s="28" t="s">
        <v>29207</v>
      </c>
    </row>
    <row r="289" spans="1:2" x14ac:dyDescent="0.25">
      <c r="A289" s="28" t="s">
        <v>29208</v>
      </c>
      <c r="B289" s="28" t="s">
        <v>29209</v>
      </c>
    </row>
    <row r="290" spans="1:2" x14ac:dyDescent="0.25">
      <c r="A290" s="28" t="s">
        <v>29210</v>
      </c>
      <c r="B290" s="28" t="s">
        <v>29211</v>
      </c>
    </row>
    <row r="291" spans="1:2" x14ac:dyDescent="0.25">
      <c r="A291" s="28" t="s">
        <v>29212</v>
      </c>
      <c r="B291" s="28" t="s">
        <v>29213</v>
      </c>
    </row>
    <row r="292" spans="1:2" x14ac:dyDescent="0.25">
      <c r="A292" s="28" t="s">
        <v>29214</v>
      </c>
      <c r="B292" s="28" t="s">
        <v>29215</v>
      </c>
    </row>
    <row r="293" spans="1:2" x14ac:dyDescent="0.25">
      <c r="A293" s="28" t="s">
        <v>29216</v>
      </c>
      <c r="B293" s="28" t="s">
        <v>29217</v>
      </c>
    </row>
    <row r="294" spans="1:2" x14ac:dyDescent="0.25">
      <c r="A294" s="28" t="s">
        <v>29218</v>
      </c>
      <c r="B294" s="28" t="s">
        <v>29219</v>
      </c>
    </row>
    <row r="295" spans="1:2" x14ac:dyDescent="0.25">
      <c r="A295" s="28" t="s">
        <v>29220</v>
      </c>
      <c r="B295" s="28" t="s">
        <v>29221</v>
      </c>
    </row>
    <row r="296" spans="1:2" x14ac:dyDescent="0.25">
      <c r="A296" s="28" t="s">
        <v>29222</v>
      </c>
      <c r="B296" s="28" t="s">
        <v>29223</v>
      </c>
    </row>
    <row r="297" spans="1:2" x14ac:dyDescent="0.25">
      <c r="A297" s="28" t="s">
        <v>29224</v>
      </c>
      <c r="B297" s="28" t="s">
        <v>29225</v>
      </c>
    </row>
    <row r="298" spans="1:2" x14ac:dyDescent="0.25">
      <c r="A298" s="28" t="s">
        <v>29226</v>
      </c>
      <c r="B298" s="28" t="s">
        <v>29227</v>
      </c>
    </row>
    <row r="299" spans="1:2" x14ac:dyDescent="0.25">
      <c r="A299" s="28" t="s">
        <v>29228</v>
      </c>
      <c r="B299" s="28" t="s">
        <v>29229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29230</v>
      </c>
      <c r="B303" s="28" t="s">
        <v>29231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29232</v>
      </c>
      <c r="B306" s="28" t="s">
        <v>29233</v>
      </c>
    </row>
    <row r="307" spans="1:2" x14ac:dyDescent="0.25">
      <c r="A307" s="28" t="s">
        <v>29234</v>
      </c>
      <c r="B307" s="28" t="s">
        <v>29235</v>
      </c>
    </row>
    <row r="308" spans="1:2" x14ac:dyDescent="0.25">
      <c r="A308" s="28" t="s">
        <v>29236</v>
      </c>
      <c r="B308" s="28" t="s">
        <v>29237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29238</v>
      </c>
      <c r="B836" s="28" t="s">
        <v>29239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29240</v>
      </c>
      <c r="B840" s="28" t="s">
        <v>29241</v>
      </c>
    </row>
    <row r="841" spans="1:2" x14ac:dyDescent="0.25">
      <c r="A841" s="28" t="s">
        <v>29242</v>
      </c>
      <c r="B841" s="28" t="s">
        <v>29243</v>
      </c>
    </row>
    <row r="842" spans="1:2" x14ac:dyDescent="0.25">
      <c r="A842" s="28" t="s">
        <v>29244</v>
      </c>
      <c r="B842" s="28" t="s">
        <v>29245</v>
      </c>
    </row>
    <row r="843" spans="1:2" x14ac:dyDescent="0.25">
      <c r="A843" s="28" t="s">
        <v>29246</v>
      </c>
      <c r="B843" s="28" t="s">
        <v>29247</v>
      </c>
    </row>
    <row r="844" spans="1:2" x14ac:dyDescent="0.25">
      <c r="A844" s="28" t="s">
        <v>29248</v>
      </c>
      <c r="B844" s="28" t="s">
        <v>29249</v>
      </c>
    </row>
    <row r="845" spans="1:2" x14ac:dyDescent="0.25">
      <c r="A845" s="28" t="s">
        <v>29250</v>
      </c>
      <c r="B845" s="28" t="s">
        <v>29251</v>
      </c>
    </row>
    <row r="846" spans="1:2" x14ac:dyDescent="0.25">
      <c r="A846" s="28" t="s">
        <v>29252</v>
      </c>
      <c r="B846" s="28" t="s">
        <v>29253</v>
      </c>
    </row>
    <row r="847" spans="1:2" x14ac:dyDescent="0.25">
      <c r="A847" s="28" t="s">
        <v>29254</v>
      </c>
      <c r="B847" s="28" t="s">
        <v>29255</v>
      </c>
    </row>
    <row r="848" spans="1:2" x14ac:dyDescent="0.25">
      <c r="A848" s="28" t="s">
        <v>29256</v>
      </c>
      <c r="B848" s="28" t="s">
        <v>29257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29258</v>
      </c>
      <c r="B864" s="28" t="s">
        <v>29259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29260</v>
      </c>
      <c r="B888" s="28" t="s">
        <v>29261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29262</v>
      </c>
      <c r="B917" s="28" t="s">
        <v>29263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29264</v>
      </c>
      <c r="B930" s="28" t="s">
        <v>29265</v>
      </c>
    </row>
    <row r="931" spans="1:2" x14ac:dyDescent="0.25">
      <c r="A931" s="28" t="s">
        <v>29266</v>
      </c>
      <c r="B931" s="28" t="s">
        <v>29267</v>
      </c>
    </row>
    <row r="932" spans="1:2" x14ac:dyDescent="0.25">
      <c r="A932" s="28" t="s">
        <v>29268</v>
      </c>
      <c r="B932" s="28" t="s">
        <v>29269</v>
      </c>
    </row>
    <row r="933" spans="1:2" x14ac:dyDescent="0.25">
      <c r="A933" s="28" t="s">
        <v>29270</v>
      </c>
      <c r="B933" s="28" t="s">
        <v>29271</v>
      </c>
    </row>
    <row r="934" spans="1:2" x14ac:dyDescent="0.25">
      <c r="A934" s="28" t="s">
        <v>29272</v>
      </c>
      <c r="B934" s="28" t="s">
        <v>29273</v>
      </c>
    </row>
    <row r="935" spans="1:2" x14ac:dyDescent="0.25">
      <c r="A935" s="28" t="s">
        <v>29274</v>
      </c>
      <c r="B935" s="28" t="s">
        <v>29275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29276</v>
      </c>
      <c r="B938" s="28" t="s">
        <v>29277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29278</v>
      </c>
      <c r="B940" s="28" t="s">
        <v>29279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29280</v>
      </c>
      <c r="B944" s="28" t="s">
        <v>29281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29282</v>
      </c>
      <c r="B949" s="28" t="s">
        <v>29283</v>
      </c>
    </row>
    <row r="950" spans="1:2" x14ac:dyDescent="0.25">
      <c r="A950" s="28" t="s">
        <v>29284</v>
      </c>
      <c r="B950" s="28" t="s">
        <v>29285</v>
      </c>
    </row>
    <row r="951" spans="1:2" x14ac:dyDescent="0.25">
      <c r="A951" s="28" t="s">
        <v>29286</v>
      </c>
      <c r="B951" s="28" t="s">
        <v>29287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29288</v>
      </c>
      <c r="B970" s="28" t="s">
        <v>29289</v>
      </c>
    </row>
    <row r="971" spans="1:2" x14ac:dyDescent="0.25">
      <c r="A971" s="28" t="s">
        <v>29290</v>
      </c>
      <c r="B971" s="28" t="s">
        <v>29291</v>
      </c>
    </row>
    <row r="972" spans="1:2" x14ac:dyDescent="0.25">
      <c r="A972" s="28" t="s">
        <v>29292</v>
      </c>
      <c r="B972" s="28" t="s">
        <v>29293</v>
      </c>
    </row>
    <row r="973" spans="1:2" x14ac:dyDescent="0.25">
      <c r="A973" s="28" t="s">
        <v>29294</v>
      </c>
      <c r="B973" s="28" t="s">
        <v>29295</v>
      </c>
    </row>
    <row r="974" spans="1:2" x14ac:dyDescent="0.25">
      <c r="A974" s="28" t="s">
        <v>29296</v>
      </c>
      <c r="B974" s="28" t="s">
        <v>29297</v>
      </c>
    </row>
    <row r="975" spans="1:2" x14ac:dyDescent="0.25">
      <c r="A975" s="28" t="s">
        <v>29298</v>
      </c>
      <c r="B975" s="28" t="s">
        <v>29299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29300</v>
      </c>
      <c r="B995" s="28" t="s">
        <v>29301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29302</v>
      </c>
      <c r="B1010" s="28" t="s">
        <v>29303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29304</v>
      </c>
      <c r="B1019" s="28" t="s">
        <v>29305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29306</v>
      </c>
      <c r="B1036" s="28" t="s">
        <v>29307</v>
      </c>
    </row>
    <row r="1037" spans="1:2" x14ac:dyDescent="0.25">
      <c r="A1037" s="28" t="s">
        <v>29308</v>
      </c>
      <c r="B1037" s="28" t="s">
        <v>29309</v>
      </c>
    </row>
    <row r="1038" spans="1:2" x14ac:dyDescent="0.25">
      <c r="A1038" s="28" t="s">
        <v>29310</v>
      </c>
      <c r="B1038" s="28" t="s">
        <v>29311</v>
      </c>
    </row>
    <row r="1039" spans="1:2" x14ac:dyDescent="0.25">
      <c r="A1039" s="28" t="s">
        <v>29312</v>
      </c>
      <c r="B1039" s="28" t="s">
        <v>29313</v>
      </c>
    </row>
    <row r="1040" spans="1:2" x14ac:dyDescent="0.25">
      <c r="A1040" s="28" t="s">
        <v>29314</v>
      </c>
      <c r="B1040" s="28" t="s">
        <v>29315</v>
      </c>
    </row>
    <row r="1041" spans="1:2" x14ac:dyDescent="0.25">
      <c r="A1041" s="28" t="s">
        <v>29316</v>
      </c>
      <c r="B1041" s="28" t="s">
        <v>29317</v>
      </c>
    </row>
    <row r="1042" spans="1:2" x14ac:dyDescent="0.25">
      <c r="A1042" s="28" t="s">
        <v>29318</v>
      </c>
      <c r="B1042" s="28" t="s">
        <v>29319</v>
      </c>
    </row>
    <row r="1043" spans="1:2" x14ac:dyDescent="0.25">
      <c r="A1043" s="28" t="s">
        <v>29320</v>
      </c>
      <c r="B1043" s="28" t="s">
        <v>29321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29322</v>
      </c>
      <c r="B1063" s="28" t="s">
        <v>29323</v>
      </c>
    </row>
    <row r="1064" spans="1:2" x14ac:dyDescent="0.25">
      <c r="A1064" s="28" t="s">
        <v>29324</v>
      </c>
      <c r="B1064" s="28" t="s">
        <v>29325</v>
      </c>
    </row>
    <row r="1065" spans="1:2" x14ac:dyDescent="0.25">
      <c r="A1065" s="28" t="s">
        <v>29326</v>
      </c>
      <c r="B1065" s="28" t="s">
        <v>29327</v>
      </c>
    </row>
    <row r="1066" spans="1:2" x14ac:dyDescent="0.25">
      <c r="A1066" s="28" t="s">
        <v>29328</v>
      </c>
      <c r="B1066" s="28" t="s">
        <v>29329</v>
      </c>
    </row>
    <row r="1067" spans="1:2" x14ac:dyDescent="0.25">
      <c r="A1067" s="28" t="s">
        <v>29330</v>
      </c>
      <c r="B1067" s="28" t="s">
        <v>29331</v>
      </c>
    </row>
    <row r="1068" spans="1:2" x14ac:dyDescent="0.25">
      <c r="A1068" s="28" t="s">
        <v>29332</v>
      </c>
      <c r="B1068" s="28" t="s">
        <v>29333</v>
      </c>
    </row>
    <row r="1069" spans="1:2" x14ac:dyDescent="0.25">
      <c r="A1069" s="28" t="s">
        <v>29334</v>
      </c>
      <c r="B1069" s="28" t="s">
        <v>29335</v>
      </c>
    </row>
    <row r="1070" spans="1:2" x14ac:dyDescent="0.25">
      <c r="A1070" s="28" t="s">
        <v>29336</v>
      </c>
      <c r="B1070" s="28" t="s">
        <v>29337</v>
      </c>
    </row>
    <row r="1071" spans="1:2" x14ac:dyDescent="0.25">
      <c r="A1071" s="28" t="s">
        <v>29338</v>
      </c>
      <c r="B1071" s="28" t="s">
        <v>29339</v>
      </c>
    </row>
    <row r="1072" spans="1:2" x14ac:dyDescent="0.25">
      <c r="A1072" s="28" t="s">
        <v>29340</v>
      </c>
      <c r="B1072" s="28" t="s">
        <v>29341</v>
      </c>
    </row>
    <row r="1073" spans="1:2" x14ac:dyDescent="0.25">
      <c r="A1073" s="28" t="s">
        <v>29342</v>
      </c>
      <c r="B1073" s="28" t="s">
        <v>29343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29344</v>
      </c>
      <c r="B1075" s="28" t="s">
        <v>29345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29346</v>
      </c>
      <c r="B1079" s="28" t="s">
        <v>29347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29348</v>
      </c>
      <c r="B1081" s="28" t="s">
        <v>29349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29350</v>
      </c>
      <c r="B1083" s="28" t="s">
        <v>29351</v>
      </c>
    </row>
    <row r="1084" spans="1:2" x14ac:dyDescent="0.25">
      <c r="A1084" s="28" t="s">
        <v>29352</v>
      </c>
      <c r="B1084" s="28" t="s">
        <v>29353</v>
      </c>
    </row>
    <row r="1085" spans="1:2" x14ac:dyDescent="0.25">
      <c r="A1085" s="28" t="s">
        <v>29354</v>
      </c>
      <c r="B1085" s="28" t="s">
        <v>29355</v>
      </c>
    </row>
    <row r="1086" spans="1:2" x14ac:dyDescent="0.25">
      <c r="A1086" s="28" t="s">
        <v>29356</v>
      </c>
      <c r="B1086" s="28" t="s">
        <v>29357</v>
      </c>
    </row>
    <row r="1087" spans="1:2" x14ac:dyDescent="0.25">
      <c r="A1087" s="28" t="s">
        <v>29358</v>
      </c>
      <c r="B1087" s="28" t="s">
        <v>29359</v>
      </c>
    </row>
    <row r="1088" spans="1:2" x14ac:dyDescent="0.25">
      <c r="A1088" s="28" t="s">
        <v>29360</v>
      </c>
      <c r="B1088" s="28" t="s">
        <v>29361</v>
      </c>
    </row>
    <row r="1089" spans="1:2" x14ac:dyDescent="0.25">
      <c r="A1089" s="28" t="s">
        <v>29362</v>
      </c>
      <c r="B1089" s="28" t="s">
        <v>29363</v>
      </c>
    </row>
    <row r="1090" spans="1:2" x14ac:dyDescent="0.25">
      <c r="A1090" s="28" t="s">
        <v>29364</v>
      </c>
      <c r="B1090" s="28" t="s">
        <v>29365</v>
      </c>
    </row>
    <row r="1091" spans="1:2" x14ac:dyDescent="0.25">
      <c r="A1091" s="28" t="s">
        <v>29366</v>
      </c>
      <c r="B1091" s="28" t="s">
        <v>29367</v>
      </c>
    </row>
    <row r="1092" spans="1:2" x14ac:dyDescent="0.25">
      <c r="A1092" s="28" t="s">
        <v>29368</v>
      </c>
      <c r="B1092" s="28" t="s">
        <v>29369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29370</v>
      </c>
      <c r="B1094" s="28" t="s">
        <v>29371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29372</v>
      </c>
      <c r="B1103" s="28" t="s">
        <v>29373</v>
      </c>
    </row>
    <row r="1104" spans="1:2" x14ac:dyDescent="0.25">
      <c r="A1104" s="28" t="s">
        <v>29374</v>
      </c>
      <c r="B1104" s="28" t="s">
        <v>29375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29376</v>
      </c>
      <c r="B1113" s="28" t="s">
        <v>29377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29378</v>
      </c>
      <c r="B1141" s="28" t="s">
        <v>29379</v>
      </c>
    </row>
    <row r="1142" spans="1:2" x14ac:dyDescent="0.25">
      <c r="A1142" s="28" t="s">
        <v>29380</v>
      </c>
      <c r="B1142" s="28" t="s">
        <v>29381</v>
      </c>
    </row>
    <row r="1143" spans="1:2" x14ac:dyDescent="0.25">
      <c r="A1143" s="28" t="s">
        <v>29382</v>
      </c>
      <c r="B1143" s="28" t="s">
        <v>29383</v>
      </c>
    </row>
    <row r="1144" spans="1:2" x14ac:dyDescent="0.25">
      <c r="A1144" s="28" t="s">
        <v>29384</v>
      </c>
      <c r="B1144" s="28" t="s">
        <v>29385</v>
      </c>
    </row>
    <row r="1145" spans="1:2" x14ac:dyDescent="0.25">
      <c r="A1145" s="28" t="s">
        <v>29386</v>
      </c>
      <c r="B1145" s="28" t="s">
        <v>29387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30218</v>
      </c>
      <c r="B1209" s="28" t="s">
        <v>29029</v>
      </c>
    </row>
    <row r="1210" spans="1:2" x14ac:dyDescent="0.25">
      <c r="A1210" s="28" t="s">
        <v>30219</v>
      </c>
      <c r="B1210" s="28" t="s">
        <v>29030</v>
      </c>
    </row>
    <row r="1211" spans="1:2" x14ac:dyDescent="0.25">
      <c r="A1211" s="28" t="s">
        <v>30220</v>
      </c>
      <c r="B1211" s="28" t="s">
        <v>29036</v>
      </c>
    </row>
    <row r="1212" spans="1:2" x14ac:dyDescent="0.25">
      <c r="A1212" s="28" t="s">
        <v>30221</v>
      </c>
      <c r="B1212" s="28" t="s">
        <v>29035</v>
      </c>
    </row>
    <row r="1213" spans="1:2" x14ac:dyDescent="0.25">
      <c r="A1213" s="28" t="s">
        <v>30222</v>
      </c>
      <c r="B1213" s="28" t="s">
        <v>29034</v>
      </c>
    </row>
    <row r="1214" spans="1:2" x14ac:dyDescent="0.25">
      <c r="A1214" s="28" t="s">
        <v>30223</v>
      </c>
      <c r="B1214" s="28" t="s">
        <v>29033</v>
      </c>
    </row>
    <row r="1215" spans="1:2" x14ac:dyDescent="0.25">
      <c r="A1215" s="28" t="s">
        <v>30224</v>
      </c>
      <c r="B1215" s="28" t="s">
        <v>29031</v>
      </c>
    </row>
    <row r="1216" spans="1:2" x14ac:dyDescent="0.25">
      <c r="A1216" s="28" t="s">
        <v>30225</v>
      </c>
      <c r="B1216" s="28" t="s">
        <v>29038</v>
      </c>
    </row>
    <row r="1217" spans="1:2" x14ac:dyDescent="0.25">
      <c r="A1217" s="28" t="s">
        <v>30226</v>
      </c>
      <c r="B1217" s="28" t="s">
        <v>29039</v>
      </c>
    </row>
    <row r="1218" spans="1:2" x14ac:dyDescent="0.25">
      <c r="A1218" s="28" t="s">
        <v>30227</v>
      </c>
      <c r="B1218" s="28" t="s">
        <v>29040</v>
      </c>
    </row>
    <row r="1219" spans="1:2" x14ac:dyDescent="0.25">
      <c r="A1219" s="28" t="s">
        <v>30228</v>
      </c>
      <c r="B1219" s="28" t="s">
        <v>29043</v>
      </c>
    </row>
    <row r="1220" spans="1:2" x14ac:dyDescent="0.25">
      <c r="A1220" s="28" t="s">
        <v>30229</v>
      </c>
      <c r="B1220" s="28" t="s">
        <v>29041</v>
      </c>
    </row>
    <row r="1221" spans="1:2" x14ac:dyDescent="0.25">
      <c r="A1221" s="28" t="s">
        <v>30230</v>
      </c>
      <c r="B1221" s="28" t="s">
        <v>29042</v>
      </c>
    </row>
    <row r="1222" spans="1:2" x14ac:dyDescent="0.25">
      <c r="A1222" s="28" t="s">
        <v>30231</v>
      </c>
      <c r="B1222" s="28" t="s">
        <v>29032</v>
      </c>
    </row>
    <row r="1223" spans="1:2" x14ac:dyDescent="0.25">
      <c r="A1223" s="28" t="s">
        <v>30232</v>
      </c>
      <c r="B1223" s="28" t="s">
        <v>29037</v>
      </c>
    </row>
    <row r="1224" spans="1:2" x14ac:dyDescent="0.25">
      <c r="A1224" s="28" t="s">
        <v>30233</v>
      </c>
      <c r="B1224" s="28" t="s">
        <v>28964</v>
      </c>
    </row>
    <row r="1225" spans="1:2" x14ac:dyDescent="0.25">
      <c r="A1225" s="28" t="s">
        <v>30234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30235</v>
      </c>
      <c r="B1229" s="28" t="s">
        <v>29006</v>
      </c>
    </row>
    <row r="1230" spans="1:2" x14ac:dyDescent="0.25">
      <c r="A1230" s="28" t="s">
        <v>30236</v>
      </c>
      <c r="B1230" s="28" t="s">
        <v>29007</v>
      </c>
    </row>
    <row r="1231" spans="1:2" x14ac:dyDescent="0.25">
      <c r="A1231" s="28" t="s">
        <v>30237</v>
      </c>
      <c r="B1231" s="28" t="s">
        <v>29005</v>
      </c>
    </row>
    <row r="1232" spans="1:2" x14ac:dyDescent="0.25">
      <c r="A1232" s="28" t="s">
        <v>30238</v>
      </c>
      <c r="B1232" s="28" t="s">
        <v>29004</v>
      </c>
    </row>
    <row r="1233" spans="1:2" x14ac:dyDescent="0.25">
      <c r="A1233" s="28" t="s">
        <v>30239</v>
      </c>
      <c r="B1233" s="28" t="s">
        <v>29027</v>
      </c>
    </row>
    <row r="1234" spans="1:2" x14ac:dyDescent="0.25">
      <c r="A1234" s="28" t="s">
        <v>30240</v>
      </c>
      <c r="B1234" s="28" t="s">
        <v>29025</v>
      </c>
    </row>
    <row r="1235" spans="1:2" x14ac:dyDescent="0.25">
      <c r="A1235" s="28" t="s">
        <v>30241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30242</v>
      </c>
      <c r="B1237" s="28" t="s">
        <v>29013</v>
      </c>
    </row>
    <row r="1238" spans="1:2" x14ac:dyDescent="0.25">
      <c r="A1238" s="28" t="s">
        <v>30243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30244</v>
      </c>
      <c r="B1243" s="28" t="s">
        <v>28966</v>
      </c>
    </row>
    <row r="1244" spans="1:2" x14ac:dyDescent="0.25">
      <c r="A1244" s="28" t="s">
        <v>30245</v>
      </c>
      <c r="B1244" s="28" t="s">
        <v>28967</v>
      </c>
    </row>
    <row r="1245" spans="1:2" x14ac:dyDescent="0.25">
      <c r="A1245" s="28" t="s">
        <v>30246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30247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30248</v>
      </c>
      <c r="B1251" s="28" t="s">
        <v>29001</v>
      </c>
    </row>
    <row r="1252" spans="1:2" x14ac:dyDescent="0.25">
      <c r="A1252" s="28" t="s">
        <v>30249</v>
      </c>
      <c r="B1252" s="28" t="s">
        <v>29002</v>
      </c>
    </row>
    <row r="1253" spans="1:2" x14ac:dyDescent="0.25">
      <c r="A1253" s="28" t="s">
        <v>30250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30251</v>
      </c>
      <c r="B1264" s="28" t="s">
        <v>28973</v>
      </c>
    </row>
    <row r="1265" spans="1:2" x14ac:dyDescent="0.25">
      <c r="A1265" s="28" t="s">
        <v>30252</v>
      </c>
      <c r="B1265" s="28" t="s">
        <v>28974</v>
      </c>
    </row>
    <row r="1266" spans="1:2" x14ac:dyDescent="0.25">
      <c r="A1266" s="28" t="s">
        <v>30253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30254</v>
      </c>
      <c r="B1272" s="28" t="s">
        <v>29011</v>
      </c>
    </row>
    <row r="1273" spans="1:2" x14ac:dyDescent="0.25">
      <c r="A1273" s="28" t="s">
        <v>30255</v>
      </c>
      <c r="B1273" s="28" t="s">
        <v>29012</v>
      </c>
    </row>
    <row r="1274" spans="1:2" x14ac:dyDescent="0.25">
      <c r="A1274" s="28" t="s">
        <v>30256</v>
      </c>
      <c r="B1274" s="28" t="s">
        <v>29008</v>
      </c>
    </row>
    <row r="1275" spans="1:2" x14ac:dyDescent="0.25">
      <c r="A1275" s="28" t="s">
        <v>30257</v>
      </c>
      <c r="B1275" s="28" t="s">
        <v>29010</v>
      </c>
    </row>
    <row r="1276" spans="1:2" x14ac:dyDescent="0.25">
      <c r="A1276" s="28" t="s">
        <v>30258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30259</v>
      </c>
      <c r="B1295" s="28" t="s">
        <v>28979</v>
      </c>
    </row>
    <row r="1296" spans="1:2" x14ac:dyDescent="0.25">
      <c r="A1296" s="28" t="s">
        <v>30260</v>
      </c>
      <c r="B1296" s="28" t="s">
        <v>28980</v>
      </c>
    </row>
    <row r="1297" spans="1:2" x14ac:dyDescent="0.25">
      <c r="A1297" s="28" t="s">
        <v>30261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29388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30262</v>
      </c>
      <c r="B1305" s="28" t="s">
        <v>28991</v>
      </c>
    </row>
    <row r="1306" spans="1:2" x14ac:dyDescent="0.25">
      <c r="A1306" s="28" t="s">
        <v>30263</v>
      </c>
      <c r="B1306" s="28" t="s">
        <v>28988</v>
      </c>
    </row>
    <row r="1307" spans="1:2" x14ac:dyDescent="0.25">
      <c r="A1307" s="28" t="s">
        <v>30264</v>
      </c>
      <c r="B1307" s="28" t="s">
        <v>28993</v>
      </c>
    </row>
    <row r="1308" spans="1:2" x14ac:dyDescent="0.25">
      <c r="A1308" s="28" t="s">
        <v>30265</v>
      </c>
      <c r="B1308" s="28" t="s">
        <v>28987</v>
      </c>
    </row>
    <row r="1309" spans="1:2" x14ac:dyDescent="0.25">
      <c r="A1309" s="28" t="s">
        <v>30266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30267</v>
      </c>
      <c r="B1311" s="28" t="s">
        <v>28994</v>
      </c>
    </row>
    <row r="1312" spans="1:2" x14ac:dyDescent="0.25">
      <c r="A1312" s="28" t="s">
        <v>30268</v>
      </c>
      <c r="B1312" s="28" t="s">
        <v>28995</v>
      </c>
    </row>
    <row r="1313" spans="1:2" x14ac:dyDescent="0.25">
      <c r="A1313" s="28" t="s">
        <v>30269</v>
      </c>
      <c r="B1313" s="28" t="s">
        <v>28969</v>
      </c>
    </row>
    <row r="1314" spans="1:2" x14ac:dyDescent="0.25">
      <c r="A1314" s="28" t="s">
        <v>30270</v>
      </c>
      <c r="B1314" s="28" t="s">
        <v>28968</v>
      </c>
    </row>
    <row r="1315" spans="1:2" x14ac:dyDescent="0.25">
      <c r="A1315" s="28" t="s">
        <v>30271</v>
      </c>
      <c r="B1315" s="28" t="s">
        <v>28998</v>
      </c>
    </row>
    <row r="1316" spans="1:2" x14ac:dyDescent="0.25">
      <c r="A1316" s="28" t="s">
        <v>30272</v>
      </c>
      <c r="B1316" s="28" t="s">
        <v>28996</v>
      </c>
    </row>
    <row r="1317" spans="1:2" x14ac:dyDescent="0.25">
      <c r="A1317" s="28" t="s">
        <v>30273</v>
      </c>
      <c r="B1317" s="28" t="s">
        <v>28999</v>
      </c>
    </row>
    <row r="1318" spans="1:2" x14ac:dyDescent="0.25">
      <c r="A1318" s="28" t="s">
        <v>30274</v>
      </c>
      <c r="B1318" s="28" t="s">
        <v>29000</v>
      </c>
    </row>
    <row r="1319" spans="1:2" x14ac:dyDescent="0.25">
      <c r="A1319" s="28" t="s">
        <v>30275</v>
      </c>
      <c r="B1319" s="28" t="s">
        <v>28997</v>
      </c>
    </row>
    <row r="1320" spans="1:2" x14ac:dyDescent="0.25">
      <c r="A1320" s="28" t="s">
        <v>30276</v>
      </c>
      <c r="B1320" s="28" t="s">
        <v>28961</v>
      </c>
    </row>
    <row r="1321" spans="1:2" x14ac:dyDescent="0.25">
      <c r="A1321" s="28" t="s">
        <v>30277</v>
      </c>
      <c r="B1321" s="28" t="s">
        <v>28982</v>
      </c>
    </row>
    <row r="1322" spans="1:2" x14ac:dyDescent="0.25">
      <c r="A1322" s="28" t="s">
        <v>30278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30279</v>
      </c>
      <c r="B1332" s="28" t="s">
        <v>28972</v>
      </c>
    </row>
    <row r="1333" spans="1:2" x14ac:dyDescent="0.25">
      <c r="A1333" s="28" t="s">
        <v>30280</v>
      </c>
      <c r="B1333" s="28" t="s">
        <v>28971</v>
      </c>
    </row>
    <row r="1334" spans="1:2" x14ac:dyDescent="0.25">
      <c r="A1334" s="28" t="s">
        <v>30281</v>
      </c>
      <c r="B1334" s="28" t="s">
        <v>28970</v>
      </c>
    </row>
    <row r="1335" spans="1:2" x14ac:dyDescent="0.25">
      <c r="A1335" s="28" t="s">
        <v>30282</v>
      </c>
      <c r="B1335" s="28" t="s">
        <v>28975</v>
      </c>
    </row>
    <row r="1336" spans="1:2" x14ac:dyDescent="0.25">
      <c r="A1336" s="28" t="s">
        <v>30283</v>
      </c>
      <c r="B1336" s="28" t="s">
        <v>28976</v>
      </c>
    </row>
    <row r="1337" spans="1:2" x14ac:dyDescent="0.25">
      <c r="A1337" s="28" t="s">
        <v>30284</v>
      </c>
      <c r="B1337" s="28" t="s">
        <v>28977</v>
      </c>
    </row>
    <row r="1338" spans="1:2" x14ac:dyDescent="0.25">
      <c r="A1338" s="28" t="s">
        <v>30285</v>
      </c>
      <c r="B1338" s="28" t="s">
        <v>28984</v>
      </c>
    </row>
    <row r="1339" spans="1:2" x14ac:dyDescent="0.25">
      <c r="A1339" s="28" t="s">
        <v>30286</v>
      </c>
      <c r="B1339" s="28" t="s">
        <v>28985</v>
      </c>
    </row>
    <row r="1340" spans="1:2" x14ac:dyDescent="0.25">
      <c r="A1340" s="28" t="s">
        <v>30287</v>
      </c>
      <c r="B1340" s="28" t="s">
        <v>28986</v>
      </c>
    </row>
    <row r="1341" spans="1:2" x14ac:dyDescent="0.25">
      <c r="A1341" s="28" t="s">
        <v>30288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30289</v>
      </c>
      <c r="B1351" s="28" t="s">
        <v>28959</v>
      </c>
    </row>
    <row r="1352" spans="1:2" x14ac:dyDescent="0.25">
      <c r="A1352" s="28" t="s">
        <v>30290</v>
      </c>
      <c r="B1352" s="28" t="s">
        <v>28958</v>
      </c>
    </row>
    <row r="1353" spans="1:2" x14ac:dyDescent="0.25">
      <c r="A1353" s="28" t="s">
        <v>30291</v>
      </c>
      <c r="B1353" s="28" t="s">
        <v>28960</v>
      </c>
    </row>
    <row r="1354" spans="1:2" x14ac:dyDescent="0.25">
      <c r="A1354" s="28" t="s">
        <v>30292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30293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30294</v>
      </c>
      <c r="B1363" s="28" t="s">
        <v>29020</v>
      </c>
    </row>
    <row r="1364" spans="1:2" x14ac:dyDescent="0.25">
      <c r="A1364" s="28" t="s">
        <v>30295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29389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30296</v>
      </c>
      <c r="B1377" s="28" t="s">
        <v>29015</v>
      </c>
    </row>
    <row r="1378" spans="1:2" x14ac:dyDescent="0.25">
      <c r="A1378" s="28" t="s">
        <v>30297</v>
      </c>
      <c r="B1378" s="28" t="s">
        <v>29019</v>
      </c>
    </row>
    <row r="1379" spans="1:2" x14ac:dyDescent="0.25">
      <c r="A1379" s="28" t="s">
        <v>30298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30299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30300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30301</v>
      </c>
      <c r="B1389" s="28" t="s">
        <v>29022</v>
      </c>
    </row>
    <row r="1390" spans="1:2" x14ac:dyDescent="0.25">
      <c r="A1390" s="28" t="s">
        <v>30215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29390</v>
      </c>
      <c r="B1427" s="28" t="s">
        <v>29391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29392</v>
      </c>
      <c r="B1437" s="28" t="s">
        <v>29393</v>
      </c>
    </row>
    <row r="1438" spans="1:2" x14ac:dyDescent="0.25">
      <c r="A1438" s="28" t="s">
        <v>29394</v>
      </c>
      <c r="B1438" s="28" t="s">
        <v>29395</v>
      </c>
    </row>
    <row r="1439" spans="1:2" x14ac:dyDescent="0.25">
      <c r="A1439" s="28" t="s">
        <v>29396</v>
      </c>
      <c r="B1439" s="28" t="s">
        <v>29397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29398</v>
      </c>
      <c r="B1451" s="28" t="s">
        <v>29399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29400</v>
      </c>
      <c r="B1453" s="28" t="s">
        <v>29401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29402</v>
      </c>
      <c r="B1456" s="28" t="s">
        <v>29403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30302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29404</v>
      </c>
      <c r="B1471" s="28" t="s">
        <v>29405</v>
      </c>
    </row>
    <row r="1472" spans="1:2" x14ac:dyDescent="0.25">
      <c r="A1472" s="28" t="s">
        <v>29406</v>
      </c>
      <c r="B1472" s="28" t="s">
        <v>29407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29408</v>
      </c>
      <c r="B1474" s="28" t="s">
        <v>29409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29410</v>
      </c>
      <c r="B1476" s="28" t="s">
        <v>29411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29412</v>
      </c>
      <c r="B1480" s="28" t="s">
        <v>29413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29414</v>
      </c>
      <c r="B1488" s="28" t="s">
        <v>29415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29416</v>
      </c>
      <c r="B1491" s="28" t="s">
        <v>29417</v>
      </c>
    </row>
    <row r="1492" spans="1:2" x14ac:dyDescent="0.25">
      <c r="A1492" s="28" t="s">
        <v>29418</v>
      </c>
      <c r="B1492" s="28" t="s">
        <v>29419</v>
      </c>
    </row>
    <row r="1493" spans="1:2" x14ac:dyDescent="0.25">
      <c r="A1493" s="28" t="s">
        <v>29420</v>
      </c>
      <c r="B1493" s="28" t="s">
        <v>29421</v>
      </c>
    </row>
    <row r="1494" spans="1:2" x14ac:dyDescent="0.25">
      <c r="A1494" s="28" t="s">
        <v>29422</v>
      </c>
      <c r="B1494" s="28" t="s">
        <v>29423</v>
      </c>
    </row>
    <row r="1495" spans="1:2" x14ac:dyDescent="0.25">
      <c r="A1495" s="28" t="s">
        <v>29424</v>
      </c>
      <c r="B1495" s="28" t="s">
        <v>29425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29426</v>
      </c>
      <c r="B1497" s="28" t="s">
        <v>29427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29428</v>
      </c>
      <c r="B1499" s="28" t="s">
        <v>29429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29430</v>
      </c>
      <c r="B1504" s="28" t="s">
        <v>29431</v>
      </c>
    </row>
    <row r="1505" spans="1:2" x14ac:dyDescent="0.25">
      <c r="A1505" s="28" t="s">
        <v>29432</v>
      </c>
      <c r="B1505" s="28" t="s">
        <v>29433</v>
      </c>
    </row>
    <row r="1506" spans="1:2" x14ac:dyDescent="0.25">
      <c r="A1506" s="28" t="s">
        <v>29434</v>
      </c>
      <c r="B1506" s="28" t="s">
        <v>29435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29436</v>
      </c>
      <c r="B1512" s="28" t="s">
        <v>29437</v>
      </c>
    </row>
    <row r="1513" spans="1:2" x14ac:dyDescent="0.25">
      <c r="A1513" s="28" t="s">
        <v>29438</v>
      </c>
      <c r="B1513" s="28" t="s">
        <v>29439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29440</v>
      </c>
      <c r="B1520" s="28" t="s">
        <v>29441</v>
      </c>
    </row>
    <row r="1521" spans="1:2" x14ac:dyDescent="0.25">
      <c r="A1521" s="28" t="s">
        <v>29442</v>
      </c>
      <c r="B1521" s="28" t="s">
        <v>29443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29444</v>
      </c>
      <c r="B1523" s="28" t="s">
        <v>29445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29446</v>
      </c>
      <c r="B1528" s="28" t="s">
        <v>29447</v>
      </c>
    </row>
    <row r="1529" spans="1:2" x14ac:dyDescent="0.25">
      <c r="A1529" s="28" t="s">
        <v>29448</v>
      </c>
      <c r="B1529" s="28" t="s">
        <v>29449</v>
      </c>
    </row>
    <row r="1530" spans="1:2" x14ac:dyDescent="0.25">
      <c r="A1530" s="28" t="s">
        <v>29450</v>
      </c>
      <c r="B1530" s="28" t="s">
        <v>29451</v>
      </c>
    </row>
    <row r="1531" spans="1:2" x14ac:dyDescent="0.25">
      <c r="A1531" s="28" t="s">
        <v>29452</v>
      </c>
      <c r="B1531" s="28" t="s">
        <v>29453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29454</v>
      </c>
      <c r="B1535" s="28" t="s">
        <v>29455</v>
      </c>
    </row>
    <row r="1536" spans="1:2" x14ac:dyDescent="0.25">
      <c r="A1536" s="28" t="s">
        <v>29456</v>
      </c>
      <c r="B1536" s="28" t="s">
        <v>29457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30303</v>
      </c>
      <c r="B1652" s="28" t="s">
        <v>30304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30305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29458</v>
      </c>
      <c r="B1802" s="28" t="s">
        <v>29459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30306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29460</v>
      </c>
      <c r="B2597" s="28" t="s">
        <v>29461</v>
      </c>
    </row>
    <row r="2598" spans="1:2" x14ac:dyDescent="0.25">
      <c r="A2598" s="28" t="s">
        <v>29462</v>
      </c>
      <c r="B2598" s="28" t="s">
        <v>29463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29464</v>
      </c>
      <c r="B2601" s="28" t="s">
        <v>29465</v>
      </c>
    </row>
    <row r="2602" spans="1:2" x14ac:dyDescent="0.25">
      <c r="A2602" s="28" t="s">
        <v>29466</v>
      </c>
      <c r="B2602" s="28" t="s">
        <v>29467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29468</v>
      </c>
      <c r="B2604" s="28" t="s">
        <v>29469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29470</v>
      </c>
      <c r="B2636" s="28" t="s">
        <v>29471</v>
      </c>
    </row>
    <row r="2637" spans="1:2" x14ac:dyDescent="0.25">
      <c r="A2637" s="28" t="s">
        <v>29472</v>
      </c>
      <c r="B2637" s="28" t="s">
        <v>29473</v>
      </c>
    </row>
    <row r="2638" spans="1:2" x14ac:dyDescent="0.25">
      <c r="A2638" s="28" t="s">
        <v>29474</v>
      </c>
      <c r="B2638" s="28" t="s">
        <v>29475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29476</v>
      </c>
      <c r="B2706" s="28" t="s">
        <v>29477</v>
      </c>
    </row>
    <row r="2707" spans="1:2" x14ac:dyDescent="0.25">
      <c r="A2707" s="28" t="s">
        <v>29478</v>
      </c>
      <c r="B2707" s="28" t="s">
        <v>29479</v>
      </c>
    </row>
    <row r="2708" spans="1:2" x14ac:dyDescent="0.25">
      <c r="A2708" s="28" t="s">
        <v>29480</v>
      </c>
      <c r="B2708" s="28" t="s">
        <v>29481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29482</v>
      </c>
      <c r="B2721" s="28" t="s">
        <v>29483</v>
      </c>
    </row>
    <row r="2722" spans="1:2" x14ac:dyDescent="0.25">
      <c r="A2722" s="28" t="s">
        <v>21495</v>
      </c>
      <c r="B2722" s="28" t="s">
        <v>29484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29485</v>
      </c>
      <c r="B2731" s="28" t="s">
        <v>29486</v>
      </c>
    </row>
    <row r="2732" spans="1:2" x14ac:dyDescent="0.25">
      <c r="A2732" s="28" t="s">
        <v>29487</v>
      </c>
      <c r="B2732" s="28" t="s">
        <v>29488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29489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30307</v>
      </c>
      <c r="B2776" s="28" t="s">
        <v>30308</v>
      </c>
      <c r="C2776" s="14" t="s">
        <v>28100</v>
      </c>
    </row>
    <row r="2777" spans="1:3" x14ac:dyDescent="0.25">
      <c r="A2777" s="28" t="s">
        <v>30309</v>
      </c>
      <c r="B2777" s="28" t="s">
        <v>30310</v>
      </c>
      <c r="C2777" s="14" t="s">
        <v>28101</v>
      </c>
    </row>
    <row r="2778" spans="1:3" x14ac:dyDescent="0.25">
      <c r="A2778" s="28" t="s">
        <v>29490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29491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29492</v>
      </c>
      <c r="B2864" s="28" t="s">
        <v>29493</v>
      </c>
    </row>
    <row r="2865" spans="1:2" x14ac:dyDescent="0.25">
      <c r="A2865" s="28" t="s">
        <v>29494</v>
      </c>
      <c r="B2865" s="28" t="s">
        <v>29495</v>
      </c>
    </row>
    <row r="2866" spans="1:2" x14ac:dyDescent="0.25">
      <c r="A2866" s="28" t="s">
        <v>29496</v>
      </c>
      <c r="B2866" s="28" t="s">
        <v>29497</v>
      </c>
    </row>
    <row r="2867" spans="1:2" x14ac:dyDescent="0.25">
      <c r="A2867" s="28" t="s">
        <v>29498</v>
      </c>
      <c r="B2867" s="28" t="s">
        <v>29499</v>
      </c>
    </row>
    <row r="2868" spans="1:2" x14ac:dyDescent="0.25">
      <c r="A2868" s="28" t="s">
        <v>29500</v>
      </c>
      <c r="B2868" s="28" t="s">
        <v>29501</v>
      </c>
    </row>
    <row r="2869" spans="1:2" x14ac:dyDescent="0.25">
      <c r="A2869" s="28" t="s">
        <v>29502</v>
      </c>
      <c r="B2869" s="28" t="s">
        <v>29503</v>
      </c>
    </row>
    <row r="2870" spans="1:2" x14ac:dyDescent="0.25">
      <c r="A2870" s="28" t="s">
        <v>29504</v>
      </c>
      <c r="B2870" s="28" t="s">
        <v>29505</v>
      </c>
    </row>
    <row r="2871" spans="1:2" x14ac:dyDescent="0.25">
      <c r="A2871" s="28" t="s">
        <v>29506</v>
      </c>
      <c r="B2871" s="28" t="s">
        <v>29507</v>
      </c>
    </row>
    <row r="2872" spans="1:2" x14ac:dyDescent="0.25">
      <c r="A2872" s="28" t="s">
        <v>29508</v>
      </c>
      <c r="B2872" s="28" t="s">
        <v>29509</v>
      </c>
    </row>
    <row r="2873" spans="1:2" x14ac:dyDescent="0.25">
      <c r="A2873" s="28" t="s">
        <v>29510</v>
      </c>
      <c r="B2873" s="28" t="s">
        <v>29511</v>
      </c>
    </row>
    <row r="2874" spans="1:2" x14ac:dyDescent="0.25">
      <c r="A2874" s="28" t="s">
        <v>29512</v>
      </c>
      <c r="B2874" s="28" t="s">
        <v>29513</v>
      </c>
    </row>
    <row r="2875" spans="1:2" x14ac:dyDescent="0.25">
      <c r="A2875" s="28" t="s">
        <v>29514</v>
      </c>
      <c r="B2875" s="28" t="s">
        <v>29515</v>
      </c>
    </row>
    <row r="2876" spans="1:2" x14ac:dyDescent="0.25">
      <c r="A2876" s="28" t="s">
        <v>29516</v>
      </c>
      <c r="B2876" s="28" t="s">
        <v>29517</v>
      </c>
    </row>
    <row r="2877" spans="1:2" x14ac:dyDescent="0.25">
      <c r="A2877" s="28" t="s">
        <v>29518</v>
      </c>
      <c r="B2877" s="28" t="s">
        <v>29519</v>
      </c>
    </row>
    <row r="2878" spans="1:2" x14ac:dyDescent="0.25">
      <c r="A2878" s="28" t="s">
        <v>29520</v>
      </c>
      <c r="B2878" s="28" t="s">
        <v>29521</v>
      </c>
    </row>
    <row r="2879" spans="1:2" x14ac:dyDescent="0.25">
      <c r="A2879" s="28" t="s">
        <v>29522</v>
      </c>
      <c r="B2879" s="28" t="s">
        <v>29523</v>
      </c>
    </row>
    <row r="2880" spans="1:2" x14ac:dyDescent="0.25">
      <c r="A2880" s="28" t="s">
        <v>29524</v>
      </c>
      <c r="B2880" s="28" t="s">
        <v>29525</v>
      </c>
    </row>
    <row r="2881" spans="1:2" x14ac:dyDescent="0.25">
      <c r="A2881" s="28" t="s">
        <v>29526</v>
      </c>
      <c r="B2881" s="28" t="s">
        <v>29527</v>
      </c>
    </row>
    <row r="2882" spans="1:2" x14ac:dyDescent="0.25">
      <c r="A2882" s="28" t="s">
        <v>29528</v>
      </c>
      <c r="B2882" s="28" t="s">
        <v>29529</v>
      </c>
    </row>
    <row r="2883" spans="1:2" x14ac:dyDescent="0.25">
      <c r="A2883" s="28" t="s">
        <v>29530</v>
      </c>
      <c r="B2883" s="28" t="s">
        <v>29531</v>
      </c>
    </row>
    <row r="2884" spans="1:2" x14ac:dyDescent="0.25">
      <c r="A2884" s="28" t="s">
        <v>29532</v>
      </c>
      <c r="B2884" s="28" t="s">
        <v>29533</v>
      </c>
    </row>
    <row r="2885" spans="1:2" x14ac:dyDescent="0.25">
      <c r="A2885" s="28" t="s">
        <v>29534</v>
      </c>
      <c r="B2885" s="28" t="s">
        <v>29535</v>
      </c>
    </row>
    <row r="2886" spans="1:2" x14ac:dyDescent="0.25">
      <c r="A2886" s="28" t="s">
        <v>29536</v>
      </c>
      <c r="B2886" s="28" t="s">
        <v>29537</v>
      </c>
    </row>
    <row r="2887" spans="1:2" x14ac:dyDescent="0.25">
      <c r="A2887" s="28" t="s">
        <v>29538</v>
      </c>
      <c r="B2887" s="28" t="s">
        <v>29539</v>
      </c>
    </row>
    <row r="2888" spans="1:2" x14ac:dyDescent="0.25">
      <c r="A2888" s="28" t="s">
        <v>29540</v>
      </c>
      <c r="B2888" s="28" t="s">
        <v>29541</v>
      </c>
    </row>
    <row r="2889" spans="1:2" x14ac:dyDescent="0.25">
      <c r="A2889" s="28" t="s">
        <v>29542</v>
      </c>
      <c r="B2889" s="28" t="s">
        <v>29543</v>
      </c>
    </row>
    <row r="2890" spans="1:2" x14ac:dyDescent="0.25">
      <c r="A2890" s="28" t="s">
        <v>29544</v>
      </c>
      <c r="B2890" s="28" t="s">
        <v>29545</v>
      </c>
    </row>
    <row r="2891" spans="1:2" x14ac:dyDescent="0.25">
      <c r="A2891" s="28" t="s">
        <v>29546</v>
      </c>
      <c r="B2891" s="28" t="s">
        <v>29547</v>
      </c>
    </row>
    <row r="2892" spans="1:2" x14ac:dyDescent="0.25">
      <c r="A2892" s="28" t="s">
        <v>29548</v>
      </c>
      <c r="B2892" s="28" t="s">
        <v>29549</v>
      </c>
    </row>
    <row r="2893" spans="1:2" x14ac:dyDescent="0.25">
      <c r="A2893" s="28" t="s">
        <v>29550</v>
      </c>
      <c r="B2893" s="28" t="s">
        <v>29551</v>
      </c>
    </row>
    <row r="2894" spans="1:2" x14ac:dyDescent="0.25">
      <c r="A2894" s="28" t="s">
        <v>29552</v>
      </c>
      <c r="B2894" s="28" t="s">
        <v>29553</v>
      </c>
    </row>
    <row r="2895" spans="1:2" x14ac:dyDescent="0.25">
      <c r="A2895" s="28" t="s">
        <v>29554</v>
      </c>
      <c r="B2895" s="28" t="s">
        <v>29555</v>
      </c>
    </row>
    <row r="2896" spans="1:2" x14ac:dyDescent="0.25">
      <c r="A2896" s="28" t="s">
        <v>29556</v>
      </c>
      <c r="B2896" s="28" t="s">
        <v>29557</v>
      </c>
    </row>
    <row r="2897" spans="1:2" x14ac:dyDescent="0.25">
      <c r="A2897" s="28" t="s">
        <v>29558</v>
      </c>
      <c r="B2897" s="28" t="s">
        <v>29559</v>
      </c>
    </row>
    <row r="2898" spans="1:2" x14ac:dyDescent="0.25">
      <c r="A2898" s="28" t="s">
        <v>29560</v>
      </c>
      <c r="B2898" s="28" t="s">
        <v>29561</v>
      </c>
    </row>
    <row r="2899" spans="1:2" x14ac:dyDescent="0.25">
      <c r="A2899" s="28" t="s">
        <v>29562</v>
      </c>
      <c r="B2899" s="28" t="s">
        <v>29563</v>
      </c>
    </row>
    <row r="2900" spans="1:2" x14ac:dyDescent="0.25">
      <c r="A2900" s="28" t="s">
        <v>29564</v>
      </c>
      <c r="B2900" s="28" t="s">
        <v>29565</v>
      </c>
    </row>
    <row r="2901" spans="1:2" x14ac:dyDescent="0.25">
      <c r="A2901" s="28" t="s">
        <v>29566</v>
      </c>
      <c r="B2901" s="28" t="s">
        <v>29567</v>
      </c>
    </row>
    <row r="2902" spans="1:2" x14ac:dyDescent="0.25">
      <c r="A2902" s="28" t="s">
        <v>29568</v>
      </c>
      <c r="B2902" s="28" t="s">
        <v>29569</v>
      </c>
    </row>
    <row r="2903" spans="1:2" x14ac:dyDescent="0.25">
      <c r="A2903" s="28" t="s">
        <v>29570</v>
      </c>
      <c r="B2903" s="28" t="s">
        <v>29571</v>
      </c>
    </row>
    <row r="2904" spans="1:2" x14ac:dyDescent="0.25">
      <c r="A2904" s="28" t="s">
        <v>29572</v>
      </c>
      <c r="B2904" s="28" t="s">
        <v>29573</v>
      </c>
    </row>
    <row r="2905" spans="1:2" x14ac:dyDescent="0.25">
      <c r="A2905" s="28" t="s">
        <v>29574</v>
      </c>
      <c r="B2905" s="28" t="s">
        <v>29575</v>
      </c>
    </row>
    <row r="2906" spans="1:2" x14ac:dyDescent="0.25">
      <c r="A2906" s="28" t="s">
        <v>29576</v>
      </c>
      <c r="B2906" s="28" t="s">
        <v>29577</v>
      </c>
    </row>
    <row r="2907" spans="1:2" x14ac:dyDescent="0.25">
      <c r="A2907" s="28" t="s">
        <v>29578</v>
      </c>
      <c r="B2907" s="28" t="s">
        <v>29579</v>
      </c>
    </row>
    <row r="2908" spans="1:2" x14ac:dyDescent="0.25">
      <c r="A2908" s="28" t="s">
        <v>29580</v>
      </c>
      <c r="B2908" s="28" t="s">
        <v>29581</v>
      </c>
    </row>
    <row r="2909" spans="1:2" x14ac:dyDescent="0.25">
      <c r="A2909" s="28" t="s">
        <v>29582</v>
      </c>
      <c r="B2909" s="28" t="s">
        <v>29583</v>
      </c>
    </row>
    <row r="2910" spans="1:2" x14ac:dyDescent="0.25">
      <c r="A2910" s="28" t="s">
        <v>29584</v>
      </c>
      <c r="B2910" s="28" t="s">
        <v>29585</v>
      </c>
    </row>
    <row r="2911" spans="1:2" x14ac:dyDescent="0.25">
      <c r="A2911" s="28" t="s">
        <v>29586</v>
      </c>
      <c r="B2911" s="28" t="s">
        <v>29587</v>
      </c>
    </row>
    <row r="2912" spans="1:2" x14ac:dyDescent="0.25">
      <c r="A2912" s="28" t="s">
        <v>29588</v>
      </c>
      <c r="B2912" s="28" t="s">
        <v>29589</v>
      </c>
    </row>
    <row r="2913" spans="1:2" x14ac:dyDescent="0.25">
      <c r="A2913" s="28" t="s">
        <v>29590</v>
      </c>
      <c r="B2913" s="28" t="s">
        <v>29591</v>
      </c>
    </row>
    <row r="2914" spans="1:2" x14ac:dyDescent="0.25">
      <c r="A2914" s="28" t="s">
        <v>29592</v>
      </c>
      <c r="B2914" s="28" t="s">
        <v>29593</v>
      </c>
    </row>
    <row r="2915" spans="1:2" x14ac:dyDescent="0.25">
      <c r="A2915" s="28" t="s">
        <v>29594</v>
      </c>
      <c r="B2915" s="28" t="s">
        <v>29595</v>
      </c>
    </row>
    <row r="2916" spans="1:2" x14ac:dyDescent="0.25">
      <c r="A2916" s="28" t="s">
        <v>29596</v>
      </c>
      <c r="B2916" s="28" t="s">
        <v>29597</v>
      </c>
    </row>
    <row r="2917" spans="1:2" x14ac:dyDescent="0.25">
      <c r="A2917" s="28" t="s">
        <v>29598</v>
      </c>
      <c r="B2917" s="28" t="s">
        <v>29599</v>
      </c>
    </row>
    <row r="2918" spans="1:2" x14ac:dyDescent="0.25">
      <c r="A2918" s="28" t="s">
        <v>29600</v>
      </c>
      <c r="B2918" s="28" t="s">
        <v>29601</v>
      </c>
    </row>
    <row r="2919" spans="1:2" x14ac:dyDescent="0.25">
      <c r="A2919" s="28" t="s">
        <v>29602</v>
      </c>
      <c r="B2919" s="28" t="s">
        <v>29603</v>
      </c>
    </row>
    <row r="2920" spans="1:2" x14ac:dyDescent="0.25">
      <c r="A2920" s="28" t="s">
        <v>29604</v>
      </c>
      <c r="B2920" s="28" t="s">
        <v>29605</v>
      </c>
    </row>
    <row r="2921" spans="1:2" x14ac:dyDescent="0.25">
      <c r="A2921" s="28" t="s">
        <v>29606</v>
      </c>
      <c r="B2921" s="28" t="s">
        <v>29607</v>
      </c>
    </row>
    <row r="2922" spans="1:2" x14ac:dyDescent="0.25">
      <c r="A2922" s="28" t="s">
        <v>29608</v>
      </c>
      <c r="B2922" s="28" t="s">
        <v>29609</v>
      </c>
    </row>
    <row r="2923" spans="1:2" x14ac:dyDescent="0.25">
      <c r="A2923" s="28" t="s">
        <v>29610</v>
      </c>
      <c r="B2923" s="28" t="s">
        <v>29611</v>
      </c>
    </row>
    <row r="2924" spans="1:2" x14ac:dyDescent="0.25">
      <c r="A2924" s="28" t="s">
        <v>29612</v>
      </c>
      <c r="B2924" s="28" t="s">
        <v>29613</v>
      </c>
    </row>
    <row r="2925" spans="1:2" x14ac:dyDescent="0.25">
      <c r="A2925" s="28" t="s">
        <v>29614</v>
      </c>
      <c r="B2925" s="28" t="s">
        <v>29615</v>
      </c>
    </row>
    <row r="2926" spans="1:2" x14ac:dyDescent="0.25">
      <c r="A2926" s="28" t="s">
        <v>29616</v>
      </c>
      <c r="B2926" s="28" t="s">
        <v>29617</v>
      </c>
    </row>
    <row r="2927" spans="1:2" x14ac:dyDescent="0.25">
      <c r="A2927" s="28" t="s">
        <v>29618</v>
      </c>
      <c r="B2927" s="28" t="s">
        <v>29619</v>
      </c>
    </row>
    <row r="2928" spans="1:2" x14ac:dyDescent="0.25">
      <c r="A2928" s="28" t="s">
        <v>29620</v>
      </c>
      <c r="B2928" s="28" t="s">
        <v>29621</v>
      </c>
    </row>
    <row r="2929" spans="1:2" x14ac:dyDescent="0.25">
      <c r="A2929" s="28" t="s">
        <v>29622</v>
      </c>
      <c r="B2929" s="28" t="s">
        <v>29623</v>
      </c>
    </row>
    <row r="2930" spans="1:2" x14ac:dyDescent="0.25">
      <c r="A2930" s="28" t="s">
        <v>29624</v>
      </c>
      <c r="B2930" s="28" t="s">
        <v>29625</v>
      </c>
    </row>
    <row r="2931" spans="1:2" x14ac:dyDescent="0.25">
      <c r="A2931" s="28" t="s">
        <v>29626</v>
      </c>
      <c r="B2931" s="28" t="s">
        <v>29627</v>
      </c>
    </row>
    <row r="2932" spans="1:2" x14ac:dyDescent="0.25">
      <c r="A2932" s="28" t="s">
        <v>29628</v>
      </c>
      <c r="B2932" s="28" t="s">
        <v>29629</v>
      </c>
    </row>
    <row r="2933" spans="1:2" x14ac:dyDescent="0.25">
      <c r="A2933" s="28" t="s">
        <v>29630</v>
      </c>
      <c r="B2933" s="28" t="s">
        <v>29631</v>
      </c>
    </row>
    <row r="2934" spans="1:2" x14ac:dyDescent="0.25">
      <c r="A2934" s="28" t="s">
        <v>29632</v>
      </c>
      <c r="B2934" s="28" t="s">
        <v>29633</v>
      </c>
    </row>
    <row r="2935" spans="1:2" x14ac:dyDescent="0.25">
      <c r="A2935" s="28" t="s">
        <v>29634</v>
      </c>
      <c r="B2935" s="28" t="s">
        <v>29635</v>
      </c>
    </row>
    <row r="2936" spans="1:2" x14ac:dyDescent="0.25">
      <c r="A2936" s="28" t="s">
        <v>29636</v>
      </c>
      <c r="B2936" s="28" t="s">
        <v>29637</v>
      </c>
    </row>
    <row r="2937" spans="1:2" x14ac:dyDescent="0.25">
      <c r="A2937" s="28" t="s">
        <v>29638</v>
      </c>
      <c r="B2937" s="28" t="s">
        <v>29639</v>
      </c>
    </row>
    <row r="2938" spans="1:2" x14ac:dyDescent="0.25">
      <c r="A2938" s="28" t="s">
        <v>29640</v>
      </c>
      <c r="B2938" s="28" t="s">
        <v>29641</v>
      </c>
    </row>
    <row r="2939" spans="1:2" x14ac:dyDescent="0.25">
      <c r="A2939" s="28" t="s">
        <v>29642</v>
      </c>
      <c r="B2939" s="28" t="s">
        <v>29643</v>
      </c>
    </row>
    <row r="2940" spans="1:2" x14ac:dyDescent="0.25">
      <c r="A2940" s="28" t="s">
        <v>29644</v>
      </c>
      <c r="B2940" s="28" t="s">
        <v>29645</v>
      </c>
    </row>
    <row r="2941" spans="1:2" x14ac:dyDescent="0.25">
      <c r="A2941" s="28" t="s">
        <v>29646</v>
      </c>
      <c r="B2941" s="28" t="s">
        <v>29647</v>
      </c>
    </row>
    <row r="2942" spans="1:2" x14ac:dyDescent="0.25">
      <c r="A2942" s="28" t="s">
        <v>29648</v>
      </c>
      <c r="B2942" s="28" t="s">
        <v>29649</v>
      </c>
    </row>
    <row r="2943" spans="1:2" x14ac:dyDescent="0.25">
      <c r="A2943" s="28" t="s">
        <v>29650</v>
      </c>
      <c r="B2943" s="28" t="s">
        <v>29651</v>
      </c>
    </row>
    <row r="2944" spans="1:2" x14ac:dyDescent="0.25">
      <c r="A2944" s="28" t="s">
        <v>29652</v>
      </c>
      <c r="B2944" s="28" t="s">
        <v>29653</v>
      </c>
    </row>
    <row r="2945" spans="1:2" x14ac:dyDescent="0.25">
      <c r="A2945" s="28" t="s">
        <v>29654</v>
      </c>
      <c r="B2945" s="28" t="s">
        <v>29655</v>
      </c>
    </row>
    <row r="2946" spans="1:2" x14ac:dyDescent="0.25">
      <c r="A2946" s="28" t="s">
        <v>29656</v>
      </c>
      <c r="B2946" s="28" t="s">
        <v>29657</v>
      </c>
    </row>
    <row r="2947" spans="1:2" x14ac:dyDescent="0.25">
      <c r="A2947" s="28" t="s">
        <v>29658</v>
      </c>
      <c r="B2947" s="28" t="s">
        <v>29659</v>
      </c>
    </row>
    <row r="2948" spans="1:2" x14ac:dyDescent="0.25">
      <c r="A2948" s="28" t="s">
        <v>29660</v>
      </c>
      <c r="B2948" s="28" t="s">
        <v>29661</v>
      </c>
    </row>
    <row r="2949" spans="1:2" x14ac:dyDescent="0.25">
      <c r="A2949" s="28" t="s">
        <v>29662</v>
      </c>
      <c r="B2949" s="28" t="s">
        <v>29663</v>
      </c>
    </row>
    <row r="2950" spans="1:2" x14ac:dyDescent="0.25">
      <c r="A2950" s="28" t="s">
        <v>29664</v>
      </c>
      <c r="B2950" s="28" t="s">
        <v>29665</v>
      </c>
    </row>
    <row r="2951" spans="1:2" x14ac:dyDescent="0.25">
      <c r="A2951" s="28" t="s">
        <v>29666</v>
      </c>
      <c r="B2951" s="28" t="s">
        <v>29667</v>
      </c>
    </row>
    <row r="2952" spans="1:2" x14ac:dyDescent="0.25">
      <c r="A2952" s="28" t="s">
        <v>29668</v>
      </c>
      <c r="B2952" s="28" t="s">
        <v>29669</v>
      </c>
    </row>
    <row r="2953" spans="1:2" x14ac:dyDescent="0.25">
      <c r="A2953" s="28" t="s">
        <v>29670</v>
      </c>
      <c r="B2953" s="28" t="s">
        <v>29671</v>
      </c>
    </row>
    <row r="2954" spans="1:2" x14ac:dyDescent="0.25">
      <c r="A2954" s="28" t="s">
        <v>29672</v>
      </c>
      <c r="B2954" s="28" t="s">
        <v>29673</v>
      </c>
    </row>
    <row r="2955" spans="1:2" x14ac:dyDescent="0.25">
      <c r="A2955" s="28" t="s">
        <v>29674</v>
      </c>
      <c r="B2955" s="28" t="s">
        <v>29675</v>
      </c>
    </row>
    <row r="2956" spans="1:2" x14ac:dyDescent="0.25">
      <c r="A2956" s="28" t="s">
        <v>29676</v>
      </c>
      <c r="B2956" s="28" t="s">
        <v>29677</v>
      </c>
    </row>
    <row r="2957" spans="1:2" x14ac:dyDescent="0.25">
      <c r="A2957" s="28" t="s">
        <v>29678</v>
      </c>
      <c r="B2957" s="28" t="s">
        <v>29679</v>
      </c>
    </row>
    <row r="2958" spans="1:2" x14ac:dyDescent="0.25">
      <c r="A2958" s="28" t="s">
        <v>29680</v>
      </c>
      <c r="B2958" s="28" t="s">
        <v>29681</v>
      </c>
    </row>
    <row r="2959" spans="1:2" x14ac:dyDescent="0.25">
      <c r="A2959" s="28" t="s">
        <v>29682</v>
      </c>
      <c r="B2959" s="28" t="s">
        <v>29683</v>
      </c>
    </row>
    <row r="2960" spans="1:2" x14ac:dyDescent="0.25">
      <c r="A2960" s="28" t="s">
        <v>29684</v>
      </c>
      <c r="B2960" s="28" t="s">
        <v>29685</v>
      </c>
    </row>
    <row r="2961" spans="1:2" x14ac:dyDescent="0.25">
      <c r="A2961" s="28" t="s">
        <v>29686</v>
      </c>
      <c r="B2961" s="28" t="s">
        <v>29687</v>
      </c>
    </row>
    <row r="2962" spans="1:2" x14ac:dyDescent="0.25">
      <c r="A2962" s="28" t="s">
        <v>29688</v>
      </c>
      <c r="B2962" s="28" t="s">
        <v>29689</v>
      </c>
    </row>
    <row r="2963" spans="1:2" x14ac:dyDescent="0.25">
      <c r="A2963" s="28" t="s">
        <v>29690</v>
      </c>
      <c r="B2963" s="28" t="s">
        <v>29691</v>
      </c>
    </row>
    <row r="2964" spans="1:2" x14ac:dyDescent="0.25">
      <c r="A2964" s="28" t="s">
        <v>29692</v>
      </c>
      <c r="B2964" s="28" t="s">
        <v>29693</v>
      </c>
    </row>
    <row r="2965" spans="1:2" x14ac:dyDescent="0.25">
      <c r="A2965" s="28" t="s">
        <v>29694</v>
      </c>
      <c r="B2965" s="28" t="s">
        <v>29695</v>
      </c>
    </row>
    <row r="2966" spans="1:2" x14ac:dyDescent="0.25">
      <c r="A2966" s="28" t="s">
        <v>29696</v>
      </c>
      <c r="B2966" s="28" t="s">
        <v>29697</v>
      </c>
    </row>
    <row r="2967" spans="1:2" x14ac:dyDescent="0.25">
      <c r="A2967" s="28" t="s">
        <v>29698</v>
      </c>
      <c r="B2967" s="28" t="s">
        <v>29699</v>
      </c>
    </row>
    <row r="2968" spans="1:2" x14ac:dyDescent="0.25">
      <c r="A2968" s="28" t="s">
        <v>29700</v>
      </c>
      <c r="B2968" s="28" t="s">
        <v>29701</v>
      </c>
    </row>
    <row r="2969" spans="1:2" x14ac:dyDescent="0.25">
      <c r="A2969" s="28" t="s">
        <v>29702</v>
      </c>
      <c r="B2969" s="28" t="s">
        <v>29703</v>
      </c>
    </row>
    <row r="2970" spans="1:2" x14ac:dyDescent="0.25">
      <c r="A2970" s="28" t="s">
        <v>29704</v>
      </c>
      <c r="B2970" s="28" t="s">
        <v>29705</v>
      </c>
    </row>
    <row r="2971" spans="1:2" x14ac:dyDescent="0.25">
      <c r="A2971" s="28" t="s">
        <v>29706</v>
      </c>
      <c r="B2971" s="28" t="s">
        <v>29707</v>
      </c>
    </row>
    <row r="2972" spans="1:2" x14ac:dyDescent="0.25">
      <c r="A2972" s="28" t="s">
        <v>29708</v>
      </c>
      <c r="B2972" s="28" t="s">
        <v>29709</v>
      </c>
    </row>
    <row r="2973" spans="1:2" x14ac:dyDescent="0.25">
      <c r="A2973" s="28" t="s">
        <v>29710</v>
      </c>
      <c r="B2973" s="28" t="s">
        <v>29711</v>
      </c>
    </row>
    <row r="2974" spans="1:2" x14ac:dyDescent="0.25">
      <c r="A2974" s="28" t="s">
        <v>29712</v>
      </c>
      <c r="B2974" s="28" t="s">
        <v>29713</v>
      </c>
    </row>
    <row r="2975" spans="1:2" x14ac:dyDescent="0.25">
      <c r="A2975" s="28" t="s">
        <v>29714</v>
      </c>
      <c r="B2975" s="28" t="s">
        <v>29715</v>
      </c>
    </row>
    <row r="2976" spans="1:2" x14ac:dyDescent="0.25">
      <c r="A2976" s="28" t="s">
        <v>29716</v>
      </c>
      <c r="B2976" s="28" t="s">
        <v>29717</v>
      </c>
    </row>
    <row r="2977" spans="1:2" x14ac:dyDescent="0.25">
      <c r="A2977" s="28" t="s">
        <v>29718</v>
      </c>
      <c r="B2977" s="28" t="s">
        <v>29719</v>
      </c>
    </row>
    <row r="2978" spans="1:2" x14ac:dyDescent="0.25">
      <c r="A2978" s="28" t="s">
        <v>29720</v>
      </c>
      <c r="B2978" s="28" t="s">
        <v>29721</v>
      </c>
    </row>
    <row r="2979" spans="1:2" x14ac:dyDescent="0.25">
      <c r="A2979" s="28" t="s">
        <v>29722</v>
      </c>
      <c r="B2979" s="28" t="s">
        <v>29723</v>
      </c>
    </row>
    <row r="2980" spans="1:2" x14ac:dyDescent="0.25">
      <c r="A2980" s="28" t="s">
        <v>29724</v>
      </c>
      <c r="B2980" s="28" t="s">
        <v>29725</v>
      </c>
    </row>
    <row r="2981" spans="1:2" x14ac:dyDescent="0.25">
      <c r="A2981" s="28" t="s">
        <v>29726</v>
      </c>
      <c r="B2981" s="28" t="s">
        <v>29727</v>
      </c>
    </row>
    <row r="2982" spans="1:2" x14ac:dyDescent="0.25">
      <c r="A2982" s="28" t="s">
        <v>29728</v>
      </c>
      <c r="B2982" s="28" t="s">
        <v>29729</v>
      </c>
    </row>
    <row r="2983" spans="1:2" x14ac:dyDescent="0.25">
      <c r="A2983" s="28" t="s">
        <v>29730</v>
      </c>
      <c r="B2983" s="28" t="s">
        <v>29731</v>
      </c>
    </row>
    <row r="2984" spans="1:2" x14ac:dyDescent="0.25">
      <c r="A2984" s="28" t="s">
        <v>29732</v>
      </c>
      <c r="B2984" s="28" t="s">
        <v>29733</v>
      </c>
    </row>
    <row r="2985" spans="1:2" x14ac:dyDescent="0.25">
      <c r="A2985" s="28" t="s">
        <v>29734</v>
      </c>
      <c r="B2985" s="28" t="s">
        <v>29735</v>
      </c>
    </row>
    <row r="2986" spans="1:2" x14ac:dyDescent="0.25">
      <c r="A2986" s="28" t="s">
        <v>29736</v>
      </c>
      <c r="B2986" s="28" t="s">
        <v>29737</v>
      </c>
    </row>
    <row r="2987" spans="1:2" x14ac:dyDescent="0.25">
      <c r="A2987" s="28" t="s">
        <v>29738</v>
      </c>
      <c r="B2987" s="28" t="s">
        <v>29739</v>
      </c>
    </row>
    <row r="2988" spans="1:2" x14ac:dyDescent="0.25">
      <c r="A2988" s="28" t="s">
        <v>29740</v>
      </c>
      <c r="B2988" s="28" t="s">
        <v>29741</v>
      </c>
    </row>
    <row r="2989" spans="1:2" x14ac:dyDescent="0.25">
      <c r="A2989" s="28" t="s">
        <v>29742</v>
      </c>
      <c r="B2989" s="28" t="s">
        <v>29743</v>
      </c>
    </row>
    <row r="2990" spans="1:2" x14ac:dyDescent="0.25">
      <c r="A2990" s="28" t="s">
        <v>29744</v>
      </c>
      <c r="B2990" s="28" t="s">
        <v>29745</v>
      </c>
    </row>
    <row r="2991" spans="1:2" x14ac:dyDescent="0.25">
      <c r="A2991" s="28" t="s">
        <v>29746</v>
      </c>
      <c r="B2991" s="28" t="s">
        <v>29747</v>
      </c>
    </row>
    <row r="2992" spans="1:2" x14ac:dyDescent="0.25">
      <c r="A2992" s="28" t="s">
        <v>29748</v>
      </c>
      <c r="B2992" s="28" t="s">
        <v>29749</v>
      </c>
    </row>
    <row r="2993" spans="1:2" x14ac:dyDescent="0.25">
      <c r="A2993" s="28" t="s">
        <v>29750</v>
      </c>
      <c r="B2993" s="28" t="s">
        <v>29751</v>
      </c>
    </row>
    <row r="2994" spans="1:2" x14ac:dyDescent="0.25">
      <c r="A2994" s="28" t="s">
        <v>29752</v>
      </c>
      <c r="B2994" s="28" t="s">
        <v>29753</v>
      </c>
    </row>
    <row r="2995" spans="1:2" x14ac:dyDescent="0.25">
      <c r="A2995" s="28" t="s">
        <v>29754</v>
      </c>
      <c r="B2995" s="28" t="s">
        <v>29755</v>
      </c>
    </row>
    <row r="2996" spans="1:2" x14ac:dyDescent="0.25">
      <c r="A2996" s="28" t="s">
        <v>29756</v>
      </c>
      <c r="B2996" s="28" t="s">
        <v>29757</v>
      </c>
    </row>
    <row r="2997" spans="1:2" x14ac:dyDescent="0.25">
      <c r="A2997" s="28" t="s">
        <v>29758</v>
      </c>
      <c r="B2997" s="28" t="s">
        <v>29759</v>
      </c>
    </row>
    <row r="2998" spans="1:2" x14ac:dyDescent="0.25">
      <c r="A2998" s="28" t="s">
        <v>29760</v>
      </c>
      <c r="B2998" s="28" t="s">
        <v>29761</v>
      </c>
    </row>
    <row r="2999" spans="1:2" x14ac:dyDescent="0.25">
      <c r="A2999" s="28" t="s">
        <v>29762</v>
      </c>
      <c r="B2999" s="28" t="s">
        <v>29763</v>
      </c>
    </row>
    <row r="3000" spans="1:2" x14ac:dyDescent="0.25">
      <c r="A3000" s="28" t="s">
        <v>29764</v>
      </c>
      <c r="B3000" s="28" t="s">
        <v>29765</v>
      </c>
    </row>
    <row r="3001" spans="1:2" x14ac:dyDescent="0.25">
      <c r="A3001" s="28" t="s">
        <v>29766</v>
      </c>
      <c r="B3001" s="28" t="s">
        <v>29767</v>
      </c>
    </row>
    <row r="3002" spans="1:2" x14ac:dyDescent="0.25">
      <c r="A3002" s="28" t="s">
        <v>29768</v>
      </c>
      <c r="B3002" s="28" t="s">
        <v>29769</v>
      </c>
    </row>
    <row r="3003" spans="1:2" x14ac:dyDescent="0.25">
      <c r="A3003" s="28" t="s">
        <v>29770</v>
      </c>
      <c r="B3003" s="28" t="s">
        <v>29771</v>
      </c>
    </row>
    <row r="3004" spans="1:2" x14ac:dyDescent="0.25">
      <c r="A3004" s="28" t="s">
        <v>29772</v>
      </c>
      <c r="B3004" s="28" t="s">
        <v>29773</v>
      </c>
    </row>
    <row r="3005" spans="1:2" x14ac:dyDescent="0.25">
      <c r="A3005" s="28" t="s">
        <v>29774</v>
      </c>
      <c r="B3005" s="28" t="s">
        <v>29775</v>
      </c>
    </row>
    <row r="3006" spans="1:2" x14ac:dyDescent="0.25">
      <c r="A3006" s="28" t="s">
        <v>29776</v>
      </c>
      <c r="B3006" s="28" t="s">
        <v>29777</v>
      </c>
    </row>
    <row r="3007" spans="1:2" x14ac:dyDescent="0.25">
      <c r="A3007" s="28" t="s">
        <v>29778</v>
      </c>
      <c r="B3007" s="28" t="s">
        <v>29779</v>
      </c>
    </row>
    <row r="3008" spans="1:2" x14ac:dyDescent="0.25">
      <c r="A3008" s="28" t="s">
        <v>29780</v>
      </c>
      <c r="B3008" s="28" t="s">
        <v>29781</v>
      </c>
    </row>
    <row r="3009" spans="1:2" x14ac:dyDescent="0.25">
      <c r="A3009" s="28" t="s">
        <v>29782</v>
      </c>
      <c r="B3009" s="28" t="s">
        <v>29783</v>
      </c>
    </row>
    <row r="3010" spans="1:2" x14ac:dyDescent="0.25">
      <c r="A3010" s="28" t="s">
        <v>29784</v>
      </c>
      <c r="B3010" s="28" t="s">
        <v>29785</v>
      </c>
    </row>
    <row r="3011" spans="1:2" x14ac:dyDescent="0.25">
      <c r="A3011" s="28" t="s">
        <v>29786</v>
      </c>
      <c r="B3011" s="28" t="s">
        <v>29787</v>
      </c>
    </row>
    <row r="3012" spans="1:2" x14ac:dyDescent="0.25">
      <c r="A3012" s="28" t="s">
        <v>29788</v>
      </c>
      <c r="B3012" s="28" t="s">
        <v>29789</v>
      </c>
    </row>
    <row r="3013" spans="1:2" x14ac:dyDescent="0.25">
      <c r="A3013" s="28" t="s">
        <v>29790</v>
      </c>
      <c r="B3013" s="28" t="s">
        <v>29791</v>
      </c>
    </row>
    <row r="3014" spans="1:2" x14ac:dyDescent="0.25">
      <c r="A3014" s="28" t="s">
        <v>29792</v>
      </c>
      <c r="B3014" s="28" t="s">
        <v>29793</v>
      </c>
    </row>
    <row r="3015" spans="1:2" x14ac:dyDescent="0.25">
      <c r="A3015" s="28" t="s">
        <v>29794</v>
      </c>
      <c r="B3015" s="28" t="s">
        <v>29795</v>
      </c>
    </row>
    <row r="3016" spans="1:2" x14ac:dyDescent="0.25">
      <c r="A3016" s="28" t="s">
        <v>29796</v>
      </c>
      <c r="B3016" s="28" t="s">
        <v>29797</v>
      </c>
    </row>
    <row r="3017" spans="1:2" x14ac:dyDescent="0.25">
      <c r="A3017" s="28" t="s">
        <v>29798</v>
      </c>
      <c r="B3017" s="28" t="s">
        <v>29799</v>
      </c>
    </row>
    <row r="3018" spans="1:2" x14ac:dyDescent="0.25">
      <c r="A3018" s="28" t="s">
        <v>29800</v>
      </c>
      <c r="B3018" s="28" t="s">
        <v>29801</v>
      </c>
    </row>
    <row r="3019" spans="1:2" x14ac:dyDescent="0.25">
      <c r="A3019" s="28" t="s">
        <v>29802</v>
      </c>
      <c r="B3019" s="28" t="s">
        <v>29803</v>
      </c>
    </row>
    <row r="3020" spans="1:2" x14ac:dyDescent="0.25">
      <c r="A3020" s="28" t="s">
        <v>29804</v>
      </c>
      <c r="B3020" s="28" t="s">
        <v>29805</v>
      </c>
    </row>
    <row r="3021" spans="1:2" x14ac:dyDescent="0.25">
      <c r="A3021" s="28" t="s">
        <v>29806</v>
      </c>
      <c r="B3021" s="28" t="s">
        <v>29807</v>
      </c>
    </row>
    <row r="3022" spans="1:2" x14ac:dyDescent="0.25">
      <c r="A3022" s="28" t="s">
        <v>29808</v>
      </c>
      <c r="B3022" s="28" t="s">
        <v>29809</v>
      </c>
    </row>
    <row r="3023" spans="1:2" x14ac:dyDescent="0.25">
      <c r="A3023" s="28" t="s">
        <v>29810</v>
      </c>
      <c r="B3023" s="28" t="s">
        <v>29811</v>
      </c>
    </row>
    <row r="3024" spans="1:2" x14ac:dyDescent="0.25">
      <c r="A3024" s="28" t="s">
        <v>29812</v>
      </c>
      <c r="B3024" s="28" t="s">
        <v>29813</v>
      </c>
    </row>
    <row r="3025" spans="1:2" x14ac:dyDescent="0.25">
      <c r="A3025" s="28" t="s">
        <v>29814</v>
      </c>
      <c r="B3025" s="28" t="s">
        <v>29815</v>
      </c>
    </row>
    <row r="3026" spans="1:2" x14ac:dyDescent="0.25">
      <c r="A3026" s="28" t="s">
        <v>29816</v>
      </c>
      <c r="B3026" s="28" t="s">
        <v>29817</v>
      </c>
    </row>
    <row r="3027" spans="1:2" x14ac:dyDescent="0.25">
      <c r="A3027" s="28" t="s">
        <v>29818</v>
      </c>
      <c r="B3027" s="28" t="s">
        <v>29819</v>
      </c>
    </row>
    <row r="3028" spans="1:2" x14ac:dyDescent="0.25">
      <c r="A3028" s="28" t="s">
        <v>30311</v>
      </c>
      <c r="B3028" s="28" t="s">
        <v>30312</v>
      </c>
    </row>
    <row r="3029" spans="1:2" x14ac:dyDescent="0.25">
      <c r="A3029" s="28" t="s">
        <v>30313</v>
      </c>
      <c r="B3029" s="28" t="s">
        <v>30314</v>
      </c>
    </row>
    <row r="3030" spans="1:2" x14ac:dyDescent="0.25">
      <c r="A3030" s="28" t="s">
        <v>30315</v>
      </c>
      <c r="B3030" s="28" t="s">
        <v>30316</v>
      </c>
    </row>
    <row r="3031" spans="1:2" x14ac:dyDescent="0.25">
      <c r="A3031" s="28" t="s">
        <v>30317</v>
      </c>
      <c r="B3031" s="28" t="s">
        <v>30318</v>
      </c>
    </row>
    <row r="3032" spans="1:2" x14ac:dyDescent="0.25">
      <c r="A3032" s="28" t="s">
        <v>30319</v>
      </c>
      <c r="B3032" s="28" t="s">
        <v>30320</v>
      </c>
    </row>
    <row r="3033" spans="1:2" x14ac:dyDescent="0.25">
      <c r="A3033" s="28" t="s">
        <v>30321</v>
      </c>
      <c r="B3033" s="28" t="s">
        <v>30322</v>
      </c>
    </row>
    <row r="3034" spans="1:2" x14ac:dyDescent="0.25">
      <c r="A3034" s="28" t="s">
        <v>30323</v>
      </c>
      <c r="B3034" s="28" t="s">
        <v>30324</v>
      </c>
    </row>
    <row r="3035" spans="1:2" x14ac:dyDescent="0.25">
      <c r="A3035" s="28" t="s">
        <v>30325</v>
      </c>
      <c r="B3035" s="28" t="s">
        <v>30326</v>
      </c>
    </row>
    <row r="3036" spans="1:2" x14ac:dyDescent="0.25">
      <c r="A3036" s="28" t="s">
        <v>29820</v>
      </c>
      <c r="B3036" s="28" t="s">
        <v>29821</v>
      </c>
    </row>
    <row r="3037" spans="1:2" x14ac:dyDescent="0.25">
      <c r="A3037" s="28" t="s">
        <v>30327</v>
      </c>
      <c r="B3037" s="28" t="s">
        <v>30328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30329</v>
      </c>
      <c r="B3039" s="28" t="s">
        <v>30330</v>
      </c>
    </row>
    <row r="3040" spans="1:2" x14ac:dyDescent="0.25">
      <c r="A3040" s="28" t="s">
        <v>30331</v>
      </c>
      <c r="B3040" s="28" t="s">
        <v>30332</v>
      </c>
    </row>
    <row r="3041" spans="1:2" x14ac:dyDescent="0.25">
      <c r="A3041" s="28" t="s">
        <v>30333</v>
      </c>
      <c r="B3041" s="28" t="s">
        <v>30334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30335</v>
      </c>
      <c r="B3043" s="28" t="s">
        <v>30336</v>
      </c>
    </row>
    <row r="3044" spans="1:2" x14ac:dyDescent="0.25">
      <c r="A3044" s="28" t="s">
        <v>30337</v>
      </c>
      <c r="B3044" s="28" t="s">
        <v>30338</v>
      </c>
    </row>
    <row r="3045" spans="1:2" x14ac:dyDescent="0.25">
      <c r="A3045" s="28" t="s">
        <v>30339</v>
      </c>
      <c r="B3045" s="28" t="s">
        <v>30340</v>
      </c>
    </row>
    <row r="3046" spans="1:2" x14ac:dyDescent="0.25">
      <c r="A3046" s="28" t="s">
        <v>30341</v>
      </c>
      <c r="B3046" s="28" t="s">
        <v>30342</v>
      </c>
    </row>
    <row r="3047" spans="1:2" x14ac:dyDescent="0.25">
      <c r="A3047" s="28" t="s">
        <v>29822</v>
      </c>
      <c r="B3047" s="28" t="s">
        <v>29823</v>
      </c>
    </row>
    <row r="3048" spans="1:2" x14ac:dyDescent="0.25">
      <c r="A3048" s="28" t="s">
        <v>29824</v>
      </c>
      <c r="B3048" s="28" t="s">
        <v>29825</v>
      </c>
    </row>
    <row r="3049" spans="1:2" x14ac:dyDescent="0.25">
      <c r="A3049" s="28" t="s">
        <v>29826</v>
      </c>
      <c r="B3049" s="28" t="s">
        <v>29827</v>
      </c>
    </row>
    <row r="3050" spans="1:2" x14ac:dyDescent="0.25">
      <c r="A3050" s="28" t="s">
        <v>29828</v>
      </c>
      <c r="B3050" s="28" t="s">
        <v>29829</v>
      </c>
    </row>
    <row r="3051" spans="1:2" x14ac:dyDescent="0.25">
      <c r="A3051" s="28" t="s">
        <v>30343</v>
      </c>
      <c r="B3051" s="28" t="s">
        <v>30344</v>
      </c>
    </row>
    <row r="3052" spans="1:2" x14ac:dyDescent="0.25">
      <c r="A3052" s="28" t="s">
        <v>30345</v>
      </c>
      <c r="B3052" s="28" t="s">
        <v>30346</v>
      </c>
    </row>
    <row r="3053" spans="1:2" x14ac:dyDescent="0.25">
      <c r="A3053" s="28" t="s">
        <v>29830</v>
      </c>
      <c r="B3053" s="28" t="s">
        <v>29831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30347</v>
      </c>
      <c r="B3055" s="28" t="s">
        <v>30348</v>
      </c>
    </row>
    <row r="3056" spans="1:2" x14ac:dyDescent="0.25">
      <c r="A3056" s="28" t="s">
        <v>30349</v>
      </c>
      <c r="B3056" s="28" t="s">
        <v>30350</v>
      </c>
    </row>
    <row r="3057" spans="1:2" x14ac:dyDescent="0.25">
      <c r="A3057" s="28" t="s">
        <v>30351</v>
      </c>
      <c r="B3057" s="28" t="s">
        <v>30352</v>
      </c>
    </row>
    <row r="3058" spans="1:2" x14ac:dyDescent="0.25">
      <c r="A3058" s="28" t="s">
        <v>30353</v>
      </c>
      <c r="B3058" s="28" t="s">
        <v>30354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30355</v>
      </c>
      <c r="B3060" s="28" t="s">
        <v>30356</v>
      </c>
    </row>
    <row r="3061" spans="1:2" x14ac:dyDescent="0.25">
      <c r="A3061" s="28" t="s">
        <v>30357</v>
      </c>
      <c r="B3061" s="28" t="s">
        <v>30358</v>
      </c>
    </row>
    <row r="3062" spans="1:2" x14ac:dyDescent="0.25">
      <c r="A3062" s="28" t="s">
        <v>30359</v>
      </c>
      <c r="B3062" s="28" t="s">
        <v>30360</v>
      </c>
    </row>
    <row r="3063" spans="1:2" x14ac:dyDescent="0.25">
      <c r="A3063" s="28" t="s">
        <v>30361</v>
      </c>
      <c r="B3063" s="28" t="s">
        <v>30362</v>
      </c>
    </row>
    <row r="3064" spans="1:2" x14ac:dyDescent="0.25">
      <c r="A3064" s="28" t="s">
        <v>30363</v>
      </c>
      <c r="B3064" s="28" t="s">
        <v>30364</v>
      </c>
    </row>
    <row r="3065" spans="1:2" x14ac:dyDescent="0.25">
      <c r="A3065" s="28" t="s">
        <v>30365</v>
      </c>
      <c r="B3065" s="28" t="s">
        <v>30366</v>
      </c>
    </row>
    <row r="3066" spans="1:2" x14ac:dyDescent="0.25">
      <c r="A3066" s="28" t="s">
        <v>30367</v>
      </c>
      <c r="B3066" s="28" t="s">
        <v>30368</v>
      </c>
    </row>
    <row r="3067" spans="1:2" x14ac:dyDescent="0.25">
      <c r="A3067" s="28" t="s">
        <v>29832</v>
      </c>
      <c r="B3067" s="28" t="s">
        <v>29833</v>
      </c>
    </row>
    <row r="3068" spans="1:2" x14ac:dyDescent="0.25">
      <c r="A3068" s="28" t="s">
        <v>29834</v>
      </c>
      <c r="B3068" s="28" t="s">
        <v>29835</v>
      </c>
    </row>
    <row r="3069" spans="1:2" x14ac:dyDescent="0.25">
      <c r="A3069" s="28" t="s">
        <v>30369</v>
      </c>
      <c r="B3069" s="28" t="s">
        <v>30370</v>
      </c>
    </row>
    <row r="3070" spans="1:2" x14ac:dyDescent="0.25">
      <c r="A3070" s="28" t="s">
        <v>29836</v>
      </c>
      <c r="B3070" s="28" t="s">
        <v>29837</v>
      </c>
    </row>
    <row r="3071" spans="1:2" x14ac:dyDescent="0.25">
      <c r="A3071" s="28" t="s">
        <v>29838</v>
      </c>
      <c r="B3071" s="28" t="s">
        <v>29839</v>
      </c>
    </row>
    <row r="3072" spans="1:2" x14ac:dyDescent="0.25">
      <c r="A3072" s="28" t="s">
        <v>29840</v>
      </c>
      <c r="B3072" s="28" t="s">
        <v>29841</v>
      </c>
    </row>
    <row r="3073" spans="1:2" x14ac:dyDescent="0.25">
      <c r="A3073" s="28" t="s">
        <v>30371</v>
      </c>
      <c r="B3073" s="28" t="s">
        <v>30372</v>
      </c>
    </row>
    <row r="3074" spans="1:2" x14ac:dyDescent="0.25">
      <c r="A3074" s="28" t="s">
        <v>30373</v>
      </c>
      <c r="B3074" s="28" t="s">
        <v>30374</v>
      </c>
    </row>
    <row r="3075" spans="1:2" x14ac:dyDescent="0.25">
      <c r="A3075" s="28" t="s">
        <v>30375</v>
      </c>
      <c r="B3075" s="28" t="s">
        <v>30376</v>
      </c>
    </row>
    <row r="3076" spans="1:2" x14ac:dyDescent="0.25">
      <c r="A3076" s="28" t="s">
        <v>30377</v>
      </c>
      <c r="B3076" s="28" t="s">
        <v>30378</v>
      </c>
    </row>
    <row r="3077" spans="1:2" x14ac:dyDescent="0.25">
      <c r="A3077" s="28" t="s">
        <v>30379</v>
      </c>
      <c r="B3077" s="28" t="s">
        <v>30380</v>
      </c>
    </row>
    <row r="3078" spans="1:2" x14ac:dyDescent="0.25">
      <c r="A3078" s="28" t="s">
        <v>29842</v>
      </c>
      <c r="B3078" s="28" t="s">
        <v>29843</v>
      </c>
    </row>
    <row r="3079" spans="1:2" x14ac:dyDescent="0.25">
      <c r="A3079" s="28" t="s">
        <v>30381</v>
      </c>
      <c r="B3079" s="28" t="s">
        <v>30382</v>
      </c>
    </row>
    <row r="3080" spans="1:2" x14ac:dyDescent="0.25">
      <c r="A3080" s="28" t="s">
        <v>30383</v>
      </c>
      <c r="B3080" s="28" t="s">
        <v>30384</v>
      </c>
    </row>
    <row r="3081" spans="1:2" x14ac:dyDescent="0.25">
      <c r="A3081" s="28" t="s">
        <v>29844</v>
      </c>
      <c r="B3081" s="28" t="s">
        <v>29845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30385</v>
      </c>
      <c r="B3083" s="28" t="s">
        <v>30386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30387</v>
      </c>
      <c r="B3085" s="28" t="s">
        <v>30388</v>
      </c>
    </row>
    <row r="3086" spans="1:2" x14ac:dyDescent="0.25">
      <c r="A3086" s="28" t="s">
        <v>29846</v>
      </c>
      <c r="B3086" s="28" t="s">
        <v>29847</v>
      </c>
    </row>
    <row r="3087" spans="1:2" x14ac:dyDescent="0.25">
      <c r="A3087" s="28" t="s">
        <v>29848</v>
      </c>
      <c r="B3087" s="28" t="s">
        <v>29849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29850</v>
      </c>
      <c r="B3089" s="28" t="s">
        <v>29851</v>
      </c>
    </row>
    <row r="3090" spans="1:2" x14ac:dyDescent="0.25">
      <c r="A3090" s="28" t="s">
        <v>29852</v>
      </c>
      <c r="B3090" s="28" t="s">
        <v>29853</v>
      </c>
    </row>
    <row r="3091" spans="1:2" x14ac:dyDescent="0.25">
      <c r="A3091" s="28" t="s">
        <v>29854</v>
      </c>
      <c r="B3091" s="28" t="s">
        <v>29855</v>
      </c>
    </row>
    <row r="3092" spans="1:2" x14ac:dyDescent="0.25">
      <c r="A3092" s="28" t="s">
        <v>29856</v>
      </c>
      <c r="B3092" s="28" t="s">
        <v>29857</v>
      </c>
    </row>
    <row r="3093" spans="1:2" x14ac:dyDescent="0.25">
      <c r="A3093" s="28" t="s">
        <v>29858</v>
      </c>
      <c r="B3093" s="28" t="s">
        <v>29859</v>
      </c>
    </row>
    <row r="3094" spans="1:2" x14ac:dyDescent="0.25">
      <c r="A3094" s="28" t="s">
        <v>29860</v>
      </c>
      <c r="B3094" s="28" t="s">
        <v>29861</v>
      </c>
    </row>
    <row r="3095" spans="1:2" x14ac:dyDescent="0.25">
      <c r="A3095" s="28" t="s">
        <v>30389</v>
      </c>
      <c r="B3095" s="28" t="s">
        <v>29862</v>
      </c>
    </row>
    <row r="3096" spans="1:2" x14ac:dyDescent="0.25">
      <c r="A3096" s="28" t="s">
        <v>29863</v>
      </c>
      <c r="B3096" s="28" t="s">
        <v>29864</v>
      </c>
    </row>
    <row r="3097" spans="1:2" x14ac:dyDescent="0.25">
      <c r="A3097" s="28" t="s">
        <v>29865</v>
      </c>
      <c r="B3097" s="28" t="s">
        <v>29866</v>
      </c>
    </row>
    <row r="3098" spans="1:2" x14ac:dyDescent="0.25">
      <c r="A3098" s="28" t="s">
        <v>29867</v>
      </c>
      <c r="B3098" s="28" t="s">
        <v>29868</v>
      </c>
    </row>
    <row r="3099" spans="1:2" x14ac:dyDescent="0.25">
      <c r="A3099" s="28" t="s">
        <v>29869</v>
      </c>
      <c r="B3099" s="28" t="s">
        <v>29870</v>
      </c>
    </row>
    <row r="3100" spans="1:2" x14ac:dyDescent="0.25">
      <c r="A3100" s="28" t="s">
        <v>29871</v>
      </c>
      <c r="B3100" s="28" t="s">
        <v>29872</v>
      </c>
    </row>
    <row r="3101" spans="1:2" x14ac:dyDescent="0.25">
      <c r="A3101" s="28" t="s">
        <v>29873</v>
      </c>
      <c r="B3101" s="28" t="s">
        <v>29874</v>
      </c>
    </row>
    <row r="3102" spans="1:2" x14ac:dyDescent="0.25">
      <c r="A3102" s="28" t="s">
        <v>29875</v>
      </c>
      <c r="B3102" s="28" t="s">
        <v>29876</v>
      </c>
    </row>
    <row r="3103" spans="1:2" x14ac:dyDescent="0.25">
      <c r="A3103" s="28" t="s">
        <v>29877</v>
      </c>
      <c r="B3103" s="28" t="s">
        <v>29878</v>
      </c>
    </row>
    <row r="3104" spans="1:2" x14ac:dyDescent="0.25">
      <c r="A3104" s="28" t="s">
        <v>30390</v>
      </c>
      <c r="B3104" s="28" t="s">
        <v>29879</v>
      </c>
    </row>
    <row r="3105" spans="1:2" x14ac:dyDescent="0.25">
      <c r="A3105" s="28" t="s">
        <v>30391</v>
      </c>
      <c r="B3105" s="28" t="s">
        <v>29880</v>
      </c>
    </row>
    <row r="3106" spans="1:2" x14ac:dyDescent="0.25">
      <c r="A3106" s="28" t="s">
        <v>29881</v>
      </c>
      <c r="B3106" s="28" t="s">
        <v>28955</v>
      </c>
    </row>
    <row r="3107" spans="1:2" x14ac:dyDescent="0.25">
      <c r="A3107" s="28" t="s">
        <v>29882</v>
      </c>
      <c r="B3107" s="28" t="s">
        <v>29883</v>
      </c>
    </row>
    <row r="3108" spans="1:2" x14ac:dyDescent="0.25">
      <c r="A3108" s="28" t="s">
        <v>30392</v>
      </c>
      <c r="B3108" s="28" t="s">
        <v>30393</v>
      </c>
    </row>
    <row r="3109" spans="1:2" x14ac:dyDescent="0.25">
      <c r="A3109" s="28" t="s">
        <v>29884</v>
      </c>
      <c r="B3109" s="28" t="s">
        <v>29885</v>
      </c>
    </row>
    <row r="3110" spans="1:2" x14ac:dyDescent="0.25">
      <c r="A3110" s="28" t="s">
        <v>29886</v>
      </c>
      <c r="B3110" s="28" t="s">
        <v>29887</v>
      </c>
    </row>
    <row r="3111" spans="1:2" x14ac:dyDescent="0.25">
      <c r="A3111" s="28" t="s">
        <v>30394</v>
      </c>
      <c r="B3111" s="28" t="s">
        <v>30395</v>
      </c>
    </row>
    <row r="3112" spans="1:2" x14ac:dyDescent="0.25">
      <c r="A3112" s="28" t="s">
        <v>29888</v>
      </c>
      <c r="B3112" s="28" t="s">
        <v>29889</v>
      </c>
    </row>
    <row r="3113" spans="1:2" x14ac:dyDescent="0.25">
      <c r="A3113" s="28" t="s">
        <v>29890</v>
      </c>
      <c r="B3113" s="28" t="s">
        <v>29891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29892</v>
      </c>
      <c r="B3115" s="28" t="s">
        <v>29893</v>
      </c>
    </row>
    <row r="3116" spans="1:2" x14ac:dyDescent="0.25">
      <c r="A3116" s="28" t="s">
        <v>29894</v>
      </c>
      <c r="B3116" s="28" t="s">
        <v>29895</v>
      </c>
    </row>
    <row r="3117" spans="1:2" x14ac:dyDescent="0.25">
      <c r="A3117" s="28" t="s">
        <v>29896</v>
      </c>
      <c r="B3117" s="28" t="s">
        <v>29897</v>
      </c>
    </row>
    <row r="3118" spans="1:2" x14ac:dyDescent="0.25">
      <c r="A3118" s="28" t="s">
        <v>29898</v>
      </c>
      <c r="B3118" s="28" t="s">
        <v>29899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29900</v>
      </c>
      <c r="B3120" s="28" t="s">
        <v>29901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29902</v>
      </c>
      <c r="B3123" s="28" t="s">
        <v>29903</v>
      </c>
    </row>
    <row r="3124" spans="1:2" x14ac:dyDescent="0.25">
      <c r="A3124" s="28" t="s">
        <v>29904</v>
      </c>
      <c r="B3124" s="28" t="s">
        <v>29905</v>
      </c>
    </row>
    <row r="3125" spans="1:2" x14ac:dyDescent="0.25">
      <c r="A3125" s="28" t="s">
        <v>29906</v>
      </c>
      <c r="B3125" s="28" t="s">
        <v>29907</v>
      </c>
    </row>
    <row r="3126" spans="1:2" x14ac:dyDescent="0.25">
      <c r="A3126" s="28" t="s">
        <v>29908</v>
      </c>
      <c r="B3126" s="28" t="s">
        <v>29909</v>
      </c>
    </row>
    <row r="3127" spans="1:2" x14ac:dyDescent="0.25">
      <c r="A3127" s="28" t="s">
        <v>30396</v>
      </c>
      <c r="B3127" s="28" t="s">
        <v>30397</v>
      </c>
    </row>
    <row r="3128" spans="1:2" x14ac:dyDescent="0.25">
      <c r="A3128" s="28" t="s">
        <v>29910</v>
      </c>
      <c r="B3128" s="28" t="s">
        <v>29911</v>
      </c>
    </row>
    <row r="3129" spans="1:2" x14ac:dyDescent="0.25">
      <c r="A3129" s="28" t="s">
        <v>29912</v>
      </c>
      <c r="B3129" s="28" t="s">
        <v>29913</v>
      </c>
    </row>
    <row r="3130" spans="1:2" x14ac:dyDescent="0.25">
      <c r="A3130" s="28" t="s">
        <v>29914</v>
      </c>
      <c r="B3130" s="28" t="s">
        <v>29915</v>
      </c>
    </row>
    <row r="3131" spans="1:2" x14ac:dyDescent="0.25">
      <c r="A3131" s="28" t="s">
        <v>29916</v>
      </c>
      <c r="B3131" s="28" t="s">
        <v>29917</v>
      </c>
    </row>
    <row r="3132" spans="1:2" x14ac:dyDescent="0.25">
      <c r="A3132" s="28" t="s">
        <v>29918</v>
      </c>
      <c r="B3132" s="28" t="s">
        <v>29919</v>
      </c>
    </row>
    <row r="3133" spans="1:2" x14ac:dyDescent="0.25">
      <c r="A3133" s="28" t="s">
        <v>29920</v>
      </c>
      <c r="B3133" s="28" t="s">
        <v>29921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29922</v>
      </c>
      <c r="B3137" s="28" t="s">
        <v>29923</v>
      </c>
    </row>
    <row r="3138" spans="1:2" x14ac:dyDescent="0.25">
      <c r="A3138" s="28" t="s">
        <v>29924</v>
      </c>
      <c r="B3138" s="28" t="s">
        <v>29925</v>
      </c>
    </row>
    <row r="3139" spans="1:2" x14ac:dyDescent="0.25">
      <c r="A3139" s="28" t="s">
        <v>29926</v>
      </c>
      <c r="B3139" s="28" t="s">
        <v>29927</v>
      </c>
    </row>
    <row r="3140" spans="1:2" x14ac:dyDescent="0.25">
      <c r="A3140" s="28" t="s">
        <v>29928</v>
      </c>
      <c r="B3140" s="28" t="s">
        <v>29929</v>
      </c>
    </row>
    <row r="3141" spans="1:2" x14ac:dyDescent="0.25">
      <c r="A3141" s="28" t="s">
        <v>29930</v>
      </c>
      <c r="B3141" s="28" t="s">
        <v>29931</v>
      </c>
    </row>
    <row r="3142" spans="1:2" x14ac:dyDescent="0.25">
      <c r="A3142" s="28" t="s">
        <v>29932</v>
      </c>
      <c r="B3142" s="28" t="s">
        <v>29933</v>
      </c>
    </row>
    <row r="3143" spans="1:2" x14ac:dyDescent="0.25">
      <c r="A3143" s="28" t="s">
        <v>29934</v>
      </c>
      <c r="B3143" s="28" t="s">
        <v>29935</v>
      </c>
    </row>
    <row r="3144" spans="1:2" x14ac:dyDescent="0.25">
      <c r="A3144" s="28" t="s">
        <v>29936</v>
      </c>
      <c r="B3144" s="28" t="s">
        <v>29937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29938</v>
      </c>
      <c r="B3146" s="28" t="s">
        <v>29939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29940</v>
      </c>
      <c r="B3148" s="28" t="s">
        <v>29941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29942</v>
      </c>
      <c r="B3150" s="28" t="s">
        <v>29943</v>
      </c>
    </row>
    <row r="3151" spans="1:2" x14ac:dyDescent="0.25">
      <c r="A3151" s="28" t="s">
        <v>30398</v>
      </c>
      <c r="B3151" s="28" t="s">
        <v>30399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30400</v>
      </c>
      <c r="B3154" s="28" t="s">
        <v>30401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30402</v>
      </c>
      <c r="B3156" s="28" t="s">
        <v>30403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29944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29945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30404</v>
      </c>
      <c r="B3529" s="28" t="s">
        <v>30405</v>
      </c>
      <c r="C3529" s="14" t="s">
        <v>14255</v>
      </c>
    </row>
    <row r="3530" spans="1:3" x14ac:dyDescent="0.25">
      <c r="A3530" s="28" t="s">
        <v>30404</v>
      </c>
      <c r="B3530" s="28" t="s">
        <v>30406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29946</v>
      </c>
      <c r="B3990" s="28" t="s">
        <v>8163</v>
      </c>
    </row>
    <row r="3991" spans="1:2" x14ac:dyDescent="0.25">
      <c r="A3991" s="28" t="s">
        <v>29947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29948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29949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29950</v>
      </c>
      <c r="B6114" s="28" t="s">
        <v>29951</v>
      </c>
    </row>
    <row r="6115" spans="1:2" x14ac:dyDescent="0.25">
      <c r="A6115" s="28" t="s">
        <v>29952</v>
      </c>
      <c r="B6115" s="28" t="s">
        <v>29953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29954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29955</v>
      </c>
      <c r="B6283" s="28" t="s">
        <v>29956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29957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29958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29959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29960</v>
      </c>
      <c r="B7003" s="28" t="s">
        <v>580</v>
      </c>
    </row>
    <row r="7004" spans="1:2" x14ac:dyDescent="0.25">
      <c r="A7004" s="28" t="s">
        <v>29961</v>
      </c>
      <c r="B7004" s="28" t="s">
        <v>577</v>
      </c>
    </row>
    <row r="7005" spans="1:2" x14ac:dyDescent="0.25">
      <c r="A7005" s="28" t="s">
        <v>29962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29963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29964</v>
      </c>
      <c r="B7071" s="28" t="s">
        <v>397</v>
      </c>
    </row>
    <row r="7072" spans="1:2" x14ac:dyDescent="0.25">
      <c r="A7072" s="28" t="s">
        <v>29965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29966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29967</v>
      </c>
      <c r="B7123" s="28" t="s">
        <v>29968</v>
      </c>
    </row>
    <row r="7124" spans="1:2" x14ac:dyDescent="0.25">
      <c r="A7124" s="28" t="s">
        <v>29969</v>
      </c>
      <c r="B7124" s="28" t="s">
        <v>29970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29971</v>
      </c>
      <c r="B7130" s="28" t="s">
        <v>29972</v>
      </c>
    </row>
    <row r="7131" spans="1:2" x14ac:dyDescent="0.25">
      <c r="A7131" s="28" t="s">
        <v>29973</v>
      </c>
      <c r="B7131" s="28" t="s">
        <v>29974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29975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29976</v>
      </c>
      <c r="B7304" s="28" t="s">
        <v>29977</v>
      </c>
    </row>
    <row r="7305" spans="1:2" x14ac:dyDescent="0.25">
      <c r="A7305" s="28" t="s">
        <v>29978</v>
      </c>
      <c r="B7305" s="28" t="s">
        <v>29979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30407</v>
      </c>
      <c r="B7366" s="28" t="s">
        <v>28990</v>
      </c>
    </row>
    <row r="7367" spans="1:2" x14ac:dyDescent="0.25">
      <c r="A7367" s="28" t="s">
        <v>30408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29980</v>
      </c>
      <c r="B7494" s="28" t="s">
        <v>29981</v>
      </c>
    </row>
    <row r="7495" spans="1:2" x14ac:dyDescent="0.25">
      <c r="A7495" s="28" t="s">
        <v>29982</v>
      </c>
      <c r="B7495" s="28" t="s">
        <v>29983</v>
      </c>
    </row>
    <row r="7496" spans="1:2" x14ac:dyDescent="0.25">
      <c r="A7496" s="28" t="s">
        <v>29984</v>
      </c>
      <c r="B7496" s="28" t="s">
        <v>29985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29986</v>
      </c>
      <c r="B7525" s="28" t="s">
        <v>29987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29988</v>
      </c>
      <c r="B7531" s="28" t="s">
        <v>29989</v>
      </c>
    </row>
    <row r="7532" spans="1:2" x14ac:dyDescent="0.25">
      <c r="A7532" s="28" t="s">
        <v>29990</v>
      </c>
      <c r="B7532" s="28" t="s">
        <v>29991</v>
      </c>
    </row>
    <row r="7533" spans="1:2" x14ac:dyDescent="0.25">
      <c r="A7533" s="28" t="s">
        <v>29992</v>
      </c>
      <c r="B7533" s="28" t="s">
        <v>29993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29994</v>
      </c>
      <c r="B7536" s="28" t="s">
        <v>29995</v>
      </c>
    </row>
    <row r="7537" spans="1:2" x14ac:dyDescent="0.25">
      <c r="A7537" s="28" t="s">
        <v>29996</v>
      </c>
      <c r="B7537" s="28" t="s">
        <v>29997</v>
      </c>
    </row>
    <row r="7538" spans="1:2" x14ac:dyDescent="0.25">
      <c r="A7538" s="28" t="s">
        <v>29998</v>
      </c>
      <c r="B7538" s="28" t="s">
        <v>29999</v>
      </c>
    </row>
    <row r="7539" spans="1:2" x14ac:dyDescent="0.25">
      <c r="A7539" s="28" t="s">
        <v>30000</v>
      </c>
      <c r="B7539" s="28" t="s">
        <v>30001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30002</v>
      </c>
      <c r="B7606" s="28" t="s">
        <v>30003</v>
      </c>
    </row>
    <row r="7607" spans="1:2" x14ac:dyDescent="0.25">
      <c r="A7607" s="28" t="s">
        <v>30004</v>
      </c>
      <c r="B7607" s="28" t="s">
        <v>30005</v>
      </c>
    </row>
    <row r="7608" spans="1:2" x14ac:dyDescent="0.25">
      <c r="A7608" s="28" t="s">
        <v>30006</v>
      </c>
      <c r="B7608" s="28" t="s">
        <v>30007</v>
      </c>
    </row>
    <row r="7609" spans="1:2" x14ac:dyDescent="0.25">
      <c r="A7609" s="28" t="s">
        <v>30008</v>
      </c>
      <c r="B7609" s="28" t="s">
        <v>30009</v>
      </c>
    </row>
    <row r="7610" spans="1:2" x14ac:dyDescent="0.25">
      <c r="A7610" s="28" t="s">
        <v>30010</v>
      </c>
      <c r="B7610" s="28" t="s">
        <v>30011</v>
      </c>
    </row>
    <row r="7611" spans="1:2" x14ac:dyDescent="0.25">
      <c r="A7611" s="28" t="s">
        <v>30012</v>
      </c>
      <c r="B7611" s="28" t="s">
        <v>30013</v>
      </c>
    </row>
    <row r="7612" spans="1:2" x14ac:dyDescent="0.25">
      <c r="A7612" s="28" t="s">
        <v>30014</v>
      </c>
      <c r="B7612" s="28" t="s">
        <v>30015</v>
      </c>
    </row>
    <row r="7613" spans="1:2" x14ac:dyDescent="0.25">
      <c r="A7613" s="28" t="s">
        <v>30016</v>
      </c>
      <c r="B7613" s="28" t="s">
        <v>30017</v>
      </c>
    </row>
    <row r="7614" spans="1:2" x14ac:dyDescent="0.25">
      <c r="A7614" s="28" t="s">
        <v>30018</v>
      </c>
      <c r="B7614" s="28" t="s">
        <v>30019</v>
      </c>
    </row>
    <row r="7615" spans="1:2" x14ac:dyDescent="0.25">
      <c r="A7615" s="28" t="s">
        <v>30020</v>
      </c>
      <c r="B7615" s="28" t="s">
        <v>30021</v>
      </c>
    </row>
    <row r="7616" spans="1:2" x14ac:dyDescent="0.25">
      <c r="A7616" s="28" t="s">
        <v>30022</v>
      </c>
      <c r="B7616" s="28" t="s">
        <v>30023</v>
      </c>
    </row>
    <row r="7617" spans="1:2" x14ac:dyDescent="0.25">
      <c r="A7617" s="28" t="s">
        <v>30024</v>
      </c>
      <c r="B7617" s="28" t="s">
        <v>30025</v>
      </c>
    </row>
    <row r="7618" spans="1:2" x14ac:dyDescent="0.25">
      <c r="A7618" s="28" t="s">
        <v>30026</v>
      </c>
      <c r="B7618" s="28" t="s">
        <v>30027</v>
      </c>
    </row>
    <row r="7619" spans="1:2" x14ac:dyDescent="0.25">
      <c r="A7619" s="28" t="s">
        <v>30028</v>
      </c>
      <c r="B7619" s="28" t="s">
        <v>30029</v>
      </c>
    </row>
    <row r="7620" spans="1:2" x14ac:dyDescent="0.25">
      <c r="A7620" s="28" t="s">
        <v>30030</v>
      </c>
      <c r="B7620" s="28" t="s">
        <v>30031</v>
      </c>
    </row>
    <row r="7621" spans="1:2" x14ac:dyDescent="0.25">
      <c r="A7621" s="28" t="s">
        <v>30032</v>
      </c>
      <c r="B7621" s="28" t="s">
        <v>30033</v>
      </c>
    </row>
    <row r="7622" spans="1:2" x14ac:dyDescent="0.25">
      <c r="A7622" s="28" t="s">
        <v>30034</v>
      </c>
      <c r="B7622" s="28" t="s">
        <v>30035</v>
      </c>
    </row>
    <row r="7623" spans="1:2" x14ac:dyDescent="0.25">
      <c r="A7623" s="28" t="s">
        <v>30036</v>
      </c>
      <c r="B7623" s="28" t="s">
        <v>30037</v>
      </c>
    </row>
    <row r="7624" spans="1:2" x14ac:dyDescent="0.25">
      <c r="A7624" s="28" t="s">
        <v>30038</v>
      </c>
      <c r="B7624" s="28" t="s">
        <v>30039</v>
      </c>
    </row>
    <row r="7625" spans="1:2" x14ac:dyDescent="0.25">
      <c r="A7625" s="28" t="s">
        <v>30040</v>
      </c>
      <c r="B7625" s="28" t="s">
        <v>30041</v>
      </c>
    </row>
    <row r="7626" spans="1:2" x14ac:dyDescent="0.25">
      <c r="A7626" s="28" t="s">
        <v>30042</v>
      </c>
      <c r="B7626" s="28" t="s">
        <v>30043</v>
      </c>
    </row>
    <row r="7627" spans="1:2" x14ac:dyDescent="0.25">
      <c r="A7627" s="28" t="s">
        <v>30044</v>
      </c>
      <c r="B7627" s="28" t="s">
        <v>30045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30046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30047</v>
      </c>
      <c r="B8954" s="28" t="s">
        <v>30048</v>
      </c>
    </row>
    <row r="8955" spans="1:2" x14ac:dyDescent="0.25">
      <c r="A8955" s="28" t="s">
        <v>30049</v>
      </c>
      <c r="B8955" s="28" t="s">
        <v>30050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30051</v>
      </c>
      <c r="B8997" s="28" t="s">
        <v>30052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30053</v>
      </c>
      <c r="B9006" s="28" t="s">
        <v>30054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30055</v>
      </c>
      <c r="B9032" s="28" t="s">
        <v>30056</v>
      </c>
    </row>
    <row r="9033" spans="1:2" x14ac:dyDescent="0.25">
      <c r="A9033" s="28" t="s">
        <v>30057</v>
      </c>
      <c r="B9033" s="28" t="s">
        <v>30058</v>
      </c>
    </row>
    <row r="9034" spans="1:2" x14ac:dyDescent="0.25">
      <c r="A9034" s="28" t="s">
        <v>30059</v>
      </c>
      <c r="B9034" s="28" t="s">
        <v>30060</v>
      </c>
    </row>
    <row r="9035" spans="1:2" x14ac:dyDescent="0.25">
      <c r="A9035" s="28" t="s">
        <v>30061</v>
      </c>
      <c r="B9035" s="28" t="s">
        <v>30062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30063</v>
      </c>
      <c r="B9048" s="28" t="s">
        <v>30064</v>
      </c>
    </row>
    <row r="9049" spans="1:2" x14ac:dyDescent="0.25">
      <c r="A9049" s="28" t="s">
        <v>30065</v>
      </c>
      <c r="B9049" s="28" t="s">
        <v>30066</v>
      </c>
    </row>
    <row r="9050" spans="1:2" x14ac:dyDescent="0.25">
      <c r="A9050" s="28" t="s">
        <v>30067</v>
      </c>
      <c r="B9050" s="28" t="s">
        <v>30068</v>
      </c>
    </row>
    <row r="9051" spans="1:2" x14ac:dyDescent="0.25">
      <c r="A9051" s="28" t="s">
        <v>30069</v>
      </c>
      <c r="B9051" s="28" t="s">
        <v>30070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30071</v>
      </c>
      <c r="B9153" s="28" t="s">
        <v>30072</v>
      </c>
    </row>
    <row r="9154" spans="1:2" x14ac:dyDescent="0.25">
      <c r="A9154" s="28" t="s">
        <v>30073</v>
      </c>
      <c r="B9154" s="28" t="s">
        <v>30074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30075</v>
      </c>
      <c r="B9289" s="28" t="s">
        <v>30076</v>
      </c>
    </row>
    <row r="9290" spans="1:2" x14ac:dyDescent="0.25">
      <c r="A9290" s="28" t="s">
        <v>30077</v>
      </c>
      <c r="B9290" s="28" t="s">
        <v>30078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30079</v>
      </c>
      <c r="B9644" s="28" t="s">
        <v>30080</v>
      </c>
    </row>
    <row r="9645" spans="1:2" x14ac:dyDescent="0.25">
      <c r="A9645" s="28" t="s">
        <v>30081</v>
      </c>
      <c r="B9645" s="28" t="s">
        <v>30082</v>
      </c>
    </row>
    <row r="9646" spans="1:2" x14ac:dyDescent="0.25">
      <c r="A9646" s="28" t="s">
        <v>30083</v>
      </c>
      <c r="B9646" s="28" t="s">
        <v>30084</v>
      </c>
    </row>
    <row r="9647" spans="1:2" x14ac:dyDescent="0.25">
      <c r="A9647" s="28" t="s">
        <v>30085</v>
      </c>
      <c r="B9647" s="28" t="s">
        <v>30086</v>
      </c>
    </row>
    <row r="9648" spans="1:2" x14ac:dyDescent="0.25">
      <c r="A9648" s="28" t="s">
        <v>30087</v>
      </c>
      <c r="B9648" s="28" t="s">
        <v>30088</v>
      </c>
    </row>
    <row r="9649" spans="1:2" x14ac:dyDescent="0.25">
      <c r="A9649" s="28" t="s">
        <v>30089</v>
      </c>
      <c r="B9649" s="28" t="s">
        <v>30090</v>
      </c>
    </row>
    <row r="9650" spans="1:2" x14ac:dyDescent="0.25">
      <c r="A9650" s="28" t="s">
        <v>30091</v>
      </c>
      <c r="B9650" s="28" t="s">
        <v>30092</v>
      </c>
    </row>
    <row r="9651" spans="1:2" x14ac:dyDescent="0.25">
      <c r="A9651" s="28" t="s">
        <v>30093</v>
      </c>
      <c r="B9651" s="28" t="s">
        <v>30094</v>
      </c>
    </row>
    <row r="9652" spans="1:2" x14ac:dyDescent="0.25">
      <c r="A9652" s="28" t="s">
        <v>30095</v>
      </c>
      <c r="B9652" s="28" t="s">
        <v>30096</v>
      </c>
    </row>
    <row r="9653" spans="1:2" x14ac:dyDescent="0.25">
      <c r="A9653" s="28" t="s">
        <v>30097</v>
      </c>
      <c r="B9653" s="28" t="s">
        <v>30098</v>
      </c>
    </row>
    <row r="9654" spans="1:2" x14ac:dyDescent="0.25">
      <c r="A9654" s="28" t="s">
        <v>30099</v>
      </c>
      <c r="B9654" s="28" t="s">
        <v>30100</v>
      </c>
    </row>
    <row r="9655" spans="1:2" x14ac:dyDescent="0.25">
      <c r="A9655" s="28" t="s">
        <v>30101</v>
      </c>
      <c r="B9655" s="28" t="s">
        <v>30102</v>
      </c>
    </row>
    <row r="9656" spans="1:2" x14ac:dyDescent="0.25">
      <c r="A9656" s="28" t="s">
        <v>30103</v>
      </c>
      <c r="B9656" s="28" t="s">
        <v>30104</v>
      </c>
    </row>
    <row r="9657" spans="1:2" x14ac:dyDescent="0.25">
      <c r="A9657" s="28" t="s">
        <v>30105</v>
      </c>
      <c r="B9657" s="28" t="s">
        <v>30106</v>
      </c>
    </row>
    <row r="9658" spans="1:2" x14ac:dyDescent="0.25">
      <c r="A9658" s="28" t="s">
        <v>30107</v>
      </c>
      <c r="B9658" s="28" t="s">
        <v>30108</v>
      </c>
    </row>
    <row r="9659" spans="1:2" x14ac:dyDescent="0.25">
      <c r="A9659" s="28" t="s">
        <v>30109</v>
      </c>
      <c r="B9659" s="28" t="s">
        <v>30110</v>
      </c>
    </row>
    <row r="9660" spans="1:2" x14ac:dyDescent="0.25">
      <c r="A9660" s="28" t="s">
        <v>30111</v>
      </c>
      <c r="B9660" s="28" t="s">
        <v>30112</v>
      </c>
    </row>
    <row r="9661" spans="1:2" x14ac:dyDescent="0.25">
      <c r="A9661" s="28" t="s">
        <v>30113</v>
      </c>
      <c r="B9661" s="28" t="s">
        <v>30114</v>
      </c>
    </row>
    <row r="9662" spans="1:2" x14ac:dyDescent="0.25">
      <c r="A9662" s="28" t="s">
        <v>30115</v>
      </c>
      <c r="B9662" s="28" t="s">
        <v>30116</v>
      </c>
    </row>
    <row r="9663" spans="1:2" x14ac:dyDescent="0.25">
      <c r="A9663" s="28" t="s">
        <v>30117</v>
      </c>
      <c r="B9663" s="28" t="s">
        <v>30118</v>
      </c>
    </row>
    <row r="9664" spans="1:2" x14ac:dyDescent="0.25">
      <c r="A9664" s="28" t="s">
        <v>30119</v>
      </c>
      <c r="B9664" s="28" t="s">
        <v>30120</v>
      </c>
    </row>
    <row r="9665" spans="1:2" x14ac:dyDescent="0.25">
      <c r="A9665" s="28" t="s">
        <v>30121</v>
      </c>
      <c r="B9665" s="28" t="s">
        <v>30122</v>
      </c>
    </row>
    <row r="9666" spans="1:2" x14ac:dyDescent="0.25">
      <c r="A9666" s="28" t="s">
        <v>30123</v>
      </c>
      <c r="B9666" s="28" t="s">
        <v>30124</v>
      </c>
    </row>
    <row r="9667" spans="1:2" x14ac:dyDescent="0.25">
      <c r="A9667" s="28" t="s">
        <v>30125</v>
      </c>
      <c r="B9667" s="28" t="s">
        <v>30126</v>
      </c>
    </row>
    <row r="9668" spans="1:2" x14ac:dyDescent="0.25">
      <c r="A9668" s="28" t="s">
        <v>30127</v>
      </c>
      <c r="B9668" s="28" t="s">
        <v>30128</v>
      </c>
    </row>
    <row r="9669" spans="1:2" x14ac:dyDescent="0.25">
      <c r="A9669" s="28" t="s">
        <v>30129</v>
      </c>
      <c r="B9669" s="28" t="s">
        <v>30130</v>
      </c>
    </row>
    <row r="9670" spans="1:2" x14ac:dyDescent="0.25">
      <c r="A9670" s="28" t="s">
        <v>30131</v>
      </c>
      <c r="B9670" s="28" t="s">
        <v>30132</v>
      </c>
    </row>
    <row r="9671" spans="1:2" x14ac:dyDescent="0.25">
      <c r="A9671" s="28" t="s">
        <v>30133</v>
      </c>
      <c r="B9671" s="28" t="s">
        <v>30134</v>
      </c>
    </row>
    <row r="9672" spans="1:2" x14ac:dyDescent="0.25">
      <c r="A9672" s="28" t="s">
        <v>30135</v>
      </c>
      <c r="B9672" s="28" t="s">
        <v>30136</v>
      </c>
    </row>
    <row r="9673" spans="1:2" x14ac:dyDescent="0.25">
      <c r="A9673" s="28" t="s">
        <v>30137</v>
      </c>
      <c r="B9673" s="28" t="s">
        <v>30138</v>
      </c>
    </row>
    <row r="9674" spans="1:2" x14ac:dyDescent="0.25">
      <c r="A9674" s="28" t="s">
        <v>30139</v>
      </c>
      <c r="B9674" s="28" t="s">
        <v>30140</v>
      </c>
    </row>
    <row r="9675" spans="1:2" x14ac:dyDescent="0.25">
      <c r="A9675" s="28" t="s">
        <v>30141</v>
      </c>
      <c r="B9675" s="28" t="s">
        <v>30142</v>
      </c>
    </row>
    <row r="9676" spans="1:2" x14ac:dyDescent="0.25">
      <c r="A9676" s="28" t="s">
        <v>30143</v>
      </c>
      <c r="B9676" s="28" t="s">
        <v>30144</v>
      </c>
    </row>
    <row r="9677" spans="1:2" x14ac:dyDescent="0.25">
      <c r="A9677" s="28" t="s">
        <v>30145</v>
      </c>
      <c r="B9677" s="28" t="s">
        <v>30146</v>
      </c>
    </row>
    <row r="9678" spans="1:2" x14ac:dyDescent="0.25">
      <c r="A9678" s="28" t="s">
        <v>30147</v>
      </c>
      <c r="B9678" s="28" t="s">
        <v>30148</v>
      </c>
    </row>
    <row r="9679" spans="1:2" x14ac:dyDescent="0.25">
      <c r="A9679" s="28" t="s">
        <v>30149</v>
      </c>
      <c r="B9679" s="28" t="s">
        <v>30150</v>
      </c>
    </row>
    <row r="9680" spans="1:2" x14ac:dyDescent="0.25">
      <c r="A9680" s="28" t="s">
        <v>30151</v>
      </c>
      <c r="B9680" s="28" t="s">
        <v>30152</v>
      </c>
    </row>
    <row r="9681" spans="1:2" x14ac:dyDescent="0.25">
      <c r="A9681" s="28" t="s">
        <v>30153</v>
      </c>
      <c r="B9681" s="28" t="s">
        <v>30154</v>
      </c>
    </row>
    <row r="9682" spans="1:2" x14ac:dyDescent="0.25">
      <c r="A9682" s="28" t="s">
        <v>30155</v>
      </c>
      <c r="B9682" s="28" t="s">
        <v>30156</v>
      </c>
    </row>
    <row r="9683" spans="1:2" x14ac:dyDescent="0.25">
      <c r="A9683" s="28" t="s">
        <v>30157</v>
      </c>
      <c r="B9683" s="28" t="s">
        <v>30158</v>
      </c>
    </row>
    <row r="9684" spans="1:2" x14ac:dyDescent="0.25">
      <c r="A9684" s="28" t="s">
        <v>30159</v>
      </c>
      <c r="B9684" s="28" t="s">
        <v>30160</v>
      </c>
    </row>
    <row r="9685" spans="1:2" x14ac:dyDescent="0.25">
      <c r="A9685" s="28" t="s">
        <v>30161</v>
      </c>
      <c r="B9685" s="28" t="s">
        <v>30162</v>
      </c>
    </row>
    <row r="9686" spans="1:2" x14ac:dyDescent="0.25">
      <c r="A9686" s="28" t="s">
        <v>30163</v>
      </c>
      <c r="B9686" s="28" t="s">
        <v>30164</v>
      </c>
    </row>
    <row r="9687" spans="1:2" x14ac:dyDescent="0.25">
      <c r="A9687" s="28" t="s">
        <v>30165</v>
      </c>
      <c r="B9687" s="28" t="s">
        <v>30166</v>
      </c>
    </row>
    <row r="9688" spans="1:2" x14ac:dyDescent="0.25">
      <c r="A9688" s="28" t="s">
        <v>30167</v>
      </c>
      <c r="B9688" s="28" t="s">
        <v>30168</v>
      </c>
    </row>
    <row r="9689" spans="1:2" x14ac:dyDescent="0.25">
      <c r="A9689" s="28" t="s">
        <v>30409</v>
      </c>
      <c r="B9689" s="28" t="s">
        <v>30169</v>
      </c>
    </row>
    <row r="9690" spans="1:2" x14ac:dyDescent="0.25">
      <c r="A9690" s="28" t="s">
        <v>30170</v>
      </c>
      <c r="B9690" s="28" t="s">
        <v>30171</v>
      </c>
    </row>
    <row r="9691" spans="1:2" x14ac:dyDescent="0.25">
      <c r="A9691" s="28" t="s">
        <v>30172</v>
      </c>
      <c r="B9691" s="28" t="s">
        <v>30173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30174</v>
      </c>
      <c r="B10659" s="28" t="s">
        <v>30175</v>
      </c>
    </row>
    <row r="10660" spans="1:2" x14ac:dyDescent="0.25">
      <c r="A10660" s="28" t="s">
        <v>30176</v>
      </c>
      <c r="B10660" s="28" t="s">
        <v>30177</v>
      </c>
    </row>
    <row r="10661" spans="1:2" x14ac:dyDescent="0.25">
      <c r="A10661" s="28" t="s">
        <v>30178</v>
      </c>
      <c r="B10661" s="28" t="s">
        <v>30179</v>
      </c>
    </row>
    <row r="10662" spans="1:2" x14ac:dyDescent="0.25">
      <c r="A10662" s="28" t="s">
        <v>30180</v>
      </c>
      <c r="B10662" s="28" t="s">
        <v>30181</v>
      </c>
    </row>
    <row r="10663" spans="1:2" x14ac:dyDescent="0.25">
      <c r="A10663" s="28" t="s">
        <v>30182</v>
      </c>
      <c r="B10663" s="28" t="s">
        <v>30183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30184</v>
      </c>
      <c r="B10774" s="28" t="s">
        <v>30185</v>
      </c>
    </row>
    <row r="10775" spans="1:2" x14ac:dyDescent="0.25">
      <c r="A10775" s="28" t="s">
        <v>30186</v>
      </c>
      <c r="B10775" s="28" t="s">
        <v>30187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30188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30189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30190</v>
      </c>
    </row>
    <row r="11879" spans="1:2" x14ac:dyDescent="0.25">
      <c r="A11879" s="28" t="s">
        <v>28478</v>
      </c>
      <c r="B11879" s="28" t="s">
        <v>30191</v>
      </c>
    </row>
    <row r="11880" spans="1:2" x14ac:dyDescent="0.25">
      <c r="A11880" s="28" t="s">
        <v>28479</v>
      </c>
      <c r="B11880" s="28" t="s">
        <v>30192</v>
      </c>
    </row>
    <row r="11881" spans="1:2" x14ac:dyDescent="0.25">
      <c r="A11881" s="28" t="s">
        <v>28480</v>
      </c>
      <c r="B11881" s="28" t="s">
        <v>30193</v>
      </c>
    </row>
    <row r="11882" spans="1:2" x14ac:dyDescent="0.25">
      <c r="A11882" s="28" t="s">
        <v>28481</v>
      </c>
      <c r="B11882" s="28" t="s">
        <v>30194</v>
      </c>
    </row>
    <row r="11883" spans="1:2" x14ac:dyDescent="0.25">
      <c r="A11883" s="28" t="s">
        <v>28482</v>
      </c>
      <c r="B11883" s="28" t="s">
        <v>30195</v>
      </c>
    </row>
    <row r="11884" spans="1:2" x14ac:dyDescent="0.25">
      <c r="A11884" s="28" t="s">
        <v>28483</v>
      </c>
      <c r="B11884" s="28" t="s">
        <v>30196</v>
      </c>
    </row>
    <row r="11885" spans="1:2" x14ac:dyDescent="0.25">
      <c r="A11885" s="28" t="s">
        <v>28484</v>
      </c>
      <c r="B11885" s="28" t="s">
        <v>30197</v>
      </c>
    </row>
    <row r="11886" spans="1:2" x14ac:dyDescent="0.25">
      <c r="A11886" s="28" t="s">
        <v>28485</v>
      </c>
      <c r="B11886" s="28" t="s">
        <v>30198</v>
      </c>
    </row>
    <row r="11887" spans="1:2" x14ac:dyDescent="0.25">
      <c r="A11887" s="28" t="s">
        <v>28486</v>
      </c>
      <c r="B11887" s="28" t="s">
        <v>30199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30200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30201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30202</v>
      </c>
      <c r="B13902" s="30" t="s">
        <v>30203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30204</v>
      </c>
      <c r="B13905" s="30" t="s">
        <v>30205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30206</v>
      </c>
      <c r="B13907" s="30" t="s">
        <v>30207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30208</v>
      </c>
      <c r="B14040" s="30" t="s">
        <v>30209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30210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30211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30212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30213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30410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30214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K1" zoomScaleNormal="100" workbookViewId="0">
      <pane ySplit="1" topLeftCell="A136" activePane="bottomLeft" state="frozen"/>
      <selection pane="bottomLeft" activeCell="AP143" sqref="AP143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0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30216</v>
      </c>
      <c r="I1" s="67" t="s">
        <v>30413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30414</v>
      </c>
      <c r="P1" s="67" t="s">
        <v>27400</v>
      </c>
      <c r="Q1" s="69" t="s">
        <v>6</v>
      </c>
      <c r="R1" s="67" t="s">
        <v>75</v>
      </c>
      <c r="S1" s="67" t="s">
        <v>30416</v>
      </c>
      <c r="T1" s="67" t="s">
        <v>30417</v>
      </c>
      <c r="U1" s="85" t="s">
        <v>222</v>
      </c>
      <c r="V1" s="75" t="s">
        <v>30412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149" ca="1">_xlfn._xlws.SORT(INDIRECT(АртикулХарактеристики),1,-1,FALSE)</f>
        <v>АртикулПолный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49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3" ca="1" si="0">LEFT(AA2,9)</f>
        <v>95-101-09</v>
      </c>
      <c r="B2" s="78" t="str">
        <f ca="1">_xlfn.LET(_xlpm.CAPS,VLOOKUP(G2,Caps!A:B,2,0),_xlpm.Style,TRIM(_xlfn.XLOOKUP($A2,Строчный!$A:$A,Строчный!B:B,"ERR",0)),IF(_xlpm.CAPS=0,_xlpm.Style,UPPER(_xlpm.Style)))</f>
        <v>3363-676/76</v>
      </c>
      <c r="C2" s="78" t="str">
        <f ca="1">TRIM(PROPER(_xlfn.XLOOKUP($A2,Строчный!$A:$A,Строчный!C:C,"ERR",0)))</f>
        <v>Панамы</v>
      </c>
      <c r="D2" s="78" t="str">
        <f ca="1">_xlfn.LET(_xlpm.DATA,TRIM(_xlfn.XLOOKUP($A2,Строчный!$A:$A,Строчный!D:D,"ERR",0)),UPPER(MID(_xlpm.DATA,1,1))&amp;LOWER(MID(_xlpm.DATA,2,LEN(_xlpm.DATA)-1)))</f>
        <v>Панама</v>
      </c>
      <c r="E2" s="78" t="str">
        <f ca="1">PROPER(TRIM(_xlfn.XLOOKUP($A2,Строчный!$A:$A,Строчный!E:E,"ERR",0)))</f>
        <v>Fredrikson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FREDRIKSON</v>
      </c>
      <c r="H2" s="78" t="str">
        <f ca="1">LOWER(TRIM(_xlfn.XLOOKUP($A2,Строчный!$A:$A,Строчный!H:H,"ERR",0)))</f>
        <v>676/76</v>
      </c>
      <c r="I2" s="78" t="str">
        <f ca="1">LOWER(TRIM(_xlfn.XLOOKUP($A2,Строчный!$A:$A,Строчный!I:I,"ERR",0)))</f>
        <v>черный</v>
      </c>
      <c r="J2" s="78" t="str">
        <f ca="1">SUBSTITUTE(LOWER(TRIM(_xlfn.XLOOKUP($A2,Строчный!$A:$A,Строчный!J:J,"ERR",0))),"подклад","Подклад")</f>
        <v>80% шерсть - 20% полиамид / Подклад: 100% вискоза</v>
      </c>
      <c r="K2" s="78" t="str">
        <f ca="1">LOWER(TRIM(_xlfn.XLOOKUP($A2,Строчный!$A:$A,Строчный!K:K,"ERR",0)))</f>
        <v>шерстяные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Россия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975.8</v>
      </c>
      <c r="R2" s="86" t="str">
        <f ca="1">_xlfn.XLOOKUP($G2,Фабрика!A:A,Фабрика!B:B,"ERR",0)</f>
        <v>ООО "ФРЭДРИКСОН" Россия 192029, С-Петербург, пр. Обуховской обороны, д.86, лит М</v>
      </c>
      <c r="S2" s="77" t="str">
        <f ca="1">_xlfn.XLOOKUP(RIGHT(AA2,2),Размеры!D:D,Размеры!A:A,"ERR",0)</f>
        <v>62</v>
      </c>
      <c r="T2" s="77">
        <f ca="1">VALUE(_xlfn.XLOOKUP($AA2,Строчный!$S:$S,Строчный!U:U,"ERR",0))</f>
        <v>1</v>
      </c>
      <c r="U2" s="14" t="s">
        <v>241</v>
      </c>
      <c r="V2" s="98" t="str">
        <f t="shared" ref="V2:V33" ca="1" si="1">TRIM(CONCATENATE(AB2," ",G2," арт. ",B2," (",I2,")"))</f>
        <v>Панама FREDRIKSON арт. 3363-676/76 (черный)</v>
      </c>
      <c r="W2" s="97" t="str">
        <f t="shared" ref="W2:W33" ca="1" si="2">TRIM(CONCATENATE(AB2," ",G2," арт. ",B2," (",I2,") {",H2,"}"))</f>
        <v>Панама FREDRIKSON арт. 3363-676/76 (черный) {676/76}</v>
      </c>
      <c r="X2" s="18" t="str">
        <f t="shared" ref="X2:X33" ca="1" si="3">IFERROR(MID(I2,FIND("-",I2)+1,LEN(I2)),IFERROR(MID(I2,1,FIND("/",I2)-2),I2))</f>
        <v>черный</v>
      </c>
      <c r="Y2" s="18" t="str">
        <f t="shared" ref="Y2:Y33" ca="1" si="4">IFERROR(MID(I2,FIND("-",I2)+1,LEN(I2)),IFERROR(MID(I2,FIND("/",I2)+2,LEN(I2)),I2))</f>
        <v>черный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0" t="str">
        <f ca="1"/>
        <v>95-101-09-62</v>
      </c>
      <c r="AB2" s="72" t="str">
        <f ca="1">VLOOKUP(C2,Группа!A:B,2,FALSE)</f>
        <v>Панама</v>
      </c>
      <c r="AC2" s="94" t="str">
        <f ca="1">IFERROR(VLOOKUP(S2,Размеры!A:C,3,FALSE),"")</f>
        <v>62 XL/XXL</v>
      </c>
      <c r="AD2" s="94" t="str">
        <f ca="1">VLOOKUP(I2,ЦветПолный!A:B,2,FALSE)</f>
        <v>09</v>
      </c>
      <c r="AE2" s="94" t="str">
        <f ca="1">IFERROR(VLOOKUP(S2,Размеры!A:D,4,FALSE),"")</f>
        <v>62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0" t="str">
        <f t="shared" ref="AQ2:AQ33" ca="1" si="5">ВАЛИДАЦИЯНАЗВАНИЯ(W2)</f>
        <v>Панама FREDRIKSON арт. 3363-676/76 (черный) {676/76}</v>
      </c>
      <c r="AR2" s="94">
        <f t="shared" ref="AR2:AR33" ca="1" si="6">INT(AQ2=W2)</f>
        <v>1</v>
      </c>
      <c r="AS2" s="143">
        <f t="shared" ref="AS2:AS3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95-101-09</v>
      </c>
      <c r="B3" s="78" t="str">
        <f ca="1">_xlfn.LET(_xlpm.CAPS,VLOOKUP(G3,Caps!A:B,2,0),_xlpm.Style,TRIM(_xlfn.XLOOKUP($A3,Строчный!$A:$A,Строчный!B:B,"ERR",0)),IF(_xlpm.CAPS=0,_xlpm.Style,UPPER(_xlpm.Style)))</f>
        <v>3363-676/76</v>
      </c>
      <c r="C3" s="78" t="str">
        <f ca="1">TRIM(PROPER(_xlfn.XLOOKUP($A3,Строчный!$A:$A,Строчный!C:C,"ERR",0)))</f>
        <v>Панамы</v>
      </c>
      <c r="D3" s="78" t="str">
        <f ca="1">_xlfn.LET(_xlpm.DATA,TRIM(_xlfn.XLOOKUP($A3,Строчный!$A:$A,Строчный!D:D,"ERR",0)),UPPER(MID(_xlpm.DATA,1,1))&amp;LOWER(MID(_xlpm.DATA,2,LEN(_xlpm.DATA)-1)))</f>
        <v>Панама</v>
      </c>
      <c r="E3" s="78" t="str">
        <f ca="1">PROPER(TRIM(_xlfn.XLOOKUP($A3,Строчный!$A:$A,Строчный!E:E,"ERR",0)))</f>
        <v>Fredrikson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FREDRIKSON</v>
      </c>
      <c r="H3" s="78" t="str">
        <f ca="1">LOWER(TRIM(_xlfn.XLOOKUP($A3,Строчный!$A:$A,Строчный!H:H,"ERR",0)))</f>
        <v>676/76</v>
      </c>
      <c r="I3" s="78" t="str">
        <f ca="1">LOWER(TRIM(_xlfn.XLOOKUP($A3,Строчный!$A:$A,Строчный!I:I,"ERR",0)))</f>
        <v>черный</v>
      </c>
      <c r="J3" s="78" t="str">
        <f ca="1">SUBSTITUTE(LOWER(TRIM(_xlfn.XLOOKUP($A3,Строчный!$A:$A,Строчный!J:J,"ERR",0))),"подклад","Подклад")</f>
        <v>80% шерсть - 20% полиамид / Подклад: 100% вискоза</v>
      </c>
      <c r="K3" s="78" t="str">
        <f ca="1">LOWER(TRIM(_xlfn.XLOOKUP($A3,Строчный!$A:$A,Строчный!K:K,"ERR",0)))</f>
        <v>шерстяные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Россия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975.8</v>
      </c>
      <c r="R3" s="86" t="str">
        <f ca="1">_xlfn.XLOOKUP($G3,Фабрика!A:A,Фабрика!B:B,"ERR",0)</f>
        <v>ООО "ФРЭДРИКСОН" Россия 192029, С-Петербург, пр. Обуховской обороны, д.86, лит М</v>
      </c>
      <c r="S3" s="77" t="str">
        <f ca="1">_xlfn.XLOOKUP(RIGHT(AA3,2),Размеры!D:D,Размеры!A:A,"ERR",0)</f>
        <v>61</v>
      </c>
      <c r="T3" s="77">
        <f ca="1">VALUE(_xlfn.XLOOKUP($AA3,Строчный!$S:$S,Строчный!U:U,"ERR",0))</f>
        <v>2</v>
      </c>
      <c r="U3" s="14" t="s">
        <v>241</v>
      </c>
      <c r="V3" s="98" t="str">
        <f t="shared" ca="1" si="1"/>
        <v>Панама FREDRIKSON арт. 3363-676/76 (черный)</v>
      </c>
      <c r="W3" s="97" t="str">
        <f t="shared" ca="1" si="2"/>
        <v>Панама FREDRIKSON арт. 3363-676/76 (черный) {676/76}</v>
      </c>
      <c r="X3" s="18" t="str">
        <f t="shared" ca="1" si="3"/>
        <v>черный</v>
      </c>
      <c r="Y3" s="18" t="str">
        <f t="shared" ca="1" si="4"/>
        <v>черный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0" t="str">
        <f ca="1"/>
        <v>95-101-09-61</v>
      </c>
      <c r="AB3" s="72" t="str">
        <f ca="1">VLOOKUP(C3,Группа!A:B,2,FALSE)</f>
        <v>Панама</v>
      </c>
      <c r="AC3" s="94" t="str">
        <f ca="1">IFERROR(VLOOKUP(S3,Размеры!A:C,3,FALSE),"")</f>
        <v>61 XL</v>
      </c>
      <c r="AD3" s="94" t="str">
        <f ca="1">VLOOKUP(I3,ЦветПолный!A:B,2,FALSE)</f>
        <v>09</v>
      </c>
      <c r="AE3" s="94" t="str">
        <f ca="1">IFERROR(VLOOKUP(S3,Размеры!A:D,4,FALSE),"")</f>
        <v>61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0" t="str">
        <f t="shared" ca="1" si="5"/>
        <v>Панама FREDRIKSON арт. 3363-676/76 (черный) {676/76}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95-101-09</v>
      </c>
      <c r="B4" s="78" t="str">
        <f ca="1">_xlfn.LET(_xlpm.CAPS,VLOOKUP(G4,Caps!A:B,2,0),_xlpm.Style,TRIM(_xlfn.XLOOKUP($A4,Строчный!$A:$A,Строчный!B:B,"ERR",0)),IF(_xlpm.CAPS=0,_xlpm.Style,UPPER(_xlpm.Style)))</f>
        <v>3363-676/76</v>
      </c>
      <c r="C4" s="78" t="str">
        <f ca="1">TRIM(PROPER(_xlfn.XLOOKUP($A4,Строчный!$A:$A,Строчный!C:C,"ERR",0)))</f>
        <v>Панамы</v>
      </c>
      <c r="D4" s="78" t="str">
        <f ca="1">_xlfn.LET(_xlpm.DATA,TRIM(_xlfn.XLOOKUP($A4,Строчный!$A:$A,Строчный!D:D,"ERR",0)),UPPER(MID(_xlpm.DATA,1,1))&amp;LOWER(MID(_xlpm.DATA,2,LEN(_xlpm.DATA)-1)))</f>
        <v>Панама</v>
      </c>
      <c r="E4" s="78" t="str">
        <f ca="1">PROPER(TRIM(_xlfn.XLOOKUP($A4,Строчный!$A:$A,Строчный!E:E,"ERR",0)))</f>
        <v>Fredrikson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FREDRIKSON</v>
      </c>
      <c r="H4" s="78" t="str">
        <f ca="1">LOWER(TRIM(_xlfn.XLOOKUP($A4,Строчный!$A:$A,Строчный!H:H,"ERR",0)))</f>
        <v>676/76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80% шерсть - 20% полиамид / Подклад: 100% вискоза</v>
      </c>
      <c r="K4" s="78" t="str">
        <f ca="1">LOWER(TRIM(_xlfn.XLOOKUP($A4,Строчный!$A:$A,Строчный!K:K,"ERR",0)))</f>
        <v>шерстяные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Россия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975.8</v>
      </c>
      <c r="R4" s="86" t="str">
        <f ca="1">_xlfn.XLOOKUP($G4,Фабрика!A:A,Фабрика!B:B,"ERR",0)</f>
        <v>ООО "ФРЭДРИКСОН" Россия 192029, С-Петербург, пр. Обуховской обороны, д.86, лит М</v>
      </c>
      <c r="S4" s="77" t="str">
        <f ca="1">_xlfn.XLOOKUP(RIGHT(AA4,2),Размеры!D:D,Размеры!A:A,"ERR",0)</f>
        <v>60</v>
      </c>
      <c r="T4" s="77">
        <f ca="1">VALUE(_xlfn.XLOOKUP($AA4,Строчный!$S:$S,Строчный!U:U,"ERR",0))</f>
        <v>4</v>
      </c>
      <c r="U4" s="14" t="s">
        <v>241</v>
      </c>
      <c r="V4" s="98" t="str">
        <f t="shared" ca="1" si="1"/>
        <v>Панама FREDRIKSON арт. 3363-676/76 (черный)</v>
      </c>
      <c r="W4" s="97" t="str">
        <f t="shared" ca="1" si="2"/>
        <v>Панама FREDRIKSON арт. 3363-676/76 (черный) {676/76}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95-101-09-60</v>
      </c>
      <c r="AB4" s="72" t="str">
        <f ca="1">VLOOKUP(C4,Группа!A:B,2,FALSE)</f>
        <v>Панама</v>
      </c>
      <c r="AC4" s="94" t="str">
        <f ca="1">IFERROR(VLOOKUP(S4,Размеры!A:C,3,FALSE),"")</f>
        <v>60 L/XL</v>
      </c>
      <c r="AD4" s="94" t="str">
        <f ca="1">VLOOKUP(I4,ЦветПолный!A:B,2,FALSE)</f>
        <v>09</v>
      </c>
      <c r="AE4" s="94" t="str">
        <f ca="1">IFERROR(VLOOKUP(S4,Размеры!A:D,4,FALSE),"")</f>
        <v>60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0" t="str">
        <f t="shared" ca="1" si="5"/>
        <v>Панама FREDRIKSON арт. 3363-676/76 (черный) {676/76}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95-101-09</v>
      </c>
      <c r="B5" s="78" t="str">
        <f ca="1">_xlfn.LET(_xlpm.CAPS,VLOOKUP(G5,Caps!A:B,2,0),_xlpm.Style,TRIM(_xlfn.XLOOKUP($A5,Строчный!$A:$A,Строчный!B:B,"ERR",0)),IF(_xlpm.CAPS=0,_xlpm.Style,UPPER(_xlpm.Style)))</f>
        <v>3363-676/76</v>
      </c>
      <c r="C5" s="78" t="str">
        <f ca="1">TRIM(PROPER(_xlfn.XLOOKUP($A5,Строчный!$A:$A,Строчный!C:C,"ERR",0)))</f>
        <v>Панамы</v>
      </c>
      <c r="D5" s="78" t="str">
        <f ca="1">_xlfn.LET(_xlpm.DATA,TRIM(_xlfn.XLOOKUP($A5,Строчный!$A:$A,Строчный!D:D,"ERR",0)),UPPER(MID(_xlpm.DATA,1,1))&amp;LOWER(MID(_xlpm.DATA,2,LEN(_xlpm.DATA)-1)))</f>
        <v>Панама</v>
      </c>
      <c r="E5" s="78" t="str">
        <f ca="1">PROPER(TRIM(_xlfn.XLOOKUP($A5,Строчный!$A:$A,Строчный!E:E,"ERR",0)))</f>
        <v>Fredrikson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FREDRIKSON</v>
      </c>
      <c r="H5" s="78" t="str">
        <f ca="1">LOWER(TRIM(_xlfn.XLOOKUP($A5,Строчный!$A:$A,Строчный!H:H,"ERR",0)))</f>
        <v>676/76</v>
      </c>
      <c r="I5" s="78" t="str">
        <f ca="1">LOWER(TRIM(_xlfn.XLOOKUP($A5,Строчный!$A:$A,Строчный!I:I,"ERR",0)))</f>
        <v>черный</v>
      </c>
      <c r="J5" s="78" t="str">
        <f ca="1">SUBSTITUTE(LOWER(TRIM(_xlfn.XLOOKUP($A5,Строчный!$A:$A,Строчный!J:J,"ERR",0))),"подклад","Подклад")</f>
        <v>80% шерсть - 20% полиамид / Подклад: 100% вискоза</v>
      </c>
      <c r="K5" s="78" t="str">
        <f ca="1">LOWER(TRIM(_xlfn.XLOOKUP($A5,Строчный!$A:$A,Строчный!K:K,"ERR",0)))</f>
        <v>шерстяные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Россия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975.8</v>
      </c>
      <c r="R5" s="86" t="str">
        <f ca="1">_xlfn.XLOOKUP($G5,Фабрика!A:A,Фабрика!B:B,"ERR",0)</f>
        <v>ООО "ФРЭДРИКСОН" Россия 192029, С-Петербург, пр. Обуховской обороны, д.86, лит М</v>
      </c>
      <c r="S5" s="77" t="str">
        <f ca="1">_xlfn.XLOOKUP(RIGHT(AA5,2),Размеры!D:D,Размеры!A:A,"ERR",0)</f>
        <v>59</v>
      </c>
      <c r="T5" s="77">
        <f ca="1">VALUE(_xlfn.XLOOKUP($AA5,Строчный!$S:$S,Строчный!U:U,"ERR",0))</f>
        <v>5</v>
      </c>
      <c r="U5" s="14" t="s">
        <v>241</v>
      </c>
      <c r="V5" s="98" t="str">
        <f t="shared" ca="1" si="1"/>
        <v>Панама FREDRIKSON арт. 3363-676/76 (черный)</v>
      </c>
      <c r="W5" s="97" t="str">
        <f t="shared" ca="1" si="2"/>
        <v>Панама FREDRIKSON арт. 3363-676/76 (черный) {676/76}</v>
      </c>
      <c r="X5" s="18" t="str">
        <f t="shared" ca="1" si="3"/>
        <v>черный</v>
      </c>
      <c r="Y5" s="18" t="str">
        <f t="shared" ca="1" si="4"/>
        <v>черный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0" t="str">
        <f ca="1"/>
        <v>95-101-09-59</v>
      </c>
      <c r="AB5" s="72" t="str">
        <f ca="1">VLOOKUP(C5,Группа!A:B,2,FALSE)</f>
        <v>Панама</v>
      </c>
      <c r="AC5" s="94" t="str">
        <f ca="1">IFERROR(VLOOKUP(S5,Размеры!A:C,3,FALSE),"")</f>
        <v>59 L</v>
      </c>
      <c r="AD5" s="94" t="str">
        <f ca="1">VLOOKUP(I5,ЦветПолный!A:B,2,FALSE)</f>
        <v>09</v>
      </c>
      <c r="AE5" s="94" t="str">
        <f ca="1">IFERROR(VLOOKUP(S5,Размеры!A:D,4,FALSE),"")</f>
        <v>59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0" t="str">
        <f t="shared" ca="1" si="5"/>
        <v>Панама FREDRIKSON арт. 3363-676/76 (черный) {676/76}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95-101-09</v>
      </c>
      <c r="B6" s="78" t="str">
        <f ca="1">_xlfn.LET(_xlpm.CAPS,VLOOKUP(G6,Caps!A:B,2,0),_xlpm.Style,TRIM(_xlfn.XLOOKUP($A6,Строчный!$A:$A,Строчный!B:B,"ERR",0)),IF(_xlpm.CAPS=0,_xlpm.Style,UPPER(_xlpm.Style)))</f>
        <v>3363-676/76</v>
      </c>
      <c r="C6" s="78" t="str">
        <f ca="1">TRIM(PROPER(_xlfn.XLOOKUP($A6,Строчный!$A:$A,Строчный!C:C,"ERR",0)))</f>
        <v>Панамы</v>
      </c>
      <c r="D6" s="78" t="str">
        <f ca="1">_xlfn.LET(_xlpm.DATA,TRIM(_xlfn.XLOOKUP($A6,Строчный!$A:$A,Строчный!D:D,"ERR",0)),UPPER(MID(_xlpm.DATA,1,1))&amp;LOWER(MID(_xlpm.DATA,2,LEN(_xlpm.DATA)-1)))</f>
        <v>Панама</v>
      </c>
      <c r="E6" s="78" t="str">
        <f ca="1">PROPER(TRIM(_xlfn.XLOOKUP($A6,Строчный!$A:$A,Строчный!E:E,"ERR",0)))</f>
        <v>Fredrikson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FREDRIKSON</v>
      </c>
      <c r="H6" s="78" t="str">
        <f ca="1">LOWER(TRIM(_xlfn.XLOOKUP($A6,Строчный!$A:$A,Строчный!H:H,"ERR",0)))</f>
        <v>676/76</v>
      </c>
      <c r="I6" s="78" t="str">
        <f ca="1">LOWER(TRIM(_xlfn.XLOOKUP($A6,Строчный!$A:$A,Строчный!I:I,"ERR",0)))</f>
        <v>черный</v>
      </c>
      <c r="J6" s="78" t="str">
        <f ca="1">SUBSTITUTE(LOWER(TRIM(_xlfn.XLOOKUP($A6,Строчный!$A:$A,Строчный!J:J,"ERR",0))),"подклад","Подклад")</f>
        <v>80% шерсть - 20% полиамид / Подклад: 100% вискоза</v>
      </c>
      <c r="K6" s="78" t="str">
        <f ca="1">LOWER(TRIM(_xlfn.XLOOKUP($A6,Строчный!$A:$A,Строчный!K:K,"ERR",0)))</f>
        <v>шерстяные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Россия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975.8</v>
      </c>
      <c r="R6" s="86" t="str">
        <f ca="1">_xlfn.XLOOKUP($G6,Фабрика!A:A,Фабрика!B:B,"ERR",0)</f>
        <v>ООО "ФРЭДРИКСОН" Россия 192029, С-Петербург, пр. Обуховской обороны, д.86, лит М</v>
      </c>
      <c r="S6" s="77" t="str">
        <f ca="1">_xlfn.XLOOKUP(RIGHT(AA6,2),Размеры!D:D,Размеры!A:A,"ERR",0)</f>
        <v>58</v>
      </c>
      <c r="T6" s="77">
        <f ca="1">VALUE(_xlfn.XLOOKUP($AA6,Строчный!$S:$S,Строчный!U:U,"ERR",0))</f>
        <v>4</v>
      </c>
      <c r="U6" s="14" t="s">
        <v>241</v>
      </c>
      <c r="V6" s="98" t="str">
        <f t="shared" ca="1" si="1"/>
        <v>Панама FREDRIKSON арт. 3363-676/76 (черный)</v>
      </c>
      <c r="W6" s="97" t="str">
        <f t="shared" ca="1" si="2"/>
        <v>Панама FREDRIKSON арт. 3363-676/76 (черный) {676/76}</v>
      </c>
      <c r="X6" s="18" t="str">
        <f t="shared" ca="1" si="3"/>
        <v>черный</v>
      </c>
      <c r="Y6" s="18" t="str">
        <f t="shared" ca="1" si="4"/>
        <v>черный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0" t="str">
        <f ca="1"/>
        <v>95-101-09-58</v>
      </c>
      <c r="AB6" s="72" t="str">
        <f ca="1">VLOOKUP(C6,Группа!A:B,2,FALSE)</f>
        <v>Панама</v>
      </c>
      <c r="AC6" s="94" t="str">
        <f ca="1">IFERROR(VLOOKUP(S6,Размеры!A:C,3,FALSE),"")</f>
        <v>58 M/L</v>
      </c>
      <c r="AD6" s="94" t="str">
        <f ca="1">VLOOKUP(I6,ЦветПолный!A:B,2,FALSE)</f>
        <v>09</v>
      </c>
      <c r="AE6" s="94" t="str">
        <f ca="1">IFERROR(VLOOKUP(S6,Размеры!A:D,4,FALSE),"")</f>
        <v>58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0" t="str">
        <f t="shared" ca="1" si="5"/>
        <v>Панама FREDRIKSON арт. 3363-676/76 (черный) {676/76}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95-101-09</v>
      </c>
      <c r="B7" s="78" t="str">
        <f ca="1">_xlfn.LET(_xlpm.CAPS,VLOOKUP(G7,Caps!A:B,2,0),_xlpm.Style,TRIM(_xlfn.XLOOKUP($A7,Строчный!$A:$A,Строчный!B:B,"ERR",0)),IF(_xlpm.CAPS=0,_xlpm.Style,UPPER(_xlpm.Style)))</f>
        <v>3363-676/76</v>
      </c>
      <c r="C7" s="78" t="str">
        <f ca="1">TRIM(PROPER(_xlfn.XLOOKUP($A7,Строчный!$A:$A,Строчный!C:C,"ERR",0)))</f>
        <v>Панамы</v>
      </c>
      <c r="D7" s="78" t="str">
        <f ca="1">_xlfn.LET(_xlpm.DATA,TRIM(_xlfn.XLOOKUP($A7,Строчный!$A:$A,Строчный!D:D,"ERR",0)),UPPER(MID(_xlpm.DATA,1,1))&amp;LOWER(MID(_xlpm.DATA,2,LEN(_xlpm.DATA)-1)))</f>
        <v>Панама</v>
      </c>
      <c r="E7" s="78" t="str">
        <f ca="1">PROPER(TRIM(_xlfn.XLOOKUP($A7,Строчный!$A:$A,Строчный!E:E,"ERR",0)))</f>
        <v>Fredrikson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FREDRIKSON</v>
      </c>
      <c r="H7" s="78" t="str">
        <f ca="1">LOWER(TRIM(_xlfn.XLOOKUP($A7,Строчный!$A:$A,Строчный!H:H,"ERR",0)))</f>
        <v>676/76</v>
      </c>
      <c r="I7" s="78" t="str">
        <f ca="1">LOWER(TRIM(_xlfn.XLOOKUP($A7,Строчный!$A:$A,Строчный!I:I,"ERR",0)))</f>
        <v>черный</v>
      </c>
      <c r="J7" s="78" t="str">
        <f ca="1">SUBSTITUTE(LOWER(TRIM(_xlfn.XLOOKUP($A7,Строчный!$A:$A,Строчный!J:J,"ERR",0))),"подклад","Подклад")</f>
        <v>80% шерсть - 20% полиамид / Подклад: 100% вискоза</v>
      </c>
      <c r="K7" s="78" t="str">
        <f ca="1">LOWER(TRIM(_xlfn.XLOOKUP($A7,Строчный!$A:$A,Строчный!K:K,"ERR",0)))</f>
        <v>шерстяные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Россия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975.8</v>
      </c>
      <c r="R7" s="86" t="str">
        <f ca="1">_xlfn.XLOOKUP($G7,Фабрика!A:A,Фабрика!B:B,"ERR",0)</f>
        <v>ООО "ФРЭДРИКСОН" Россия 192029, С-Петербург, пр. Обуховской обороны, д.86, лит М</v>
      </c>
      <c r="S7" s="77" t="str">
        <f ca="1">_xlfn.XLOOKUP(RIGHT(AA7,2),Размеры!D:D,Размеры!A:A,"ERR",0)</f>
        <v>57</v>
      </c>
      <c r="T7" s="77">
        <f ca="1">VALUE(_xlfn.XLOOKUP($AA7,Строчный!$S:$S,Строчный!U:U,"ERR",0))</f>
        <v>2</v>
      </c>
      <c r="U7" s="14" t="s">
        <v>241</v>
      </c>
      <c r="V7" s="98" t="str">
        <f t="shared" ca="1" si="1"/>
        <v>Панама FREDRIKSON арт. 3363-676/76 (черный)</v>
      </c>
      <c r="W7" s="97" t="str">
        <f t="shared" ca="1" si="2"/>
        <v>Панама FREDRIKSON арт. 3363-676/76 (черный) {676/76}</v>
      </c>
      <c r="X7" s="18" t="str">
        <f t="shared" ca="1" si="3"/>
        <v>черный</v>
      </c>
      <c r="Y7" s="18" t="str">
        <f t="shared" ca="1" si="4"/>
        <v>черный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0" t="str">
        <f ca="1"/>
        <v>95-101-09-57</v>
      </c>
      <c r="AB7" s="72" t="str">
        <f ca="1">VLOOKUP(C7,Группа!A:B,2,FALSE)</f>
        <v>Панама</v>
      </c>
      <c r="AC7" s="94" t="str">
        <f ca="1">IFERROR(VLOOKUP(S7,Размеры!A:C,3,FALSE),"")</f>
        <v>57 M</v>
      </c>
      <c r="AD7" s="94" t="str">
        <f ca="1">VLOOKUP(I7,ЦветПолный!A:B,2,FALSE)</f>
        <v>09</v>
      </c>
      <c r="AE7" s="94" t="str">
        <f ca="1">IFERROR(VLOOKUP(S7,Размеры!A:D,4,FALSE),"")</f>
        <v>57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0" t="str">
        <f t="shared" ca="1" si="5"/>
        <v>Панама FREDRIKSON арт. 3363-676/76 (черный) {676/76}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95-101-09</v>
      </c>
      <c r="B8" s="78" t="str">
        <f ca="1">_xlfn.LET(_xlpm.CAPS,VLOOKUP(G8,Caps!A:B,2,0),_xlpm.Style,TRIM(_xlfn.XLOOKUP($A8,Строчный!$A:$A,Строчный!B:B,"ERR",0)),IF(_xlpm.CAPS=0,_xlpm.Style,UPPER(_xlpm.Style)))</f>
        <v>3363-676/76</v>
      </c>
      <c r="C8" s="78" t="str">
        <f ca="1">TRIM(PROPER(_xlfn.XLOOKUP($A8,Строчный!$A:$A,Строчный!C:C,"ERR",0)))</f>
        <v>Панамы</v>
      </c>
      <c r="D8" s="78" t="str">
        <f ca="1">_xlfn.LET(_xlpm.DATA,TRIM(_xlfn.XLOOKUP($A8,Строчный!$A:$A,Строчный!D:D,"ERR",0)),UPPER(MID(_xlpm.DATA,1,1))&amp;LOWER(MID(_xlpm.DATA,2,LEN(_xlpm.DATA)-1)))</f>
        <v>Панама</v>
      </c>
      <c r="E8" s="78" t="str">
        <f ca="1">PROPER(TRIM(_xlfn.XLOOKUP($A8,Строчный!$A:$A,Строчный!E:E,"ERR",0)))</f>
        <v>Fredrikson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FREDRIKSON</v>
      </c>
      <c r="H8" s="78" t="str">
        <f ca="1">LOWER(TRIM(_xlfn.XLOOKUP($A8,Строчный!$A:$A,Строчный!H:H,"ERR",0)))</f>
        <v>676/76</v>
      </c>
      <c r="I8" s="78" t="str">
        <f ca="1">LOWER(TRIM(_xlfn.XLOOKUP($A8,Строчный!$A:$A,Строчный!I:I,"ERR",0)))</f>
        <v>черный</v>
      </c>
      <c r="J8" s="78" t="str">
        <f ca="1">SUBSTITUTE(LOWER(TRIM(_xlfn.XLOOKUP($A8,Строчный!$A:$A,Строчный!J:J,"ERR",0))),"подклад","Подклад")</f>
        <v>80% шерсть - 20% полиамид / Подклад: 100% вискоза</v>
      </c>
      <c r="K8" s="78" t="str">
        <f ca="1">LOWER(TRIM(_xlfn.XLOOKUP($A8,Строчный!$A:$A,Строчный!K:K,"ERR",0)))</f>
        <v>шерстяные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Россия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975.8</v>
      </c>
      <c r="R8" s="86" t="str">
        <f ca="1">_xlfn.XLOOKUP($G8,Фабрика!A:A,Фабрика!B:B,"ERR",0)</f>
        <v>ООО "ФРЭДРИКСОН" Россия 192029, С-Петербург, пр. Обуховской обороны, д.86, лит М</v>
      </c>
      <c r="S8" s="77" t="str">
        <f ca="1">_xlfn.XLOOKUP(RIGHT(AA8,2),Размеры!D:D,Размеры!A:A,"ERR",0)</f>
        <v>56</v>
      </c>
      <c r="T8" s="77">
        <f ca="1">VALUE(_xlfn.XLOOKUP($AA8,Строчный!$S:$S,Строчный!U:U,"ERR",0))</f>
        <v>1</v>
      </c>
      <c r="U8" s="14" t="s">
        <v>241</v>
      </c>
      <c r="V8" s="98" t="str">
        <f t="shared" ca="1" si="1"/>
        <v>Панама FREDRIKSON арт. 3363-676/76 (черный)</v>
      </c>
      <c r="W8" s="97" t="str">
        <f t="shared" ca="1" si="2"/>
        <v>Панама FREDRIKSON арт. 3363-676/76 (черный) {676/76}</v>
      </c>
      <c r="X8" s="18" t="str">
        <f t="shared" ca="1" si="3"/>
        <v>черный</v>
      </c>
      <c r="Y8" s="18" t="str">
        <f t="shared" ca="1" si="4"/>
        <v>черный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0" t="str">
        <f ca="1"/>
        <v>95-101-09-56</v>
      </c>
      <c r="AB8" s="72" t="str">
        <f ca="1">VLOOKUP(C8,Группа!A:B,2,FALSE)</f>
        <v>Панама</v>
      </c>
      <c r="AC8" s="94" t="str">
        <f ca="1">IFERROR(VLOOKUP(S8,Размеры!A:C,3,FALSE),"")</f>
        <v>56 S/M</v>
      </c>
      <c r="AD8" s="94" t="str">
        <f ca="1">VLOOKUP(I8,ЦветПолный!A:B,2,FALSE)</f>
        <v>09</v>
      </c>
      <c r="AE8" s="94" t="str">
        <f ca="1">IFERROR(VLOOKUP(S8,Размеры!A:D,4,FALSE),"")</f>
        <v>56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0" t="str">
        <f t="shared" ca="1" si="5"/>
        <v>Панама FREDRIKSON арт. 3363-676/76 (черный) {676/76}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95-100-14</v>
      </c>
      <c r="B9" s="78" t="str">
        <f ca="1">_xlfn.LET(_xlpm.CAPS,VLOOKUP(G9,Caps!A:B,2,0),_xlpm.Style,TRIM(_xlfn.XLOOKUP($A9,Строчный!$A:$A,Строчный!B:B,"ERR",0)),IF(_xlpm.CAPS=0,_xlpm.Style,UPPER(_xlpm.Style)))</f>
        <v>3216-655/55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</v>
      </c>
      <c r="E9" s="78" t="str">
        <f ca="1">PROPER(TRIM(_xlfn.XLOOKUP($A9,Строчный!$A:$A,Строчный!E:E,"ERR",0)))</f>
        <v>Fredrikson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FREDRIKSON</v>
      </c>
      <c r="H9" s="78" t="str">
        <f ca="1">LOWER(TRIM(_xlfn.XLOOKUP($A9,Строчный!$A:$A,Строчный!H:H,"ERR",0)))</f>
        <v>655/55</v>
      </c>
      <c r="I9" s="78" t="str">
        <f ca="1">LOWER(TRIM(_xlfn.XLOOKUP($A9,Строчный!$A:$A,Строчный!I:I,"ERR",0)))</f>
        <v>коричневый</v>
      </c>
      <c r="J9" s="78" t="str">
        <f ca="1">SUBSTITUTE(LOWER(TRIM(_xlfn.XLOOKUP($A9,Строчный!$A:$A,Строчный!J:J,"ERR",0))),"подклад","Подклад")</f>
        <v>80% шерсть - 20% полиамид / Подклад: 100% вискоза</v>
      </c>
      <c r="K9" s="78" t="str">
        <f ca="1">LOWER(TRIM(_xlfn.XLOOKUP($A9,Строчный!$A:$A,Строчный!K:K,"ERR",0)))</f>
        <v>шерстяные</v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Россия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975.8</v>
      </c>
      <c r="R9" s="86" t="str">
        <f ca="1">_xlfn.XLOOKUP($G9,Фабрика!A:A,Фабрика!B:B,"ERR",0)</f>
        <v>ООО "ФРЭДРИКСОН" Россия 192029, С-Петербург, пр. Обуховской обороны, д.86, лит М</v>
      </c>
      <c r="S9" s="77" t="str">
        <f ca="1">_xlfn.XLOOKUP(RIGHT(AA9,2),Размеры!D:D,Размеры!A:A,"ERR",0)</f>
        <v>61</v>
      </c>
      <c r="T9" s="77">
        <f ca="1">VALUE(_xlfn.XLOOKUP($AA9,Строчный!$S:$S,Строчный!U:U,"ERR",0))</f>
        <v>2</v>
      </c>
      <c r="U9" s="14" t="s">
        <v>241</v>
      </c>
      <c r="V9" s="98" t="str">
        <f t="shared" ca="1" si="1"/>
        <v>Бейсболка FREDRIKSON арт. 3216-655/55 (коричневый)</v>
      </c>
      <c r="W9" s="97" t="str">
        <f t="shared" ca="1" si="2"/>
        <v>Бейсболка FREDRIKSON арт. 3216-655/55 (коричневый) {655/55}</v>
      </c>
      <c r="X9" s="18" t="str">
        <f t="shared" ca="1" si="3"/>
        <v>коричневый</v>
      </c>
      <c r="Y9" s="18" t="str">
        <f t="shared" ca="1" si="4"/>
        <v>коричневый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коричневый</v>
      </c>
      <c r="AA9" s="70" t="str">
        <f ca="1"/>
        <v>95-100-14-61</v>
      </c>
      <c r="AB9" s="72" t="str">
        <f ca="1">VLOOKUP(C9,Группа!A:B,2,FALSE)</f>
        <v>Бейсболка</v>
      </c>
      <c r="AC9" s="94" t="str">
        <f ca="1">IFERROR(VLOOKUP(S9,Размеры!A:C,3,FALSE),"")</f>
        <v>61 XL</v>
      </c>
      <c r="AD9" s="94" t="str">
        <f ca="1">VLOOKUP(I9,ЦветПолный!A:B,2,FALSE)</f>
        <v>14</v>
      </c>
      <c r="AE9" s="94" t="str">
        <f ca="1">IFERROR(VLOOKUP(S9,Размеры!A:D,4,FALSE),"")</f>
        <v>61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0" t="str">
        <f t="shared" ca="1" si="5"/>
        <v>Бейсболка FREDRIKSON арт. 3216-655/55 (коричневый) {655/55}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95-100-14</v>
      </c>
      <c r="B10" s="78" t="str">
        <f ca="1">_xlfn.LET(_xlpm.CAPS,VLOOKUP(G10,Caps!A:B,2,0),_xlpm.Style,TRIM(_xlfn.XLOOKUP($A10,Строчный!$A:$A,Строчный!B:B,"ERR",0)),IF(_xlpm.CAPS=0,_xlpm.Style,UPPER(_xlpm.Style)))</f>
        <v>3216-655/55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</v>
      </c>
      <c r="E10" s="78" t="str">
        <f ca="1">PROPER(TRIM(_xlfn.XLOOKUP($A10,Строчный!$A:$A,Строчный!E:E,"ERR",0)))</f>
        <v>Fredrikson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FREDRIKSON</v>
      </c>
      <c r="H10" s="78" t="str">
        <f ca="1">LOWER(TRIM(_xlfn.XLOOKUP($A10,Строчный!$A:$A,Строчный!H:H,"ERR",0)))</f>
        <v>655/55</v>
      </c>
      <c r="I10" s="78" t="str">
        <f ca="1">LOWER(TRIM(_xlfn.XLOOKUP($A10,Строчный!$A:$A,Строчный!I:I,"ERR",0)))</f>
        <v>коричневый</v>
      </c>
      <c r="J10" s="78" t="str">
        <f ca="1">SUBSTITUTE(LOWER(TRIM(_xlfn.XLOOKUP($A10,Строчный!$A:$A,Строчный!J:J,"ERR",0))),"подклад","Подклад")</f>
        <v>80% шерсть - 20% полиамид / Подклад: 100% вискоза</v>
      </c>
      <c r="K10" s="78" t="str">
        <f ca="1">LOWER(TRIM(_xlfn.XLOOKUP($A10,Строчный!$A:$A,Строчный!K:K,"ERR",0)))</f>
        <v>шерстяные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Россия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975.8</v>
      </c>
      <c r="R10" s="86" t="str">
        <f ca="1">_xlfn.XLOOKUP($G10,Фабрика!A:A,Фабрика!B:B,"ERR",0)</f>
        <v>ООО "ФРЭДРИКСОН" Россия 192029, С-Петербург, пр. Обуховской обороны, д.86, лит М</v>
      </c>
      <c r="S10" s="77" t="str">
        <f ca="1">_xlfn.XLOOKUP(RIGHT(AA10,2),Размеры!D:D,Размеры!A:A,"ERR",0)</f>
        <v>60</v>
      </c>
      <c r="T10" s="77">
        <f ca="1">VALUE(_xlfn.XLOOKUP($AA10,Строчный!$S:$S,Строчный!U:U,"ERR",0))</f>
        <v>4</v>
      </c>
      <c r="U10" s="14" t="s">
        <v>241</v>
      </c>
      <c r="V10" s="98" t="str">
        <f t="shared" ca="1" si="1"/>
        <v>Бейсболка FREDRIKSON арт. 3216-655/55 (коричневый)</v>
      </c>
      <c r="W10" s="97" t="str">
        <f t="shared" ca="1" si="2"/>
        <v>Бейсболка FREDRIKSON арт. 3216-655/55 (коричневый) {655/55}</v>
      </c>
      <c r="X10" s="18" t="str">
        <f t="shared" ca="1" si="3"/>
        <v>коричневый</v>
      </c>
      <c r="Y10" s="18" t="str">
        <f t="shared" ca="1" si="4"/>
        <v>коричневый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коричневый</v>
      </c>
      <c r="AA10" s="70" t="str">
        <f ca="1"/>
        <v>95-100-14-60</v>
      </c>
      <c r="AB10" s="72" t="str">
        <f ca="1">VLOOKUP(C10,Группа!A:B,2,FALSE)</f>
        <v>Бейсболка</v>
      </c>
      <c r="AC10" s="94" t="str">
        <f ca="1">IFERROR(VLOOKUP(S10,Размеры!A:C,3,FALSE),"")</f>
        <v>60 L/XL</v>
      </c>
      <c r="AD10" s="94" t="str">
        <f ca="1">VLOOKUP(I10,ЦветПолный!A:B,2,FALSE)</f>
        <v>14</v>
      </c>
      <c r="AE10" s="94" t="str">
        <f ca="1">IFERROR(VLOOKUP(S10,Размеры!A:D,4,FALSE),"")</f>
        <v>60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0" t="str">
        <f t="shared" ca="1" si="5"/>
        <v>Бейсболка FREDRIKSON арт. 3216-655/55 (коричневый) {655/55}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95-100-14</v>
      </c>
      <c r="B11" s="78" t="str">
        <f ca="1">_xlfn.LET(_xlpm.CAPS,VLOOKUP(G11,Caps!A:B,2,0),_xlpm.Style,TRIM(_xlfn.XLOOKUP($A11,Строчный!$A:$A,Строчный!B:B,"ERR",0)),IF(_xlpm.CAPS=0,_xlpm.Style,UPPER(_xlpm.Style)))</f>
        <v>3216-655/55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Fredrikson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FREDRIKSON</v>
      </c>
      <c r="H11" s="78" t="str">
        <f ca="1">LOWER(TRIM(_xlfn.XLOOKUP($A11,Строчный!$A:$A,Строчный!H:H,"ERR",0)))</f>
        <v>655/55</v>
      </c>
      <c r="I11" s="78" t="str">
        <f ca="1">LOWER(TRIM(_xlfn.XLOOKUP($A11,Строчный!$A:$A,Строчный!I:I,"ERR",0)))</f>
        <v>коричневый</v>
      </c>
      <c r="J11" s="78" t="str">
        <f ca="1">SUBSTITUTE(LOWER(TRIM(_xlfn.XLOOKUP($A11,Строчный!$A:$A,Строчный!J:J,"ERR",0))),"подклад","Подклад")</f>
        <v>80% шерсть - 20% полиамид / Подклад: 100% вискоза</v>
      </c>
      <c r="K11" s="78" t="str">
        <f ca="1">LOWER(TRIM(_xlfn.XLOOKUP($A11,Строчный!$A:$A,Строчный!K:K,"ERR",0)))</f>
        <v>шерстяные</v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Россия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975.8</v>
      </c>
      <c r="R11" s="86" t="str">
        <f ca="1">_xlfn.XLOOKUP($G11,Фабрика!A:A,Фабрика!B:B,"ERR",0)</f>
        <v>ООО "ФРЭДРИКСОН" Россия 192029, С-Петербург, пр. Обуховской обороны, д.86, лит М</v>
      </c>
      <c r="S11" s="77" t="str">
        <f ca="1">_xlfn.XLOOKUP(RIGHT(AA11,2),Размеры!D:D,Размеры!A:A,"ERR",0)</f>
        <v>59</v>
      </c>
      <c r="T11" s="77">
        <f ca="1">VALUE(_xlfn.XLOOKUP($AA11,Строчный!$S:$S,Строчный!U:U,"ERR",0))</f>
        <v>5</v>
      </c>
      <c r="U11" s="14" t="s">
        <v>241</v>
      </c>
      <c r="V11" s="98" t="str">
        <f t="shared" ca="1" si="1"/>
        <v>Бейсболка FREDRIKSON арт. 3216-655/55 (коричневый)</v>
      </c>
      <c r="W11" s="97" t="str">
        <f t="shared" ca="1" si="2"/>
        <v>Бейсболка FREDRIKSON арт. 3216-655/55 (коричневый) {655/55}</v>
      </c>
      <c r="X11" s="18" t="str">
        <f t="shared" ca="1" si="3"/>
        <v>коричневый</v>
      </c>
      <c r="Y11" s="18" t="str">
        <f t="shared" ca="1" si="4"/>
        <v>коричневый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коричневый</v>
      </c>
      <c r="AA11" s="70" t="str">
        <f ca="1"/>
        <v>95-100-14-59</v>
      </c>
      <c r="AB11" s="72" t="str">
        <f ca="1">VLOOKUP(C11,Группа!A:B,2,FALSE)</f>
        <v>Бейсболка</v>
      </c>
      <c r="AC11" s="94" t="str">
        <f ca="1">IFERROR(VLOOKUP(S11,Размеры!A:C,3,FALSE),"")</f>
        <v>59 L</v>
      </c>
      <c r="AD11" s="94" t="str">
        <f ca="1">VLOOKUP(I11,ЦветПолный!A:B,2,FALSE)</f>
        <v>14</v>
      </c>
      <c r="AE11" s="94" t="str">
        <f ca="1">IFERROR(VLOOKUP(S11,Размеры!A:D,4,FALSE),"")</f>
        <v>59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0" t="str">
        <f t="shared" ca="1" si="5"/>
        <v>Бейсболка FREDRIKSON арт. 3216-655/55 (коричневый) {655/55}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95-100-14</v>
      </c>
      <c r="B12" s="78" t="str">
        <f ca="1">_xlfn.LET(_xlpm.CAPS,VLOOKUP(G12,Caps!A:B,2,0),_xlpm.Style,TRIM(_xlfn.XLOOKUP($A12,Строчный!$A:$A,Строчный!B:B,"ERR",0)),IF(_xlpm.CAPS=0,_xlpm.Style,UPPER(_xlpm.Style)))</f>
        <v>3216-655/55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Fredrikson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FREDRIKSON</v>
      </c>
      <c r="H12" s="78" t="str">
        <f ca="1">LOWER(TRIM(_xlfn.XLOOKUP($A12,Строчный!$A:$A,Строчный!H:H,"ERR",0)))</f>
        <v>655/55</v>
      </c>
      <c r="I12" s="78" t="str">
        <f ca="1">LOWER(TRIM(_xlfn.XLOOKUP($A12,Строчный!$A:$A,Строчный!I:I,"ERR",0)))</f>
        <v>коричневый</v>
      </c>
      <c r="J12" s="78" t="str">
        <f ca="1">SUBSTITUTE(LOWER(TRIM(_xlfn.XLOOKUP($A12,Строчный!$A:$A,Строчный!J:J,"ERR",0))),"подклад","Подклад")</f>
        <v>80% шерсть - 20% полиамид / Подклад: 100% вискоза</v>
      </c>
      <c r="K12" s="78" t="str">
        <f ca="1">LOWER(TRIM(_xlfn.XLOOKUP($A12,Строчный!$A:$A,Строчный!K:K,"ERR",0)))</f>
        <v>шерстяные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Россия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975.8</v>
      </c>
      <c r="R12" s="86" t="str">
        <f ca="1">_xlfn.XLOOKUP($G12,Фабрика!A:A,Фабрика!B:B,"ERR",0)</f>
        <v>ООО "ФРЭДРИКСОН" Россия 192029, С-Петербург, пр. Обуховской обороны, д.86, лит М</v>
      </c>
      <c r="S12" s="77" t="str">
        <f ca="1">_xlfn.XLOOKUP(RIGHT(AA12,2),Размеры!D:D,Размеры!A:A,"ERR",0)</f>
        <v>58</v>
      </c>
      <c r="T12" s="77">
        <f ca="1">VALUE(_xlfn.XLOOKUP($AA12,Строчный!$S:$S,Строчный!U:U,"ERR",0))</f>
        <v>4</v>
      </c>
      <c r="U12" s="14" t="s">
        <v>241</v>
      </c>
      <c r="V12" s="98" t="str">
        <f t="shared" ca="1" si="1"/>
        <v>Бейсболка FREDRIKSON арт. 3216-655/55 (коричневый)</v>
      </c>
      <c r="W12" s="97" t="str">
        <f t="shared" ca="1" si="2"/>
        <v>Бейсболка FREDRIKSON арт. 3216-655/55 (коричневый) {655/55}</v>
      </c>
      <c r="X12" s="18" t="str">
        <f t="shared" ca="1" si="3"/>
        <v>коричневый</v>
      </c>
      <c r="Y12" s="18" t="str">
        <f t="shared" ca="1" si="4"/>
        <v>коричневый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коричневый</v>
      </c>
      <c r="AA12" s="70" t="str">
        <f ca="1"/>
        <v>95-100-14-58</v>
      </c>
      <c r="AB12" s="72" t="str">
        <f ca="1">VLOOKUP(C12,Группа!A:B,2,FALSE)</f>
        <v>Бейсболка</v>
      </c>
      <c r="AC12" s="94" t="str">
        <f ca="1">IFERROR(VLOOKUP(S12,Размеры!A:C,3,FALSE),"")</f>
        <v>58 M/L</v>
      </c>
      <c r="AD12" s="94" t="str">
        <f ca="1">VLOOKUP(I12,ЦветПолный!A:B,2,FALSE)</f>
        <v>14</v>
      </c>
      <c r="AE12" s="94" t="str">
        <f ca="1">IFERROR(VLOOKUP(S12,Размеры!A:D,4,FALSE),"")</f>
        <v>58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0" t="str">
        <f t="shared" ca="1" si="5"/>
        <v>Бейсболка FREDRIKSON арт. 3216-655/55 (коричневый) {655/55}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ERR</v>
      </c>
      <c r="AU12" s="139" t="str">
        <f ca="1">IF(IFERROR(VLOOKUP(A12,Товары!B:B,1,FALSE),"")=A12,"Есть в 1С","ERR")</f>
        <v>ERR</v>
      </c>
      <c r="AV12" s="93" t="e">
        <f ca="1">VLOOKUP(W12,Товары!A:B,2,FALSE)</f>
        <v>#N/A</v>
      </c>
      <c r="AW12" s="91" t="e">
        <f ca="1">VLOOKUP(W12,Товары!A:B,1,FALSE)</f>
        <v>#N/A</v>
      </c>
    </row>
    <row r="13" spans="1:49" x14ac:dyDescent="0.25">
      <c r="A13" s="105" t="str">
        <f t="shared" ca="1" si="0"/>
        <v>95-100-14</v>
      </c>
      <c r="B13" s="78" t="str">
        <f ca="1">_xlfn.LET(_xlpm.CAPS,VLOOKUP(G13,Caps!A:B,2,0),_xlpm.Style,TRIM(_xlfn.XLOOKUP($A13,Строчный!$A:$A,Строчный!B:B,"ERR",0)),IF(_xlpm.CAPS=0,_xlpm.Style,UPPER(_xlpm.Style)))</f>
        <v>3216-655/55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</v>
      </c>
      <c r="E13" s="78" t="str">
        <f ca="1">PROPER(TRIM(_xlfn.XLOOKUP($A13,Строчный!$A:$A,Строчный!E:E,"ERR",0)))</f>
        <v>Fredrikson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FREDRIKSON</v>
      </c>
      <c r="H13" s="78" t="str">
        <f ca="1">LOWER(TRIM(_xlfn.XLOOKUP($A13,Строчный!$A:$A,Строчный!H:H,"ERR",0)))</f>
        <v>655/55</v>
      </c>
      <c r="I13" s="78" t="str">
        <f ca="1">LOWER(TRIM(_xlfn.XLOOKUP($A13,Строчный!$A:$A,Строчный!I:I,"ERR",0)))</f>
        <v>коричневый</v>
      </c>
      <c r="J13" s="78" t="str">
        <f ca="1">SUBSTITUTE(LOWER(TRIM(_xlfn.XLOOKUP($A13,Строчный!$A:$A,Строчный!J:J,"ERR",0))),"подклад","Подклад")</f>
        <v>80% шерсть - 20% полиамид / Подклад: 100% вискоза</v>
      </c>
      <c r="K13" s="78" t="str">
        <f ca="1">LOWER(TRIM(_xlfn.XLOOKUP($A13,Строчный!$A:$A,Строчный!K:K,"ERR",0)))</f>
        <v>шерстяные</v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Россия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975.8</v>
      </c>
      <c r="R13" s="86" t="str">
        <f ca="1">_xlfn.XLOOKUP($G13,Фабрика!A:A,Фабрика!B:B,"ERR",0)</f>
        <v>ООО "ФРЭДРИКСОН" Россия 192029, С-Петербург, пр. Обуховской обороны, д.86, лит М</v>
      </c>
      <c r="S13" s="77" t="str">
        <f ca="1">_xlfn.XLOOKUP(RIGHT(AA13,2),Размеры!D:D,Размеры!A:A,"ERR",0)</f>
        <v>57</v>
      </c>
      <c r="T13" s="77">
        <f ca="1">VALUE(_xlfn.XLOOKUP($AA13,Строчный!$S:$S,Строчный!U:U,"ERR",0))</f>
        <v>2</v>
      </c>
      <c r="U13" s="14" t="s">
        <v>241</v>
      </c>
      <c r="V13" s="98" t="str">
        <f t="shared" ca="1" si="1"/>
        <v>Бейсболка FREDRIKSON арт. 3216-655/55 (коричневый)</v>
      </c>
      <c r="W13" s="97" t="str">
        <f t="shared" ca="1" si="2"/>
        <v>Бейсболка FREDRIKSON арт. 3216-655/55 (коричневый) {655/55}</v>
      </c>
      <c r="X13" s="18" t="str">
        <f t="shared" ca="1" si="3"/>
        <v>коричневый</v>
      </c>
      <c r="Y13" s="18" t="str">
        <f t="shared" ca="1" si="4"/>
        <v>коричневый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коричневый</v>
      </c>
      <c r="AA13" s="70" t="str">
        <f ca="1"/>
        <v>95-100-14-57</v>
      </c>
      <c r="AB13" s="72" t="str">
        <f ca="1">VLOOKUP(C13,Группа!A:B,2,FALSE)</f>
        <v>Бейсболка</v>
      </c>
      <c r="AC13" s="94" t="str">
        <f ca="1">IFERROR(VLOOKUP(S13,Размеры!A:C,3,FALSE),"")</f>
        <v>57 M</v>
      </c>
      <c r="AD13" s="94" t="str">
        <f ca="1">VLOOKUP(I13,ЦветПолный!A:B,2,FALSE)</f>
        <v>14</v>
      </c>
      <c r="AE13" s="94" t="str">
        <f ca="1">IFERROR(VLOOKUP(S13,Размеры!A:D,4,FALSE),"")</f>
        <v>57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0" t="str">
        <f t="shared" ca="1" si="5"/>
        <v>Бейсболка FREDRIKSON арт. 3216-655/55 (коричневый) {655/55}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95-099-09</v>
      </c>
      <c r="B14" s="78" t="str">
        <f ca="1">_xlfn.LET(_xlpm.CAPS,VLOOKUP(G14,Caps!A:B,2,0),_xlpm.Style,TRIM(_xlfn.XLOOKUP($A14,Строчный!$A:$A,Строчный!B:B,"ERR",0)),IF(_xlpm.CAPS=0,_xlpm.Style,UPPER(_xlpm.Style)))</f>
        <v>3216-624/91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</v>
      </c>
      <c r="E14" s="78" t="str">
        <f ca="1">PROPER(TRIM(_xlfn.XLOOKUP($A14,Строчный!$A:$A,Строчный!E:E,"ERR",0)))</f>
        <v>Fredrikson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FREDRIKSON</v>
      </c>
      <c r="H14" s="78" t="str">
        <f ca="1">LOWER(TRIM(_xlfn.XLOOKUP($A14,Строчный!$A:$A,Строчный!H:H,"ERR",0)))</f>
        <v>624/91</v>
      </c>
      <c r="I14" s="78" t="str">
        <f ca="1">LOWER(TRIM(_xlfn.XLOOKUP($A14,Строчный!$A:$A,Строчный!I:I,"ERR",0)))</f>
        <v>черный</v>
      </c>
      <c r="J14" s="78" t="str">
        <f ca="1">SUBSTITUTE(LOWER(TRIM(_xlfn.XLOOKUP($A14,Строчный!$A:$A,Строчный!J:J,"ERR",0))),"подклад","Подклад")</f>
        <v>80% шерсть - 20% полиамид / Подклад: 100% вискоза</v>
      </c>
      <c r="K14" s="78" t="str">
        <f ca="1">LOWER(TRIM(_xlfn.XLOOKUP($A14,Строчный!$A:$A,Строчный!K:K,"ERR",0)))</f>
        <v>шерстяные</v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Россия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975.8</v>
      </c>
      <c r="R14" s="86" t="str">
        <f ca="1">_xlfn.XLOOKUP($G14,Фабрика!A:A,Фабрика!B:B,"ERR",0)</f>
        <v>ООО "ФРЭДРИКСОН" Россия 192029, С-Петербург, пр. Обуховской обороны, д.86, лит М</v>
      </c>
      <c r="S14" s="77" t="str">
        <f ca="1">_xlfn.XLOOKUP(RIGHT(AA14,2),Размеры!D:D,Размеры!A:A,"ERR",0)</f>
        <v>61</v>
      </c>
      <c r="T14" s="77">
        <f ca="1">VALUE(_xlfn.XLOOKUP($AA14,Строчный!$S:$S,Строчный!U:U,"ERR",0))</f>
        <v>2</v>
      </c>
      <c r="U14" s="14" t="s">
        <v>241</v>
      </c>
      <c r="V14" s="98" t="str">
        <f t="shared" ca="1" si="1"/>
        <v>Бейсболка FREDRIKSON арт. 3216-624/91 (черный)</v>
      </c>
      <c r="W14" s="97" t="str">
        <f t="shared" ca="1" si="2"/>
        <v>Бейсболка FREDRIKSON арт. 3216-624/91 (черный) {624/91}</v>
      </c>
      <c r="X14" s="18" t="str">
        <f t="shared" ca="1" si="3"/>
        <v>черный</v>
      </c>
      <c r="Y14" s="18" t="str">
        <f t="shared" ca="1" si="4"/>
        <v>черный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черный</v>
      </c>
      <c r="AA14" s="70" t="str">
        <f ca="1"/>
        <v>95-099-09-61</v>
      </c>
      <c r="AB14" s="72" t="str">
        <f ca="1">VLOOKUP(C14,Группа!A:B,2,FALSE)</f>
        <v>Бейсболка</v>
      </c>
      <c r="AC14" s="94" t="str">
        <f ca="1">IFERROR(VLOOKUP(S14,Размеры!A:C,3,FALSE),"")</f>
        <v>61 XL</v>
      </c>
      <c r="AD14" s="94" t="str">
        <f ca="1">VLOOKUP(I14,ЦветПолный!A:B,2,FALSE)</f>
        <v>09</v>
      </c>
      <c r="AE14" s="94" t="str">
        <f ca="1">IFERROR(VLOOKUP(S14,Размеры!A:D,4,FALSE),"")</f>
        <v>61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0" t="str">
        <f t="shared" ca="1" si="5"/>
        <v>Бейсболка FREDRIKSON арт. 3216-624/91 (черный) {624/91}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95-099-09</v>
      </c>
      <c r="B15" s="78" t="str">
        <f ca="1">_xlfn.LET(_xlpm.CAPS,VLOOKUP(G15,Caps!A:B,2,0),_xlpm.Style,TRIM(_xlfn.XLOOKUP($A15,Строчный!$A:$A,Строчный!B:B,"ERR",0)),IF(_xlpm.CAPS=0,_xlpm.Style,UPPER(_xlpm.Style)))</f>
        <v>3216-624/91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</v>
      </c>
      <c r="E15" s="78" t="str">
        <f ca="1">PROPER(TRIM(_xlfn.XLOOKUP($A15,Строчный!$A:$A,Строчный!E:E,"ERR",0)))</f>
        <v>Fredrikson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FREDRIKSON</v>
      </c>
      <c r="H15" s="78" t="str">
        <f ca="1">LOWER(TRIM(_xlfn.XLOOKUP($A15,Строчный!$A:$A,Строчный!H:H,"ERR",0)))</f>
        <v>624/91</v>
      </c>
      <c r="I15" s="78" t="str">
        <f ca="1">LOWER(TRIM(_xlfn.XLOOKUP($A15,Строчный!$A:$A,Строчный!I:I,"ERR",0)))</f>
        <v>черный</v>
      </c>
      <c r="J15" s="78" t="str">
        <f ca="1">SUBSTITUTE(LOWER(TRIM(_xlfn.XLOOKUP($A15,Строчный!$A:$A,Строчный!J:J,"ERR",0))),"подклад","Подклад")</f>
        <v>80% шерсть - 20% полиамид / Подклад: 100% вискоза</v>
      </c>
      <c r="K15" s="78" t="str">
        <f ca="1">LOWER(TRIM(_xlfn.XLOOKUP($A15,Строчный!$A:$A,Строчный!K:K,"ERR",0)))</f>
        <v>шерстяные</v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Россия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975.8</v>
      </c>
      <c r="R15" s="86" t="str">
        <f ca="1">_xlfn.XLOOKUP($G15,Фабрика!A:A,Фабрика!B:B,"ERR",0)</f>
        <v>ООО "ФРЭДРИКСОН" Россия 192029, С-Петербург, пр. Обуховской обороны, д.86, лит М</v>
      </c>
      <c r="S15" s="77" t="str">
        <f ca="1">_xlfn.XLOOKUP(RIGHT(AA15,2),Размеры!D:D,Размеры!A:A,"ERR",0)</f>
        <v>60</v>
      </c>
      <c r="T15" s="77">
        <f ca="1">VALUE(_xlfn.XLOOKUP($AA15,Строчный!$S:$S,Строчный!U:U,"ERR",0))</f>
        <v>4</v>
      </c>
      <c r="U15" s="14" t="s">
        <v>241</v>
      </c>
      <c r="V15" s="98" t="str">
        <f t="shared" ca="1" si="1"/>
        <v>Бейсболка FREDRIKSON арт. 3216-624/91 (черный)</v>
      </c>
      <c r="W15" s="97" t="str">
        <f t="shared" ca="1" si="2"/>
        <v>Бейсболка FREDRIKSON арт. 3216-624/91 (черный) {624/91}</v>
      </c>
      <c r="X15" s="18" t="str">
        <f t="shared" ca="1" si="3"/>
        <v>черный</v>
      </c>
      <c r="Y15" s="18" t="str">
        <f t="shared" ca="1" si="4"/>
        <v>черный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0" t="str">
        <f ca="1"/>
        <v>95-099-09-60</v>
      </c>
      <c r="AB15" s="72" t="str">
        <f ca="1">VLOOKUP(C15,Группа!A:B,2,FALSE)</f>
        <v>Бейсболка</v>
      </c>
      <c r="AC15" s="94" t="str">
        <f ca="1">IFERROR(VLOOKUP(S15,Размеры!A:C,3,FALSE),"")</f>
        <v>60 L/XL</v>
      </c>
      <c r="AD15" s="94" t="str">
        <f ca="1">VLOOKUP(I15,ЦветПолный!A:B,2,FALSE)</f>
        <v>09</v>
      </c>
      <c r="AE15" s="94" t="str">
        <f ca="1">IFERROR(VLOOKUP(S15,Размеры!A:D,4,FALSE),"")</f>
        <v>60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0" t="str">
        <f t="shared" ca="1" si="5"/>
        <v>Бейсболка FREDRIKSON арт. 3216-624/91 (черный) {624/91}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95-099-09</v>
      </c>
      <c r="B16" s="78" t="str">
        <f ca="1">_xlfn.LET(_xlpm.CAPS,VLOOKUP(G16,Caps!A:B,2,0),_xlpm.Style,TRIM(_xlfn.XLOOKUP($A16,Строчный!$A:$A,Строчный!B:B,"ERR",0)),IF(_xlpm.CAPS=0,_xlpm.Style,UPPER(_xlpm.Style)))</f>
        <v>3216-624/91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</v>
      </c>
      <c r="E16" s="78" t="str">
        <f ca="1">PROPER(TRIM(_xlfn.XLOOKUP($A16,Строчный!$A:$A,Строчный!E:E,"ERR",0)))</f>
        <v>Fredrikson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FREDRIKSON</v>
      </c>
      <c r="H16" s="78" t="str">
        <f ca="1">LOWER(TRIM(_xlfn.XLOOKUP($A16,Строчный!$A:$A,Строчный!H:H,"ERR",0)))</f>
        <v>624/91</v>
      </c>
      <c r="I16" s="78" t="str">
        <f ca="1">LOWER(TRIM(_xlfn.XLOOKUP($A16,Строчный!$A:$A,Строчный!I:I,"ERR",0)))</f>
        <v>черный</v>
      </c>
      <c r="J16" s="78" t="str">
        <f ca="1">SUBSTITUTE(LOWER(TRIM(_xlfn.XLOOKUP($A16,Строчный!$A:$A,Строчный!J:J,"ERR",0))),"подклад","Подклад")</f>
        <v>80% шерсть - 20% полиамид / Подклад: 100% вискоза</v>
      </c>
      <c r="K16" s="78" t="str">
        <f ca="1">LOWER(TRIM(_xlfn.XLOOKUP($A16,Строчный!$A:$A,Строчный!K:K,"ERR",0)))</f>
        <v>шерстяные</v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Россия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975.8</v>
      </c>
      <c r="R16" s="86" t="str">
        <f ca="1">_xlfn.XLOOKUP($G16,Фабрика!A:A,Фабрика!B:B,"ERR",0)</f>
        <v>ООО "ФРЭДРИКСОН" Россия 192029, С-Петербург, пр. Обуховской обороны, д.86, лит М</v>
      </c>
      <c r="S16" s="77" t="str">
        <f ca="1">_xlfn.XLOOKUP(RIGHT(AA16,2),Размеры!D:D,Размеры!A:A,"ERR",0)</f>
        <v>59</v>
      </c>
      <c r="T16" s="77">
        <f ca="1">VALUE(_xlfn.XLOOKUP($AA16,Строчный!$S:$S,Строчный!U:U,"ERR",0))</f>
        <v>5</v>
      </c>
      <c r="U16" s="14" t="s">
        <v>241</v>
      </c>
      <c r="V16" s="98" t="str">
        <f t="shared" ca="1" si="1"/>
        <v>Бейсболка FREDRIKSON арт. 3216-624/91 (черный)</v>
      </c>
      <c r="W16" s="97" t="str">
        <f t="shared" ca="1" si="2"/>
        <v>Бейсболка FREDRIKSON арт. 3216-624/91 (черный) {624/91}</v>
      </c>
      <c r="X16" s="18" t="str">
        <f t="shared" ca="1" si="3"/>
        <v>черный</v>
      </c>
      <c r="Y16" s="18" t="str">
        <f t="shared" ca="1" si="4"/>
        <v>черный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0" t="str">
        <f ca="1"/>
        <v>95-099-09-59</v>
      </c>
      <c r="AB16" s="72" t="str">
        <f ca="1">VLOOKUP(C16,Группа!A:B,2,FALSE)</f>
        <v>Бейсболка</v>
      </c>
      <c r="AC16" s="94" t="str">
        <f ca="1">IFERROR(VLOOKUP(S16,Размеры!A:C,3,FALSE),"")</f>
        <v>59 L</v>
      </c>
      <c r="AD16" s="94" t="str">
        <f ca="1">VLOOKUP(I16,ЦветПолный!A:B,2,FALSE)</f>
        <v>09</v>
      </c>
      <c r="AE16" s="94" t="str">
        <f ca="1">IFERROR(VLOOKUP(S16,Размеры!A:D,4,FALSE),"")</f>
        <v>59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0" t="str">
        <f t="shared" ca="1" si="5"/>
        <v>Бейсболка FREDRIKSON арт. 3216-624/91 (черный) {624/91}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ERR</v>
      </c>
      <c r="AU16" s="139" t="str">
        <f ca="1">IF(IFERROR(VLOOKUP(A16,Товары!B:B,1,FALSE),"")=A16,"Есть в 1С","ERR")</f>
        <v>ERR</v>
      </c>
      <c r="AV16" s="93" t="e">
        <f ca="1">VLOOKUP(W16,Товары!A:B,2,FALSE)</f>
        <v>#N/A</v>
      </c>
      <c r="AW16" s="91" t="e">
        <f ca="1">VLOOKUP(W16,Товары!A:B,1,FALSE)</f>
        <v>#N/A</v>
      </c>
    </row>
    <row r="17" spans="1:49" x14ac:dyDescent="0.25">
      <c r="A17" s="105" t="str">
        <f t="shared" ca="1" si="0"/>
        <v>95-099-09</v>
      </c>
      <c r="B17" s="78" t="str">
        <f ca="1">_xlfn.LET(_xlpm.CAPS,VLOOKUP(G17,Caps!A:B,2,0),_xlpm.Style,TRIM(_xlfn.XLOOKUP($A17,Строчный!$A:$A,Строчный!B:B,"ERR",0)),IF(_xlpm.CAPS=0,_xlpm.Style,UPPER(_xlpm.Style)))</f>
        <v>3216-624/91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</v>
      </c>
      <c r="E17" s="78" t="str">
        <f ca="1">PROPER(TRIM(_xlfn.XLOOKUP($A17,Строчный!$A:$A,Строчный!E:E,"ERR",0)))</f>
        <v>Fredrikson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FREDRIKSON</v>
      </c>
      <c r="H17" s="78" t="str">
        <f ca="1">LOWER(TRIM(_xlfn.XLOOKUP($A17,Строчный!$A:$A,Строчный!H:H,"ERR",0)))</f>
        <v>624/91</v>
      </c>
      <c r="I17" s="78" t="str">
        <f ca="1">LOWER(TRIM(_xlfn.XLOOKUP($A17,Строчный!$A:$A,Строчный!I:I,"ERR",0)))</f>
        <v>черный</v>
      </c>
      <c r="J17" s="78" t="str">
        <f ca="1">SUBSTITUTE(LOWER(TRIM(_xlfn.XLOOKUP($A17,Строчный!$A:$A,Строчный!J:J,"ERR",0))),"подклад","Подклад")</f>
        <v>80% шерсть - 20% полиамид / Подклад: 100% вискоза</v>
      </c>
      <c r="K17" s="78" t="str">
        <f ca="1">LOWER(TRIM(_xlfn.XLOOKUP($A17,Строчный!$A:$A,Строчный!K:K,"ERR",0)))</f>
        <v>шерстяные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Россия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975.8</v>
      </c>
      <c r="R17" s="86" t="str">
        <f ca="1">_xlfn.XLOOKUP($G17,Фабрика!A:A,Фабрика!B:B,"ERR",0)</f>
        <v>ООО "ФРЭДРИКСОН" Россия 192029, С-Петербург, пр. Обуховской обороны, д.86, лит М</v>
      </c>
      <c r="S17" s="77" t="str">
        <f ca="1">_xlfn.XLOOKUP(RIGHT(AA17,2),Размеры!D:D,Размеры!A:A,"ERR",0)</f>
        <v>58</v>
      </c>
      <c r="T17" s="77">
        <f ca="1">VALUE(_xlfn.XLOOKUP($AA17,Строчный!$S:$S,Строчный!U:U,"ERR",0))</f>
        <v>4</v>
      </c>
      <c r="U17" s="14" t="s">
        <v>241</v>
      </c>
      <c r="V17" s="98" t="str">
        <f t="shared" ca="1" si="1"/>
        <v>Бейсболка FREDRIKSON арт. 3216-624/91 (черный)</v>
      </c>
      <c r="W17" s="97" t="str">
        <f t="shared" ca="1" si="2"/>
        <v>Бейсболка FREDRIKSON арт. 3216-624/91 (черный) {624/91}</v>
      </c>
      <c r="X17" s="18" t="str">
        <f t="shared" ca="1" si="3"/>
        <v>черный</v>
      </c>
      <c r="Y17" s="18" t="str">
        <f t="shared" ca="1" si="4"/>
        <v>черный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0" t="str">
        <f ca="1"/>
        <v>95-099-09-58</v>
      </c>
      <c r="AB17" s="72" t="str">
        <f ca="1">VLOOKUP(C17,Группа!A:B,2,FALSE)</f>
        <v>Бейсболка</v>
      </c>
      <c r="AC17" s="94" t="str">
        <f ca="1">IFERROR(VLOOKUP(S17,Размеры!A:C,3,FALSE),"")</f>
        <v>58 M/L</v>
      </c>
      <c r="AD17" s="94" t="str">
        <f ca="1">VLOOKUP(I17,ЦветПолный!A:B,2,FALSE)</f>
        <v>09</v>
      </c>
      <c r="AE17" s="94" t="str">
        <f ca="1">IFERROR(VLOOKUP(S17,Размеры!A:D,4,FALSE),"")</f>
        <v>58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0" t="str">
        <f t="shared" ca="1" si="5"/>
        <v>Бейсболка FREDRIKSON арт. 3216-624/91 (черный) {624/91}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95-099-09</v>
      </c>
      <c r="B18" s="78" t="str">
        <f ca="1">_xlfn.LET(_xlpm.CAPS,VLOOKUP(G18,Caps!A:B,2,0),_xlpm.Style,TRIM(_xlfn.XLOOKUP($A18,Строчный!$A:$A,Строчный!B:B,"ERR",0)),IF(_xlpm.CAPS=0,_xlpm.Style,UPPER(_xlpm.Style)))</f>
        <v>3216-624/91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</v>
      </c>
      <c r="E18" s="78" t="str">
        <f ca="1">PROPER(TRIM(_xlfn.XLOOKUP($A18,Строчный!$A:$A,Строчный!E:E,"ERR",0)))</f>
        <v>Fredrikson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FREDRIKSON</v>
      </c>
      <c r="H18" s="78" t="str">
        <f ca="1">LOWER(TRIM(_xlfn.XLOOKUP($A18,Строчный!$A:$A,Строчный!H:H,"ERR",0)))</f>
        <v>624/91</v>
      </c>
      <c r="I18" s="78" t="str">
        <f ca="1">LOWER(TRIM(_xlfn.XLOOKUP($A18,Строчный!$A:$A,Строчный!I:I,"ERR",0)))</f>
        <v>черный</v>
      </c>
      <c r="J18" s="78" t="str">
        <f ca="1">SUBSTITUTE(LOWER(TRIM(_xlfn.XLOOKUP($A18,Строчный!$A:$A,Строчный!J:J,"ERR",0))),"подклад","Подклад")</f>
        <v>80% шерсть - 20% полиамид / Подклад: 100% вискоза</v>
      </c>
      <c r="K18" s="78" t="str">
        <f ca="1">LOWER(TRIM(_xlfn.XLOOKUP($A18,Строчный!$A:$A,Строчный!K:K,"ERR",0)))</f>
        <v>шерстяные</v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Россия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975.8</v>
      </c>
      <c r="R18" s="86" t="str">
        <f ca="1">_xlfn.XLOOKUP($G18,Фабрика!A:A,Фабрика!B:B,"ERR",0)</f>
        <v>ООО "ФРЭДРИКСОН" Россия 192029, С-Петербург, пр. Обуховской обороны, д.86, лит М</v>
      </c>
      <c r="S18" s="77" t="str">
        <f ca="1">_xlfn.XLOOKUP(RIGHT(AA18,2),Размеры!D:D,Размеры!A:A,"ERR",0)</f>
        <v>57</v>
      </c>
      <c r="T18" s="77">
        <f ca="1">VALUE(_xlfn.XLOOKUP($AA18,Строчный!$S:$S,Строчный!U:U,"ERR",0))</f>
        <v>2</v>
      </c>
      <c r="U18" s="14" t="s">
        <v>241</v>
      </c>
      <c r="V18" s="98" t="str">
        <f t="shared" ca="1" si="1"/>
        <v>Бейсболка FREDRIKSON арт. 3216-624/91 (черный)</v>
      </c>
      <c r="W18" s="97" t="str">
        <f t="shared" ca="1" si="2"/>
        <v>Бейсболка FREDRIKSON арт. 3216-624/91 (черный) {624/91}</v>
      </c>
      <c r="X18" s="18" t="str">
        <f t="shared" ca="1" si="3"/>
        <v>черный</v>
      </c>
      <c r="Y18" s="18" t="str">
        <f t="shared" ca="1" si="4"/>
        <v>черный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0" t="str">
        <f ca="1"/>
        <v>95-099-09-57</v>
      </c>
      <c r="AB18" s="72" t="str">
        <f ca="1">VLOOKUP(C18,Группа!A:B,2,FALSE)</f>
        <v>Бейсболка</v>
      </c>
      <c r="AC18" s="94" t="str">
        <f ca="1">IFERROR(VLOOKUP(S18,Размеры!A:C,3,FALSE),"")</f>
        <v>57 M</v>
      </c>
      <c r="AD18" s="94" t="str">
        <f ca="1">VLOOKUP(I18,ЦветПолный!A:B,2,FALSE)</f>
        <v>09</v>
      </c>
      <c r="AE18" s="94" t="str">
        <f ca="1">IFERROR(VLOOKUP(S18,Размеры!A:D,4,FALSE),"")</f>
        <v>57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0" t="str">
        <f t="shared" ca="1" si="5"/>
        <v>Бейсболка FREDRIKSON арт. 3216-624/91 (черный) {624/91}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ERR</v>
      </c>
      <c r="AU18" s="139" t="str">
        <f ca="1">IF(IFERROR(VLOOKUP(A18,Товары!B:B,1,FALSE),"")=A18,"Есть в 1С","ERR")</f>
        <v>ERR</v>
      </c>
      <c r="AV18" s="93" t="e">
        <f ca="1">VLOOKUP(W18,Товары!A:B,2,FALSE)</f>
        <v>#N/A</v>
      </c>
      <c r="AW18" s="91" t="e">
        <f ca="1">VLOOKUP(W18,Товары!A:B,1,FALSE)</f>
        <v>#N/A</v>
      </c>
    </row>
    <row r="19" spans="1:49" x14ac:dyDescent="0.25">
      <c r="A19" s="105" t="str">
        <f t="shared" ca="1" si="0"/>
        <v>95-098-09</v>
      </c>
      <c r="B19" s="78" t="str">
        <f ca="1">_xlfn.LET(_xlpm.CAPS,VLOOKUP(G19,Caps!A:B,2,0),_xlpm.Style,TRIM(_xlfn.XLOOKUP($A19,Строчный!$A:$A,Строчный!B:B,"ERR",0)),IF(_xlpm.CAPS=0,_xlpm.Style,UPPER(_xlpm.Style)))</f>
        <v>3190-676/76</v>
      </c>
      <c r="C19" s="78" t="str">
        <f ca="1">TRIM(PROPER(_xlfn.XLOOKUP($A19,Строчный!$A:$A,Строчный!C:C,"ERR",0)))</f>
        <v>Кепки</v>
      </c>
      <c r="D19" s="78" t="str">
        <f ca="1">_xlfn.LET(_xlpm.DATA,TRIM(_xlfn.XLOOKUP($A19,Строчный!$A:$A,Строчный!D:D,"ERR",0)),UPPER(MID(_xlpm.DATA,1,1))&amp;LOWER(MID(_xlpm.DATA,2,LEN(_xlpm.DATA)-1)))</f>
        <v>Кепка восьмиклинка</v>
      </c>
      <c r="E19" s="78" t="str">
        <f ca="1">PROPER(TRIM(_xlfn.XLOOKUP($A19,Строчный!$A:$A,Строчный!E:E,"ERR",0)))</f>
        <v>Fredrikson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FREDRIKSON</v>
      </c>
      <c r="H19" s="78" t="str">
        <f ca="1">LOWER(TRIM(_xlfn.XLOOKUP($A19,Строчный!$A:$A,Строчный!H:H,"ERR",0)))</f>
        <v>676/76</v>
      </c>
      <c r="I19" s="78" t="str">
        <f ca="1">LOWER(TRIM(_xlfn.XLOOKUP($A19,Строчный!$A:$A,Строчный!I:I,"ERR",0)))</f>
        <v>черный</v>
      </c>
      <c r="J19" s="78" t="str">
        <f ca="1">SUBSTITUTE(LOWER(TRIM(_xlfn.XLOOKUP($A19,Строчный!$A:$A,Строчный!J:J,"ERR",0))),"подклад","Подклад")</f>
        <v>80% шерсть - 20% полиамид / Подклад: 100% хлопок</v>
      </c>
      <c r="K19" s="78" t="str">
        <f ca="1">LOWER(TRIM(_xlfn.XLOOKUP($A19,Строчный!$A:$A,Строчный!K:K,"ERR",0)))</f>
        <v>шерстяные</v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Россия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975.8</v>
      </c>
      <c r="R19" s="86" t="str">
        <f ca="1">_xlfn.XLOOKUP($G19,Фабрика!A:A,Фабрика!B:B,"ERR",0)</f>
        <v>ООО "ФРЭДРИКСОН" Россия 192029, С-Петербург, пр. Обуховской обороны, д.86, лит М</v>
      </c>
      <c r="S19" s="77" t="str">
        <f ca="1">_xlfn.XLOOKUP(RIGHT(AA19,2),Размеры!D:D,Размеры!A:A,"ERR",0)</f>
        <v>62</v>
      </c>
      <c r="T19" s="77">
        <f ca="1">VALUE(_xlfn.XLOOKUP($AA19,Строчный!$S:$S,Строчный!U:U,"ERR",0))</f>
        <v>6</v>
      </c>
      <c r="U19" s="14" t="s">
        <v>241</v>
      </c>
      <c r="V19" s="98" t="str">
        <f t="shared" ca="1" si="1"/>
        <v>Кепка FREDRIKSON арт. 3190-676/76 (черный)</v>
      </c>
      <c r="W19" s="97" t="str">
        <f t="shared" ca="1" si="2"/>
        <v>Кепка FREDRIKSON арт. 3190-676/76 (черный) {676/76}</v>
      </c>
      <c r="X19" s="18" t="str">
        <f t="shared" ca="1" si="3"/>
        <v>черный</v>
      </c>
      <c r="Y19" s="18" t="str">
        <f t="shared" ca="1" si="4"/>
        <v>черный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95-098-09-62</v>
      </c>
      <c r="AB19" s="72" t="str">
        <f ca="1">VLOOKUP(C19,Группа!A:B,2,FALSE)</f>
        <v>Кепка</v>
      </c>
      <c r="AC19" s="94" t="str">
        <f ca="1">IFERROR(VLOOKUP(S19,Размеры!A:C,3,FALSE),"")</f>
        <v>62 XL/XXL</v>
      </c>
      <c r="AD19" s="94" t="str">
        <f ca="1">VLOOKUP(I19,ЦветПолный!A:B,2,FALSE)</f>
        <v>09</v>
      </c>
      <c r="AE19" s="94" t="str">
        <f ca="1">IFERROR(VLOOKUP(S19,Размеры!A:D,4,FALSE),"")</f>
        <v>62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0" t="str">
        <f t="shared" ca="1" si="5"/>
        <v>Кепка FREDRIKSON арт. 3190-676/76 (черный) {676/76}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ERR</v>
      </c>
      <c r="AU19" s="139" t="str">
        <f ca="1">IF(IFERROR(VLOOKUP(A19,Товары!B:B,1,FALSE),"")=A19,"Есть в 1С","ERR")</f>
        <v>ERR</v>
      </c>
      <c r="AV19" s="93" t="e">
        <f ca="1">VLOOKUP(W19,Товары!A:B,2,FALSE)</f>
        <v>#N/A</v>
      </c>
      <c r="AW19" s="91" t="e">
        <f ca="1">VLOOKUP(W19,Товары!A:B,1,FALSE)</f>
        <v>#N/A</v>
      </c>
    </row>
    <row r="20" spans="1:49" x14ac:dyDescent="0.25">
      <c r="A20" s="105" t="str">
        <f t="shared" ca="1" si="0"/>
        <v>95-098-09</v>
      </c>
      <c r="B20" s="78" t="str">
        <f ca="1">_xlfn.LET(_xlpm.CAPS,VLOOKUP(G20,Caps!A:B,2,0),_xlpm.Style,TRIM(_xlfn.XLOOKUP($A20,Строчный!$A:$A,Строчный!B:B,"ERR",0)),IF(_xlpm.CAPS=0,_xlpm.Style,UPPER(_xlpm.Style)))</f>
        <v>3190-676/76</v>
      </c>
      <c r="C20" s="78" t="str">
        <f ca="1">TRIM(PROPER(_xlfn.XLOOKUP($A20,Строчный!$A:$A,Строчный!C:C,"ERR",0)))</f>
        <v>Кепки</v>
      </c>
      <c r="D20" s="78" t="str">
        <f ca="1">_xlfn.LET(_xlpm.DATA,TRIM(_xlfn.XLOOKUP($A20,Строчный!$A:$A,Строчный!D:D,"ERR",0)),UPPER(MID(_xlpm.DATA,1,1))&amp;LOWER(MID(_xlpm.DATA,2,LEN(_xlpm.DATA)-1)))</f>
        <v>Кепка восьмиклинка</v>
      </c>
      <c r="E20" s="78" t="str">
        <f ca="1">PROPER(TRIM(_xlfn.XLOOKUP($A20,Строчный!$A:$A,Строчный!E:E,"ERR",0)))</f>
        <v>Fredrikson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FREDRIKSON</v>
      </c>
      <c r="H20" s="78" t="str">
        <f ca="1">LOWER(TRIM(_xlfn.XLOOKUP($A20,Строчный!$A:$A,Строчный!H:H,"ERR",0)))</f>
        <v>676/76</v>
      </c>
      <c r="I20" s="78" t="str">
        <f ca="1">LOWER(TRIM(_xlfn.XLOOKUP($A20,Строчный!$A:$A,Строчный!I:I,"ERR",0)))</f>
        <v>черный</v>
      </c>
      <c r="J20" s="78" t="str">
        <f ca="1">SUBSTITUTE(LOWER(TRIM(_xlfn.XLOOKUP($A20,Строчный!$A:$A,Строчный!J:J,"ERR",0))),"подклад","Подклад")</f>
        <v>80% шерсть - 20% полиамид / Подклад: 100% хлопок</v>
      </c>
      <c r="K20" s="78" t="str">
        <f ca="1">LOWER(TRIM(_xlfn.XLOOKUP($A20,Строчный!$A:$A,Строчный!K:K,"ERR",0)))</f>
        <v>шерстяные</v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Россия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975.8</v>
      </c>
      <c r="R20" s="86" t="str">
        <f ca="1">_xlfn.XLOOKUP($G20,Фабрика!A:A,Фабрика!B:B,"ERR",0)</f>
        <v>ООО "ФРЭДРИКСОН" Россия 192029, С-Петербург, пр. Обуховской обороны, д.86, лит М</v>
      </c>
      <c r="S20" s="77" t="str">
        <f ca="1">_xlfn.XLOOKUP(RIGHT(AA20,2),Размеры!D:D,Размеры!A:A,"ERR",0)</f>
        <v>61</v>
      </c>
      <c r="T20" s="77">
        <f ca="1">VALUE(_xlfn.XLOOKUP($AA20,Строчный!$S:$S,Строчный!U:U,"ERR",0))</f>
        <v>12</v>
      </c>
      <c r="U20" s="14" t="s">
        <v>241</v>
      </c>
      <c r="V20" s="98" t="str">
        <f t="shared" ca="1" si="1"/>
        <v>Кепка FREDRIKSON арт. 3190-676/76 (черный)</v>
      </c>
      <c r="W20" s="97" t="str">
        <f t="shared" ca="1" si="2"/>
        <v>Кепка FREDRIKSON арт. 3190-676/76 (черный) {676/76}</v>
      </c>
      <c r="X20" s="18" t="str">
        <f t="shared" ca="1" si="3"/>
        <v>черный</v>
      </c>
      <c r="Y20" s="18" t="str">
        <f t="shared" ca="1" si="4"/>
        <v>черный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0" t="str">
        <f ca="1"/>
        <v>95-098-09-61</v>
      </c>
      <c r="AB20" s="72" t="str">
        <f ca="1">VLOOKUP(C20,Группа!A:B,2,FALSE)</f>
        <v>Кепка</v>
      </c>
      <c r="AC20" s="94" t="str">
        <f ca="1">IFERROR(VLOOKUP(S20,Размеры!A:C,3,FALSE),"")</f>
        <v>61 XL</v>
      </c>
      <c r="AD20" s="94" t="str">
        <f ca="1">VLOOKUP(I20,ЦветПолный!A:B,2,FALSE)</f>
        <v>09</v>
      </c>
      <c r="AE20" s="94" t="str">
        <f ca="1">IFERROR(VLOOKUP(S20,Размеры!A:D,4,FALSE),"")</f>
        <v>61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0" t="str">
        <f t="shared" ca="1" si="5"/>
        <v>Кепка FREDRIKSON арт. 3190-676/76 (черный) {676/76}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95-098-09</v>
      </c>
      <c r="B21" s="78" t="str">
        <f ca="1">_xlfn.LET(_xlpm.CAPS,VLOOKUP(G21,Caps!A:B,2,0),_xlpm.Style,TRIM(_xlfn.XLOOKUP($A21,Строчный!$A:$A,Строчный!B:B,"ERR",0)),IF(_xlpm.CAPS=0,_xlpm.Style,UPPER(_xlpm.Style)))</f>
        <v>3190-676/76</v>
      </c>
      <c r="C21" s="78" t="str">
        <f ca="1">TRIM(PROPER(_xlfn.XLOOKUP($A21,Строчный!$A:$A,Строчный!C:C,"ERR",0)))</f>
        <v>Кепки</v>
      </c>
      <c r="D21" s="78" t="str">
        <f ca="1">_xlfn.LET(_xlpm.DATA,TRIM(_xlfn.XLOOKUP($A21,Строчный!$A:$A,Строчный!D:D,"ERR",0)),UPPER(MID(_xlpm.DATA,1,1))&amp;LOWER(MID(_xlpm.DATA,2,LEN(_xlpm.DATA)-1)))</f>
        <v>Кепка восьмиклинка</v>
      </c>
      <c r="E21" s="78" t="str">
        <f ca="1">PROPER(TRIM(_xlfn.XLOOKUP($A21,Строчный!$A:$A,Строчный!E:E,"ERR",0)))</f>
        <v>Fredrikson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FREDRIKSON</v>
      </c>
      <c r="H21" s="78" t="str">
        <f ca="1">LOWER(TRIM(_xlfn.XLOOKUP($A21,Строчный!$A:$A,Строчный!H:H,"ERR",0)))</f>
        <v>676/76</v>
      </c>
      <c r="I21" s="78" t="str">
        <f ca="1">LOWER(TRIM(_xlfn.XLOOKUP($A21,Строчный!$A:$A,Строчный!I:I,"ERR",0)))</f>
        <v>черный</v>
      </c>
      <c r="J21" s="78" t="str">
        <f ca="1">SUBSTITUTE(LOWER(TRIM(_xlfn.XLOOKUP($A21,Строчный!$A:$A,Строчный!J:J,"ERR",0))),"подклад","Подклад")</f>
        <v>80% шерсть - 20% полиамид / Подклад: 100% хлопок</v>
      </c>
      <c r="K21" s="78" t="str">
        <f ca="1">LOWER(TRIM(_xlfn.XLOOKUP($A21,Строчный!$A:$A,Строчный!K:K,"ERR",0)))</f>
        <v>шерстяные</v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Россия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975.8</v>
      </c>
      <c r="R21" s="86" t="str">
        <f ca="1">_xlfn.XLOOKUP($G21,Фабрика!A:A,Фабрика!B:B,"ERR",0)</f>
        <v>ООО "ФРЭДРИКСОН" Россия 192029, С-Петербург, пр. Обуховской обороны, д.86, лит М</v>
      </c>
      <c r="S21" s="77" t="str">
        <f ca="1">_xlfn.XLOOKUP(RIGHT(AA21,2),Размеры!D:D,Размеры!A:A,"ERR",0)</f>
        <v>60</v>
      </c>
      <c r="T21" s="77">
        <f ca="1">VALUE(_xlfn.XLOOKUP($AA21,Строчный!$S:$S,Строчный!U:U,"ERR",0))</f>
        <v>18</v>
      </c>
      <c r="U21" s="14" t="s">
        <v>241</v>
      </c>
      <c r="V21" s="98" t="str">
        <f t="shared" ca="1" si="1"/>
        <v>Кепка FREDRIKSON арт. 3190-676/76 (черный)</v>
      </c>
      <c r="W21" s="97" t="str">
        <f t="shared" ca="1" si="2"/>
        <v>Кепка FREDRIKSON арт. 3190-676/76 (черный) {676/76}</v>
      </c>
      <c r="X21" s="18" t="str">
        <f t="shared" ca="1" si="3"/>
        <v>черный</v>
      </c>
      <c r="Y21" s="18" t="str">
        <f t="shared" ca="1" si="4"/>
        <v>черный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0" t="str">
        <f ca="1"/>
        <v>95-098-09-60</v>
      </c>
      <c r="AB21" s="72" t="str">
        <f ca="1">VLOOKUP(C21,Группа!A:B,2,FALSE)</f>
        <v>Кепка</v>
      </c>
      <c r="AC21" s="94" t="str">
        <f ca="1">IFERROR(VLOOKUP(S21,Размеры!A:C,3,FALSE),"")</f>
        <v>60 L/XL</v>
      </c>
      <c r="AD21" s="94" t="str">
        <f ca="1">VLOOKUP(I21,ЦветПолный!A:B,2,FALSE)</f>
        <v>09</v>
      </c>
      <c r="AE21" s="94" t="str">
        <f ca="1">IFERROR(VLOOKUP(S21,Размеры!A:D,4,FALSE),"")</f>
        <v>60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0" t="str">
        <f t="shared" ca="1" si="5"/>
        <v>Кепка FREDRIKSON арт. 3190-676/76 (черный) {676/76}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ERR</v>
      </c>
      <c r="AU21" s="139" t="str">
        <f ca="1">IF(IFERROR(VLOOKUP(A21,Товары!B:B,1,FALSE),"")=A21,"Есть в 1С","ERR")</f>
        <v>ERR</v>
      </c>
      <c r="AV21" s="93" t="e">
        <f ca="1">VLOOKUP(W21,Товары!A:B,2,FALSE)</f>
        <v>#N/A</v>
      </c>
      <c r="AW21" s="91" t="e">
        <f ca="1">VLOOKUP(W21,Товары!A:B,1,FALSE)</f>
        <v>#N/A</v>
      </c>
    </row>
    <row r="22" spans="1:49" x14ac:dyDescent="0.25">
      <c r="A22" s="105" t="str">
        <f t="shared" ca="1" si="0"/>
        <v>95-098-09</v>
      </c>
      <c r="B22" s="78" t="str">
        <f ca="1">_xlfn.LET(_xlpm.CAPS,VLOOKUP(G22,Caps!A:B,2,0),_xlpm.Style,TRIM(_xlfn.XLOOKUP($A22,Строчный!$A:$A,Строчный!B:B,"ERR",0)),IF(_xlpm.CAPS=0,_xlpm.Style,UPPER(_xlpm.Style)))</f>
        <v>3190-676/76</v>
      </c>
      <c r="C22" s="78" t="str">
        <f ca="1">TRIM(PROPER(_xlfn.XLOOKUP($A22,Строчный!$A:$A,Строчный!C:C,"ERR",0)))</f>
        <v>Кепки</v>
      </c>
      <c r="D22" s="78" t="str">
        <f ca="1">_xlfn.LET(_xlpm.DATA,TRIM(_xlfn.XLOOKUP($A22,Строчный!$A:$A,Строчный!D:D,"ERR",0)),UPPER(MID(_xlpm.DATA,1,1))&amp;LOWER(MID(_xlpm.DATA,2,LEN(_xlpm.DATA)-1)))</f>
        <v>Кепка восьмиклинка</v>
      </c>
      <c r="E22" s="78" t="str">
        <f ca="1">PROPER(TRIM(_xlfn.XLOOKUP($A22,Строчный!$A:$A,Строчный!E:E,"ERR",0)))</f>
        <v>Fredrikson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FREDRIKSON</v>
      </c>
      <c r="H22" s="78" t="str">
        <f ca="1">LOWER(TRIM(_xlfn.XLOOKUP($A22,Строчный!$A:$A,Строчный!H:H,"ERR",0)))</f>
        <v>676/76</v>
      </c>
      <c r="I22" s="78" t="str">
        <f ca="1">LOWER(TRIM(_xlfn.XLOOKUP($A22,Строчный!$A:$A,Строчный!I:I,"ERR",0)))</f>
        <v>черный</v>
      </c>
      <c r="J22" s="78" t="str">
        <f ca="1">SUBSTITUTE(LOWER(TRIM(_xlfn.XLOOKUP($A22,Строчный!$A:$A,Строчный!J:J,"ERR",0))),"подклад","Подклад")</f>
        <v>80% шерсть - 20% полиамид / Подклад: 100% хлопок</v>
      </c>
      <c r="K22" s="78" t="str">
        <f ca="1">LOWER(TRIM(_xlfn.XLOOKUP($A22,Строчный!$A:$A,Строчный!K:K,"ERR",0)))</f>
        <v>шерстяные</v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Россия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975.8</v>
      </c>
      <c r="R22" s="86" t="str">
        <f ca="1">_xlfn.XLOOKUP($G22,Фабрика!A:A,Фабрика!B:B,"ERR",0)</f>
        <v>ООО "ФРЭДРИКСОН" Россия 192029, С-Петербург, пр. Обуховской обороны, д.86, лит М</v>
      </c>
      <c r="S22" s="77" t="str">
        <f ca="1">_xlfn.XLOOKUP(RIGHT(AA22,2),Размеры!D:D,Размеры!A:A,"ERR",0)</f>
        <v>59</v>
      </c>
      <c r="T22" s="77">
        <f ca="1">VALUE(_xlfn.XLOOKUP($AA22,Строчный!$S:$S,Строчный!U:U,"ERR",0))</f>
        <v>24</v>
      </c>
      <c r="U22" s="14" t="s">
        <v>241</v>
      </c>
      <c r="V22" s="98" t="str">
        <f t="shared" ca="1" si="1"/>
        <v>Кепка FREDRIKSON арт. 3190-676/76 (черный)</v>
      </c>
      <c r="W22" s="97" t="str">
        <f t="shared" ca="1" si="2"/>
        <v>Кепка FREDRIKSON арт. 3190-676/76 (черный) {676/76}</v>
      </c>
      <c r="X22" s="18" t="str">
        <f t="shared" ca="1" si="3"/>
        <v>черный</v>
      </c>
      <c r="Y22" s="18" t="str">
        <f t="shared" ca="1" si="4"/>
        <v>черный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0" t="str">
        <f ca="1"/>
        <v>95-098-09-59</v>
      </c>
      <c r="AB22" s="72" t="str">
        <f ca="1">VLOOKUP(C22,Группа!A:B,2,FALSE)</f>
        <v>Кепка</v>
      </c>
      <c r="AC22" s="94" t="str">
        <f ca="1">IFERROR(VLOOKUP(S22,Размеры!A:C,3,FALSE),"")</f>
        <v>59 L</v>
      </c>
      <c r="AD22" s="94" t="str">
        <f ca="1">VLOOKUP(I22,ЦветПолный!A:B,2,FALSE)</f>
        <v>09</v>
      </c>
      <c r="AE22" s="94" t="str">
        <f ca="1">IFERROR(VLOOKUP(S22,Размеры!A:D,4,FALSE),"")</f>
        <v>59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0" t="str">
        <f t="shared" ca="1" si="5"/>
        <v>Кепка FREDRIKSON арт. 3190-676/76 (черный) {676/76}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ERR</v>
      </c>
      <c r="AU22" s="139" t="str">
        <f ca="1">IF(IFERROR(VLOOKUP(A22,Товары!B:B,1,FALSE),"")=A22,"Есть в 1С","ERR")</f>
        <v>ERR</v>
      </c>
      <c r="AV22" s="93" t="e">
        <f ca="1">VLOOKUP(W22,Товары!A:B,2,FALSE)</f>
        <v>#N/A</v>
      </c>
      <c r="AW22" s="91" t="e">
        <f ca="1">VLOOKUP(W22,Товары!A:B,1,FALSE)</f>
        <v>#N/A</v>
      </c>
    </row>
    <row r="23" spans="1:49" x14ac:dyDescent="0.25">
      <c r="A23" s="105" t="str">
        <f t="shared" ca="1" si="0"/>
        <v>95-098-09</v>
      </c>
      <c r="B23" s="78" t="str">
        <f ca="1">_xlfn.LET(_xlpm.CAPS,VLOOKUP(G23,Caps!A:B,2,0),_xlpm.Style,TRIM(_xlfn.XLOOKUP($A23,Строчный!$A:$A,Строчный!B:B,"ERR",0)),IF(_xlpm.CAPS=0,_xlpm.Style,UPPER(_xlpm.Style)))</f>
        <v>3190-676/76</v>
      </c>
      <c r="C23" s="78" t="str">
        <f ca="1">TRIM(PROPER(_xlfn.XLOOKUP($A23,Строчный!$A:$A,Строчный!C:C,"ERR",0)))</f>
        <v>Кепки</v>
      </c>
      <c r="D23" s="78" t="str">
        <f ca="1">_xlfn.LET(_xlpm.DATA,TRIM(_xlfn.XLOOKUP($A23,Строчный!$A:$A,Строчный!D:D,"ERR",0)),UPPER(MID(_xlpm.DATA,1,1))&amp;LOWER(MID(_xlpm.DATA,2,LEN(_xlpm.DATA)-1)))</f>
        <v>Кепка восьмиклинка</v>
      </c>
      <c r="E23" s="78" t="str">
        <f ca="1">PROPER(TRIM(_xlfn.XLOOKUP($A23,Строчный!$A:$A,Строчный!E:E,"ERR",0)))</f>
        <v>Fredrikson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FREDRIKSON</v>
      </c>
      <c r="H23" s="78" t="str">
        <f ca="1">LOWER(TRIM(_xlfn.XLOOKUP($A23,Строчный!$A:$A,Строчный!H:H,"ERR",0)))</f>
        <v>676/76</v>
      </c>
      <c r="I23" s="78" t="str">
        <f ca="1">LOWER(TRIM(_xlfn.XLOOKUP($A23,Строчный!$A:$A,Строчный!I:I,"ERR",0)))</f>
        <v>черный</v>
      </c>
      <c r="J23" s="78" t="str">
        <f ca="1">SUBSTITUTE(LOWER(TRIM(_xlfn.XLOOKUP($A23,Строчный!$A:$A,Строчный!J:J,"ERR",0))),"подклад","Подклад")</f>
        <v>80% шерсть - 20% полиамид / Подклад: 100% хлопок</v>
      </c>
      <c r="K23" s="78" t="str">
        <f ca="1">LOWER(TRIM(_xlfn.XLOOKUP($A23,Строчный!$A:$A,Строчный!K:K,"ERR",0)))</f>
        <v>шерстяные</v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Россия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PROPER(TRIM(_xlfn.XLOOKUP($A23,Строчный!$A:$A,Строчный!R:R,"ERR",0)))</f>
        <v/>
      </c>
      <c r="Q23" s="87">
        <f ca="1">VALUE(_xlfn.XLOOKUP($A23,Строчный!$A:$A,Строчный!N:N,"ERR",0))</f>
        <v>975.8</v>
      </c>
      <c r="R23" s="86" t="str">
        <f ca="1">_xlfn.XLOOKUP($G23,Фабрика!A:A,Фабрика!B:B,"ERR",0)</f>
        <v>ООО "ФРЭДРИКСОН" Россия 192029, С-Петербург, пр. Обуховской обороны, д.86, лит М</v>
      </c>
      <c r="S23" s="77" t="str">
        <f ca="1">_xlfn.XLOOKUP(RIGHT(AA23,2),Размеры!D:D,Размеры!A:A,"ERR",0)</f>
        <v>58</v>
      </c>
      <c r="T23" s="77">
        <f ca="1">VALUE(_xlfn.XLOOKUP($AA23,Строчный!$S:$S,Строчный!U:U,"ERR",0))</f>
        <v>18</v>
      </c>
      <c r="U23" s="14" t="s">
        <v>241</v>
      </c>
      <c r="V23" s="98" t="str">
        <f t="shared" ca="1" si="1"/>
        <v>Кепка FREDRIKSON арт. 3190-676/76 (черный)</v>
      </c>
      <c r="W23" s="97" t="str">
        <f t="shared" ca="1" si="2"/>
        <v>Кепка FREDRIKSON арт. 3190-676/76 (черный) {676/76}</v>
      </c>
      <c r="X23" s="18" t="str">
        <f t="shared" ca="1" si="3"/>
        <v>черный</v>
      </c>
      <c r="Y23" s="18" t="str">
        <f t="shared" ca="1" si="4"/>
        <v>черный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0" t="str">
        <f ca="1"/>
        <v>95-098-09-58</v>
      </c>
      <c r="AB23" s="72" t="str">
        <f ca="1">VLOOKUP(C23,Группа!A:B,2,FALSE)</f>
        <v>Кепка</v>
      </c>
      <c r="AC23" s="94" t="str">
        <f ca="1">IFERROR(VLOOKUP(S23,Размеры!A:C,3,FALSE),"")</f>
        <v>58 M/L</v>
      </c>
      <c r="AD23" s="94" t="str">
        <f ca="1">VLOOKUP(I23,ЦветПолный!A:B,2,FALSE)</f>
        <v>09</v>
      </c>
      <c r="AE23" s="94" t="str">
        <f ca="1">IFERROR(VLOOKUP(S23,Размеры!A:D,4,FALSE),"")</f>
        <v>58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0" t="str">
        <f t="shared" ca="1" si="5"/>
        <v>Кепка FREDRIKSON арт. 3190-676/76 (черный) {676/76}</v>
      </c>
      <c r="AR23" s="94">
        <f t="shared" ca="1" si="6"/>
        <v>1</v>
      </c>
      <c r="AS23" s="143">
        <f t="shared" ca="1" si="7"/>
        <v>1</v>
      </c>
      <c r="AT23" s="138" t="str">
        <f ca="1">IF(IFERROR(VLOOKUP(W23,Товары!A:B,2,FALSE),"")=A23,"Есть в 1С","ERR")</f>
        <v>ERR</v>
      </c>
      <c r="AU23" s="139" t="str">
        <f ca="1">IF(IFERROR(VLOOKUP(A23,Товары!B:B,1,FALSE),"")=A23,"Есть в 1С","ERR")</f>
        <v>ERR</v>
      </c>
      <c r="AV23" s="93" t="e">
        <f ca="1">VLOOKUP(W23,Товары!A:B,2,FALSE)</f>
        <v>#N/A</v>
      </c>
      <c r="AW23" s="91" t="e">
        <f ca="1">VLOOKUP(W23,Товары!A:B,1,FALSE)</f>
        <v>#N/A</v>
      </c>
    </row>
    <row r="24" spans="1:49" x14ac:dyDescent="0.25">
      <c r="A24" s="105" t="str">
        <f t="shared" ca="1" si="0"/>
        <v>95-098-09</v>
      </c>
      <c r="B24" s="78" t="str">
        <f ca="1">_xlfn.LET(_xlpm.CAPS,VLOOKUP(G24,Caps!A:B,2,0),_xlpm.Style,TRIM(_xlfn.XLOOKUP($A24,Строчный!$A:$A,Строчный!B:B,"ERR",0)),IF(_xlpm.CAPS=0,_xlpm.Style,UPPER(_xlpm.Style)))</f>
        <v>3190-676/76</v>
      </c>
      <c r="C24" s="78" t="str">
        <f ca="1">TRIM(PROPER(_xlfn.XLOOKUP($A24,Строчный!$A:$A,Строчный!C:C,"ERR",0)))</f>
        <v>Кепки</v>
      </c>
      <c r="D24" s="78" t="str">
        <f ca="1">_xlfn.LET(_xlpm.DATA,TRIM(_xlfn.XLOOKUP($A24,Строчный!$A:$A,Строчный!D:D,"ERR",0)),UPPER(MID(_xlpm.DATA,1,1))&amp;LOWER(MID(_xlpm.DATA,2,LEN(_xlpm.DATA)-1)))</f>
        <v>Кепка восьмиклинка</v>
      </c>
      <c r="E24" s="78" t="str">
        <f ca="1">PROPER(TRIM(_xlfn.XLOOKUP($A24,Строчный!$A:$A,Строчный!E:E,"ERR",0)))</f>
        <v>Fredrikson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FREDRIKSON</v>
      </c>
      <c r="H24" s="78" t="str">
        <f ca="1">LOWER(TRIM(_xlfn.XLOOKUP($A24,Строчный!$A:$A,Строчный!H:H,"ERR",0)))</f>
        <v>676/76</v>
      </c>
      <c r="I24" s="78" t="str">
        <f ca="1">LOWER(TRIM(_xlfn.XLOOKUP($A24,Строчный!$A:$A,Строчный!I:I,"ERR",0)))</f>
        <v>черный</v>
      </c>
      <c r="J24" s="78" t="str">
        <f ca="1">SUBSTITUTE(LOWER(TRIM(_xlfn.XLOOKUP($A24,Строчный!$A:$A,Строчный!J:J,"ERR",0))),"подклад","Подклад")</f>
        <v>80% шерсть - 20% полиамид / Подклад: 100% хлопок</v>
      </c>
      <c r="K24" s="78" t="str">
        <f ca="1">LOWER(TRIM(_xlfn.XLOOKUP($A24,Строчный!$A:$A,Строчный!K:K,"ERR",0)))</f>
        <v>шерстяные</v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Россия</v>
      </c>
      <c r="N24" s="78" t="str">
        <f ca="1">UPPER(TRIM(_xlfn.XLOOKUP($A24,Строчный!$A:$A,Строчный!O:O,"ERR",0)))</f>
        <v/>
      </c>
      <c r="O24" s="99" t="str">
        <f ca="1">PROPER(TRIM(_xlfn.XLOOKUP($A24,Строчный!$A:$A,Строчный!P:P,"ERR",0)))</f>
        <v/>
      </c>
      <c r="P24" s="78" t="str">
        <f ca="1">PROPER(TRIM(_xlfn.XLOOKUP($A24,Строчный!$A:$A,Строчный!R:R,"ERR",0)))</f>
        <v/>
      </c>
      <c r="Q24" s="87">
        <f ca="1">VALUE(_xlfn.XLOOKUP($A24,Строчный!$A:$A,Строчный!N:N,"ERR",0))</f>
        <v>975.8</v>
      </c>
      <c r="R24" s="86" t="str">
        <f ca="1">_xlfn.XLOOKUP($G24,Фабрика!A:A,Фабрика!B:B,"ERR",0)</f>
        <v>ООО "ФРЭДРИКСОН" Россия 192029, С-Петербург, пр. Обуховской обороны, д.86, лит М</v>
      </c>
      <c r="S24" s="77" t="str">
        <f ca="1">_xlfn.XLOOKUP(RIGHT(AA24,2),Размеры!D:D,Размеры!A:A,"ERR",0)</f>
        <v>57</v>
      </c>
      <c r="T24" s="77">
        <f ca="1">VALUE(_xlfn.XLOOKUP($AA24,Строчный!$S:$S,Строчный!U:U,"ERR",0))</f>
        <v>12</v>
      </c>
      <c r="U24" s="14" t="s">
        <v>241</v>
      </c>
      <c r="V24" s="98" t="str">
        <f t="shared" ca="1" si="1"/>
        <v>Кепка FREDRIKSON арт. 3190-676/76 (черный)</v>
      </c>
      <c r="W24" s="97" t="str">
        <f t="shared" ca="1" si="2"/>
        <v>Кепка FREDRIKSON арт. 3190-676/76 (черный) {676/76}</v>
      </c>
      <c r="X24" s="18" t="str">
        <f t="shared" ca="1" si="3"/>
        <v>черный</v>
      </c>
      <c r="Y24" s="18" t="str">
        <f t="shared" ca="1" si="4"/>
        <v>черный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0" t="str">
        <f ca="1"/>
        <v>95-098-09-57</v>
      </c>
      <c r="AB24" s="72" t="str">
        <f ca="1">VLOOKUP(C24,Группа!A:B,2,FALSE)</f>
        <v>Кепка</v>
      </c>
      <c r="AC24" s="94" t="str">
        <f ca="1">IFERROR(VLOOKUP(S24,Размеры!A:C,3,FALSE),"")</f>
        <v>57 M</v>
      </c>
      <c r="AD24" s="94" t="str">
        <f ca="1">VLOOKUP(I24,ЦветПолный!A:B,2,FALSE)</f>
        <v>09</v>
      </c>
      <c r="AE24" s="94" t="str">
        <f ca="1">IFERROR(VLOOKUP(S24,Размеры!A:D,4,FALSE),"")</f>
        <v>57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0" t="str">
        <f t="shared" ca="1" si="5"/>
        <v>Кепка FREDRIKSON арт. 3190-676/76 (черный) {676/76}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ERR</v>
      </c>
      <c r="AU24" s="139" t="str">
        <f ca="1">IF(IFERROR(VLOOKUP(A24,Товары!B:B,1,FALSE),"")=A24,"Есть в 1С","ERR")</f>
        <v>ERR</v>
      </c>
      <c r="AV24" s="93" t="e">
        <f ca="1">VLOOKUP(W24,Товары!A:B,2,FALSE)</f>
        <v>#N/A</v>
      </c>
      <c r="AW24" s="91" t="e">
        <f ca="1">VLOOKUP(W24,Товары!A:B,1,FALSE)</f>
        <v>#N/A</v>
      </c>
    </row>
    <row r="25" spans="1:49" x14ac:dyDescent="0.25">
      <c r="A25" s="105" t="str">
        <f t="shared" ca="1" si="0"/>
        <v>95-098-09</v>
      </c>
      <c r="B25" s="78" t="str">
        <f ca="1">_xlfn.LET(_xlpm.CAPS,VLOOKUP(G25,Caps!A:B,2,0),_xlpm.Style,TRIM(_xlfn.XLOOKUP($A25,Строчный!$A:$A,Строчный!B:B,"ERR",0)),IF(_xlpm.CAPS=0,_xlpm.Style,UPPER(_xlpm.Style)))</f>
        <v>3190-676/76</v>
      </c>
      <c r="C25" s="78" t="str">
        <f ca="1">TRIM(PROPER(_xlfn.XLOOKUP($A25,Строчный!$A:$A,Строчный!C:C,"ERR",0)))</f>
        <v>Кепки</v>
      </c>
      <c r="D25" s="78" t="str">
        <f ca="1">_xlfn.LET(_xlpm.DATA,TRIM(_xlfn.XLOOKUP($A25,Строчный!$A:$A,Строчный!D:D,"ERR",0)),UPPER(MID(_xlpm.DATA,1,1))&amp;LOWER(MID(_xlpm.DATA,2,LEN(_xlpm.DATA)-1)))</f>
        <v>Кепка восьмиклинка</v>
      </c>
      <c r="E25" s="78" t="str">
        <f ca="1">PROPER(TRIM(_xlfn.XLOOKUP($A25,Строчный!$A:$A,Строчный!E:E,"ERR",0)))</f>
        <v>Fredrikson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FREDRIKSON</v>
      </c>
      <c r="H25" s="78" t="str">
        <f ca="1">LOWER(TRIM(_xlfn.XLOOKUP($A25,Строчный!$A:$A,Строчный!H:H,"ERR",0)))</f>
        <v>676/76</v>
      </c>
      <c r="I25" s="78" t="str">
        <f ca="1">LOWER(TRIM(_xlfn.XLOOKUP($A25,Строчный!$A:$A,Строчный!I:I,"ERR",0)))</f>
        <v>черный</v>
      </c>
      <c r="J25" s="78" t="str">
        <f ca="1">SUBSTITUTE(LOWER(TRIM(_xlfn.XLOOKUP($A25,Строчный!$A:$A,Строчный!J:J,"ERR",0))),"подклад","Подклад")</f>
        <v>80% шерсть - 20% полиамид / Подклад: 100% хлопок</v>
      </c>
      <c r="K25" s="78" t="str">
        <f ca="1">LOWER(TRIM(_xlfn.XLOOKUP($A25,Строчный!$A:$A,Строчный!K:K,"ERR",0)))</f>
        <v>шерстяные</v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Россия</v>
      </c>
      <c r="N25" s="78" t="str">
        <f ca="1">UPPER(TRIM(_xlfn.XLOOKUP($A25,Строчный!$A:$A,Строчный!O:O,"ERR",0)))</f>
        <v/>
      </c>
      <c r="O25" s="99" t="str">
        <f ca="1">PROPER(TRIM(_xlfn.XLOOKUP($A25,Строчный!$A:$A,Строчный!P:P,"ERR",0)))</f>
        <v/>
      </c>
      <c r="P25" s="78" t="str">
        <f ca="1">PROPER(TRIM(_xlfn.XLOOKUP($A25,Строчный!$A:$A,Строчный!R:R,"ERR",0)))</f>
        <v/>
      </c>
      <c r="Q25" s="87">
        <f ca="1">VALUE(_xlfn.XLOOKUP($A25,Строчный!$A:$A,Строчный!N:N,"ERR",0))</f>
        <v>975.8</v>
      </c>
      <c r="R25" s="86" t="str">
        <f ca="1">_xlfn.XLOOKUP($G25,Фабрика!A:A,Фабрика!B:B,"ERR",0)</f>
        <v>ООО "ФРЭДРИКСОН" Россия 192029, С-Петербург, пр. Обуховской обороны, д.86, лит М</v>
      </c>
      <c r="S25" s="77" t="str">
        <f ca="1">_xlfn.XLOOKUP(RIGHT(AA25,2),Размеры!D:D,Размеры!A:A,"ERR",0)</f>
        <v>56</v>
      </c>
      <c r="T25" s="77">
        <f ca="1">VALUE(_xlfn.XLOOKUP($AA25,Строчный!$S:$S,Строчный!U:U,"ERR",0))</f>
        <v>6</v>
      </c>
      <c r="U25" s="14" t="s">
        <v>241</v>
      </c>
      <c r="V25" s="98" t="str">
        <f t="shared" ca="1" si="1"/>
        <v>Кепка FREDRIKSON арт. 3190-676/76 (черный)</v>
      </c>
      <c r="W25" s="97" t="str">
        <f t="shared" ca="1" si="2"/>
        <v>Кепка FREDRIKSON арт. 3190-676/76 (черный) {676/76}</v>
      </c>
      <c r="X25" s="18" t="str">
        <f t="shared" ca="1" si="3"/>
        <v>черный</v>
      </c>
      <c r="Y25" s="18" t="str">
        <f t="shared" ca="1" si="4"/>
        <v>черный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черный</v>
      </c>
      <c r="AA25" s="70" t="str">
        <f ca="1"/>
        <v>95-098-09-56</v>
      </c>
      <c r="AB25" s="72" t="str">
        <f ca="1">VLOOKUP(C25,Группа!A:B,2,FALSE)</f>
        <v>Кепка</v>
      </c>
      <c r="AC25" s="94" t="str">
        <f ca="1">IFERROR(VLOOKUP(S25,Размеры!A:C,3,FALSE),"")</f>
        <v>56 S/M</v>
      </c>
      <c r="AD25" s="94" t="str">
        <f ca="1">VLOOKUP(I25,ЦветПолный!A:B,2,FALSE)</f>
        <v>09</v>
      </c>
      <c r="AE25" s="94" t="str">
        <f ca="1">IFERROR(VLOOKUP(S25,Размеры!A:D,4,FALSE),"")</f>
        <v>56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0" t="str">
        <f t="shared" ca="1" si="5"/>
        <v>Кепка FREDRIKSON арт. 3190-676/76 (черный) {676/76}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ERR</v>
      </c>
      <c r="AU25" s="139" t="str">
        <f ca="1">IF(IFERROR(VLOOKUP(A25,Товары!B:B,1,FALSE),"")=A25,"Есть в 1С","ERR")</f>
        <v>ERR</v>
      </c>
      <c r="AV25" s="93" t="e">
        <f ca="1">VLOOKUP(W25,Товары!A:B,2,FALSE)</f>
        <v>#N/A</v>
      </c>
      <c r="AW25" s="91" t="e">
        <f ca="1">VLOOKUP(W25,Товары!A:B,1,FALSE)</f>
        <v>#N/A</v>
      </c>
    </row>
    <row r="26" spans="1:49" x14ac:dyDescent="0.25">
      <c r="A26" s="105" t="str">
        <f t="shared" ca="1" si="0"/>
        <v>95-097-72</v>
      </c>
      <c r="B26" s="78" t="str">
        <f ca="1">_xlfn.LET(_xlpm.CAPS,VLOOKUP(G26,Caps!A:B,2,0),_xlpm.Style,TRIM(_xlfn.XLOOKUP($A26,Строчный!$A:$A,Строчный!B:B,"ERR",0)),IF(_xlpm.CAPS=0,_xlpm.Style,UPPER(_xlpm.Style)))</f>
        <v>3190-667/70</v>
      </c>
      <c r="C26" s="78" t="str">
        <f ca="1">TRIM(PROPER(_xlfn.XLOOKUP($A26,Строчный!$A:$A,Строчный!C:C,"ERR",0)))</f>
        <v>Кепки</v>
      </c>
      <c r="D26" s="78" t="str">
        <f ca="1">_xlfn.LET(_xlpm.DATA,TRIM(_xlfn.XLOOKUP($A26,Строчный!$A:$A,Строчный!D:D,"ERR",0)),UPPER(MID(_xlpm.DATA,1,1))&amp;LOWER(MID(_xlpm.DATA,2,LEN(_xlpm.DATA)-1)))</f>
        <v>Кепка восьмиклинка</v>
      </c>
      <c r="E26" s="78" t="str">
        <f ca="1">PROPER(TRIM(_xlfn.XLOOKUP($A26,Строчный!$A:$A,Строчный!E:E,"ERR",0)))</f>
        <v>Fredrikson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FREDRIKSON</v>
      </c>
      <c r="H26" s="78" t="str">
        <f ca="1">LOWER(TRIM(_xlfn.XLOOKUP($A26,Строчный!$A:$A,Строчный!H:H,"ERR",0)))</f>
        <v>667/70</v>
      </c>
      <c r="I26" s="78" t="str">
        <f ca="1">LOWER(TRIM(_xlfn.XLOOKUP($A26,Строчный!$A:$A,Строчный!I:I,"ERR",0)))</f>
        <v>черный / белый</v>
      </c>
      <c r="J26" s="78" t="str">
        <f ca="1">SUBSTITUTE(LOWER(TRIM(_xlfn.XLOOKUP($A26,Строчный!$A:$A,Строчный!J:J,"ERR",0))),"подклад","Подклад")</f>
        <v>80% шерсть - 20% полиамид / Подклад: 100% хлопок</v>
      </c>
      <c r="K26" s="78" t="str">
        <f ca="1">LOWER(TRIM(_xlfn.XLOOKUP($A26,Строчный!$A:$A,Строчный!K:K,"ERR",0)))</f>
        <v>шерстяные</v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Россия</v>
      </c>
      <c r="N26" s="78" t="str">
        <f ca="1">UPPER(TRIM(_xlfn.XLOOKUP($A26,Строчный!$A:$A,Строчный!O:O,"ERR",0)))</f>
        <v/>
      </c>
      <c r="O26" s="99" t="str">
        <f ca="1">PROPER(TRIM(_xlfn.XLOOKUP($A26,Строчный!$A:$A,Строчный!P:P,"ERR",0)))</f>
        <v/>
      </c>
      <c r="P26" s="78" t="str">
        <f ca="1">PROPER(TRIM(_xlfn.XLOOKUP($A26,Строчный!$A:$A,Строчный!R:R,"ERR",0)))</f>
        <v/>
      </c>
      <c r="Q26" s="87">
        <f ca="1">VALUE(_xlfn.XLOOKUP($A26,Строчный!$A:$A,Строчный!N:N,"ERR",0))</f>
        <v>975.8</v>
      </c>
      <c r="R26" s="86" t="str">
        <f ca="1">_xlfn.XLOOKUP($G26,Фабрика!A:A,Фабрика!B:B,"ERR",0)</f>
        <v>ООО "ФРЭДРИКСОН" Россия 192029, С-Петербург, пр. Обуховской обороны, д.86, лит М</v>
      </c>
      <c r="S26" s="77" t="str">
        <f ca="1">_xlfn.XLOOKUP(RIGHT(AA26,2),Размеры!D:D,Размеры!A:A,"ERR",0)</f>
        <v>62</v>
      </c>
      <c r="T26" s="77">
        <f ca="1">VALUE(_xlfn.XLOOKUP($AA26,Строчный!$S:$S,Строчный!U:U,"ERR",0))</f>
        <v>3</v>
      </c>
      <c r="U26" s="14" t="s">
        <v>241</v>
      </c>
      <c r="V26" s="98" t="str">
        <f t="shared" ca="1" si="1"/>
        <v>Кепка FREDRIKSON арт. 3190-667/70 (черный / белый)</v>
      </c>
      <c r="W26" s="97" t="str">
        <f t="shared" ca="1" si="2"/>
        <v>Кепка FREDRIKSON арт. 3190-667/70 (черный / белый) {667/70}</v>
      </c>
      <c r="X26" s="18" t="str">
        <f t="shared" ca="1" si="3"/>
        <v>черный</v>
      </c>
      <c r="Y26" s="18" t="str">
        <f t="shared" ca="1" si="4"/>
        <v>белый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0" t="str">
        <f ca="1"/>
        <v>95-097-72-62</v>
      </c>
      <c r="AB26" s="72" t="str">
        <f ca="1">VLOOKUP(C26,Группа!A:B,2,FALSE)</f>
        <v>Кепка</v>
      </c>
      <c r="AC26" s="94" t="str">
        <f ca="1">IFERROR(VLOOKUP(S26,Размеры!A:C,3,FALSE),"")</f>
        <v>62 XL/XXL</v>
      </c>
      <c r="AD26" s="94" t="str">
        <f ca="1">VLOOKUP(I26,ЦветПолный!A:B,2,FALSE)</f>
        <v>72</v>
      </c>
      <c r="AE26" s="94" t="str">
        <f ca="1">IFERROR(VLOOKUP(S26,Размеры!A:D,4,FALSE),"")</f>
        <v>62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0" t="str">
        <f t="shared" ca="1" si="5"/>
        <v>Кепка FREDRIKSON арт. 3190-667/70 (черный / белый) {667/70}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ERR</v>
      </c>
      <c r="AU26" s="139" t="str">
        <f ca="1">IF(IFERROR(VLOOKUP(A26,Товары!B:B,1,FALSE),"")=A26,"Есть в 1С","ERR")</f>
        <v>ERR</v>
      </c>
      <c r="AV26" s="93" t="e">
        <f ca="1">VLOOKUP(W26,Товары!A:B,2,FALSE)</f>
        <v>#N/A</v>
      </c>
      <c r="AW26" s="91" t="e">
        <f ca="1">VLOOKUP(W26,Товары!A:B,1,FALSE)</f>
        <v>#N/A</v>
      </c>
    </row>
    <row r="27" spans="1:49" x14ac:dyDescent="0.25">
      <c r="A27" s="105" t="str">
        <f t="shared" ca="1" si="0"/>
        <v>95-097-72</v>
      </c>
      <c r="B27" s="78" t="str">
        <f ca="1">_xlfn.LET(_xlpm.CAPS,VLOOKUP(G27,Caps!A:B,2,0),_xlpm.Style,TRIM(_xlfn.XLOOKUP($A27,Строчный!$A:$A,Строчный!B:B,"ERR",0)),IF(_xlpm.CAPS=0,_xlpm.Style,UPPER(_xlpm.Style)))</f>
        <v>3190-667/70</v>
      </c>
      <c r="C27" s="78" t="str">
        <f ca="1">TRIM(PROPER(_xlfn.XLOOKUP($A27,Строчный!$A:$A,Строчный!C:C,"ERR",0)))</f>
        <v>Кепки</v>
      </c>
      <c r="D27" s="78" t="str">
        <f ca="1">_xlfn.LET(_xlpm.DATA,TRIM(_xlfn.XLOOKUP($A27,Строчный!$A:$A,Строчный!D:D,"ERR",0)),UPPER(MID(_xlpm.DATA,1,1))&amp;LOWER(MID(_xlpm.DATA,2,LEN(_xlpm.DATA)-1)))</f>
        <v>Кепка восьмиклинка</v>
      </c>
      <c r="E27" s="78" t="str">
        <f ca="1">PROPER(TRIM(_xlfn.XLOOKUP($A27,Строчный!$A:$A,Строчный!E:E,"ERR",0)))</f>
        <v>Fredrikson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FREDRIKSON</v>
      </c>
      <c r="H27" s="78" t="str">
        <f ca="1">LOWER(TRIM(_xlfn.XLOOKUP($A27,Строчный!$A:$A,Строчный!H:H,"ERR",0)))</f>
        <v>667/70</v>
      </c>
      <c r="I27" s="78" t="str">
        <f ca="1">LOWER(TRIM(_xlfn.XLOOKUP($A27,Строчный!$A:$A,Строчный!I:I,"ERR",0)))</f>
        <v>черный / белый</v>
      </c>
      <c r="J27" s="78" t="str">
        <f ca="1">SUBSTITUTE(LOWER(TRIM(_xlfn.XLOOKUP($A27,Строчный!$A:$A,Строчный!J:J,"ERR",0))),"подклад","Подклад")</f>
        <v>80% шерсть - 20% полиамид / Подклад: 100% хлопок</v>
      </c>
      <c r="K27" s="78" t="str">
        <f ca="1">LOWER(TRIM(_xlfn.XLOOKUP($A27,Строчный!$A:$A,Строчный!K:K,"ERR",0)))</f>
        <v>шерстяные</v>
      </c>
      <c r="L27" s="78" t="str">
        <f ca="1">PROPER(TRIM(_xlfn.XLOOKUP($A27,Строчный!$A:$A,Строчный!L:L,"ERR",0)))</f>
        <v>Унисекс</v>
      </c>
      <c r="M27" s="105" t="str">
        <f ca="1">PROPER(TRIM(_xlfn.XLOOKUP($A27,Строчный!$A:$A,Строчный!M:M,"ERR",0)))</f>
        <v>Россия</v>
      </c>
      <c r="N27" s="78" t="str">
        <f ca="1">UPPER(TRIM(_xlfn.XLOOKUP($A27,Строчный!$A:$A,Строчный!O:O,"ERR",0)))</f>
        <v/>
      </c>
      <c r="O27" s="99" t="str">
        <f ca="1">PROPER(TRIM(_xlfn.XLOOKUP($A27,Строчный!$A:$A,Строчный!P:P,"ERR",0)))</f>
        <v/>
      </c>
      <c r="P27" s="78" t="str">
        <f ca="1">PROPER(TRIM(_xlfn.XLOOKUP($A27,Строчный!$A:$A,Строчный!R:R,"ERR",0)))</f>
        <v/>
      </c>
      <c r="Q27" s="87">
        <f ca="1">VALUE(_xlfn.XLOOKUP($A27,Строчный!$A:$A,Строчный!N:N,"ERR",0))</f>
        <v>975.8</v>
      </c>
      <c r="R27" s="86" t="str">
        <f ca="1">_xlfn.XLOOKUP($G27,Фабрика!A:A,Фабрика!B:B,"ERR",0)</f>
        <v>ООО "ФРЭДРИКСОН" Россия 192029, С-Петербург, пр. Обуховской обороны, д.86, лит М</v>
      </c>
      <c r="S27" s="77" t="str">
        <f ca="1">_xlfn.XLOOKUP(RIGHT(AA27,2),Размеры!D:D,Размеры!A:A,"ERR",0)</f>
        <v>61</v>
      </c>
      <c r="T27" s="77">
        <f ca="1">VALUE(_xlfn.XLOOKUP($AA27,Строчный!$S:$S,Строчный!U:U,"ERR",0))</f>
        <v>6</v>
      </c>
      <c r="U27" s="14" t="s">
        <v>241</v>
      </c>
      <c r="V27" s="98" t="str">
        <f t="shared" ca="1" si="1"/>
        <v>Кепка FREDRIKSON арт. 3190-667/70 (черный / белый)</v>
      </c>
      <c r="W27" s="97" t="str">
        <f t="shared" ca="1" si="2"/>
        <v>Кепка FREDRIKSON арт. 3190-667/70 (черный / белый) {667/70}</v>
      </c>
      <c r="X27" s="18" t="str">
        <f t="shared" ca="1" si="3"/>
        <v>черный</v>
      </c>
      <c r="Y27" s="18" t="str">
        <f t="shared" ca="1" si="4"/>
        <v>белый</v>
      </c>
      <c r="Z27" s="109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0" t="str">
        <f ca="1"/>
        <v>95-097-72-61</v>
      </c>
      <c r="AB27" s="72" t="str">
        <f ca="1">VLOOKUP(C27,Группа!A:B,2,FALSE)</f>
        <v>Кепка</v>
      </c>
      <c r="AC27" s="94" t="str">
        <f ca="1">IFERROR(VLOOKUP(S27,Размеры!A:C,3,FALSE),"")</f>
        <v>61 XL</v>
      </c>
      <c r="AD27" s="94" t="str">
        <f ca="1">VLOOKUP(I27,ЦветПолный!A:B,2,FALSE)</f>
        <v>72</v>
      </c>
      <c r="AE27" s="94" t="str">
        <f ca="1">IFERROR(VLOOKUP(S27,Размеры!A:D,4,FALSE),"")</f>
        <v>61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IF(IFERROR(VLOOKUP(J27,Материал!D:D,1,0),0)&gt;0,1,SUMIF(Материал!A:A,K27,Материал!B:B))</f>
        <v>1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37">
        <f ca="1">SUMIF(Страна!A:A,M27,Страна!B:B)</f>
        <v>1</v>
      </c>
      <c r="AQ27" s="150" t="str">
        <f t="shared" ca="1" si="5"/>
        <v>Кепка FREDRIKSON арт. 3190-667/70 (черный / белый) {667/70}</v>
      </c>
      <c r="AR27" s="94">
        <f t="shared" ca="1" si="6"/>
        <v>1</v>
      </c>
      <c r="AS27" s="143">
        <f t="shared" ca="1" si="7"/>
        <v>1</v>
      </c>
      <c r="AT27" s="138" t="str">
        <f ca="1">IF(IFERROR(VLOOKUP(W27,Товары!A:B,2,FALSE),"")=A27,"Есть в 1С","ERR")</f>
        <v>ERR</v>
      </c>
      <c r="AU27" s="139" t="str">
        <f ca="1">IF(IFERROR(VLOOKUP(A27,Товары!B:B,1,FALSE),"")=A27,"Есть в 1С","ERR")</f>
        <v>ERR</v>
      </c>
      <c r="AV27" s="93" t="e">
        <f ca="1">VLOOKUP(W27,Товары!A:B,2,FALSE)</f>
        <v>#N/A</v>
      </c>
      <c r="AW27" s="91" t="e">
        <f ca="1">VLOOKUP(W27,Товары!A:B,1,FALSE)</f>
        <v>#N/A</v>
      </c>
    </row>
    <row r="28" spans="1:49" x14ac:dyDescent="0.25">
      <c r="A28" s="105" t="str">
        <f t="shared" ca="1" si="0"/>
        <v>95-097-72</v>
      </c>
      <c r="B28" s="78" t="str">
        <f ca="1">_xlfn.LET(_xlpm.CAPS,VLOOKUP(G28,Caps!A:B,2,0),_xlpm.Style,TRIM(_xlfn.XLOOKUP($A28,Строчный!$A:$A,Строчный!B:B,"ERR",0)),IF(_xlpm.CAPS=0,_xlpm.Style,UPPER(_xlpm.Style)))</f>
        <v>3190-667/70</v>
      </c>
      <c r="C28" s="78" t="str">
        <f ca="1">TRIM(PROPER(_xlfn.XLOOKUP($A28,Строчный!$A:$A,Строчный!C:C,"ERR",0)))</f>
        <v>Кепки</v>
      </c>
      <c r="D28" s="78" t="str">
        <f ca="1">_xlfn.LET(_xlpm.DATA,TRIM(_xlfn.XLOOKUP($A28,Строчный!$A:$A,Строчный!D:D,"ERR",0)),UPPER(MID(_xlpm.DATA,1,1))&amp;LOWER(MID(_xlpm.DATA,2,LEN(_xlpm.DATA)-1)))</f>
        <v>Кепка восьмиклинка</v>
      </c>
      <c r="E28" s="78" t="str">
        <f ca="1">PROPER(TRIM(_xlfn.XLOOKUP($A28,Строчный!$A:$A,Строчный!E:E,"ERR",0)))</f>
        <v>Fredrikson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FREDRIKSON</v>
      </c>
      <c r="H28" s="78" t="str">
        <f ca="1">LOWER(TRIM(_xlfn.XLOOKUP($A28,Строчный!$A:$A,Строчный!H:H,"ERR",0)))</f>
        <v>667/70</v>
      </c>
      <c r="I28" s="78" t="str">
        <f ca="1">LOWER(TRIM(_xlfn.XLOOKUP($A28,Строчный!$A:$A,Строчный!I:I,"ERR",0)))</f>
        <v>черный / белый</v>
      </c>
      <c r="J28" s="78" t="str">
        <f ca="1">SUBSTITUTE(LOWER(TRIM(_xlfn.XLOOKUP($A28,Строчный!$A:$A,Строчный!J:J,"ERR",0))),"подклад","Подклад")</f>
        <v>80% шерсть - 20% полиамид / Подклад: 100% хлопок</v>
      </c>
      <c r="K28" s="78" t="str">
        <f ca="1">LOWER(TRIM(_xlfn.XLOOKUP($A28,Строчный!$A:$A,Строчный!K:K,"ERR",0)))</f>
        <v>шерстяные</v>
      </c>
      <c r="L28" s="78" t="str">
        <f ca="1">PROPER(TRIM(_xlfn.XLOOKUP($A28,Строчный!$A:$A,Строчный!L:L,"ERR",0)))</f>
        <v>Унисекс</v>
      </c>
      <c r="M28" s="105" t="str">
        <f ca="1">PROPER(TRIM(_xlfn.XLOOKUP($A28,Строчный!$A:$A,Строчный!M:M,"ERR",0)))</f>
        <v>Россия</v>
      </c>
      <c r="N28" s="78" t="str">
        <f ca="1">UPPER(TRIM(_xlfn.XLOOKUP($A28,Строчный!$A:$A,Строчный!O:O,"ERR",0)))</f>
        <v/>
      </c>
      <c r="O28" s="99" t="str">
        <f ca="1">PROPER(TRIM(_xlfn.XLOOKUP($A28,Строчный!$A:$A,Строчный!P:P,"ERR",0)))</f>
        <v/>
      </c>
      <c r="P28" s="78" t="str">
        <f ca="1">PROPER(TRIM(_xlfn.XLOOKUP($A28,Строчный!$A:$A,Строчный!R:R,"ERR",0)))</f>
        <v/>
      </c>
      <c r="Q28" s="87">
        <f ca="1">VALUE(_xlfn.XLOOKUP($A28,Строчный!$A:$A,Строчный!N:N,"ERR",0))</f>
        <v>975.8</v>
      </c>
      <c r="R28" s="86" t="str">
        <f ca="1">_xlfn.XLOOKUP($G28,Фабрика!A:A,Фабрика!B:B,"ERR",0)</f>
        <v>ООО "ФРЭДРИКСОН" Россия 192029, С-Петербург, пр. Обуховской обороны, д.86, лит М</v>
      </c>
      <c r="S28" s="77" t="str">
        <f ca="1">_xlfn.XLOOKUP(RIGHT(AA28,2),Размеры!D:D,Размеры!A:A,"ERR",0)</f>
        <v>60</v>
      </c>
      <c r="T28" s="77">
        <f ca="1">VALUE(_xlfn.XLOOKUP($AA28,Строчный!$S:$S,Строчный!U:U,"ERR",0))</f>
        <v>9</v>
      </c>
      <c r="U28" s="14" t="s">
        <v>241</v>
      </c>
      <c r="V28" s="98" t="str">
        <f t="shared" ca="1" si="1"/>
        <v>Кепка FREDRIKSON арт. 3190-667/70 (черный / белый)</v>
      </c>
      <c r="W28" s="97" t="str">
        <f t="shared" ca="1" si="2"/>
        <v>Кепка FREDRIKSON арт. 3190-667/70 (черный / белый) {667/70}</v>
      </c>
      <c r="X28" s="18" t="str">
        <f t="shared" ca="1" si="3"/>
        <v>черный</v>
      </c>
      <c r="Y28" s="18" t="str">
        <f t="shared" ca="1" si="4"/>
        <v>белый</v>
      </c>
      <c r="Z28" s="109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0" t="str">
        <f ca="1"/>
        <v>95-097-72-60</v>
      </c>
      <c r="AB28" s="72" t="str">
        <f ca="1">VLOOKUP(C28,Группа!A:B,2,FALSE)</f>
        <v>Кепка</v>
      </c>
      <c r="AC28" s="94" t="str">
        <f ca="1">IFERROR(VLOOKUP(S28,Размеры!A:C,3,FALSE),"")</f>
        <v>60 L/XL</v>
      </c>
      <c r="AD28" s="94" t="str">
        <f ca="1">VLOOKUP(I28,ЦветПолный!A:B,2,FALSE)</f>
        <v>72</v>
      </c>
      <c r="AE28" s="94" t="str">
        <f ca="1">IFERROR(VLOOKUP(S28,Размеры!A:D,4,FALSE),"")</f>
        <v>60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IF(IFERROR(VLOOKUP(J28,Материал!D:D,1,0),0)&gt;0,1,SUMIF(Материал!A:A,K28,Материал!B:B))</f>
        <v>1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37">
        <f ca="1">SUMIF(Страна!A:A,M28,Страна!B:B)</f>
        <v>1</v>
      </c>
      <c r="AQ28" s="150" t="str">
        <f t="shared" ca="1" si="5"/>
        <v>Кепка FREDRIKSON арт. 3190-667/70 (черный / белый) {667/70}</v>
      </c>
      <c r="AR28" s="94">
        <f t="shared" ca="1" si="6"/>
        <v>1</v>
      </c>
      <c r="AS28" s="143">
        <f t="shared" ca="1" si="7"/>
        <v>1</v>
      </c>
      <c r="AT28" s="138" t="str">
        <f ca="1">IF(IFERROR(VLOOKUP(W28,Товары!A:B,2,FALSE),"")=A28,"Есть в 1С","ERR")</f>
        <v>ERR</v>
      </c>
      <c r="AU28" s="139" t="str">
        <f ca="1">IF(IFERROR(VLOOKUP(A28,Товары!B:B,1,FALSE),"")=A28,"Есть в 1С","ERR")</f>
        <v>ERR</v>
      </c>
      <c r="AV28" s="93" t="e">
        <f ca="1">VLOOKUP(W28,Товары!A:B,2,FALSE)</f>
        <v>#N/A</v>
      </c>
      <c r="AW28" s="91" t="e">
        <f ca="1">VLOOKUP(W28,Товары!A:B,1,FALSE)</f>
        <v>#N/A</v>
      </c>
    </row>
    <row r="29" spans="1:49" x14ac:dyDescent="0.25">
      <c r="A29" s="105" t="str">
        <f t="shared" ca="1" si="0"/>
        <v>95-097-72</v>
      </c>
      <c r="B29" s="78" t="str">
        <f ca="1">_xlfn.LET(_xlpm.CAPS,VLOOKUP(G29,Caps!A:B,2,0),_xlpm.Style,TRIM(_xlfn.XLOOKUP($A29,Строчный!$A:$A,Строчный!B:B,"ERR",0)),IF(_xlpm.CAPS=0,_xlpm.Style,UPPER(_xlpm.Style)))</f>
        <v>3190-667/70</v>
      </c>
      <c r="C29" s="78" t="str">
        <f ca="1">TRIM(PROPER(_xlfn.XLOOKUP($A29,Строчный!$A:$A,Строчный!C:C,"ERR",0)))</f>
        <v>Кепки</v>
      </c>
      <c r="D29" s="78" t="str">
        <f ca="1">_xlfn.LET(_xlpm.DATA,TRIM(_xlfn.XLOOKUP($A29,Строчный!$A:$A,Строчный!D:D,"ERR",0)),UPPER(MID(_xlpm.DATA,1,1))&amp;LOWER(MID(_xlpm.DATA,2,LEN(_xlpm.DATA)-1)))</f>
        <v>Кепка восьмиклинка</v>
      </c>
      <c r="E29" s="78" t="str">
        <f ca="1">PROPER(TRIM(_xlfn.XLOOKUP($A29,Строчный!$A:$A,Строчный!E:E,"ERR",0)))</f>
        <v>Fredrikson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FREDRIKSON</v>
      </c>
      <c r="H29" s="78" t="str">
        <f ca="1">LOWER(TRIM(_xlfn.XLOOKUP($A29,Строчный!$A:$A,Строчный!H:H,"ERR",0)))</f>
        <v>667/70</v>
      </c>
      <c r="I29" s="78" t="str">
        <f ca="1">LOWER(TRIM(_xlfn.XLOOKUP($A29,Строчный!$A:$A,Строчный!I:I,"ERR",0)))</f>
        <v>черный / белый</v>
      </c>
      <c r="J29" s="78" t="str">
        <f ca="1">SUBSTITUTE(LOWER(TRIM(_xlfn.XLOOKUP($A29,Строчный!$A:$A,Строчный!J:J,"ERR",0))),"подклад","Подклад")</f>
        <v>80% шерсть - 20% полиамид / Подклад: 100% хлопок</v>
      </c>
      <c r="K29" s="78" t="str">
        <f ca="1">LOWER(TRIM(_xlfn.XLOOKUP($A29,Строчный!$A:$A,Строчный!K:K,"ERR",0)))</f>
        <v>шерстяные</v>
      </c>
      <c r="L29" s="78" t="str">
        <f ca="1">PROPER(TRIM(_xlfn.XLOOKUP($A29,Строчный!$A:$A,Строчный!L:L,"ERR",0)))</f>
        <v>Унисекс</v>
      </c>
      <c r="M29" s="105" t="str">
        <f ca="1">PROPER(TRIM(_xlfn.XLOOKUP($A29,Строчный!$A:$A,Строчный!M:M,"ERR",0)))</f>
        <v>Россия</v>
      </c>
      <c r="N29" s="78" t="str">
        <f ca="1">UPPER(TRIM(_xlfn.XLOOKUP($A29,Строчный!$A:$A,Строчный!O:O,"ERR",0)))</f>
        <v/>
      </c>
      <c r="O29" s="99" t="str">
        <f ca="1">PROPER(TRIM(_xlfn.XLOOKUP($A29,Строчный!$A:$A,Строчный!P:P,"ERR",0)))</f>
        <v/>
      </c>
      <c r="P29" s="78" t="str">
        <f ca="1">PROPER(TRIM(_xlfn.XLOOKUP($A29,Строчный!$A:$A,Строчный!R:R,"ERR",0)))</f>
        <v/>
      </c>
      <c r="Q29" s="87">
        <f ca="1">VALUE(_xlfn.XLOOKUP($A29,Строчный!$A:$A,Строчный!N:N,"ERR",0))</f>
        <v>975.8</v>
      </c>
      <c r="R29" s="86" t="str">
        <f ca="1">_xlfn.XLOOKUP($G29,Фабрика!A:A,Фабрика!B:B,"ERR",0)</f>
        <v>ООО "ФРЭДРИКСОН" Россия 192029, С-Петербург, пр. Обуховской обороны, д.86, лит М</v>
      </c>
      <c r="S29" s="77" t="str">
        <f ca="1">_xlfn.XLOOKUP(RIGHT(AA29,2),Размеры!D:D,Размеры!A:A,"ERR",0)</f>
        <v>59</v>
      </c>
      <c r="T29" s="77">
        <f ca="1">VALUE(_xlfn.XLOOKUP($AA29,Строчный!$S:$S,Строчный!U:U,"ERR",0))</f>
        <v>12</v>
      </c>
      <c r="U29" s="14" t="s">
        <v>241</v>
      </c>
      <c r="V29" s="98" t="str">
        <f t="shared" ca="1" si="1"/>
        <v>Кепка FREDRIKSON арт. 3190-667/70 (черный / белый)</v>
      </c>
      <c r="W29" s="97" t="str">
        <f t="shared" ca="1" si="2"/>
        <v>Кепка FREDRIKSON арт. 3190-667/70 (черный / белый) {667/70}</v>
      </c>
      <c r="X29" s="18" t="str">
        <f t="shared" ca="1" si="3"/>
        <v>черный</v>
      </c>
      <c r="Y29" s="18" t="str">
        <f t="shared" ca="1" si="4"/>
        <v>белый</v>
      </c>
      <c r="Z29" s="109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0" t="str">
        <f ca="1"/>
        <v>95-097-72-59</v>
      </c>
      <c r="AB29" s="72" t="str">
        <f ca="1">VLOOKUP(C29,Группа!A:B,2,FALSE)</f>
        <v>Кепка</v>
      </c>
      <c r="AC29" s="94" t="str">
        <f ca="1">IFERROR(VLOOKUP(S29,Размеры!A:C,3,FALSE),"")</f>
        <v>59 L</v>
      </c>
      <c r="AD29" s="94" t="str">
        <f ca="1">VLOOKUP(I29,ЦветПолный!A:B,2,FALSE)</f>
        <v>72</v>
      </c>
      <c r="AE29" s="94" t="str">
        <f ca="1">IFERROR(VLOOKUP(S29,Размеры!A:D,4,FALSE),"")</f>
        <v>59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IF(IFERROR(VLOOKUP(J29,Материал!D:D,1,0),0)&gt;0,1,SUMIF(Материал!A:A,K29,Материал!B:B))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37">
        <f ca="1">SUMIF(Страна!A:A,M29,Страна!B:B)</f>
        <v>1</v>
      </c>
      <c r="AQ29" s="150" t="str">
        <f t="shared" ca="1" si="5"/>
        <v>Кепка FREDRIKSON арт. 3190-667/70 (черный / белый) {667/70}</v>
      </c>
      <c r="AR29" s="94">
        <f t="shared" ca="1" si="6"/>
        <v>1</v>
      </c>
      <c r="AS29" s="143">
        <f t="shared" ca="1" si="7"/>
        <v>1</v>
      </c>
      <c r="AT29" s="138" t="str">
        <f ca="1">IF(IFERROR(VLOOKUP(W29,Товары!A:B,2,FALSE),"")=A29,"Есть в 1С","ERR")</f>
        <v>ERR</v>
      </c>
      <c r="AU29" s="139" t="str">
        <f ca="1">IF(IFERROR(VLOOKUP(A29,Товары!B:B,1,FALSE),"")=A29,"Есть в 1С","ERR")</f>
        <v>ERR</v>
      </c>
      <c r="AV29" s="93" t="e">
        <f ca="1">VLOOKUP(W29,Товары!A:B,2,FALSE)</f>
        <v>#N/A</v>
      </c>
      <c r="AW29" s="91" t="e">
        <f ca="1">VLOOKUP(W29,Товары!A:B,1,FALSE)</f>
        <v>#N/A</v>
      </c>
    </row>
    <row r="30" spans="1:49" x14ac:dyDescent="0.25">
      <c r="A30" s="105" t="str">
        <f t="shared" ca="1" si="0"/>
        <v>95-097-72</v>
      </c>
      <c r="B30" s="78" t="str">
        <f ca="1">_xlfn.LET(_xlpm.CAPS,VLOOKUP(G30,Caps!A:B,2,0),_xlpm.Style,TRIM(_xlfn.XLOOKUP($A30,Строчный!$A:$A,Строчный!B:B,"ERR",0)),IF(_xlpm.CAPS=0,_xlpm.Style,UPPER(_xlpm.Style)))</f>
        <v>3190-667/70</v>
      </c>
      <c r="C30" s="78" t="str">
        <f ca="1">TRIM(PROPER(_xlfn.XLOOKUP($A30,Строчный!$A:$A,Строчный!C:C,"ERR",0)))</f>
        <v>Кепки</v>
      </c>
      <c r="D30" s="78" t="str">
        <f ca="1">_xlfn.LET(_xlpm.DATA,TRIM(_xlfn.XLOOKUP($A30,Строчный!$A:$A,Строчный!D:D,"ERR",0)),UPPER(MID(_xlpm.DATA,1,1))&amp;LOWER(MID(_xlpm.DATA,2,LEN(_xlpm.DATA)-1)))</f>
        <v>Кепка восьмиклинка</v>
      </c>
      <c r="E30" s="78" t="str">
        <f ca="1">PROPER(TRIM(_xlfn.XLOOKUP($A30,Строчный!$A:$A,Строчный!E:E,"ERR",0)))</f>
        <v>Fredrikson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FREDRIKSON</v>
      </c>
      <c r="H30" s="78" t="str">
        <f ca="1">LOWER(TRIM(_xlfn.XLOOKUP($A30,Строчный!$A:$A,Строчный!H:H,"ERR",0)))</f>
        <v>667/70</v>
      </c>
      <c r="I30" s="78" t="str">
        <f ca="1">LOWER(TRIM(_xlfn.XLOOKUP($A30,Строчный!$A:$A,Строчный!I:I,"ERR",0)))</f>
        <v>черный / белый</v>
      </c>
      <c r="J30" s="78" t="str">
        <f ca="1">SUBSTITUTE(LOWER(TRIM(_xlfn.XLOOKUP($A30,Строчный!$A:$A,Строчный!J:J,"ERR",0))),"подклад","Подклад")</f>
        <v>80% шерсть - 20% полиамид / Подклад: 100% хлопок</v>
      </c>
      <c r="K30" s="78" t="str">
        <f ca="1">LOWER(TRIM(_xlfn.XLOOKUP($A30,Строчный!$A:$A,Строчный!K:K,"ERR",0)))</f>
        <v>шерстяные</v>
      </c>
      <c r="L30" s="78" t="str">
        <f ca="1">PROPER(TRIM(_xlfn.XLOOKUP($A30,Строчный!$A:$A,Строчный!L:L,"ERR",0)))</f>
        <v>Унисекс</v>
      </c>
      <c r="M30" s="105" t="str">
        <f ca="1">PROPER(TRIM(_xlfn.XLOOKUP($A30,Строчный!$A:$A,Строчный!M:M,"ERR",0)))</f>
        <v>Россия</v>
      </c>
      <c r="N30" s="78" t="str">
        <f ca="1">UPPER(TRIM(_xlfn.XLOOKUP($A30,Строчный!$A:$A,Строчный!O:O,"ERR",0)))</f>
        <v/>
      </c>
      <c r="O30" s="99" t="str">
        <f ca="1">PROPER(TRIM(_xlfn.XLOOKUP($A30,Строчный!$A:$A,Строчный!P:P,"ERR",0)))</f>
        <v/>
      </c>
      <c r="P30" s="78" t="str">
        <f ca="1">PROPER(TRIM(_xlfn.XLOOKUP($A30,Строчный!$A:$A,Строчный!R:R,"ERR",0)))</f>
        <v/>
      </c>
      <c r="Q30" s="87">
        <f ca="1">VALUE(_xlfn.XLOOKUP($A30,Строчный!$A:$A,Строчный!N:N,"ERR",0))</f>
        <v>975.8</v>
      </c>
      <c r="R30" s="86" t="str">
        <f ca="1">_xlfn.XLOOKUP($G30,Фабрика!A:A,Фабрика!B:B,"ERR",0)</f>
        <v>ООО "ФРЭДРИКСОН" Россия 192029, С-Петербург, пр. Обуховской обороны, д.86, лит М</v>
      </c>
      <c r="S30" s="77" t="str">
        <f ca="1">_xlfn.XLOOKUP(RIGHT(AA30,2),Размеры!D:D,Размеры!A:A,"ERR",0)</f>
        <v>58</v>
      </c>
      <c r="T30" s="77">
        <f ca="1">VALUE(_xlfn.XLOOKUP($AA30,Строчный!$S:$S,Строчный!U:U,"ERR",0))</f>
        <v>9</v>
      </c>
      <c r="U30" s="14" t="s">
        <v>241</v>
      </c>
      <c r="V30" s="98" t="str">
        <f t="shared" ca="1" si="1"/>
        <v>Кепка FREDRIKSON арт. 3190-667/70 (черный / белый)</v>
      </c>
      <c r="W30" s="97" t="str">
        <f t="shared" ca="1" si="2"/>
        <v>Кепка FREDRIKSON арт. 3190-667/70 (черный / белый) {667/70}</v>
      </c>
      <c r="X30" s="18" t="str">
        <f t="shared" ca="1" si="3"/>
        <v>черный</v>
      </c>
      <c r="Y30" s="18" t="str">
        <f t="shared" ca="1" si="4"/>
        <v>белый</v>
      </c>
      <c r="Z30" s="109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0" t="str">
        <f ca="1"/>
        <v>95-097-72-58</v>
      </c>
      <c r="AB30" s="72" t="str">
        <f ca="1">VLOOKUP(C30,Группа!A:B,2,FALSE)</f>
        <v>Кепка</v>
      </c>
      <c r="AC30" s="94" t="str">
        <f ca="1">IFERROR(VLOOKUP(S30,Размеры!A:C,3,FALSE),"")</f>
        <v>58 M/L</v>
      </c>
      <c r="AD30" s="94" t="str">
        <f ca="1">VLOOKUP(I30,ЦветПолный!A:B,2,FALSE)</f>
        <v>72</v>
      </c>
      <c r="AE30" s="94" t="str">
        <f ca="1">IFERROR(VLOOKUP(S30,Размеры!A:D,4,FALSE),"")</f>
        <v>58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IF(IFERROR(VLOOKUP(J30,Материал!D:D,1,0),0)&gt;0,1,SUMIF(Материал!A:A,K30,Материал!B:B))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37">
        <f ca="1">SUMIF(Страна!A:A,M30,Страна!B:B)</f>
        <v>1</v>
      </c>
      <c r="AQ30" s="150" t="str">
        <f t="shared" ca="1" si="5"/>
        <v>Кепка FREDRIKSON арт. 3190-667/70 (черный / белый) {667/70}</v>
      </c>
      <c r="AR30" s="94">
        <f t="shared" ca="1" si="6"/>
        <v>1</v>
      </c>
      <c r="AS30" s="143">
        <f t="shared" ca="1" si="7"/>
        <v>1</v>
      </c>
      <c r="AT30" s="138" t="str">
        <f ca="1">IF(IFERROR(VLOOKUP(W30,Товары!A:B,2,FALSE),"")=A30,"Есть в 1С","ERR")</f>
        <v>ERR</v>
      </c>
      <c r="AU30" s="139" t="str">
        <f ca="1">IF(IFERROR(VLOOKUP(A30,Товары!B:B,1,FALSE),"")=A30,"Есть в 1С","ERR")</f>
        <v>ERR</v>
      </c>
      <c r="AV30" s="93" t="e">
        <f ca="1">VLOOKUP(W30,Товары!A:B,2,FALSE)</f>
        <v>#N/A</v>
      </c>
      <c r="AW30" s="91" t="e">
        <f ca="1">VLOOKUP(W30,Товары!A:B,1,FALSE)</f>
        <v>#N/A</v>
      </c>
    </row>
    <row r="31" spans="1:49" x14ac:dyDescent="0.25">
      <c r="A31" s="105" t="str">
        <f t="shared" ca="1" si="0"/>
        <v>95-097-72</v>
      </c>
      <c r="B31" s="78" t="str">
        <f ca="1">_xlfn.LET(_xlpm.CAPS,VLOOKUP(G31,Caps!A:B,2,0),_xlpm.Style,TRIM(_xlfn.XLOOKUP($A31,Строчный!$A:$A,Строчный!B:B,"ERR",0)),IF(_xlpm.CAPS=0,_xlpm.Style,UPPER(_xlpm.Style)))</f>
        <v>3190-667/70</v>
      </c>
      <c r="C31" s="78" t="str">
        <f ca="1">TRIM(PROPER(_xlfn.XLOOKUP($A31,Строчный!$A:$A,Строчный!C:C,"ERR",0)))</f>
        <v>Кепки</v>
      </c>
      <c r="D31" s="78" t="str">
        <f ca="1">_xlfn.LET(_xlpm.DATA,TRIM(_xlfn.XLOOKUP($A31,Строчный!$A:$A,Строчный!D:D,"ERR",0)),UPPER(MID(_xlpm.DATA,1,1))&amp;LOWER(MID(_xlpm.DATA,2,LEN(_xlpm.DATA)-1)))</f>
        <v>Кепка восьмиклинка</v>
      </c>
      <c r="E31" s="78" t="str">
        <f ca="1">PROPER(TRIM(_xlfn.XLOOKUP($A31,Строчный!$A:$A,Строчный!E:E,"ERR",0)))</f>
        <v>Fredrikson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FREDRIKSON</v>
      </c>
      <c r="H31" s="78" t="str">
        <f ca="1">LOWER(TRIM(_xlfn.XLOOKUP($A31,Строчный!$A:$A,Строчный!H:H,"ERR",0)))</f>
        <v>667/70</v>
      </c>
      <c r="I31" s="78" t="str">
        <f ca="1">LOWER(TRIM(_xlfn.XLOOKUP($A31,Строчный!$A:$A,Строчный!I:I,"ERR",0)))</f>
        <v>черный / белый</v>
      </c>
      <c r="J31" s="78" t="str">
        <f ca="1">SUBSTITUTE(LOWER(TRIM(_xlfn.XLOOKUP($A31,Строчный!$A:$A,Строчный!J:J,"ERR",0))),"подклад","Подклад")</f>
        <v>80% шерсть - 20% полиамид / Подклад: 100% хлопок</v>
      </c>
      <c r="K31" s="78" t="str">
        <f ca="1">LOWER(TRIM(_xlfn.XLOOKUP($A31,Строчный!$A:$A,Строчный!K:K,"ERR",0)))</f>
        <v>шерстяные</v>
      </c>
      <c r="L31" s="78" t="str">
        <f ca="1">PROPER(TRIM(_xlfn.XLOOKUP($A31,Строчный!$A:$A,Строчный!L:L,"ERR",0)))</f>
        <v>Унисекс</v>
      </c>
      <c r="M31" s="105" t="str">
        <f ca="1">PROPER(TRIM(_xlfn.XLOOKUP($A31,Строчный!$A:$A,Строчный!M:M,"ERR",0)))</f>
        <v>Россия</v>
      </c>
      <c r="N31" s="78" t="str">
        <f ca="1">UPPER(TRIM(_xlfn.XLOOKUP($A31,Строчный!$A:$A,Строчный!O:O,"ERR",0)))</f>
        <v/>
      </c>
      <c r="O31" s="99" t="str">
        <f ca="1">PROPER(TRIM(_xlfn.XLOOKUP($A31,Строчный!$A:$A,Строчный!P:P,"ERR",0)))</f>
        <v/>
      </c>
      <c r="P31" s="78" t="str">
        <f ca="1">PROPER(TRIM(_xlfn.XLOOKUP($A31,Строчный!$A:$A,Строчный!R:R,"ERR",0)))</f>
        <v/>
      </c>
      <c r="Q31" s="87">
        <f ca="1">VALUE(_xlfn.XLOOKUP($A31,Строчный!$A:$A,Строчный!N:N,"ERR",0))</f>
        <v>975.8</v>
      </c>
      <c r="R31" s="86" t="str">
        <f ca="1">_xlfn.XLOOKUP($G31,Фабрика!A:A,Фабрика!B:B,"ERR",0)</f>
        <v>ООО "ФРЭДРИКСОН" Россия 192029, С-Петербург, пр. Обуховской обороны, д.86, лит М</v>
      </c>
      <c r="S31" s="77" t="str">
        <f ca="1">_xlfn.XLOOKUP(RIGHT(AA31,2),Размеры!D:D,Размеры!A:A,"ERR",0)</f>
        <v>57</v>
      </c>
      <c r="T31" s="77">
        <f ca="1">VALUE(_xlfn.XLOOKUP($AA31,Строчный!$S:$S,Строчный!U:U,"ERR",0))</f>
        <v>6</v>
      </c>
      <c r="U31" s="14" t="s">
        <v>241</v>
      </c>
      <c r="V31" s="98" t="str">
        <f t="shared" ca="1" si="1"/>
        <v>Кепка FREDRIKSON арт. 3190-667/70 (черный / белый)</v>
      </c>
      <c r="W31" s="97" t="str">
        <f t="shared" ca="1" si="2"/>
        <v>Кепка FREDRIKSON арт. 3190-667/70 (черный / белый) {667/70}</v>
      </c>
      <c r="X31" s="18" t="str">
        <f t="shared" ca="1" si="3"/>
        <v>черный</v>
      </c>
      <c r="Y31" s="18" t="str">
        <f t="shared" ca="1" si="4"/>
        <v>белый</v>
      </c>
      <c r="Z31" s="109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0" t="str">
        <f ca="1"/>
        <v>95-097-72-57</v>
      </c>
      <c r="AB31" s="72" t="str">
        <f ca="1">VLOOKUP(C31,Группа!A:B,2,FALSE)</f>
        <v>Кепка</v>
      </c>
      <c r="AC31" s="94" t="str">
        <f ca="1">IFERROR(VLOOKUP(S31,Размеры!A:C,3,FALSE),"")</f>
        <v>57 M</v>
      </c>
      <c r="AD31" s="94" t="str">
        <f ca="1">VLOOKUP(I31,ЦветПолный!A:B,2,FALSE)</f>
        <v>72</v>
      </c>
      <c r="AE31" s="94" t="str">
        <f ca="1">IFERROR(VLOOKUP(S31,Размеры!A:D,4,FALSE),"")</f>
        <v>57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IF(IFERROR(VLOOKUP(J31,Материал!D:D,1,0),0)&gt;0,1,SUMIF(Материал!A:A,K31,Материал!B:B))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37">
        <f ca="1">SUMIF(Страна!A:A,M31,Страна!B:B)</f>
        <v>1</v>
      </c>
      <c r="AQ31" s="150" t="str">
        <f t="shared" ca="1" si="5"/>
        <v>Кепка FREDRIKSON арт. 3190-667/70 (черный / белый) {667/70}</v>
      </c>
      <c r="AR31" s="94">
        <f t="shared" ca="1" si="6"/>
        <v>1</v>
      </c>
      <c r="AS31" s="143">
        <f t="shared" ca="1" si="7"/>
        <v>1</v>
      </c>
      <c r="AT31" s="138" t="str">
        <f ca="1">IF(IFERROR(VLOOKUP(W31,Товары!A:B,2,FALSE),"")=A31,"Есть в 1С","ERR")</f>
        <v>ERR</v>
      </c>
      <c r="AU31" s="139" t="str">
        <f ca="1">IF(IFERROR(VLOOKUP(A31,Товары!B:B,1,FALSE),"")=A31,"Есть в 1С","ERR")</f>
        <v>ERR</v>
      </c>
      <c r="AV31" s="93" t="e">
        <f ca="1">VLOOKUP(W31,Товары!A:B,2,FALSE)</f>
        <v>#N/A</v>
      </c>
      <c r="AW31" s="91" t="e">
        <f ca="1">VLOOKUP(W31,Товары!A:B,1,FALSE)</f>
        <v>#N/A</v>
      </c>
    </row>
    <row r="32" spans="1:49" x14ac:dyDescent="0.25">
      <c r="A32" s="105" t="str">
        <f t="shared" ca="1" si="0"/>
        <v>95-097-72</v>
      </c>
      <c r="B32" s="78" t="str">
        <f ca="1">_xlfn.LET(_xlpm.CAPS,VLOOKUP(G32,Caps!A:B,2,0),_xlpm.Style,TRIM(_xlfn.XLOOKUP($A32,Строчный!$A:$A,Строчный!B:B,"ERR",0)),IF(_xlpm.CAPS=0,_xlpm.Style,UPPER(_xlpm.Style)))</f>
        <v>3190-667/70</v>
      </c>
      <c r="C32" s="78" t="str">
        <f ca="1">TRIM(PROPER(_xlfn.XLOOKUP($A32,Строчный!$A:$A,Строчный!C:C,"ERR",0)))</f>
        <v>Кепки</v>
      </c>
      <c r="D32" s="78" t="str">
        <f ca="1">_xlfn.LET(_xlpm.DATA,TRIM(_xlfn.XLOOKUP($A32,Строчный!$A:$A,Строчный!D:D,"ERR",0)),UPPER(MID(_xlpm.DATA,1,1))&amp;LOWER(MID(_xlpm.DATA,2,LEN(_xlpm.DATA)-1)))</f>
        <v>Кепка восьмиклинка</v>
      </c>
      <c r="E32" s="78" t="str">
        <f ca="1">PROPER(TRIM(_xlfn.XLOOKUP($A32,Строчный!$A:$A,Строчный!E:E,"ERR",0)))</f>
        <v>Fredrikson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FREDRIKSON</v>
      </c>
      <c r="H32" s="78" t="str">
        <f ca="1">LOWER(TRIM(_xlfn.XLOOKUP($A32,Строчный!$A:$A,Строчный!H:H,"ERR",0)))</f>
        <v>667/70</v>
      </c>
      <c r="I32" s="78" t="str">
        <f ca="1">LOWER(TRIM(_xlfn.XLOOKUP($A32,Строчный!$A:$A,Строчный!I:I,"ERR",0)))</f>
        <v>черный / белый</v>
      </c>
      <c r="J32" s="78" t="str">
        <f ca="1">SUBSTITUTE(LOWER(TRIM(_xlfn.XLOOKUP($A32,Строчный!$A:$A,Строчный!J:J,"ERR",0))),"подклад","Подклад")</f>
        <v>80% шерсть - 20% полиамид / Подклад: 100% хлопок</v>
      </c>
      <c r="K32" s="78" t="str">
        <f ca="1">LOWER(TRIM(_xlfn.XLOOKUP($A32,Строчный!$A:$A,Строчный!K:K,"ERR",0)))</f>
        <v>шерстяные</v>
      </c>
      <c r="L32" s="78" t="str">
        <f ca="1">PROPER(TRIM(_xlfn.XLOOKUP($A32,Строчный!$A:$A,Строчный!L:L,"ERR",0)))</f>
        <v>Унисекс</v>
      </c>
      <c r="M32" s="105" t="str">
        <f ca="1">PROPER(TRIM(_xlfn.XLOOKUP($A32,Строчный!$A:$A,Строчный!M:M,"ERR",0)))</f>
        <v>Россия</v>
      </c>
      <c r="N32" s="78" t="str">
        <f ca="1">UPPER(TRIM(_xlfn.XLOOKUP($A32,Строчный!$A:$A,Строчный!O:O,"ERR",0)))</f>
        <v/>
      </c>
      <c r="O32" s="99" t="str">
        <f ca="1">PROPER(TRIM(_xlfn.XLOOKUP($A32,Строчный!$A:$A,Строчный!P:P,"ERR",0)))</f>
        <v/>
      </c>
      <c r="P32" s="78" t="str">
        <f ca="1">PROPER(TRIM(_xlfn.XLOOKUP($A32,Строчный!$A:$A,Строчный!R:R,"ERR",0)))</f>
        <v/>
      </c>
      <c r="Q32" s="87">
        <f ca="1">VALUE(_xlfn.XLOOKUP($A32,Строчный!$A:$A,Строчный!N:N,"ERR",0))</f>
        <v>975.8</v>
      </c>
      <c r="R32" s="86" t="str">
        <f ca="1">_xlfn.XLOOKUP($G32,Фабрика!A:A,Фабрика!B:B,"ERR",0)</f>
        <v>ООО "ФРЭДРИКСОН" Россия 192029, С-Петербург, пр. Обуховской обороны, д.86, лит М</v>
      </c>
      <c r="S32" s="77" t="str">
        <f ca="1">_xlfn.XLOOKUP(RIGHT(AA32,2),Размеры!D:D,Размеры!A:A,"ERR",0)</f>
        <v>56</v>
      </c>
      <c r="T32" s="77">
        <f ca="1">VALUE(_xlfn.XLOOKUP($AA32,Строчный!$S:$S,Строчный!U:U,"ERR",0))</f>
        <v>3</v>
      </c>
      <c r="U32" s="14" t="s">
        <v>241</v>
      </c>
      <c r="V32" s="98" t="str">
        <f t="shared" ca="1" si="1"/>
        <v>Кепка FREDRIKSON арт. 3190-667/70 (черный / белый)</v>
      </c>
      <c r="W32" s="97" t="str">
        <f t="shared" ca="1" si="2"/>
        <v>Кепка FREDRIKSON арт. 3190-667/70 (черный / белый) {667/70}</v>
      </c>
      <c r="X32" s="18" t="str">
        <f t="shared" ca="1" si="3"/>
        <v>черный</v>
      </c>
      <c r="Y32" s="18" t="str">
        <f t="shared" ca="1" si="4"/>
        <v>белый</v>
      </c>
      <c r="Z32" s="109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0" t="str">
        <f ca="1"/>
        <v>95-097-72-56</v>
      </c>
      <c r="AB32" s="72" t="str">
        <f ca="1">VLOOKUP(C32,Группа!A:B,2,FALSE)</f>
        <v>Кепка</v>
      </c>
      <c r="AC32" s="94" t="str">
        <f ca="1">IFERROR(VLOOKUP(S32,Размеры!A:C,3,FALSE),"")</f>
        <v>56 S/M</v>
      </c>
      <c r="AD32" s="94" t="str">
        <f ca="1">VLOOKUP(I32,ЦветПолный!A:B,2,FALSE)</f>
        <v>72</v>
      </c>
      <c r="AE32" s="94" t="str">
        <f ca="1">IFERROR(VLOOKUP(S32,Размеры!A:D,4,FALSE),"")</f>
        <v>56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IF(IFERROR(VLOOKUP(J32,Материал!D:D,1,0),0)&gt;0,1,SUMIF(Материал!A:A,K32,Материал!B:B))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37">
        <f ca="1">SUMIF(Страна!A:A,M32,Страна!B:B)</f>
        <v>1</v>
      </c>
      <c r="AQ32" s="150" t="str">
        <f t="shared" ca="1" si="5"/>
        <v>Кепка FREDRIKSON арт. 3190-667/70 (черный / белый) {667/70}</v>
      </c>
      <c r="AR32" s="94">
        <f t="shared" ca="1" si="6"/>
        <v>1</v>
      </c>
      <c r="AS32" s="143">
        <f t="shared" ca="1" si="7"/>
        <v>1</v>
      </c>
      <c r="AT32" s="138" t="str">
        <f ca="1">IF(IFERROR(VLOOKUP(W32,Товары!A:B,2,FALSE),"")=A32,"Есть в 1С","ERR")</f>
        <v>ERR</v>
      </c>
      <c r="AU32" s="139" t="str">
        <f ca="1">IF(IFERROR(VLOOKUP(A32,Товары!B:B,1,FALSE),"")=A32,"Есть в 1С","ERR")</f>
        <v>ERR</v>
      </c>
      <c r="AV32" s="93" t="e">
        <f ca="1">VLOOKUP(W32,Товары!A:B,2,FALSE)</f>
        <v>#N/A</v>
      </c>
      <c r="AW32" s="91" t="e">
        <f ca="1">VLOOKUP(W32,Товары!A:B,1,FALSE)</f>
        <v>#N/A</v>
      </c>
    </row>
    <row r="33" spans="1:49" x14ac:dyDescent="0.25">
      <c r="A33" s="105" t="str">
        <f t="shared" ca="1" si="0"/>
        <v>95-096-14</v>
      </c>
      <c r="B33" s="78" t="str">
        <f ca="1">_xlfn.LET(_xlpm.CAPS,VLOOKUP(G33,Caps!A:B,2,0),_xlpm.Style,TRIM(_xlfn.XLOOKUP($A33,Строчный!$A:$A,Строчный!B:B,"ERR",0)),IF(_xlpm.CAPS=0,_xlpm.Style,UPPER(_xlpm.Style)))</f>
        <v>3190-655/55</v>
      </c>
      <c r="C33" s="78" t="str">
        <f ca="1">TRIM(PROPER(_xlfn.XLOOKUP($A33,Строчный!$A:$A,Строчный!C:C,"ERR",0)))</f>
        <v>Кепки</v>
      </c>
      <c r="D33" s="78" t="str">
        <f ca="1">_xlfn.LET(_xlpm.DATA,TRIM(_xlfn.XLOOKUP($A33,Строчный!$A:$A,Строчный!D:D,"ERR",0)),UPPER(MID(_xlpm.DATA,1,1))&amp;LOWER(MID(_xlpm.DATA,2,LEN(_xlpm.DATA)-1)))</f>
        <v>Кепка восьмиклинка</v>
      </c>
      <c r="E33" s="78" t="str">
        <f ca="1">PROPER(TRIM(_xlfn.XLOOKUP($A33,Строчный!$A:$A,Строчный!E:E,"ERR",0)))</f>
        <v>Fredrikson</v>
      </c>
      <c r="F33" s="78" t="str">
        <f ca="1">LOWER(TRIM(_xlfn.XLOOKUP($A33,Строчный!$A:$A,Строчный!F:F,"ERR",0)))</f>
        <v>всесезон</v>
      </c>
      <c r="G33" s="78" t="str">
        <f ca="1">UPPER(TRIM(_xlfn.XLOOKUP($A33,Строчный!$A:$A,Строчный!G:G,"ERR",0)))</f>
        <v>FREDRIKSON</v>
      </c>
      <c r="H33" s="78" t="str">
        <f ca="1">LOWER(TRIM(_xlfn.XLOOKUP($A33,Строчный!$A:$A,Строчный!H:H,"ERR",0)))</f>
        <v>655/55</v>
      </c>
      <c r="I33" s="78" t="str">
        <f ca="1">LOWER(TRIM(_xlfn.XLOOKUP($A33,Строчный!$A:$A,Строчный!I:I,"ERR",0)))</f>
        <v>коричневый</v>
      </c>
      <c r="J33" s="78" t="str">
        <f ca="1">SUBSTITUTE(LOWER(TRIM(_xlfn.XLOOKUP($A33,Строчный!$A:$A,Строчный!J:J,"ERR",0))),"подклад","Подклад")</f>
        <v>80% шерсть - 20% полиамид / Подклад: 100% хлопок</v>
      </c>
      <c r="K33" s="78" t="str">
        <f ca="1">LOWER(TRIM(_xlfn.XLOOKUP($A33,Строчный!$A:$A,Строчный!K:K,"ERR",0)))</f>
        <v>шерстяные</v>
      </c>
      <c r="L33" s="78" t="str">
        <f ca="1">PROPER(TRIM(_xlfn.XLOOKUP($A33,Строчный!$A:$A,Строчный!L:L,"ERR",0)))</f>
        <v>Унисекс</v>
      </c>
      <c r="M33" s="105" t="str">
        <f ca="1">PROPER(TRIM(_xlfn.XLOOKUP($A33,Строчный!$A:$A,Строчный!M:M,"ERR",0)))</f>
        <v>Россия</v>
      </c>
      <c r="N33" s="78" t="str">
        <f ca="1">UPPER(TRIM(_xlfn.XLOOKUP($A33,Строчный!$A:$A,Строчный!O:O,"ERR",0)))</f>
        <v/>
      </c>
      <c r="O33" s="99" t="str">
        <f ca="1">PROPER(TRIM(_xlfn.XLOOKUP($A33,Строчный!$A:$A,Строчный!P:P,"ERR",0)))</f>
        <v/>
      </c>
      <c r="P33" s="78" t="str">
        <f ca="1">PROPER(TRIM(_xlfn.XLOOKUP($A33,Строчный!$A:$A,Строчный!R:R,"ERR",0)))</f>
        <v/>
      </c>
      <c r="Q33" s="87">
        <f ca="1">VALUE(_xlfn.XLOOKUP($A33,Строчный!$A:$A,Строчный!N:N,"ERR",0))</f>
        <v>975.8</v>
      </c>
      <c r="R33" s="86" t="str">
        <f ca="1">_xlfn.XLOOKUP($G33,Фабрика!A:A,Фабрика!B:B,"ERR",0)</f>
        <v>ООО "ФРЭДРИКСОН" Россия 192029, С-Петербург, пр. Обуховской обороны, д.86, лит М</v>
      </c>
      <c r="S33" s="77" t="str">
        <f ca="1">_xlfn.XLOOKUP(RIGHT(AA33,2),Размеры!D:D,Размеры!A:A,"ERR",0)</f>
        <v>62</v>
      </c>
      <c r="T33" s="77">
        <f ca="1">VALUE(_xlfn.XLOOKUP($AA33,Строчный!$S:$S,Строчный!U:U,"ERR",0))</f>
        <v>3</v>
      </c>
      <c r="U33" s="14" t="s">
        <v>241</v>
      </c>
      <c r="V33" s="98" t="str">
        <f t="shared" ca="1" si="1"/>
        <v>Кепка FREDRIKSON арт. 3190-655/55 (коричневый)</v>
      </c>
      <c r="W33" s="97" t="str">
        <f t="shared" ca="1" si="2"/>
        <v>Кепка FREDRIKSON арт. 3190-655/55 (коричневый) {655/55}</v>
      </c>
      <c r="X33" s="18" t="str">
        <f t="shared" ca="1" si="3"/>
        <v>коричневый</v>
      </c>
      <c r="Y33" s="18" t="str">
        <f t="shared" ca="1" si="4"/>
        <v>коричневый</v>
      </c>
      <c r="Z33" s="109" t="str">
        <f ca="1">_xlfn.LET(_xlpm.FormColors,_xlfn.XLOOKUP(A33,Строчный!A:A,Строчный!Q:Q,"",0),IF(_xlpm.FormColors=0,IFERROR(MID(I33,FIND("-",I33)+1,LEN(I33)),IFERROR(MID(I33,1,FIND("/",I33)-2),I33)),_xlpm.FormColors))</f>
        <v>коричневый</v>
      </c>
      <c r="AA33" s="70" t="str">
        <f ca="1"/>
        <v>95-096-14-62</v>
      </c>
      <c r="AB33" s="72" t="str">
        <f ca="1">VLOOKUP(C33,Группа!A:B,2,FALSE)</f>
        <v>Кепка</v>
      </c>
      <c r="AC33" s="94" t="str">
        <f ca="1">IFERROR(VLOOKUP(S33,Размеры!A:C,3,FALSE),"")</f>
        <v>62 XL/XXL</v>
      </c>
      <c r="AD33" s="94" t="str">
        <f ca="1">VLOOKUP(I33,ЦветПолный!A:B,2,FALSE)</f>
        <v>14</v>
      </c>
      <c r="AE33" s="94" t="str">
        <f ca="1">IFERROR(VLOOKUP(S33,Размеры!A:D,4,FALSE),"")</f>
        <v>62</v>
      </c>
      <c r="AF33" s="94">
        <f ca="1">SUMIF(Группа!A:A,C33,Группа!C:C)</f>
        <v>1</v>
      </c>
      <c r="AG33" s="94">
        <f ca="1">SUMIF(Группа!B:B,AB33,Группа!C:C)</f>
        <v>1</v>
      </c>
      <c r="AH33" s="94">
        <f ca="1">SUMIF(Формы!A:A,D33,Формы!B:B)</f>
        <v>1</v>
      </c>
      <c r="AI33" s="94">
        <f ca="1">IF(IFERROR(VLOOKUP(J33,Материал!D:D,1,0),0)&gt;0,1,SUMIF(Материал!A:A,K33,Материал!B:B))</f>
        <v>1</v>
      </c>
      <c r="AJ33" s="94">
        <f ca="1">SUMIF(Размеры!A:A,S33,Размеры!E:E)</f>
        <v>1</v>
      </c>
      <c r="AK33" s="94">
        <f ca="1">SUMIF(Сезон!A:A,F33,Сезон!B:B)</f>
        <v>1</v>
      </c>
      <c r="AL33" s="94">
        <f ca="1">VLOOKUP(I33,ЦветПолный!A:C,3,0)</f>
        <v>1</v>
      </c>
      <c r="AM33" s="94">
        <f ca="1">SUMIF(Цвет!A:A,Z33,Цвет!B:B)</f>
        <v>1</v>
      </c>
      <c r="AN33" s="94">
        <f ca="1">_xlfn.XLOOKUP(L33,Пол!A:A,Пол!B:B,0,0)</f>
        <v>1</v>
      </c>
      <c r="AO33" s="94">
        <f ca="1">SUMIF(Бренд!A:A,G33,Бренд!B:B)</f>
        <v>1</v>
      </c>
      <c r="AP33" s="137">
        <f ca="1">SUMIF(Страна!A:A,M33,Страна!B:B)</f>
        <v>1</v>
      </c>
      <c r="AQ33" s="150" t="str">
        <f t="shared" ca="1" si="5"/>
        <v>Кепка FREDRIKSON арт. 3190-655/55 (коричневый) {655/55}</v>
      </c>
      <c r="AR33" s="94">
        <f t="shared" ca="1" si="6"/>
        <v>1</v>
      </c>
      <c r="AS33" s="143">
        <f t="shared" ca="1" si="7"/>
        <v>1</v>
      </c>
      <c r="AT33" s="138" t="str">
        <f ca="1">IF(IFERROR(VLOOKUP(W33,Товары!A:B,2,FALSE),"")=A33,"Есть в 1С","ERR")</f>
        <v>ERR</v>
      </c>
      <c r="AU33" s="139" t="str">
        <f ca="1">IF(IFERROR(VLOOKUP(A33,Товары!B:B,1,FALSE),"")=A33,"Есть в 1С","ERR")</f>
        <v>ERR</v>
      </c>
      <c r="AV33" s="93" t="e">
        <f ca="1">VLOOKUP(W33,Товары!A:B,2,FALSE)</f>
        <v>#N/A</v>
      </c>
      <c r="AW33" s="91" t="e">
        <f ca="1">VLOOKUP(W33,Товары!A:B,1,FALSE)</f>
        <v>#N/A</v>
      </c>
    </row>
    <row r="34" spans="1:49" x14ac:dyDescent="0.25">
      <c r="A34" s="105" t="str">
        <f t="shared" ref="A34:A65" ca="1" si="8">LEFT(AA34,9)</f>
        <v>95-096-14</v>
      </c>
      <c r="B34" s="78" t="str">
        <f ca="1">_xlfn.LET(_xlpm.CAPS,VLOOKUP(G34,Caps!A:B,2,0),_xlpm.Style,TRIM(_xlfn.XLOOKUP($A34,Строчный!$A:$A,Строчный!B:B,"ERR",0)),IF(_xlpm.CAPS=0,_xlpm.Style,UPPER(_xlpm.Style)))</f>
        <v>3190-655/55</v>
      </c>
      <c r="C34" s="78" t="str">
        <f ca="1">TRIM(PROPER(_xlfn.XLOOKUP($A34,Строчный!$A:$A,Строчный!C:C,"ERR",0)))</f>
        <v>Кепки</v>
      </c>
      <c r="D34" s="78" t="str">
        <f ca="1">_xlfn.LET(_xlpm.DATA,TRIM(_xlfn.XLOOKUP($A34,Строчный!$A:$A,Строчный!D:D,"ERR",0)),UPPER(MID(_xlpm.DATA,1,1))&amp;LOWER(MID(_xlpm.DATA,2,LEN(_xlpm.DATA)-1)))</f>
        <v>Кепка восьмиклинка</v>
      </c>
      <c r="E34" s="78" t="str">
        <f ca="1">PROPER(TRIM(_xlfn.XLOOKUP($A34,Строчный!$A:$A,Строчный!E:E,"ERR",0)))</f>
        <v>Fredrikson</v>
      </c>
      <c r="F34" s="78" t="str">
        <f ca="1">LOWER(TRIM(_xlfn.XLOOKUP($A34,Строчный!$A:$A,Строчный!F:F,"ERR",0)))</f>
        <v>всесезон</v>
      </c>
      <c r="G34" s="78" t="str">
        <f ca="1">UPPER(TRIM(_xlfn.XLOOKUP($A34,Строчный!$A:$A,Строчный!G:G,"ERR",0)))</f>
        <v>FREDRIKSON</v>
      </c>
      <c r="H34" s="78" t="str">
        <f ca="1">LOWER(TRIM(_xlfn.XLOOKUP($A34,Строчный!$A:$A,Строчный!H:H,"ERR",0)))</f>
        <v>655/55</v>
      </c>
      <c r="I34" s="78" t="str">
        <f ca="1">LOWER(TRIM(_xlfn.XLOOKUP($A34,Строчный!$A:$A,Строчный!I:I,"ERR",0)))</f>
        <v>коричневый</v>
      </c>
      <c r="J34" s="78" t="str">
        <f ca="1">SUBSTITUTE(LOWER(TRIM(_xlfn.XLOOKUP($A34,Строчный!$A:$A,Строчный!J:J,"ERR",0))),"подклад","Подклад")</f>
        <v>80% шерсть - 20% полиамид / Подклад: 100% хлопок</v>
      </c>
      <c r="K34" s="78" t="str">
        <f ca="1">LOWER(TRIM(_xlfn.XLOOKUP($A34,Строчный!$A:$A,Строчный!K:K,"ERR",0)))</f>
        <v>шерстяные</v>
      </c>
      <c r="L34" s="78" t="str">
        <f ca="1">PROPER(TRIM(_xlfn.XLOOKUP($A34,Строчный!$A:$A,Строчный!L:L,"ERR",0)))</f>
        <v>Унисекс</v>
      </c>
      <c r="M34" s="105" t="str">
        <f ca="1">PROPER(TRIM(_xlfn.XLOOKUP($A34,Строчный!$A:$A,Строчный!M:M,"ERR",0)))</f>
        <v>Россия</v>
      </c>
      <c r="N34" s="78" t="str">
        <f ca="1">UPPER(TRIM(_xlfn.XLOOKUP($A34,Строчный!$A:$A,Строчный!O:O,"ERR",0)))</f>
        <v/>
      </c>
      <c r="O34" s="99" t="str">
        <f ca="1">PROPER(TRIM(_xlfn.XLOOKUP($A34,Строчный!$A:$A,Строчный!P:P,"ERR",0)))</f>
        <v/>
      </c>
      <c r="P34" s="78" t="str">
        <f ca="1">PROPER(TRIM(_xlfn.XLOOKUP($A34,Строчный!$A:$A,Строчный!R:R,"ERR",0)))</f>
        <v/>
      </c>
      <c r="Q34" s="87">
        <f ca="1">VALUE(_xlfn.XLOOKUP($A34,Строчный!$A:$A,Строчный!N:N,"ERR",0))</f>
        <v>975.8</v>
      </c>
      <c r="R34" s="86" t="str">
        <f ca="1">_xlfn.XLOOKUP($G34,Фабрика!A:A,Фабрика!B:B,"ERR",0)</f>
        <v>ООО "ФРЭДРИКСОН" Россия 192029, С-Петербург, пр. Обуховской обороны, д.86, лит М</v>
      </c>
      <c r="S34" s="77" t="str">
        <f ca="1">_xlfn.XLOOKUP(RIGHT(AA34,2),Размеры!D:D,Размеры!A:A,"ERR",0)</f>
        <v>61</v>
      </c>
      <c r="T34" s="77">
        <f ca="1">VALUE(_xlfn.XLOOKUP($AA34,Строчный!$S:$S,Строчный!U:U,"ERR",0))</f>
        <v>6</v>
      </c>
      <c r="U34" s="14" t="s">
        <v>241</v>
      </c>
      <c r="V34" s="98" t="str">
        <f t="shared" ref="V34:V65" ca="1" si="9">TRIM(CONCATENATE(AB34," ",G34," арт. ",B34," (",I34,")"))</f>
        <v>Кепка FREDRIKSON арт. 3190-655/55 (коричневый)</v>
      </c>
      <c r="W34" s="97" t="str">
        <f t="shared" ref="W34:W65" ca="1" si="10">TRIM(CONCATENATE(AB34," ",G34," арт. ",B34," (",I34,") {",H34,"}"))</f>
        <v>Кепка FREDRIKSON арт. 3190-655/55 (коричневый) {655/55}</v>
      </c>
      <c r="X34" s="18" t="str">
        <f t="shared" ref="X34:X65" ca="1" si="11">IFERROR(MID(I34,FIND("-",I34)+1,LEN(I34)),IFERROR(MID(I34,1,FIND("/",I34)-2),I34))</f>
        <v>коричневый</v>
      </c>
      <c r="Y34" s="18" t="str">
        <f t="shared" ref="Y34:Y65" ca="1" si="12">IFERROR(MID(I34,FIND("-",I34)+1,LEN(I34)),IFERROR(MID(I34,FIND("/",I34)+2,LEN(I34)),I34))</f>
        <v>коричневый</v>
      </c>
      <c r="Z34" s="109" t="str">
        <f ca="1">_xlfn.LET(_xlpm.FormColors,_xlfn.XLOOKUP(A34,Строчный!A:A,Строчный!Q:Q,"",0),IF(_xlpm.FormColors=0,IFERROR(MID(I34,FIND("-",I34)+1,LEN(I34)),IFERROR(MID(I34,1,FIND("/",I34)-2),I34)),_xlpm.FormColors))</f>
        <v>коричневый</v>
      </c>
      <c r="AA34" s="70" t="str">
        <f ca="1"/>
        <v>95-096-14-61</v>
      </c>
      <c r="AB34" s="72" t="str">
        <f ca="1">VLOOKUP(C34,Группа!A:B,2,FALSE)</f>
        <v>Кепка</v>
      </c>
      <c r="AC34" s="94" t="str">
        <f ca="1">IFERROR(VLOOKUP(S34,Размеры!A:C,3,FALSE),"")</f>
        <v>61 XL</v>
      </c>
      <c r="AD34" s="94" t="str">
        <f ca="1">VLOOKUP(I34,ЦветПолный!A:B,2,FALSE)</f>
        <v>14</v>
      </c>
      <c r="AE34" s="94" t="str">
        <f ca="1">IFERROR(VLOOKUP(S34,Размеры!A:D,4,FALSE),"")</f>
        <v>61</v>
      </c>
      <c r="AF34" s="94">
        <f ca="1">SUMIF(Группа!A:A,C34,Группа!C:C)</f>
        <v>1</v>
      </c>
      <c r="AG34" s="94">
        <f ca="1">SUMIF(Группа!B:B,AB34,Группа!C:C)</f>
        <v>1</v>
      </c>
      <c r="AH34" s="94">
        <f ca="1">SUMIF(Формы!A:A,D34,Формы!B:B)</f>
        <v>1</v>
      </c>
      <c r="AI34" s="94">
        <f ca="1">IF(IFERROR(VLOOKUP(J34,Материал!D:D,1,0),0)&gt;0,1,SUMIF(Материал!A:A,K34,Материал!B:B))</f>
        <v>1</v>
      </c>
      <c r="AJ34" s="94">
        <f ca="1">SUMIF(Размеры!A:A,S34,Размеры!E:E)</f>
        <v>1</v>
      </c>
      <c r="AK34" s="94">
        <f ca="1">SUMIF(Сезон!A:A,F34,Сезон!B:B)</f>
        <v>1</v>
      </c>
      <c r="AL34" s="94">
        <f ca="1">VLOOKUP(I34,ЦветПолный!A:C,3,0)</f>
        <v>1</v>
      </c>
      <c r="AM34" s="94">
        <f ca="1">SUMIF(Цвет!A:A,Z34,Цвет!B:B)</f>
        <v>1</v>
      </c>
      <c r="AN34" s="94">
        <f ca="1">_xlfn.XLOOKUP(L34,Пол!A:A,Пол!B:B,0,0)</f>
        <v>1</v>
      </c>
      <c r="AO34" s="94">
        <f ca="1">SUMIF(Бренд!A:A,G34,Бренд!B:B)</f>
        <v>1</v>
      </c>
      <c r="AP34" s="137">
        <f ca="1">SUMIF(Страна!A:A,M34,Страна!B:B)</f>
        <v>1</v>
      </c>
      <c r="AQ34" s="150" t="str">
        <f t="shared" ref="AQ34:AQ65" ca="1" si="13">ВАЛИДАЦИЯНАЗВАНИЯ(W34)</f>
        <v>Кепка FREDRIKSON арт. 3190-655/55 (коричневый) {655/55}</v>
      </c>
      <c r="AR34" s="94">
        <f t="shared" ref="AR34:AR65" ca="1" si="14">INT(AQ34=W34)</f>
        <v>1</v>
      </c>
      <c r="AS34" s="143">
        <f t="shared" ref="AS34:AS65" ca="1" si="15">MIN(AF34:AR34,IF(AT34=AU34,1,0))</f>
        <v>1</v>
      </c>
      <c r="AT34" s="138" t="str">
        <f ca="1">IF(IFERROR(VLOOKUP(W34,Товары!A:B,2,FALSE),"")=A34,"Есть в 1С","ERR")</f>
        <v>ERR</v>
      </c>
      <c r="AU34" s="139" t="str">
        <f ca="1">IF(IFERROR(VLOOKUP(A34,Товары!B:B,1,FALSE),"")=A34,"Есть в 1С","ERR")</f>
        <v>ERR</v>
      </c>
      <c r="AV34" s="93" t="e">
        <f ca="1">VLOOKUP(W34,Товары!A:B,2,FALSE)</f>
        <v>#N/A</v>
      </c>
      <c r="AW34" s="91" t="e">
        <f ca="1">VLOOKUP(W34,Товары!A:B,1,FALSE)</f>
        <v>#N/A</v>
      </c>
    </row>
    <row r="35" spans="1:49" x14ac:dyDescent="0.25">
      <c r="A35" s="105" t="str">
        <f t="shared" ca="1" si="8"/>
        <v>95-096-14</v>
      </c>
      <c r="B35" s="78" t="str">
        <f ca="1">_xlfn.LET(_xlpm.CAPS,VLOOKUP(G35,Caps!A:B,2,0),_xlpm.Style,TRIM(_xlfn.XLOOKUP($A35,Строчный!$A:$A,Строчный!B:B,"ERR",0)),IF(_xlpm.CAPS=0,_xlpm.Style,UPPER(_xlpm.Style)))</f>
        <v>3190-655/55</v>
      </c>
      <c r="C35" s="78" t="str">
        <f ca="1">TRIM(PROPER(_xlfn.XLOOKUP($A35,Строчный!$A:$A,Строчный!C:C,"ERR",0)))</f>
        <v>Кепки</v>
      </c>
      <c r="D35" s="78" t="str">
        <f ca="1">_xlfn.LET(_xlpm.DATA,TRIM(_xlfn.XLOOKUP($A35,Строчный!$A:$A,Строчный!D:D,"ERR",0)),UPPER(MID(_xlpm.DATA,1,1))&amp;LOWER(MID(_xlpm.DATA,2,LEN(_xlpm.DATA)-1)))</f>
        <v>Кепка восьмиклинка</v>
      </c>
      <c r="E35" s="78" t="str">
        <f ca="1">PROPER(TRIM(_xlfn.XLOOKUP($A35,Строчный!$A:$A,Строчный!E:E,"ERR",0)))</f>
        <v>Fredrikson</v>
      </c>
      <c r="F35" s="78" t="str">
        <f ca="1">LOWER(TRIM(_xlfn.XLOOKUP($A35,Строчный!$A:$A,Строчный!F:F,"ERR",0)))</f>
        <v>всесезон</v>
      </c>
      <c r="G35" s="78" t="str">
        <f ca="1">UPPER(TRIM(_xlfn.XLOOKUP($A35,Строчный!$A:$A,Строчный!G:G,"ERR",0)))</f>
        <v>FREDRIKSON</v>
      </c>
      <c r="H35" s="78" t="str">
        <f ca="1">LOWER(TRIM(_xlfn.XLOOKUP($A35,Строчный!$A:$A,Строчный!H:H,"ERR",0)))</f>
        <v>655/55</v>
      </c>
      <c r="I35" s="78" t="str">
        <f ca="1">LOWER(TRIM(_xlfn.XLOOKUP($A35,Строчный!$A:$A,Строчный!I:I,"ERR",0)))</f>
        <v>коричневый</v>
      </c>
      <c r="J35" s="78" t="str">
        <f ca="1">SUBSTITUTE(LOWER(TRIM(_xlfn.XLOOKUP($A35,Строчный!$A:$A,Строчный!J:J,"ERR",0))),"подклад","Подклад")</f>
        <v>80% шерсть - 20% полиамид / Подклад: 100% хлопок</v>
      </c>
      <c r="K35" s="78" t="str">
        <f ca="1">LOWER(TRIM(_xlfn.XLOOKUP($A35,Строчный!$A:$A,Строчный!K:K,"ERR",0)))</f>
        <v>шерстяные</v>
      </c>
      <c r="L35" s="78" t="str">
        <f ca="1">PROPER(TRIM(_xlfn.XLOOKUP($A35,Строчный!$A:$A,Строчный!L:L,"ERR",0)))</f>
        <v>Унисекс</v>
      </c>
      <c r="M35" s="105" t="str">
        <f ca="1">PROPER(TRIM(_xlfn.XLOOKUP($A35,Строчный!$A:$A,Строчный!M:M,"ERR",0)))</f>
        <v>Россия</v>
      </c>
      <c r="N35" s="78" t="str">
        <f ca="1">UPPER(TRIM(_xlfn.XLOOKUP($A35,Строчный!$A:$A,Строчный!O:O,"ERR",0)))</f>
        <v/>
      </c>
      <c r="O35" s="99" t="str">
        <f ca="1">PROPER(TRIM(_xlfn.XLOOKUP($A35,Строчный!$A:$A,Строчный!P:P,"ERR",0)))</f>
        <v/>
      </c>
      <c r="P35" s="78" t="str">
        <f ca="1">PROPER(TRIM(_xlfn.XLOOKUP($A35,Строчный!$A:$A,Строчный!R:R,"ERR",0)))</f>
        <v/>
      </c>
      <c r="Q35" s="87">
        <f ca="1">VALUE(_xlfn.XLOOKUP($A35,Строчный!$A:$A,Строчный!N:N,"ERR",0))</f>
        <v>975.8</v>
      </c>
      <c r="R35" s="86" t="str">
        <f ca="1">_xlfn.XLOOKUP($G35,Фабрика!A:A,Фабрика!B:B,"ERR",0)</f>
        <v>ООО "ФРЭДРИКСОН" Россия 192029, С-Петербург, пр. Обуховской обороны, д.86, лит М</v>
      </c>
      <c r="S35" s="77" t="str">
        <f ca="1">_xlfn.XLOOKUP(RIGHT(AA35,2),Размеры!D:D,Размеры!A:A,"ERR",0)</f>
        <v>60</v>
      </c>
      <c r="T35" s="77">
        <f ca="1">VALUE(_xlfn.XLOOKUP($AA35,Строчный!$S:$S,Строчный!U:U,"ERR",0))</f>
        <v>9</v>
      </c>
      <c r="U35" s="14" t="s">
        <v>241</v>
      </c>
      <c r="V35" s="98" t="str">
        <f t="shared" ca="1" si="9"/>
        <v>Кепка FREDRIKSON арт. 3190-655/55 (коричневый)</v>
      </c>
      <c r="W35" s="97" t="str">
        <f t="shared" ca="1" si="10"/>
        <v>Кепка FREDRIKSON арт. 3190-655/55 (коричневый) {655/55}</v>
      </c>
      <c r="X35" s="18" t="str">
        <f t="shared" ca="1" si="11"/>
        <v>коричневый</v>
      </c>
      <c r="Y35" s="18" t="str">
        <f t="shared" ca="1" si="12"/>
        <v>коричневый</v>
      </c>
      <c r="Z35" s="109" t="str">
        <f ca="1">_xlfn.LET(_xlpm.FormColors,_xlfn.XLOOKUP(A35,Строчный!A:A,Строчный!Q:Q,"",0),IF(_xlpm.FormColors=0,IFERROR(MID(I35,FIND("-",I35)+1,LEN(I35)),IFERROR(MID(I35,1,FIND("/",I35)-2),I35)),_xlpm.FormColors))</f>
        <v>коричневый</v>
      </c>
      <c r="AA35" s="70" t="str">
        <f ca="1"/>
        <v>95-096-14-60</v>
      </c>
      <c r="AB35" s="72" t="str">
        <f ca="1">VLOOKUP(C35,Группа!A:B,2,FALSE)</f>
        <v>Кепка</v>
      </c>
      <c r="AC35" s="94" t="str">
        <f ca="1">IFERROR(VLOOKUP(S35,Размеры!A:C,3,FALSE),"")</f>
        <v>60 L/XL</v>
      </c>
      <c r="AD35" s="94" t="str">
        <f ca="1">VLOOKUP(I35,ЦветПолный!A:B,2,FALSE)</f>
        <v>14</v>
      </c>
      <c r="AE35" s="94" t="str">
        <f ca="1">IFERROR(VLOOKUP(S35,Размеры!A:D,4,FALSE),"")</f>
        <v>60</v>
      </c>
      <c r="AF35" s="94">
        <f ca="1">SUMIF(Группа!A:A,C35,Группа!C:C)</f>
        <v>1</v>
      </c>
      <c r="AG35" s="94">
        <f ca="1">SUMIF(Группа!B:B,AB35,Группа!C:C)</f>
        <v>1</v>
      </c>
      <c r="AH35" s="94">
        <f ca="1">SUMIF(Формы!A:A,D35,Формы!B:B)</f>
        <v>1</v>
      </c>
      <c r="AI35" s="94">
        <f ca="1">IF(IFERROR(VLOOKUP(J35,Материал!D:D,1,0),0)&gt;0,1,SUMIF(Материал!A:A,K35,Материал!B:B))</f>
        <v>1</v>
      </c>
      <c r="AJ35" s="94">
        <f ca="1">SUMIF(Размеры!A:A,S35,Размеры!E:E)</f>
        <v>1</v>
      </c>
      <c r="AK35" s="94">
        <f ca="1">SUMIF(Сезон!A:A,F35,Сезон!B:B)</f>
        <v>1</v>
      </c>
      <c r="AL35" s="94">
        <f ca="1">VLOOKUP(I35,ЦветПолный!A:C,3,0)</f>
        <v>1</v>
      </c>
      <c r="AM35" s="94">
        <f ca="1">SUMIF(Цвет!A:A,Z35,Цвет!B:B)</f>
        <v>1</v>
      </c>
      <c r="AN35" s="94">
        <f ca="1">_xlfn.XLOOKUP(L35,Пол!A:A,Пол!B:B,0,0)</f>
        <v>1</v>
      </c>
      <c r="AO35" s="94">
        <f ca="1">SUMIF(Бренд!A:A,G35,Бренд!B:B)</f>
        <v>1</v>
      </c>
      <c r="AP35" s="137">
        <f ca="1">SUMIF(Страна!A:A,M35,Страна!B:B)</f>
        <v>1</v>
      </c>
      <c r="AQ35" s="150" t="str">
        <f t="shared" ca="1" si="13"/>
        <v>Кепка FREDRIKSON арт. 3190-655/55 (коричневый) {655/55}</v>
      </c>
      <c r="AR35" s="94">
        <f t="shared" ca="1" si="14"/>
        <v>1</v>
      </c>
      <c r="AS35" s="143">
        <f t="shared" ca="1" si="15"/>
        <v>1</v>
      </c>
      <c r="AT35" s="138" t="str">
        <f ca="1">IF(IFERROR(VLOOKUP(W35,Товары!A:B,2,FALSE),"")=A35,"Есть в 1С","ERR")</f>
        <v>ERR</v>
      </c>
      <c r="AU35" s="139" t="str">
        <f ca="1">IF(IFERROR(VLOOKUP(A35,Товары!B:B,1,FALSE),"")=A35,"Есть в 1С","ERR")</f>
        <v>ERR</v>
      </c>
      <c r="AV35" s="93" t="e">
        <f ca="1">VLOOKUP(W35,Товары!A:B,2,FALSE)</f>
        <v>#N/A</v>
      </c>
      <c r="AW35" s="91" t="e">
        <f ca="1">VLOOKUP(W35,Товары!A:B,1,FALSE)</f>
        <v>#N/A</v>
      </c>
    </row>
    <row r="36" spans="1:49" x14ac:dyDescent="0.25">
      <c r="A36" s="105" t="str">
        <f t="shared" ca="1" si="8"/>
        <v>95-096-14</v>
      </c>
      <c r="B36" s="78" t="str">
        <f ca="1">_xlfn.LET(_xlpm.CAPS,VLOOKUP(G36,Caps!A:B,2,0),_xlpm.Style,TRIM(_xlfn.XLOOKUP($A36,Строчный!$A:$A,Строчный!B:B,"ERR",0)),IF(_xlpm.CAPS=0,_xlpm.Style,UPPER(_xlpm.Style)))</f>
        <v>3190-655/55</v>
      </c>
      <c r="C36" s="78" t="str">
        <f ca="1">TRIM(PROPER(_xlfn.XLOOKUP($A36,Строчный!$A:$A,Строчный!C:C,"ERR",0)))</f>
        <v>Кепки</v>
      </c>
      <c r="D36" s="78" t="str">
        <f ca="1">_xlfn.LET(_xlpm.DATA,TRIM(_xlfn.XLOOKUP($A36,Строчный!$A:$A,Строчный!D:D,"ERR",0)),UPPER(MID(_xlpm.DATA,1,1))&amp;LOWER(MID(_xlpm.DATA,2,LEN(_xlpm.DATA)-1)))</f>
        <v>Кепка восьмиклинка</v>
      </c>
      <c r="E36" s="78" t="str">
        <f ca="1">PROPER(TRIM(_xlfn.XLOOKUP($A36,Строчный!$A:$A,Строчный!E:E,"ERR",0)))</f>
        <v>Fredrikson</v>
      </c>
      <c r="F36" s="78" t="str">
        <f ca="1">LOWER(TRIM(_xlfn.XLOOKUP($A36,Строчный!$A:$A,Строчный!F:F,"ERR",0)))</f>
        <v>всесезон</v>
      </c>
      <c r="G36" s="78" t="str">
        <f ca="1">UPPER(TRIM(_xlfn.XLOOKUP($A36,Строчный!$A:$A,Строчный!G:G,"ERR",0)))</f>
        <v>FREDRIKSON</v>
      </c>
      <c r="H36" s="78" t="str">
        <f ca="1">LOWER(TRIM(_xlfn.XLOOKUP($A36,Строчный!$A:$A,Строчный!H:H,"ERR",0)))</f>
        <v>655/55</v>
      </c>
      <c r="I36" s="78" t="str">
        <f ca="1">LOWER(TRIM(_xlfn.XLOOKUP($A36,Строчный!$A:$A,Строчный!I:I,"ERR",0)))</f>
        <v>коричневый</v>
      </c>
      <c r="J36" s="78" t="str">
        <f ca="1">SUBSTITUTE(LOWER(TRIM(_xlfn.XLOOKUP($A36,Строчный!$A:$A,Строчный!J:J,"ERR",0))),"подклад","Подклад")</f>
        <v>80% шерсть - 20% полиамид / Подклад: 100% хлопок</v>
      </c>
      <c r="K36" s="78" t="str">
        <f ca="1">LOWER(TRIM(_xlfn.XLOOKUP($A36,Строчный!$A:$A,Строчный!K:K,"ERR",0)))</f>
        <v>шерстяные</v>
      </c>
      <c r="L36" s="78" t="str">
        <f ca="1">PROPER(TRIM(_xlfn.XLOOKUP($A36,Строчный!$A:$A,Строчный!L:L,"ERR",0)))</f>
        <v>Унисекс</v>
      </c>
      <c r="M36" s="105" t="str">
        <f ca="1">PROPER(TRIM(_xlfn.XLOOKUP($A36,Строчный!$A:$A,Строчный!M:M,"ERR",0)))</f>
        <v>Россия</v>
      </c>
      <c r="N36" s="78" t="str">
        <f ca="1">UPPER(TRIM(_xlfn.XLOOKUP($A36,Строчный!$A:$A,Строчный!O:O,"ERR",0)))</f>
        <v/>
      </c>
      <c r="O36" s="99" t="str">
        <f ca="1">PROPER(TRIM(_xlfn.XLOOKUP($A36,Строчный!$A:$A,Строчный!P:P,"ERR",0)))</f>
        <v/>
      </c>
      <c r="P36" s="78" t="str">
        <f ca="1">PROPER(TRIM(_xlfn.XLOOKUP($A36,Строчный!$A:$A,Строчный!R:R,"ERR",0)))</f>
        <v/>
      </c>
      <c r="Q36" s="87">
        <f ca="1">VALUE(_xlfn.XLOOKUP($A36,Строчный!$A:$A,Строчный!N:N,"ERR",0))</f>
        <v>975.8</v>
      </c>
      <c r="R36" s="86" t="str">
        <f ca="1">_xlfn.XLOOKUP($G36,Фабрика!A:A,Фабрика!B:B,"ERR",0)</f>
        <v>ООО "ФРЭДРИКСОН" Россия 192029, С-Петербург, пр. Обуховской обороны, д.86, лит М</v>
      </c>
      <c r="S36" s="77" t="str">
        <f ca="1">_xlfn.XLOOKUP(RIGHT(AA36,2),Размеры!D:D,Размеры!A:A,"ERR",0)</f>
        <v>59</v>
      </c>
      <c r="T36" s="77">
        <f ca="1">VALUE(_xlfn.XLOOKUP($AA36,Строчный!$S:$S,Строчный!U:U,"ERR",0))</f>
        <v>12</v>
      </c>
      <c r="U36" s="14" t="s">
        <v>241</v>
      </c>
      <c r="V36" s="98" t="str">
        <f t="shared" ca="1" si="9"/>
        <v>Кепка FREDRIKSON арт. 3190-655/55 (коричневый)</v>
      </c>
      <c r="W36" s="97" t="str">
        <f t="shared" ca="1" si="10"/>
        <v>Кепка FREDRIKSON арт. 3190-655/55 (коричневый) {655/55}</v>
      </c>
      <c r="X36" s="18" t="str">
        <f t="shared" ca="1" si="11"/>
        <v>коричневый</v>
      </c>
      <c r="Y36" s="18" t="str">
        <f t="shared" ca="1" si="12"/>
        <v>коричневый</v>
      </c>
      <c r="Z36" s="109" t="str">
        <f ca="1">_xlfn.LET(_xlpm.FormColors,_xlfn.XLOOKUP(A36,Строчный!A:A,Строчный!Q:Q,"",0),IF(_xlpm.FormColors=0,IFERROR(MID(I36,FIND("-",I36)+1,LEN(I36)),IFERROR(MID(I36,1,FIND("/",I36)-2),I36)),_xlpm.FormColors))</f>
        <v>коричневый</v>
      </c>
      <c r="AA36" s="70" t="str">
        <f ca="1"/>
        <v>95-096-14-59</v>
      </c>
      <c r="AB36" s="72" t="str">
        <f ca="1">VLOOKUP(C36,Группа!A:B,2,FALSE)</f>
        <v>Кепка</v>
      </c>
      <c r="AC36" s="94" t="str">
        <f ca="1">IFERROR(VLOOKUP(S36,Размеры!A:C,3,FALSE),"")</f>
        <v>59 L</v>
      </c>
      <c r="AD36" s="94" t="str">
        <f ca="1">VLOOKUP(I36,ЦветПолный!A:B,2,FALSE)</f>
        <v>14</v>
      </c>
      <c r="AE36" s="94" t="str">
        <f ca="1">IFERROR(VLOOKUP(S36,Размеры!A:D,4,FALSE),"")</f>
        <v>59</v>
      </c>
      <c r="AF36" s="94">
        <f ca="1">SUMIF(Группа!A:A,C36,Группа!C:C)</f>
        <v>1</v>
      </c>
      <c r="AG36" s="94">
        <f ca="1">SUMIF(Группа!B:B,AB36,Группа!C:C)</f>
        <v>1</v>
      </c>
      <c r="AH36" s="94">
        <f ca="1">SUMIF(Формы!A:A,D36,Формы!B:B)</f>
        <v>1</v>
      </c>
      <c r="AI36" s="94">
        <f ca="1">IF(IFERROR(VLOOKUP(J36,Материал!D:D,1,0),0)&gt;0,1,SUMIF(Материал!A:A,K36,Материал!B:B))</f>
        <v>1</v>
      </c>
      <c r="AJ36" s="94">
        <f ca="1">SUMIF(Размеры!A:A,S36,Размеры!E:E)</f>
        <v>1</v>
      </c>
      <c r="AK36" s="94">
        <f ca="1">SUMIF(Сезон!A:A,F36,Сезон!B:B)</f>
        <v>1</v>
      </c>
      <c r="AL36" s="94">
        <f ca="1">VLOOKUP(I36,ЦветПолный!A:C,3,0)</f>
        <v>1</v>
      </c>
      <c r="AM36" s="94">
        <f ca="1">SUMIF(Цвет!A:A,Z36,Цвет!B:B)</f>
        <v>1</v>
      </c>
      <c r="AN36" s="94">
        <f ca="1">_xlfn.XLOOKUP(L36,Пол!A:A,Пол!B:B,0,0)</f>
        <v>1</v>
      </c>
      <c r="AO36" s="94">
        <f ca="1">SUMIF(Бренд!A:A,G36,Бренд!B:B)</f>
        <v>1</v>
      </c>
      <c r="AP36" s="137">
        <f ca="1">SUMIF(Страна!A:A,M36,Страна!B:B)</f>
        <v>1</v>
      </c>
      <c r="AQ36" s="150" t="str">
        <f t="shared" ca="1" si="13"/>
        <v>Кепка FREDRIKSON арт. 3190-655/55 (коричневый) {655/55}</v>
      </c>
      <c r="AR36" s="94">
        <f t="shared" ca="1" si="14"/>
        <v>1</v>
      </c>
      <c r="AS36" s="143">
        <f t="shared" ca="1" si="15"/>
        <v>1</v>
      </c>
      <c r="AT36" s="138" t="str">
        <f ca="1">IF(IFERROR(VLOOKUP(W36,Товары!A:B,2,FALSE),"")=A36,"Есть в 1С","ERR")</f>
        <v>ERR</v>
      </c>
      <c r="AU36" s="139" t="str">
        <f ca="1">IF(IFERROR(VLOOKUP(A36,Товары!B:B,1,FALSE),"")=A36,"Есть в 1С","ERR")</f>
        <v>ERR</v>
      </c>
      <c r="AV36" s="93" t="e">
        <f ca="1">VLOOKUP(W36,Товары!A:B,2,FALSE)</f>
        <v>#N/A</v>
      </c>
      <c r="AW36" s="91" t="e">
        <f ca="1">VLOOKUP(W36,Товары!A:B,1,FALSE)</f>
        <v>#N/A</v>
      </c>
    </row>
    <row r="37" spans="1:49" x14ac:dyDescent="0.25">
      <c r="A37" s="105" t="str">
        <f t="shared" ca="1" si="8"/>
        <v>95-096-14</v>
      </c>
      <c r="B37" s="78" t="str">
        <f ca="1">_xlfn.LET(_xlpm.CAPS,VLOOKUP(G37,Caps!A:B,2,0),_xlpm.Style,TRIM(_xlfn.XLOOKUP($A37,Строчный!$A:$A,Строчный!B:B,"ERR",0)),IF(_xlpm.CAPS=0,_xlpm.Style,UPPER(_xlpm.Style)))</f>
        <v>3190-655/55</v>
      </c>
      <c r="C37" s="78" t="str">
        <f ca="1">TRIM(PROPER(_xlfn.XLOOKUP($A37,Строчный!$A:$A,Строчный!C:C,"ERR",0)))</f>
        <v>Кепки</v>
      </c>
      <c r="D37" s="78" t="str">
        <f ca="1">_xlfn.LET(_xlpm.DATA,TRIM(_xlfn.XLOOKUP($A37,Строчный!$A:$A,Строчный!D:D,"ERR",0)),UPPER(MID(_xlpm.DATA,1,1))&amp;LOWER(MID(_xlpm.DATA,2,LEN(_xlpm.DATA)-1)))</f>
        <v>Кепка восьмиклинка</v>
      </c>
      <c r="E37" s="78" t="str">
        <f ca="1">PROPER(TRIM(_xlfn.XLOOKUP($A37,Строчный!$A:$A,Строчный!E:E,"ERR",0)))</f>
        <v>Fredrikson</v>
      </c>
      <c r="F37" s="78" t="str">
        <f ca="1">LOWER(TRIM(_xlfn.XLOOKUP($A37,Строчный!$A:$A,Строчный!F:F,"ERR",0)))</f>
        <v>всесезон</v>
      </c>
      <c r="G37" s="78" t="str">
        <f ca="1">UPPER(TRIM(_xlfn.XLOOKUP($A37,Строчный!$A:$A,Строчный!G:G,"ERR",0)))</f>
        <v>FREDRIKSON</v>
      </c>
      <c r="H37" s="78" t="str">
        <f ca="1">LOWER(TRIM(_xlfn.XLOOKUP($A37,Строчный!$A:$A,Строчный!H:H,"ERR",0)))</f>
        <v>655/55</v>
      </c>
      <c r="I37" s="78" t="str">
        <f ca="1">LOWER(TRIM(_xlfn.XLOOKUP($A37,Строчный!$A:$A,Строчный!I:I,"ERR",0)))</f>
        <v>коричневый</v>
      </c>
      <c r="J37" s="78" t="str">
        <f ca="1">SUBSTITUTE(LOWER(TRIM(_xlfn.XLOOKUP($A37,Строчный!$A:$A,Строчный!J:J,"ERR",0))),"подклад","Подклад")</f>
        <v>80% шерсть - 20% полиамид / Подклад: 100% хлопок</v>
      </c>
      <c r="K37" s="78" t="str">
        <f ca="1">LOWER(TRIM(_xlfn.XLOOKUP($A37,Строчный!$A:$A,Строчный!K:K,"ERR",0)))</f>
        <v>шерстяные</v>
      </c>
      <c r="L37" s="78" t="str">
        <f ca="1">PROPER(TRIM(_xlfn.XLOOKUP($A37,Строчный!$A:$A,Строчный!L:L,"ERR",0)))</f>
        <v>Унисекс</v>
      </c>
      <c r="M37" s="105" t="str">
        <f ca="1">PROPER(TRIM(_xlfn.XLOOKUP($A37,Строчный!$A:$A,Строчный!M:M,"ERR",0)))</f>
        <v>Россия</v>
      </c>
      <c r="N37" s="78" t="str">
        <f ca="1">UPPER(TRIM(_xlfn.XLOOKUP($A37,Строчный!$A:$A,Строчный!O:O,"ERR",0)))</f>
        <v/>
      </c>
      <c r="O37" s="99" t="str">
        <f ca="1">PROPER(TRIM(_xlfn.XLOOKUP($A37,Строчный!$A:$A,Строчный!P:P,"ERR",0)))</f>
        <v/>
      </c>
      <c r="P37" s="78" t="str">
        <f ca="1">PROPER(TRIM(_xlfn.XLOOKUP($A37,Строчный!$A:$A,Строчный!R:R,"ERR",0)))</f>
        <v/>
      </c>
      <c r="Q37" s="87">
        <f ca="1">VALUE(_xlfn.XLOOKUP($A37,Строчный!$A:$A,Строчный!N:N,"ERR",0))</f>
        <v>975.8</v>
      </c>
      <c r="R37" s="86" t="str">
        <f ca="1">_xlfn.XLOOKUP($G37,Фабрика!A:A,Фабрика!B:B,"ERR",0)</f>
        <v>ООО "ФРЭДРИКСОН" Россия 192029, С-Петербург, пр. Обуховской обороны, д.86, лит М</v>
      </c>
      <c r="S37" s="77" t="str">
        <f ca="1">_xlfn.XLOOKUP(RIGHT(AA37,2),Размеры!D:D,Размеры!A:A,"ERR",0)</f>
        <v>58</v>
      </c>
      <c r="T37" s="77">
        <f ca="1">VALUE(_xlfn.XLOOKUP($AA37,Строчный!$S:$S,Строчный!U:U,"ERR",0))</f>
        <v>9</v>
      </c>
      <c r="U37" s="14" t="s">
        <v>241</v>
      </c>
      <c r="V37" s="98" t="str">
        <f t="shared" ca="1" si="9"/>
        <v>Кепка FREDRIKSON арт. 3190-655/55 (коричневый)</v>
      </c>
      <c r="W37" s="97" t="str">
        <f t="shared" ca="1" si="10"/>
        <v>Кепка FREDRIKSON арт. 3190-655/55 (коричневый) {655/55}</v>
      </c>
      <c r="X37" s="18" t="str">
        <f t="shared" ca="1" si="11"/>
        <v>коричневый</v>
      </c>
      <c r="Y37" s="18" t="str">
        <f t="shared" ca="1" si="12"/>
        <v>коричневый</v>
      </c>
      <c r="Z37" s="109" t="str">
        <f ca="1">_xlfn.LET(_xlpm.FormColors,_xlfn.XLOOKUP(A37,Строчный!A:A,Строчный!Q:Q,"",0),IF(_xlpm.FormColors=0,IFERROR(MID(I37,FIND("-",I37)+1,LEN(I37)),IFERROR(MID(I37,1,FIND("/",I37)-2),I37)),_xlpm.FormColors))</f>
        <v>коричневый</v>
      </c>
      <c r="AA37" s="70" t="str">
        <f ca="1"/>
        <v>95-096-14-58</v>
      </c>
      <c r="AB37" s="72" t="str">
        <f ca="1">VLOOKUP(C37,Группа!A:B,2,FALSE)</f>
        <v>Кепка</v>
      </c>
      <c r="AC37" s="94" t="str">
        <f ca="1">IFERROR(VLOOKUP(S37,Размеры!A:C,3,FALSE),"")</f>
        <v>58 M/L</v>
      </c>
      <c r="AD37" s="94" t="str">
        <f ca="1">VLOOKUP(I37,ЦветПолный!A:B,2,FALSE)</f>
        <v>14</v>
      </c>
      <c r="AE37" s="94" t="str">
        <f ca="1">IFERROR(VLOOKUP(S37,Размеры!A:D,4,FALSE),"")</f>
        <v>58</v>
      </c>
      <c r="AF37" s="94">
        <f ca="1">SUMIF(Группа!A:A,C37,Группа!C:C)</f>
        <v>1</v>
      </c>
      <c r="AG37" s="94">
        <f ca="1">SUMIF(Группа!B:B,AB37,Группа!C:C)</f>
        <v>1</v>
      </c>
      <c r="AH37" s="94">
        <f ca="1">SUMIF(Формы!A:A,D37,Формы!B:B)</f>
        <v>1</v>
      </c>
      <c r="AI37" s="94">
        <f ca="1">IF(IFERROR(VLOOKUP(J37,Материал!D:D,1,0),0)&gt;0,1,SUMIF(Материал!A:A,K37,Материал!B:B))</f>
        <v>1</v>
      </c>
      <c r="AJ37" s="94">
        <f ca="1">SUMIF(Размеры!A:A,S37,Размеры!E:E)</f>
        <v>1</v>
      </c>
      <c r="AK37" s="94">
        <f ca="1">SUMIF(Сезон!A:A,F37,Сезон!B:B)</f>
        <v>1</v>
      </c>
      <c r="AL37" s="94">
        <f ca="1">VLOOKUP(I37,ЦветПолный!A:C,3,0)</f>
        <v>1</v>
      </c>
      <c r="AM37" s="94">
        <f ca="1">SUMIF(Цвет!A:A,Z37,Цвет!B:B)</f>
        <v>1</v>
      </c>
      <c r="AN37" s="94">
        <f ca="1">_xlfn.XLOOKUP(L37,Пол!A:A,Пол!B:B,0,0)</f>
        <v>1</v>
      </c>
      <c r="AO37" s="94">
        <f ca="1">SUMIF(Бренд!A:A,G37,Бренд!B:B)</f>
        <v>1</v>
      </c>
      <c r="AP37" s="137">
        <f ca="1">SUMIF(Страна!A:A,M37,Страна!B:B)</f>
        <v>1</v>
      </c>
      <c r="AQ37" s="150" t="str">
        <f t="shared" ca="1" si="13"/>
        <v>Кепка FREDRIKSON арт. 3190-655/55 (коричневый) {655/55}</v>
      </c>
      <c r="AR37" s="94">
        <f t="shared" ca="1" si="14"/>
        <v>1</v>
      </c>
      <c r="AS37" s="143">
        <f t="shared" ca="1" si="15"/>
        <v>1</v>
      </c>
      <c r="AT37" s="138" t="str">
        <f ca="1">IF(IFERROR(VLOOKUP(W37,Товары!A:B,2,FALSE),"")=A37,"Есть в 1С","ERR")</f>
        <v>ERR</v>
      </c>
      <c r="AU37" s="139" t="str">
        <f ca="1">IF(IFERROR(VLOOKUP(A37,Товары!B:B,1,FALSE),"")=A37,"Есть в 1С","ERR")</f>
        <v>ERR</v>
      </c>
      <c r="AV37" s="93" t="e">
        <f ca="1">VLOOKUP(W37,Товары!A:B,2,FALSE)</f>
        <v>#N/A</v>
      </c>
      <c r="AW37" s="91" t="e">
        <f ca="1">VLOOKUP(W37,Товары!A:B,1,FALSE)</f>
        <v>#N/A</v>
      </c>
    </row>
    <row r="38" spans="1:49" x14ac:dyDescent="0.25">
      <c r="A38" s="105" t="str">
        <f t="shared" ca="1" si="8"/>
        <v>95-096-14</v>
      </c>
      <c r="B38" s="78" t="str">
        <f ca="1">_xlfn.LET(_xlpm.CAPS,VLOOKUP(G38,Caps!A:B,2,0),_xlpm.Style,TRIM(_xlfn.XLOOKUP($A38,Строчный!$A:$A,Строчный!B:B,"ERR",0)),IF(_xlpm.CAPS=0,_xlpm.Style,UPPER(_xlpm.Style)))</f>
        <v>3190-655/55</v>
      </c>
      <c r="C38" s="78" t="str">
        <f ca="1">TRIM(PROPER(_xlfn.XLOOKUP($A38,Строчный!$A:$A,Строчный!C:C,"ERR",0)))</f>
        <v>Кепки</v>
      </c>
      <c r="D38" s="78" t="str">
        <f ca="1">_xlfn.LET(_xlpm.DATA,TRIM(_xlfn.XLOOKUP($A38,Строчный!$A:$A,Строчный!D:D,"ERR",0)),UPPER(MID(_xlpm.DATA,1,1))&amp;LOWER(MID(_xlpm.DATA,2,LEN(_xlpm.DATA)-1)))</f>
        <v>Кепка восьмиклинка</v>
      </c>
      <c r="E38" s="78" t="str">
        <f ca="1">PROPER(TRIM(_xlfn.XLOOKUP($A38,Строчный!$A:$A,Строчный!E:E,"ERR",0)))</f>
        <v>Fredrikson</v>
      </c>
      <c r="F38" s="78" t="str">
        <f ca="1">LOWER(TRIM(_xlfn.XLOOKUP($A38,Строчный!$A:$A,Строчный!F:F,"ERR",0)))</f>
        <v>всесезон</v>
      </c>
      <c r="G38" s="78" t="str">
        <f ca="1">UPPER(TRIM(_xlfn.XLOOKUP($A38,Строчный!$A:$A,Строчный!G:G,"ERR",0)))</f>
        <v>FREDRIKSON</v>
      </c>
      <c r="H38" s="78" t="str">
        <f ca="1">LOWER(TRIM(_xlfn.XLOOKUP($A38,Строчный!$A:$A,Строчный!H:H,"ERR",0)))</f>
        <v>655/55</v>
      </c>
      <c r="I38" s="78" t="str">
        <f ca="1">LOWER(TRIM(_xlfn.XLOOKUP($A38,Строчный!$A:$A,Строчный!I:I,"ERR",0)))</f>
        <v>коричневый</v>
      </c>
      <c r="J38" s="78" t="str">
        <f ca="1">SUBSTITUTE(LOWER(TRIM(_xlfn.XLOOKUP($A38,Строчный!$A:$A,Строчный!J:J,"ERR",0))),"подклад","Подклад")</f>
        <v>80% шерсть - 20% полиамид / Подклад: 100% хлопок</v>
      </c>
      <c r="K38" s="78" t="str">
        <f ca="1">LOWER(TRIM(_xlfn.XLOOKUP($A38,Строчный!$A:$A,Строчный!K:K,"ERR",0)))</f>
        <v>шерстяные</v>
      </c>
      <c r="L38" s="78" t="str">
        <f ca="1">PROPER(TRIM(_xlfn.XLOOKUP($A38,Строчный!$A:$A,Строчный!L:L,"ERR",0)))</f>
        <v>Унисекс</v>
      </c>
      <c r="M38" s="105" t="str">
        <f ca="1">PROPER(TRIM(_xlfn.XLOOKUP($A38,Строчный!$A:$A,Строчный!M:M,"ERR",0)))</f>
        <v>Россия</v>
      </c>
      <c r="N38" s="78" t="str">
        <f ca="1">UPPER(TRIM(_xlfn.XLOOKUP($A38,Строчный!$A:$A,Строчный!O:O,"ERR",0)))</f>
        <v/>
      </c>
      <c r="O38" s="99" t="str">
        <f ca="1">PROPER(TRIM(_xlfn.XLOOKUP($A38,Строчный!$A:$A,Строчный!P:P,"ERR",0)))</f>
        <v/>
      </c>
      <c r="P38" s="78" t="str">
        <f ca="1">PROPER(TRIM(_xlfn.XLOOKUP($A38,Строчный!$A:$A,Строчный!R:R,"ERR",0)))</f>
        <v/>
      </c>
      <c r="Q38" s="87">
        <f ca="1">VALUE(_xlfn.XLOOKUP($A38,Строчный!$A:$A,Строчный!N:N,"ERR",0))</f>
        <v>975.8</v>
      </c>
      <c r="R38" s="86" t="str">
        <f ca="1">_xlfn.XLOOKUP($G38,Фабрика!A:A,Фабрика!B:B,"ERR",0)</f>
        <v>ООО "ФРЭДРИКСОН" Россия 192029, С-Петербург, пр. Обуховской обороны, д.86, лит М</v>
      </c>
      <c r="S38" s="77" t="str">
        <f ca="1">_xlfn.XLOOKUP(RIGHT(AA38,2),Размеры!D:D,Размеры!A:A,"ERR",0)</f>
        <v>57</v>
      </c>
      <c r="T38" s="77">
        <f ca="1">VALUE(_xlfn.XLOOKUP($AA38,Строчный!$S:$S,Строчный!U:U,"ERR",0))</f>
        <v>6</v>
      </c>
      <c r="U38" s="14" t="s">
        <v>241</v>
      </c>
      <c r="V38" s="98" t="str">
        <f t="shared" ca="1" si="9"/>
        <v>Кепка FREDRIKSON арт. 3190-655/55 (коричневый)</v>
      </c>
      <c r="W38" s="97" t="str">
        <f t="shared" ca="1" si="10"/>
        <v>Кепка FREDRIKSON арт. 3190-655/55 (коричневый) {655/55}</v>
      </c>
      <c r="X38" s="18" t="str">
        <f t="shared" ca="1" si="11"/>
        <v>коричневый</v>
      </c>
      <c r="Y38" s="18" t="str">
        <f t="shared" ca="1" si="12"/>
        <v>коричневый</v>
      </c>
      <c r="Z38" s="109" t="str">
        <f ca="1">_xlfn.LET(_xlpm.FormColors,_xlfn.XLOOKUP(A38,Строчный!A:A,Строчный!Q:Q,"",0),IF(_xlpm.FormColors=0,IFERROR(MID(I38,FIND("-",I38)+1,LEN(I38)),IFERROR(MID(I38,1,FIND("/",I38)-2),I38)),_xlpm.FormColors))</f>
        <v>коричневый</v>
      </c>
      <c r="AA38" s="70" t="str">
        <f ca="1"/>
        <v>95-096-14-57</v>
      </c>
      <c r="AB38" s="72" t="str">
        <f ca="1">VLOOKUP(C38,Группа!A:B,2,FALSE)</f>
        <v>Кепка</v>
      </c>
      <c r="AC38" s="94" t="str">
        <f ca="1">IFERROR(VLOOKUP(S38,Размеры!A:C,3,FALSE),"")</f>
        <v>57 M</v>
      </c>
      <c r="AD38" s="94" t="str">
        <f ca="1">VLOOKUP(I38,ЦветПолный!A:B,2,FALSE)</f>
        <v>14</v>
      </c>
      <c r="AE38" s="94" t="str">
        <f ca="1">IFERROR(VLOOKUP(S38,Размеры!A:D,4,FALSE),"")</f>
        <v>57</v>
      </c>
      <c r="AF38" s="94">
        <f ca="1">SUMIF(Группа!A:A,C38,Группа!C:C)</f>
        <v>1</v>
      </c>
      <c r="AG38" s="94">
        <f ca="1">SUMIF(Группа!B:B,AB38,Группа!C:C)</f>
        <v>1</v>
      </c>
      <c r="AH38" s="94">
        <f ca="1">SUMIF(Формы!A:A,D38,Формы!B:B)</f>
        <v>1</v>
      </c>
      <c r="AI38" s="94">
        <f ca="1">IF(IFERROR(VLOOKUP(J38,Материал!D:D,1,0),0)&gt;0,1,SUMIF(Материал!A:A,K38,Материал!B:B))</f>
        <v>1</v>
      </c>
      <c r="AJ38" s="94">
        <f ca="1">SUMIF(Размеры!A:A,S38,Размеры!E:E)</f>
        <v>1</v>
      </c>
      <c r="AK38" s="94">
        <f ca="1">SUMIF(Сезон!A:A,F38,Сезон!B:B)</f>
        <v>1</v>
      </c>
      <c r="AL38" s="94">
        <f ca="1">VLOOKUP(I38,ЦветПолный!A:C,3,0)</f>
        <v>1</v>
      </c>
      <c r="AM38" s="94">
        <f ca="1">SUMIF(Цвет!A:A,Z38,Цвет!B:B)</f>
        <v>1</v>
      </c>
      <c r="AN38" s="94">
        <f ca="1">_xlfn.XLOOKUP(L38,Пол!A:A,Пол!B:B,0,0)</f>
        <v>1</v>
      </c>
      <c r="AO38" s="94">
        <f ca="1">SUMIF(Бренд!A:A,G38,Бренд!B:B)</f>
        <v>1</v>
      </c>
      <c r="AP38" s="137">
        <f ca="1">SUMIF(Страна!A:A,M38,Страна!B:B)</f>
        <v>1</v>
      </c>
      <c r="AQ38" s="150" t="str">
        <f t="shared" ca="1" si="13"/>
        <v>Кепка FREDRIKSON арт. 3190-655/55 (коричневый) {655/55}</v>
      </c>
      <c r="AR38" s="94">
        <f t="shared" ca="1" si="14"/>
        <v>1</v>
      </c>
      <c r="AS38" s="143">
        <f t="shared" ca="1" si="15"/>
        <v>1</v>
      </c>
      <c r="AT38" s="138" t="str">
        <f ca="1">IF(IFERROR(VLOOKUP(W38,Товары!A:B,2,FALSE),"")=A38,"Есть в 1С","ERR")</f>
        <v>ERR</v>
      </c>
      <c r="AU38" s="139" t="str">
        <f ca="1">IF(IFERROR(VLOOKUP(A38,Товары!B:B,1,FALSE),"")=A38,"Есть в 1С","ERR")</f>
        <v>ERR</v>
      </c>
      <c r="AV38" s="93" t="e">
        <f ca="1">VLOOKUP(W38,Товары!A:B,2,FALSE)</f>
        <v>#N/A</v>
      </c>
      <c r="AW38" s="91" t="e">
        <f ca="1">VLOOKUP(W38,Товары!A:B,1,FALSE)</f>
        <v>#N/A</v>
      </c>
    </row>
    <row r="39" spans="1:49" x14ac:dyDescent="0.25">
      <c r="A39" s="105" t="str">
        <f t="shared" ca="1" si="8"/>
        <v>95-096-14</v>
      </c>
      <c r="B39" s="78" t="str">
        <f ca="1">_xlfn.LET(_xlpm.CAPS,VLOOKUP(G39,Caps!A:B,2,0),_xlpm.Style,TRIM(_xlfn.XLOOKUP($A39,Строчный!$A:$A,Строчный!B:B,"ERR",0)),IF(_xlpm.CAPS=0,_xlpm.Style,UPPER(_xlpm.Style)))</f>
        <v>3190-655/55</v>
      </c>
      <c r="C39" s="78" t="str">
        <f ca="1">TRIM(PROPER(_xlfn.XLOOKUP($A39,Строчный!$A:$A,Строчный!C:C,"ERR",0)))</f>
        <v>Кепки</v>
      </c>
      <c r="D39" s="78" t="str">
        <f ca="1">_xlfn.LET(_xlpm.DATA,TRIM(_xlfn.XLOOKUP($A39,Строчный!$A:$A,Строчный!D:D,"ERR",0)),UPPER(MID(_xlpm.DATA,1,1))&amp;LOWER(MID(_xlpm.DATA,2,LEN(_xlpm.DATA)-1)))</f>
        <v>Кепка восьмиклинка</v>
      </c>
      <c r="E39" s="78" t="str">
        <f ca="1">PROPER(TRIM(_xlfn.XLOOKUP($A39,Строчный!$A:$A,Строчный!E:E,"ERR",0)))</f>
        <v>Fredrikson</v>
      </c>
      <c r="F39" s="78" t="str">
        <f ca="1">LOWER(TRIM(_xlfn.XLOOKUP($A39,Строчный!$A:$A,Строчный!F:F,"ERR",0)))</f>
        <v>всесезон</v>
      </c>
      <c r="G39" s="78" t="str">
        <f ca="1">UPPER(TRIM(_xlfn.XLOOKUP($A39,Строчный!$A:$A,Строчный!G:G,"ERR",0)))</f>
        <v>FREDRIKSON</v>
      </c>
      <c r="H39" s="78" t="str">
        <f ca="1">LOWER(TRIM(_xlfn.XLOOKUP($A39,Строчный!$A:$A,Строчный!H:H,"ERR",0)))</f>
        <v>655/55</v>
      </c>
      <c r="I39" s="78" t="str">
        <f ca="1">LOWER(TRIM(_xlfn.XLOOKUP($A39,Строчный!$A:$A,Строчный!I:I,"ERR",0)))</f>
        <v>коричневый</v>
      </c>
      <c r="J39" s="78" t="str">
        <f ca="1">SUBSTITUTE(LOWER(TRIM(_xlfn.XLOOKUP($A39,Строчный!$A:$A,Строчный!J:J,"ERR",0))),"подклад","Подклад")</f>
        <v>80% шерсть - 20% полиамид / Подклад: 100% хлопок</v>
      </c>
      <c r="K39" s="78" t="str">
        <f ca="1">LOWER(TRIM(_xlfn.XLOOKUP($A39,Строчный!$A:$A,Строчный!K:K,"ERR",0)))</f>
        <v>шерстяные</v>
      </c>
      <c r="L39" s="78" t="str">
        <f ca="1">PROPER(TRIM(_xlfn.XLOOKUP($A39,Строчный!$A:$A,Строчный!L:L,"ERR",0)))</f>
        <v>Унисекс</v>
      </c>
      <c r="M39" s="105" t="str">
        <f ca="1">PROPER(TRIM(_xlfn.XLOOKUP($A39,Строчный!$A:$A,Строчный!M:M,"ERR",0)))</f>
        <v>Россия</v>
      </c>
      <c r="N39" s="78" t="str">
        <f ca="1">UPPER(TRIM(_xlfn.XLOOKUP($A39,Строчный!$A:$A,Строчный!O:O,"ERR",0)))</f>
        <v/>
      </c>
      <c r="O39" s="99" t="str">
        <f ca="1">PROPER(TRIM(_xlfn.XLOOKUP($A39,Строчный!$A:$A,Строчный!P:P,"ERR",0)))</f>
        <v/>
      </c>
      <c r="P39" s="78" t="str">
        <f ca="1">PROPER(TRIM(_xlfn.XLOOKUP($A39,Строчный!$A:$A,Строчный!R:R,"ERR",0)))</f>
        <v/>
      </c>
      <c r="Q39" s="87">
        <f ca="1">VALUE(_xlfn.XLOOKUP($A39,Строчный!$A:$A,Строчный!N:N,"ERR",0))</f>
        <v>975.8</v>
      </c>
      <c r="R39" s="86" t="str">
        <f ca="1">_xlfn.XLOOKUP($G39,Фабрика!A:A,Фабрика!B:B,"ERR",0)</f>
        <v>ООО "ФРЭДРИКСОН" Россия 192029, С-Петербург, пр. Обуховской обороны, д.86, лит М</v>
      </c>
      <c r="S39" s="77" t="str">
        <f ca="1">_xlfn.XLOOKUP(RIGHT(AA39,2),Размеры!D:D,Размеры!A:A,"ERR",0)</f>
        <v>56</v>
      </c>
      <c r="T39" s="77">
        <f ca="1">VALUE(_xlfn.XLOOKUP($AA39,Строчный!$S:$S,Строчный!U:U,"ERR",0))</f>
        <v>3</v>
      </c>
      <c r="U39" s="14" t="s">
        <v>241</v>
      </c>
      <c r="V39" s="98" t="str">
        <f t="shared" ca="1" si="9"/>
        <v>Кепка FREDRIKSON арт. 3190-655/55 (коричневый)</v>
      </c>
      <c r="W39" s="97" t="str">
        <f t="shared" ca="1" si="10"/>
        <v>Кепка FREDRIKSON арт. 3190-655/55 (коричневый) {655/55}</v>
      </c>
      <c r="X39" s="18" t="str">
        <f t="shared" ca="1" si="11"/>
        <v>коричневый</v>
      </c>
      <c r="Y39" s="18" t="str">
        <f t="shared" ca="1" si="12"/>
        <v>коричневый</v>
      </c>
      <c r="Z39" s="109" t="str">
        <f ca="1">_xlfn.LET(_xlpm.FormColors,_xlfn.XLOOKUP(A39,Строчный!A:A,Строчный!Q:Q,"",0),IF(_xlpm.FormColors=0,IFERROR(MID(I39,FIND("-",I39)+1,LEN(I39)),IFERROR(MID(I39,1,FIND("/",I39)-2),I39)),_xlpm.FormColors))</f>
        <v>коричневый</v>
      </c>
      <c r="AA39" s="70" t="str">
        <f ca="1"/>
        <v>95-096-14-56</v>
      </c>
      <c r="AB39" s="72" t="str">
        <f ca="1">VLOOKUP(C39,Группа!A:B,2,FALSE)</f>
        <v>Кепка</v>
      </c>
      <c r="AC39" s="94" t="str">
        <f ca="1">IFERROR(VLOOKUP(S39,Размеры!A:C,3,FALSE),"")</f>
        <v>56 S/M</v>
      </c>
      <c r="AD39" s="94" t="str">
        <f ca="1">VLOOKUP(I39,ЦветПолный!A:B,2,FALSE)</f>
        <v>14</v>
      </c>
      <c r="AE39" s="94" t="str">
        <f ca="1">IFERROR(VLOOKUP(S39,Размеры!A:D,4,FALSE),"")</f>
        <v>56</v>
      </c>
      <c r="AF39" s="94">
        <f ca="1">SUMIF(Группа!A:A,C39,Группа!C:C)</f>
        <v>1</v>
      </c>
      <c r="AG39" s="94">
        <f ca="1">SUMIF(Группа!B:B,AB39,Группа!C:C)</f>
        <v>1</v>
      </c>
      <c r="AH39" s="94">
        <f ca="1">SUMIF(Формы!A:A,D39,Формы!B:B)</f>
        <v>1</v>
      </c>
      <c r="AI39" s="94">
        <f ca="1">IF(IFERROR(VLOOKUP(J39,Материал!D:D,1,0),0)&gt;0,1,SUMIF(Материал!A:A,K39,Материал!B:B))</f>
        <v>1</v>
      </c>
      <c r="AJ39" s="94">
        <f ca="1">SUMIF(Размеры!A:A,S39,Размеры!E:E)</f>
        <v>1</v>
      </c>
      <c r="AK39" s="94">
        <f ca="1">SUMIF(Сезон!A:A,F39,Сезон!B:B)</f>
        <v>1</v>
      </c>
      <c r="AL39" s="94">
        <f ca="1">VLOOKUP(I39,ЦветПолный!A:C,3,0)</f>
        <v>1</v>
      </c>
      <c r="AM39" s="94">
        <f ca="1">SUMIF(Цвет!A:A,Z39,Цвет!B:B)</f>
        <v>1</v>
      </c>
      <c r="AN39" s="94">
        <f ca="1">_xlfn.XLOOKUP(L39,Пол!A:A,Пол!B:B,0,0)</f>
        <v>1</v>
      </c>
      <c r="AO39" s="94">
        <f ca="1">SUMIF(Бренд!A:A,G39,Бренд!B:B)</f>
        <v>1</v>
      </c>
      <c r="AP39" s="137">
        <f ca="1">SUMIF(Страна!A:A,M39,Страна!B:B)</f>
        <v>1</v>
      </c>
      <c r="AQ39" s="150" t="str">
        <f t="shared" ca="1" si="13"/>
        <v>Кепка FREDRIKSON арт. 3190-655/55 (коричневый) {655/55}</v>
      </c>
      <c r="AR39" s="94">
        <f t="shared" ca="1" si="14"/>
        <v>1</v>
      </c>
      <c r="AS39" s="143">
        <f t="shared" ca="1" si="15"/>
        <v>1</v>
      </c>
      <c r="AT39" s="138" t="str">
        <f ca="1">IF(IFERROR(VLOOKUP(W39,Товары!A:B,2,FALSE),"")=A39,"Есть в 1С","ERR")</f>
        <v>ERR</v>
      </c>
      <c r="AU39" s="139" t="str">
        <f ca="1">IF(IFERROR(VLOOKUP(A39,Товары!B:B,1,FALSE),"")=A39,"Есть в 1С","ERR")</f>
        <v>ERR</v>
      </c>
      <c r="AV39" s="93" t="e">
        <f ca="1">VLOOKUP(W39,Товары!A:B,2,FALSE)</f>
        <v>#N/A</v>
      </c>
      <c r="AW39" s="91" t="e">
        <f ca="1">VLOOKUP(W39,Товары!A:B,1,FALSE)</f>
        <v>#N/A</v>
      </c>
    </row>
    <row r="40" spans="1:49" x14ac:dyDescent="0.25">
      <c r="A40" s="105" t="str">
        <f t="shared" ca="1" si="8"/>
        <v>95-095-06</v>
      </c>
      <c r="B40" s="78" t="str">
        <f ca="1">_xlfn.LET(_xlpm.CAPS,VLOOKUP(G40,Caps!A:B,2,0),_xlpm.Style,TRIM(_xlfn.XLOOKUP($A40,Строчный!$A:$A,Строчный!B:B,"ERR",0)),IF(_xlpm.CAPS=0,_xlpm.Style,UPPER(_xlpm.Style)))</f>
        <v>3190-618/28</v>
      </c>
      <c r="C40" s="78" t="str">
        <f ca="1">TRIM(PROPER(_xlfn.XLOOKUP($A40,Строчный!$A:$A,Строчный!C:C,"ERR",0)))</f>
        <v>Кепки</v>
      </c>
      <c r="D40" s="78" t="str">
        <f ca="1">_xlfn.LET(_xlpm.DATA,TRIM(_xlfn.XLOOKUP($A40,Строчный!$A:$A,Строчный!D:D,"ERR",0)),UPPER(MID(_xlpm.DATA,1,1))&amp;LOWER(MID(_xlpm.DATA,2,LEN(_xlpm.DATA)-1)))</f>
        <v>Кепка восьмиклинка</v>
      </c>
      <c r="E40" s="78" t="str">
        <f ca="1">PROPER(TRIM(_xlfn.XLOOKUP($A40,Строчный!$A:$A,Строчный!E:E,"ERR",0)))</f>
        <v>Fredrikson</v>
      </c>
      <c r="F40" s="78" t="str">
        <f ca="1">LOWER(TRIM(_xlfn.XLOOKUP($A40,Строчный!$A:$A,Строчный!F:F,"ERR",0)))</f>
        <v>всесезон</v>
      </c>
      <c r="G40" s="78" t="str">
        <f ca="1">UPPER(TRIM(_xlfn.XLOOKUP($A40,Строчный!$A:$A,Строчный!G:G,"ERR",0)))</f>
        <v>FREDRIKSON</v>
      </c>
      <c r="H40" s="78" t="str">
        <f ca="1">LOWER(TRIM(_xlfn.XLOOKUP($A40,Строчный!$A:$A,Строчный!H:H,"ERR",0)))</f>
        <v>618/28</v>
      </c>
      <c r="I40" s="78" t="str">
        <f ca="1">LOWER(TRIM(_xlfn.XLOOKUP($A40,Строчный!$A:$A,Строчный!I:I,"ERR",0)))</f>
        <v>синий</v>
      </c>
      <c r="J40" s="78" t="str">
        <f ca="1">SUBSTITUTE(LOWER(TRIM(_xlfn.XLOOKUP($A40,Строчный!$A:$A,Строчный!J:J,"ERR",0))),"подклад","Подклад")</f>
        <v>80% шерсть - 20% полиамид / Подклад: 100% хлопок</v>
      </c>
      <c r="K40" s="78" t="str">
        <f ca="1">LOWER(TRIM(_xlfn.XLOOKUP($A40,Строчный!$A:$A,Строчный!K:K,"ERR",0)))</f>
        <v>шерстяные</v>
      </c>
      <c r="L40" s="78" t="str">
        <f ca="1">PROPER(TRIM(_xlfn.XLOOKUP($A40,Строчный!$A:$A,Строчный!L:L,"ERR",0)))</f>
        <v>Унисекс</v>
      </c>
      <c r="M40" s="105" t="str">
        <f ca="1">PROPER(TRIM(_xlfn.XLOOKUP($A40,Строчный!$A:$A,Строчный!M:M,"ERR",0)))</f>
        <v>Россия</v>
      </c>
      <c r="N40" s="78" t="str">
        <f ca="1">UPPER(TRIM(_xlfn.XLOOKUP($A40,Строчный!$A:$A,Строчный!O:O,"ERR",0)))</f>
        <v/>
      </c>
      <c r="O40" s="99" t="str">
        <f ca="1">PROPER(TRIM(_xlfn.XLOOKUP($A40,Строчный!$A:$A,Строчный!P:P,"ERR",0)))</f>
        <v/>
      </c>
      <c r="P40" s="78" t="str">
        <f ca="1">PROPER(TRIM(_xlfn.XLOOKUP($A40,Строчный!$A:$A,Строчный!R:R,"ERR",0)))</f>
        <v/>
      </c>
      <c r="Q40" s="87">
        <f ca="1">VALUE(_xlfn.XLOOKUP($A40,Строчный!$A:$A,Строчный!N:N,"ERR",0))</f>
        <v>975.8</v>
      </c>
      <c r="R40" s="86" t="str">
        <f ca="1">_xlfn.XLOOKUP($G40,Фабрика!A:A,Фабрика!B:B,"ERR",0)</f>
        <v>ООО "ФРЭДРИКСОН" Россия 192029, С-Петербург, пр. Обуховской обороны, д.86, лит М</v>
      </c>
      <c r="S40" s="77" t="str">
        <f ca="1">_xlfn.XLOOKUP(RIGHT(AA40,2),Размеры!D:D,Размеры!A:A,"ERR",0)</f>
        <v>62</v>
      </c>
      <c r="T40" s="77">
        <f ca="1">VALUE(_xlfn.XLOOKUP($AA40,Строчный!$S:$S,Строчный!U:U,"ERR",0))</f>
        <v>5</v>
      </c>
      <c r="U40" s="14" t="s">
        <v>241</v>
      </c>
      <c r="V40" s="98" t="str">
        <f t="shared" ca="1" si="9"/>
        <v>Кепка FREDRIKSON арт. 3190-618/28 (синий)</v>
      </c>
      <c r="W40" s="97" t="str">
        <f t="shared" ca="1" si="10"/>
        <v>Кепка FREDRIKSON арт. 3190-618/28 (синий) {618/28}</v>
      </c>
      <c r="X40" s="18" t="str">
        <f t="shared" ca="1" si="11"/>
        <v>синий</v>
      </c>
      <c r="Y40" s="18" t="str">
        <f t="shared" ca="1" si="12"/>
        <v>синий</v>
      </c>
      <c r="Z40" s="109" t="str">
        <f ca="1">_xlfn.LET(_xlpm.FormColors,_xlfn.XLOOKUP(A40,Строчный!A:A,Строчный!Q:Q,"",0),IF(_xlpm.FormColors=0,IFERROR(MID(I40,FIND("-",I40)+1,LEN(I40)),IFERROR(MID(I40,1,FIND("/",I40)-2),I40)),_xlpm.FormColors))</f>
        <v>синий</v>
      </c>
      <c r="AA40" s="70" t="str">
        <f ca="1"/>
        <v>95-095-06-62</v>
      </c>
      <c r="AB40" s="72" t="str">
        <f ca="1">VLOOKUP(C40,Группа!A:B,2,FALSE)</f>
        <v>Кепка</v>
      </c>
      <c r="AC40" s="94" t="str">
        <f ca="1">IFERROR(VLOOKUP(S40,Размеры!A:C,3,FALSE),"")</f>
        <v>62 XL/XXL</v>
      </c>
      <c r="AD40" s="94" t="str">
        <f ca="1">VLOOKUP(I40,ЦветПолный!A:B,2,FALSE)</f>
        <v>06</v>
      </c>
      <c r="AE40" s="94" t="str">
        <f ca="1">IFERROR(VLOOKUP(S40,Размеры!A:D,4,FALSE),"")</f>
        <v>62</v>
      </c>
      <c r="AF40" s="94">
        <f ca="1">SUMIF(Группа!A:A,C40,Группа!C:C)</f>
        <v>1</v>
      </c>
      <c r="AG40" s="94">
        <f ca="1">SUMIF(Группа!B:B,AB40,Группа!C:C)</f>
        <v>1</v>
      </c>
      <c r="AH40" s="94">
        <f ca="1">SUMIF(Формы!A:A,D40,Формы!B:B)</f>
        <v>1</v>
      </c>
      <c r="AI40" s="94">
        <f ca="1">IF(IFERROR(VLOOKUP(J40,Материал!D:D,1,0),0)&gt;0,1,SUMIF(Материал!A:A,K40,Материал!B:B))</f>
        <v>1</v>
      </c>
      <c r="AJ40" s="94">
        <f ca="1">SUMIF(Размеры!A:A,S40,Размеры!E:E)</f>
        <v>1</v>
      </c>
      <c r="AK40" s="94">
        <f ca="1">SUMIF(Сезон!A:A,F40,Сезон!B:B)</f>
        <v>1</v>
      </c>
      <c r="AL40" s="94">
        <f ca="1">VLOOKUP(I40,ЦветПолный!A:C,3,0)</f>
        <v>1</v>
      </c>
      <c r="AM40" s="94">
        <f ca="1">SUMIF(Цвет!A:A,Z40,Цвет!B:B)</f>
        <v>1</v>
      </c>
      <c r="AN40" s="94">
        <f ca="1">_xlfn.XLOOKUP(L40,Пол!A:A,Пол!B:B,0,0)</f>
        <v>1</v>
      </c>
      <c r="AO40" s="94">
        <f ca="1">SUMIF(Бренд!A:A,G40,Бренд!B:B)</f>
        <v>1</v>
      </c>
      <c r="AP40" s="137">
        <f ca="1">SUMIF(Страна!A:A,M40,Страна!B:B)</f>
        <v>1</v>
      </c>
      <c r="AQ40" s="150" t="str">
        <f t="shared" ca="1" si="13"/>
        <v>Кепка FREDRIKSON арт. 3190-618/28 (синий) {618/28}</v>
      </c>
      <c r="AR40" s="94">
        <f t="shared" ca="1" si="14"/>
        <v>1</v>
      </c>
      <c r="AS40" s="143">
        <f t="shared" ca="1" si="15"/>
        <v>1</v>
      </c>
      <c r="AT40" s="138" t="str">
        <f ca="1">IF(IFERROR(VLOOKUP(W40,Товары!A:B,2,FALSE),"")=A40,"Есть в 1С","ERR")</f>
        <v>ERR</v>
      </c>
      <c r="AU40" s="139" t="str">
        <f ca="1">IF(IFERROR(VLOOKUP(A40,Товары!B:B,1,FALSE),"")=A40,"Есть в 1С","ERR")</f>
        <v>ERR</v>
      </c>
      <c r="AV40" s="93" t="e">
        <f ca="1">VLOOKUP(W40,Товары!A:B,2,FALSE)</f>
        <v>#N/A</v>
      </c>
      <c r="AW40" s="91" t="e">
        <f ca="1">VLOOKUP(W40,Товары!A:B,1,FALSE)</f>
        <v>#N/A</v>
      </c>
    </row>
    <row r="41" spans="1:49" x14ac:dyDescent="0.25">
      <c r="A41" s="105" t="str">
        <f t="shared" ca="1" si="8"/>
        <v>95-095-06</v>
      </c>
      <c r="B41" s="78" t="str">
        <f ca="1">_xlfn.LET(_xlpm.CAPS,VLOOKUP(G41,Caps!A:B,2,0),_xlpm.Style,TRIM(_xlfn.XLOOKUP($A41,Строчный!$A:$A,Строчный!B:B,"ERR",0)),IF(_xlpm.CAPS=0,_xlpm.Style,UPPER(_xlpm.Style)))</f>
        <v>3190-618/28</v>
      </c>
      <c r="C41" s="78" t="str">
        <f ca="1">TRIM(PROPER(_xlfn.XLOOKUP($A41,Строчный!$A:$A,Строчный!C:C,"ERR",0)))</f>
        <v>Кепки</v>
      </c>
      <c r="D41" s="78" t="str">
        <f ca="1">_xlfn.LET(_xlpm.DATA,TRIM(_xlfn.XLOOKUP($A41,Строчный!$A:$A,Строчный!D:D,"ERR",0)),UPPER(MID(_xlpm.DATA,1,1))&amp;LOWER(MID(_xlpm.DATA,2,LEN(_xlpm.DATA)-1)))</f>
        <v>Кепка восьмиклинка</v>
      </c>
      <c r="E41" s="78" t="str">
        <f ca="1">PROPER(TRIM(_xlfn.XLOOKUP($A41,Строчный!$A:$A,Строчный!E:E,"ERR",0)))</f>
        <v>Fredrikson</v>
      </c>
      <c r="F41" s="78" t="str">
        <f ca="1">LOWER(TRIM(_xlfn.XLOOKUP($A41,Строчный!$A:$A,Строчный!F:F,"ERR",0)))</f>
        <v>всесезон</v>
      </c>
      <c r="G41" s="78" t="str">
        <f ca="1">UPPER(TRIM(_xlfn.XLOOKUP($A41,Строчный!$A:$A,Строчный!G:G,"ERR",0)))</f>
        <v>FREDRIKSON</v>
      </c>
      <c r="H41" s="78" t="str">
        <f ca="1">LOWER(TRIM(_xlfn.XLOOKUP($A41,Строчный!$A:$A,Строчный!H:H,"ERR",0)))</f>
        <v>618/28</v>
      </c>
      <c r="I41" s="78" t="str">
        <f ca="1">LOWER(TRIM(_xlfn.XLOOKUP($A41,Строчный!$A:$A,Строчный!I:I,"ERR",0)))</f>
        <v>синий</v>
      </c>
      <c r="J41" s="78" t="str">
        <f ca="1">SUBSTITUTE(LOWER(TRIM(_xlfn.XLOOKUP($A41,Строчный!$A:$A,Строчный!J:J,"ERR",0))),"подклад","Подклад")</f>
        <v>80% шерсть - 20% полиамид / Подклад: 100% хлопок</v>
      </c>
      <c r="K41" s="78" t="str">
        <f ca="1">LOWER(TRIM(_xlfn.XLOOKUP($A41,Строчный!$A:$A,Строчный!K:K,"ERR",0)))</f>
        <v>шерстяные</v>
      </c>
      <c r="L41" s="78" t="str">
        <f ca="1">PROPER(TRIM(_xlfn.XLOOKUP($A41,Строчный!$A:$A,Строчный!L:L,"ERR",0)))</f>
        <v>Унисекс</v>
      </c>
      <c r="M41" s="105" t="str">
        <f ca="1">PROPER(TRIM(_xlfn.XLOOKUP($A41,Строчный!$A:$A,Строчный!M:M,"ERR",0)))</f>
        <v>Россия</v>
      </c>
      <c r="N41" s="78" t="str">
        <f ca="1">UPPER(TRIM(_xlfn.XLOOKUP($A41,Строчный!$A:$A,Строчный!O:O,"ERR",0)))</f>
        <v/>
      </c>
      <c r="O41" s="99" t="str">
        <f ca="1">PROPER(TRIM(_xlfn.XLOOKUP($A41,Строчный!$A:$A,Строчный!P:P,"ERR",0)))</f>
        <v/>
      </c>
      <c r="P41" s="78" t="str">
        <f ca="1">PROPER(TRIM(_xlfn.XLOOKUP($A41,Строчный!$A:$A,Строчный!R:R,"ERR",0)))</f>
        <v/>
      </c>
      <c r="Q41" s="87">
        <f ca="1">VALUE(_xlfn.XLOOKUP($A41,Строчный!$A:$A,Строчный!N:N,"ERR",0))</f>
        <v>975.8</v>
      </c>
      <c r="R41" s="86" t="str">
        <f ca="1">_xlfn.XLOOKUP($G41,Фабрика!A:A,Фабрика!B:B,"ERR",0)</f>
        <v>ООО "ФРЭДРИКСОН" Россия 192029, С-Петербург, пр. Обуховской обороны, д.86, лит М</v>
      </c>
      <c r="S41" s="77" t="str">
        <f ca="1">_xlfn.XLOOKUP(RIGHT(AA41,2),Размеры!D:D,Размеры!A:A,"ERR",0)</f>
        <v>61</v>
      </c>
      <c r="T41" s="77">
        <f ca="1">VALUE(_xlfn.XLOOKUP($AA41,Строчный!$S:$S,Строчный!U:U,"ERR",0))</f>
        <v>10</v>
      </c>
      <c r="U41" s="14" t="s">
        <v>241</v>
      </c>
      <c r="V41" s="98" t="str">
        <f t="shared" ca="1" si="9"/>
        <v>Кепка FREDRIKSON арт. 3190-618/28 (синий)</v>
      </c>
      <c r="W41" s="97" t="str">
        <f t="shared" ca="1" si="10"/>
        <v>Кепка FREDRIKSON арт. 3190-618/28 (синий) {618/28}</v>
      </c>
      <c r="X41" s="18" t="str">
        <f t="shared" ca="1" si="11"/>
        <v>синий</v>
      </c>
      <c r="Y41" s="18" t="str">
        <f t="shared" ca="1" si="12"/>
        <v>синий</v>
      </c>
      <c r="Z41" s="109" t="str">
        <f ca="1">_xlfn.LET(_xlpm.FormColors,_xlfn.XLOOKUP(A41,Строчный!A:A,Строчный!Q:Q,"",0),IF(_xlpm.FormColors=0,IFERROR(MID(I41,FIND("-",I41)+1,LEN(I41)),IFERROR(MID(I41,1,FIND("/",I41)-2),I41)),_xlpm.FormColors))</f>
        <v>синий</v>
      </c>
      <c r="AA41" s="70" t="str">
        <f ca="1"/>
        <v>95-095-06-61</v>
      </c>
      <c r="AB41" s="72" t="str">
        <f ca="1">VLOOKUP(C41,Группа!A:B,2,FALSE)</f>
        <v>Кепка</v>
      </c>
      <c r="AC41" s="94" t="str">
        <f ca="1">IFERROR(VLOOKUP(S41,Размеры!A:C,3,FALSE),"")</f>
        <v>61 XL</v>
      </c>
      <c r="AD41" s="94" t="str">
        <f ca="1">VLOOKUP(I41,ЦветПолный!A:B,2,FALSE)</f>
        <v>06</v>
      </c>
      <c r="AE41" s="94" t="str">
        <f ca="1">IFERROR(VLOOKUP(S41,Размеры!A:D,4,FALSE),"")</f>
        <v>61</v>
      </c>
      <c r="AF41" s="94">
        <f ca="1">SUMIF(Группа!A:A,C41,Группа!C:C)</f>
        <v>1</v>
      </c>
      <c r="AG41" s="94">
        <f ca="1">SUMIF(Группа!B:B,AB41,Группа!C:C)</f>
        <v>1</v>
      </c>
      <c r="AH41" s="94">
        <f ca="1">SUMIF(Формы!A:A,D41,Формы!B:B)</f>
        <v>1</v>
      </c>
      <c r="AI41" s="94">
        <f ca="1">IF(IFERROR(VLOOKUP(J41,Материал!D:D,1,0),0)&gt;0,1,SUMIF(Материал!A:A,K41,Материал!B:B))</f>
        <v>1</v>
      </c>
      <c r="AJ41" s="94">
        <f ca="1">SUMIF(Размеры!A:A,S41,Размеры!E:E)</f>
        <v>1</v>
      </c>
      <c r="AK41" s="94">
        <f ca="1">SUMIF(Сезон!A:A,F41,Сезон!B:B)</f>
        <v>1</v>
      </c>
      <c r="AL41" s="94">
        <f ca="1">VLOOKUP(I41,ЦветПолный!A:C,3,0)</f>
        <v>1</v>
      </c>
      <c r="AM41" s="94">
        <f ca="1">SUMIF(Цвет!A:A,Z41,Цвет!B:B)</f>
        <v>1</v>
      </c>
      <c r="AN41" s="94">
        <f ca="1">_xlfn.XLOOKUP(L41,Пол!A:A,Пол!B:B,0,0)</f>
        <v>1</v>
      </c>
      <c r="AO41" s="94">
        <f ca="1">SUMIF(Бренд!A:A,G41,Бренд!B:B)</f>
        <v>1</v>
      </c>
      <c r="AP41" s="137">
        <f ca="1">SUMIF(Страна!A:A,M41,Страна!B:B)</f>
        <v>1</v>
      </c>
      <c r="AQ41" s="150" t="str">
        <f t="shared" ca="1" si="13"/>
        <v>Кепка FREDRIKSON арт. 3190-618/28 (синий) {618/28}</v>
      </c>
      <c r="AR41" s="94">
        <f t="shared" ca="1" si="14"/>
        <v>1</v>
      </c>
      <c r="AS41" s="143">
        <f t="shared" ca="1" si="15"/>
        <v>1</v>
      </c>
      <c r="AT41" s="138" t="str">
        <f ca="1">IF(IFERROR(VLOOKUP(W41,Товары!A:B,2,FALSE),"")=A41,"Есть в 1С","ERR")</f>
        <v>ERR</v>
      </c>
      <c r="AU41" s="139" t="str">
        <f ca="1">IF(IFERROR(VLOOKUP(A41,Товары!B:B,1,FALSE),"")=A41,"Есть в 1С","ERR")</f>
        <v>ERR</v>
      </c>
      <c r="AV41" s="93" t="e">
        <f ca="1">VLOOKUP(W41,Товары!A:B,2,FALSE)</f>
        <v>#N/A</v>
      </c>
      <c r="AW41" s="91" t="e">
        <f ca="1">VLOOKUP(W41,Товары!A:B,1,FALSE)</f>
        <v>#N/A</v>
      </c>
    </row>
    <row r="42" spans="1:49" x14ac:dyDescent="0.25">
      <c r="A42" s="105" t="str">
        <f t="shared" ca="1" si="8"/>
        <v>95-095-06</v>
      </c>
      <c r="B42" s="78" t="str">
        <f ca="1">_xlfn.LET(_xlpm.CAPS,VLOOKUP(G42,Caps!A:B,2,0),_xlpm.Style,TRIM(_xlfn.XLOOKUP($A42,Строчный!$A:$A,Строчный!B:B,"ERR",0)),IF(_xlpm.CAPS=0,_xlpm.Style,UPPER(_xlpm.Style)))</f>
        <v>3190-618/28</v>
      </c>
      <c r="C42" s="78" t="str">
        <f ca="1">TRIM(PROPER(_xlfn.XLOOKUP($A42,Строчный!$A:$A,Строчный!C:C,"ERR",0)))</f>
        <v>Кепки</v>
      </c>
      <c r="D42" s="78" t="str">
        <f ca="1">_xlfn.LET(_xlpm.DATA,TRIM(_xlfn.XLOOKUP($A42,Строчный!$A:$A,Строчный!D:D,"ERR",0)),UPPER(MID(_xlpm.DATA,1,1))&amp;LOWER(MID(_xlpm.DATA,2,LEN(_xlpm.DATA)-1)))</f>
        <v>Кепка восьмиклинка</v>
      </c>
      <c r="E42" s="78" t="str">
        <f ca="1">PROPER(TRIM(_xlfn.XLOOKUP($A42,Строчный!$A:$A,Строчный!E:E,"ERR",0)))</f>
        <v>Fredrikson</v>
      </c>
      <c r="F42" s="78" t="str">
        <f ca="1">LOWER(TRIM(_xlfn.XLOOKUP($A42,Строчный!$A:$A,Строчный!F:F,"ERR",0)))</f>
        <v>всесезон</v>
      </c>
      <c r="G42" s="78" t="str">
        <f ca="1">UPPER(TRIM(_xlfn.XLOOKUP($A42,Строчный!$A:$A,Строчный!G:G,"ERR",0)))</f>
        <v>FREDRIKSON</v>
      </c>
      <c r="H42" s="78" t="str">
        <f ca="1">LOWER(TRIM(_xlfn.XLOOKUP($A42,Строчный!$A:$A,Строчный!H:H,"ERR",0)))</f>
        <v>618/28</v>
      </c>
      <c r="I42" s="78" t="str">
        <f ca="1">LOWER(TRIM(_xlfn.XLOOKUP($A42,Строчный!$A:$A,Строчный!I:I,"ERR",0)))</f>
        <v>синий</v>
      </c>
      <c r="J42" s="78" t="str">
        <f ca="1">SUBSTITUTE(LOWER(TRIM(_xlfn.XLOOKUP($A42,Строчный!$A:$A,Строчный!J:J,"ERR",0))),"подклад","Подклад")</f>
        <v>80% шерсть - 20% полиамид / Подклад: 100% хлопок</v>
      </c>
      <c r="K42" s="78" t="str">
        <f ca="1">LOWER(TRIM(_xlfn.XLOOKUP($A42,Строчный!$A:$A,Строчный!K:K,"ERR",0)))</f>
        <v>шерстяные</v>
      </c>
      <c r="L42" s="78" t="str">
        <f ca="1">PROPER(TRIM(_xlfn.XLOOKUP($A42,Строчный!$A:$A,Строчный!L:L,"ERR",0)))</f>
        <v>Унисекс</v>
      </c>
      <c r="M42" s="105" t="str">
        <f ca="1">PROPER(TRIM(_xlfn.XLOOKUP($A42,Строчный!$A:$A,Строчный!M:M,"ERR",0)))</f>
        <v>Россия</v>
      </c>
      <c r="N42" s="78" t="str">
        <f ca="1">UPPER(TRIM(_xlfn.XLOOKUP($A42,Строчный!$A:$A,Строчный!O:O,"ERR",0)))</f>
        <v/>
      </c>
      <c r="O42" s="99" t="str">
        <f ca="1">PROPER(TRIM(_xlfn.XLOOKUP($A42,Строчный!$A:$A,Строчный!P:P,"ERR",0)))</f>
        <v/>
      </c>
      <c r="P42" s="78" t="str">
        <f ca="1">PROPER(TRIM(_xlfn.XLOOKUP($A42,Строчный!$A:$A,Строчный!R:R,"ERR",0)))</f>
        <v/>
      </c>
      <c r="Q42" s="87">
        <f ca="1">VALUE(_xlfn.XLOOKUP($A42,Строчный!$A:$A,Строчный!N:N,"ERR",0))</f>
        <v>975.8</v>
      </c>
      <c r="R42" s="86" t="str">
        <f ca="1">_xlfn.XLOOKUP($G42,Фабрика!A:A,Фабрика!B:B,"ERR",0)</f>
        <v>ООО "ФРЭДРИКСОН" Россия 192029, С-Петербург, пр. Обуховской обороны, д.86, лит М</v>
      </c>
      <c r="S42" s="77" t="str">
        <f ca="1">_xlfn.XLOOKUP(RIGHT(AA42,2),Размеры!D:D,Размеры!A:A,"ERR",0)</f>
        <v>60</v>
      </c>
      <c r="T42" s="77">
        <f ca="1">VALUE(_xlfn.XLOOKUP($AA42,Строчный!$S:$S,Строчный!U:U,"ERR",0))</f>
        <v>15</v>
      </c>
      <c r="U42" s="14" t="s">
        <v>241</v>
      </c>
      <c r="V42" s="98" t="str">
        <f t="shared" ca="1" si="9"/>
        <v>Кепка FREDRIKSON арт. 3190-618/28 (синий)</v>
      </c>
      <c r="W42" s="97" t="str">
        <f t="shared" ca="1" si="10"/>
        <v>Кепка FREDRIKSON арт. 3190-618/28 (синий) {618/28}</v>
      </c>
      <c r="X42" s="18" t="str">
        <f t="shared" ca="1" si="11"/>
        <v>синий</v>
      </c>
      <c r="Y42" s="18" t="str">
        <f t="shared" ca="1" si="12"/>
        <v>синий</v>
      </c>
      <c r="Z42" s="109" t="str">
        <f ca="1">_xlfn.LET(_xlpm.FormColors,_xlfn.XLOOKUP(A42,Строчный!A:A,Строчный!Q:Q,"",0),IF(_xlpm.FormColors=0,IFERROR(MID(I42,FIND("-",I42)+1,LEN(I42)),IFERROR(MID(I42,1,FIND("/",I42)-2),I42)),_xlpm.FormColors))</f>
        <v>синий</v>
      </c>
      <c r="AA42" s="70" t="str">
        <f ca="1"/>
        <v>95-095-06-60</v>
      </c>
      <c r="AB42" s="72" t="str">
        <f ca="1">VLOOKUP(C42,Группа!A:B,2,FALSE)</f>
        <v>Кепка</v>
      </c>
      <c r="AC42" s="94" t="str">
        <f ca="1">IFERROR(VLOOKUP(S42,Размеры!A:C,3,FALSE),"")</f>
        <v>60 L/XL</v>
      </c>
      <c r="AD42" s="94" t="str">
        <f ca="1">VLOOKUP(I42,ЦветПолный!A:B,2,FALSE)</f>
        <v>06</v>
      </c>
      <c r="AE42" s="94" t="str">
        <f ca="1">IFERROR(VLOOKUP(S42,Размеры!A:D,4,FALSE),"")</f>
        <v>60</v>
      </c>
      <c r="AF42" s="94">
        <f ca="1">SUMIF(Группа!A:A,C42,Группа!C:C)</f>
        <v>1</v>
      </c>
      <c r="AG42" s="94">
        <f ca="1">SUMIF(Группа!B:B,AB42,Группа!C:C)</f>
        <v>1</v>
      </c>
      <c r="AH42" s="94">
        <f ca="1">SUMIF(Формы!A:A,D42,Формы!B:B)</f>
        <v>1</v>
      </c>
      <c r="AI42" s="94">
        <f ca="1">IF(IFERROR(VLOOKUP(J42,Материал!D:D,1,0),0)&gt;0,1,SUMIF(Материал!A:A,K42,Материал!B:B))</f>
        <v>1</v>
      </c>
      <c r="AJ42" s="94">
        <f ca="1">SUMIF(Размеры!A:A,S42,Размеры!E:E)</f>
        <v>1</v>
      </c>
      <c r="AK42" s="94">
        <f ca="1">SUMIF(Сезон!A:A,F42,Сезон!B:B)</f>
        <v>1</v>
      </c>
      <c r="AL42" s="94">
        <f ca="1">VLOOKUP(I42,ЦветПолный!A:C,3,0)</f>
        <v>1</v>
      </c>
      <c r="AM42" s="94">
        <f ca="1">SUMIF(Цвет!A:A,Z42,Цвет!B:B)</f>
        <v>1</v>
      </c>
      <c r="AN42" s="94">
        <f ca="1">_xlfn.XLOOKUP(L42,Пол!A:A,Пол!B:B,0,0)</f>
        <v>1</v>
      </c>
      <c r="AO42" s="94">
        <f ca="1">SUMIF(Бренд!A:A,G42,Бренд!B:B)</f>
        <v>1</v>
      </c>
      <c r="AP42" s="137">
        <f ca="1">SUMIF(Страна!A:A,M42,Страна!B:B)</f>
        <v>1</v>
      </c>
      <c r="AQ42" s="150" t="str">
        <f t="shared" ca="1" si="13"/>
        <v>Кепка FREDRIKSON арт. 3190-618/28 (синий) {618/28}</v>
      </c>
      <c r="AR42" s="94">
        <f t="shared" ca="1" si="14"/>
        <v>1</v>
      </c>
      <c r="AS42" s="143">
        <f t="shared" ca="1" si="15"/>
        <v>1</v>
      </c>
      <c r="AT42" s="138" t="str">
        <f ca="1">IF(IFERROR(VLOOKUP(W42,Товары!A:B,2,FALSE),"")=A42,"Есть в 1С","ERR")</f>
        <v>ERR</v>
      </c>
      <c r="AU42" s="139" t="str">
        <f ca="1">IF(IFERROR(VLOOKUP(A42,Товары!B:B,1,FALSE),"")=A42,"Есть в 1С","ERR")</f>
        <v>ERR</v>
      </c>
      <c r="AV42" s="93" t="e">
        <f ca="1">VLOOKUP(W42,Товары!A:B,2,FALSE)</f>
        <v>#N/A</v>
      </c>
      <c r="AW42" s="91" t="e">
        <f ca="1">VLOOKUP(W42,Товары!A:B,1,FALSE)</f>
        <v>#N/A</v>
      </c>
    </row>
    <row r="43" spans="1:49" x14ac:dyDescent="0.25">
      <c r="A43" s="105" t="str">
        <f t="shared" ca="1" si="8"/>
        <v>95-095-06</v>
      </c>
      <c r="B43" s="78" t="str">
        <f ca="1">_xlfn.LET(_xlpm.CAPS,VLOOKUP(G43,Caps!A:B,2,0),_xlpm.Style,TRIM(_xlfn.XLOOKUP($A43,Строчный!$A:$A,Строчный!B:B,"ERR",0)),IF(_xlpm.CAPS=0,_xlpm.Style,UPPER(_xlpm.Style)))</f>
        <v>3190-618/28</v>
      </c>
      <c r="C43" s="78" t="str">
        <f ca="1">TRIM(PROPER(_xlfn.XLOOKUP($A43,Строчный!$A:$A,Строчный!C:C,"ERR",0)))</f>
        <v>Кепки</v>
      </c>
      <c r="D43" s="78" t="str">
        <f ca="1">_xlfn.LET(_xlpm.DATA,TRIM(_xlfn.XLOOKUP($A43,Строчный!$A:$A,Строчный!D:D,"ERR",0)),UPPER(MID(_xlpm.DATA,1,1))&amp;LOWER(MID(_xlpm.DATA,2,LEN(_xlpm.DATA)-1)))</f>
        <v>Кепка восьмиклинка</v>
      </c>
      <c r="E43" s="78" t="str">
        <f ca="1">PROPER(TRIM(_xlfn.XLOOKUP($A43,Строчный!$A:$A,Строчный!E:E,"ERR",0)))</f>
        <v>Fredrikson</v>
      </c>
      <c r="F43" s="78" t="str">
        <f ca="1">LOWER(TRIM(_xlfn.XLOOKUP($A43,Строчный!$A:$A,Строчный!F:F,"ERR",0)))</f>
        <v>всесезон</v>
      </c>
      <c r="G43" s="78" t="str">
        <f ca="1">UPPER(TRIM(_xlfn.XLOOKUP($A43,Строчный!$A:$A,Строчный!G:G,"ERR",0)))</f>
        <v>FREDRIKSON</v>
      </c>
      <c r="H43" s="78" t="str">
        <f ca="1">LOWER(TRIM(_xlfn.XLOOKUP($A43,Строчный!$A:$A,Строчный!H:H,"ERR",0)))</f>
        <v>618/28</v>
      </c>
      <c r="I43" s="78" t="str">
        <f ca="1">LOWER(TRIM(_xlfn.XLOOKUP($A43,Строчный!$A:$A,Строчный!I:I,"ERR",0)))</f>
        <v>синий</v>
      </c>
      <c r="J43" s="78" t="str">
        <f ca="1">SUBSTITUTE(LOWER(TRIM(_xlfn.XLOOKUP($A43,Строчный!$A:$A,Строчный!J:J,"ERR",0))),"подклад","Подклад")</f>
        <v>80% шерсть - 20% полиамид / Подклад: 100% хлопок</v>
      </c>
      <c r="K43" s="78" t="str">
        <f ca="1">LOWER(TRIM(_xlfn.XLOOKUP($A43,Строчный!$A:$A,Строчный!K:K,"ERR",0)))</f>
        <v>шерстяные</v>
      </c>
      <c r="L43" s="78" t="str">
        <f ca="1">PROPER(TRIM(_xlfn.XLOOKUP($A43,Строчный!$A:$A,Строчный!L:L,"ERR",0)))</f>
        <v>Унисекс</v>
      </c>
      <c r="M43" s="105" t="str">
        <f ca="1">PROPER(TRIM(_xlfn.XLOOKUP($A43,Строчный!$A:$A,Строчный!M:M,"ERR",0)))</f>
        <v>Россия</v>
      </c>
      <c r="N43" s="78" t="str">
        <f ca="1">UPPER(TRIM(_xlfn.XLOOKUP($A43,Строчный!$A:$A,Строчный!O:O,"ERR",0)))</f>
        <v/>
      </c>
      <c r="O43" s="99" t="str">
        <f ca="1">PROPER(TRIM(_xlfn.XLOOKUP($A43,Строчный!$A:$A,Строчный!P:P,"ERR",0)))</f>
        <v/>
      </c>
      <c r="P43" s="78" t="str">
        <f ca="1">PROPER(TRIM(_xlfn.XLOOKUP($A43,Строчный!$A:$A,Строчный!R:R,"ERR",0)))</f>
        <v/>
      </c>
      <c r="Q43" s="87">
        <f ca="1">VALUE(_xlfn.XLOOKUP($A43,Строчный!$A:$A,Строчный!N:N,"ERR",0))</f>
        <v>975.8</v>
      </c>
      <c r="R43" s="86" t="str">
        <f ca="1">_xlfn.XLOOKUP($G43,Фабрика!A:A,Фабрика!B:B,"ERR",0)</f>
        <v>ООО "ФРЭДРИКСОН" Россия 192029, С-Петербург, пр. Обуховской обороны, д.86, лит М</v>
      </c>
      <c r="S43" s="77" t="str">
        <f ca="1">_xlfn.XLOOKUP(RIGHT(AA43,2),Размеры!D:D,Размеры!A:A,"ERR",0)</f>
        <v>59</v>
      </c>
      <c r="T43" s="77">
        <f ca="1">VALUE(_xlfn.XLOOKUP($AA43,Строчный!$S:$S,Строчный!U:U,"ERR",0))</f>
        <v>20</v>
      </c>
      <c r="U43" s="14" t="s">
        <v>241</v>
      </c>
      <c r="V43" s="98" t="str">
        <f t="shared" ca="1" si="9"/>
        <v>Кепка FREDRIKSON арт. 3190-618/28 (синий)</v>
      </c>
      <c r="W43" s="97" t="str">
        <f t="shared" ca="1" si="10"/>
        <v>Кепка FREDRIKSON арт. 3190-618/28 (синий) {618/28}</v>
      </c>
      <c r="X43" s="18" t="str">
        <f t="shared" ca="1" si="11"/>
        <v>синий</v>
      </c>
      <c r="Y43" s="18" t="str">
        <f t="shared" ca="1" si="12"/>
        <v>синий</v>
      </c>
      <c r="Z43" s="109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70" t="str">
        <f ca="1"/>
        <v>95-095-06-59</v>
      </c>
      <c r="AB43" s="72" t="str">
        <f ca="1">VLOOKUP(C43,Группа!A:B,2,FALSE)</f>
        <v>Кепка</v>
      </c>
      <c r="AC43" s="94" t="str">
        <f ca="1">IFERROR(VLOOKUP(S43,Размеры!A:C,3,FALSE),"")</f>
        <v>59 L</v>
      </c>
      <c r="AD43" s="94" t="str">
        <f ca="1">VLOOKUP(I43,ЦветПолный!A:B,2,FALSE)</f>
        <v>06</v>
      </c>
      <c r="AE43" s="94" t="str">
        <f ca="1">IFERROR(VLOOKUP(S43,Размеры!A:D,4,FALSE),"")</f>
        <v>59</v>
      </c>
      <c r="AF43" s="94">
        <f ca="1">SUMIF(Группа!A:A,C43,Группа!C:C)</f>
        <v>1</v>
      </c>
      <c r="AG43" s="94">
        <f ca="1">SUMIF(Группа!B:B,AB43,Группа!C:C)</f>
        <v>1</v>
      </c>
      <c r="AH43" s="94">
        <f ca="1">SUMIF(Формы!A:A,D43,Формы!B:B)</f>
        <v>1</v>
      </c>
      <c r="AI43" s="94">
        <f ca="1">IF(IFERROR(VLOOKUP(J43,Материал!D:D,1,0),0)&gt;0,1,SUMIF(Материал!A:A,K43,Материал!B:B))</f>
        <v>1</v>
      </c>
      <c r="AJ43" s="94">
        <f ca="1">SUMIF(Размеры!A:A,S43,Размеры!E:E)</f>
        <v>1</v>
      </c>
      <c r="AK43" s="94">
        <f ca="1">SUMIF(Сезон!A:A,F43,Сезон!B:B)</f>
        <v>1</v>
      </c>
      <c r="AL43" s="94">
        <f ca="1">VLOOKUP(I43,ЦветПолный!A:C,3,0)</f>
        <v>1</v>
      </c>
      <c r="AM43" s="94">
        <f ca="1">SUMIF(Цвет!A:A,Z43,Цвет!B:B)</f>
        <v>1</v>
      </c>
      <c r="AN43" s="94">
        <f ca="1">_xlfn.XLOOKUP(L43,Пол!A:A,Пол!B:B,0,0)</f>
        <v>1</v>
      </c>
      <c r="AO43" s="94">
        <f ca="1">SUMIF(Бренд!A:A,G43,Бренд!B:B)</f>
        <v>1</v>
      </c>
      <c r="AP43" s="137">
        <f ca="1">SUMIF(Страна!A:A,M43,Страна!B:B)</f>
        <v>1</v>
      </c>
      <c r="AQ43" s="150" t="str">
        <f t="shared" ca="1" si="13"/>
        <v>Кепка FREDRIKSON арт. 3190-618/28 (синий) {618/28}</v>
      </c>
      <c r="AR43" s="94">
        <f t="shared" ca="1" si="14"/>
        <v>1</v>
      </c>
      <c r="AS43" s="143">
        <f t="shared" ca="1" si="15"/>
        <v>1</v>
      </c>
      <c r="AT43" s="138" t="str">
        <f ca="1">IF(IFERROR(VLOOKUP(W43,Товары!A:B,2,FALSE),"")=A43,"Есть в 1С","ERR")</f>
        <v>ERR</v>
      </c>
      <c r="AU43" s="139" t="str">
        <f ca="1">IF(IFERROR(VLOOKUP(A43,Товары!B:B,1,FALSE),"")=A43,"Есть в 1С","ERR")</f>
        <v>ERR</v>
      </c>
      <c r="AV43" s="93" t="e">
        <f ca="1">VLOOKUP(W43,Товары!A:B,2,FALSE)</f>
        <v>#N/A</v>
      </c>
      <c r="AW43" s="91" t="e">
        <f ca="1">VLOOKUP(W43,Товары!A:B,1,FALSE)</f>
        <v>#N/A</v>
      </c>
    </row>
    <row r="44" spans="1:49" x14ac:dyDescent="0.25">
      <c r="A44" s="105" t="str">
        <f t="shared" ca="1" si="8"/>
        <v>95-095-06</v>
      </c>
      <c r="B44" s="78" t="str">
        <f ca="1">_xlfn.LET(_xlpm.CAPS,VLOOKUP(G44,Caps!A:B,2,0),_xlpm.Style,TRIM(_xlfn.XLOOKUP($A44,Строчный!$A:$A,Строчный!B:B,"ERR",0)),IF(_xlpm.CAPS=0,_xlpm.Style,UPPER(_xlpm.Style)))</f>
        <v>3190-618/28</v>
      </c>
      <c r="C44" s="78" t="str">
        <f ca="1">TRIM(PROPER(_xlfn.XLOOKUP($A44,Строчный!$A:$A,Строчный!C:C,"ERR",0)))</f>
        <v>Кепки</v>
      </c>
      <c r="D44" s="78" t="str">
        <f ca="1">_xlfn.LET(_xlpm.DATA,TRIM(_xlfn.XLOOKUP($A44,Строчный!$A:$A,Строчный!D:D,"ERR",0)),UPPER(MID(_xlpm.DATA,1,1))&amp;LOWER(MID(_xlpm.DATA,2,LEN(_xlpm.DATA)-1)))</f>
        <v>Кепка восьмиклинка</v>
      </c>
      <c r="E44" s="78" t="str">
        <f ca="1">PROPER(TRIM(_xlfn.XLOOKUP($A44,Строчный!$A:$A,Строчный!E:E,"ERR",0)))</f>
        <v>Fredrikson</v>
      </c>
      <c r="F44" s="78" t="str">
        <f ca="1">LOWER(TRIM(_xlfn.XLOOKUP($A44,Строчный!$A:$A,Строчный!F:F,"ERR",0)))</f>
        <v>всесезон</v>
      </c>
      <c r="G44" s="78" t="str">
        <f ca="1">UPPER(TRIM(_xlfn.XLOOKUP($A44,Строчный!$A:$A,Строчный!G:G,"ERR",0)))</f>
        <v>FREDRIKSON</v>
      </c>
      <c r="H44" s="78" t="str">
        <f ca="1">LOWER(TRIM(_xlfn.XLOOKUP($A44,Строчный!$A:$A,Строчный!H:H,"ERR",0)))</f>
        <v>618/28</v>
      </c>
      <c r="I44" s="78" t="str">
        <f ca="1">LOWER(TRIM(_xlfn.XLOOKUP($A44,Строчный!$A:$A,Строчный!I:I,"ERR",0)))</f>
        <v>синий</v>
      </c>
      <c r="J44" s="78" t="str">
        <f ca="1">SUBSTITUTE(LOWER(TRIM(_xlfn.XLOOKUP($A44,Строчный!$A:$A,Строчный!J:J,"ERR",0))),"подклад","Подклад")</f>
        <v>80% шерсть - 20% полиамид / Подклад: 100% хлопок</v>
      </c>
      <c r="K44" s="78" t="str">
        <f ca="1">LOWER(TRIM(_xlfn.XLOOKUP($A44,Строчный!$A:$A,Строчный!K:K,"ERR",0)))</f>
        <v>шерстяные</v>
      </c>
      <c r="L44" s="78" t="str">
        <f ca="1">PROPER(TRIM(_xlfn.XLOOKUP($A44,Строчный!$A:$A,Строчный!L:L,"ERR",0)))</f>
        <v>Унисекс</v>
      </c>
      <c r="M44" s="105" t="str">
        <f ca="1">PROPER(TRIM(_xlfn.XLOOKUP($A44,Строчный!$A:$A,Строчный!M:M,"ERR",0)))</f>
        <v>Россия</v>
      </c>
      <c r="N44" s="78" t="str">
        <f ca="1">UPPER(TRIM(_xlfn.XLOOKUP($A44,Строчный!$A:$A,Строчный!O:O,"ERR",0)))</f>
        <v/>
      </c>
      <c r="O44" s="99" t="str">
        <f ca="1">PROPER(TRIM(_xlfn.XLOOKUP($A44,Строчный!$A:$A,Строчный!P:P,"ERR",0)))</f>
        <v/>
      </c>
      <c r="P44" s="78" t="str">
        <f ca="1">PROPER(TRIM(_xlfn.XLOOKUP($A44,Строчный!$A:$A,Строчный!R:R,"ERR",0)))</f>
        <v/>
      </c>
      <c r="Q44" s="87">
        <f ca="1">VALUE(_xlfn.XLOOKUP($A44,Строчный!$A:$A,Строчный!N:N,"ERR",0))</f>
        <v>975.8</v>
      </c>
      <c r="R44" s="86" t="str">
        <f ca="1">_xlfn.XLOOKUP($G44,Фабрика!A:A,Фабрика!B:B,"ERR",0)</f>
        <v>ООО "ФРЭДРИКСОН" Россия 192029, С-Петербург, пр. Обуховской обороны, д.86, лит М</v>
      </c>
      <c r="S44" s="77" t="str">
        <f ca="1">_xlfn.XLOOKUP(RIGHT(AA44,2),Размеры!D:D,Размеры!A:A,"ERR",0)</f>
        <v>58</v>
      </c>
      <c r="T44" s="77">
        <f ca="1">VALUE(_xlfn.XLOOKUP($AA44,Строчный!$S:$S,Строчный!U:U,"ERR",0))</f>
        <v>15</v>
      </c>
      <c r="U44" s="14" t="s">
        <v>241</v>
      </c>
      <c r="V44" s="98" t="str">
        <f t="shared" ca="1" si="9"/>
        <v>Кепка FREDRIKSON арт. 3190-618/28 (синий)</v>
      </c>
      <c r="W44" s="97" t="str">
        <f t="shared" ca="1" si="10"/>
        <v>Кепка FREDRIKSON арт. 3190-618/28 (синий) {618/28}</v>
      </c>
      <c r="X44" s="18" t="str">
        <f t="shared" ca="1" si="11"/>
        <v>синий</v>
      </c>
      <c r="Y44" s="18" t="str">
        <f t="shared" ca="1" si="12"/>
        <v>синий</v>
      </c>
      <c r="Z44" s="109" t="str">
        <f ca="1">_xlfn.LET(_xlpm.FormColors,_xlfn.XLOOKUP(A44,Строчный!A:A,Строчный!Q:Q,"",0),IF(_xlpm.FormColors=0,IFERROR(MID(I44,FIND("-",I44)+1,LEN(I44)),IFERROR(MID(I44,1,FIND("/",I44)-2),I44)),_xlpm.FormColors))</f>
        <v>синий</v>
      </c>
      <c r="AA44" s="70" t="str">
        <f ca="1"/>
        <v>95-095-06-58</v>
      </c>
      <c r="AB44" s="72" t="str">
        <f ca="1">VLOOKUP(C44,Группа!A:B,2,FALSE)</f>
        <v>Кепка</v>
      </c>
      <c r="AC44" s="94" t="str">
        <f ca="1">IFERROR(VLOOKUP(S44,Размеры!A:C,3,FALSE),"")</f>
        <v>58 M/L</v>
      </c>
      <c r="AD44" s="94" t="str">
        <f ca="1">VLOOKUP(I44,ЦветПолный!A:B,2,FALSE)</f>
        <v>06</v>
      </c>
      <c r="AE44" s="94" t="str">
        <f ca="1">IFERROR(VLOOKUP(S44,Размеры!A:D,4,FALSE),"")</f>
        <v>58</v>
      </c>
      <c r="AF44" s="94">
        <f ca="1">SUMIF(Группа!A:A,C44,Группа!C:C)</f>
        <v>1</v>
      </c>
      <c r="AG44" s="94">
        <f ca="1">SUMIF(Группа!B:B,AB44,Группа!C:C)</f>
        <v>1</v>
      </c>
      <c r="AH44" s="94">
        <f ca="1">SUMIF(Формы!A:A,D44,Формы!B:B)</f>
        <v>1</v>
      </c>
      <c r="AI44" s="94">
        <f ca="1">IF(IFERROR(VLOOKUP(J44,Материал!D:D,1,0),0)&gt;0,1,SUMIF(Материал!A:A,K44,Материал!B:B))</f>
        <v>1</v>
      </c>
      <c r="AJ44" s="94">
        <f ca="1">SUMIF(Размеры!A:A,S44,Размеры!E:E)</f>
        <v>1</v>
      </c>
      <c r="AK44" s="94">
        <f ca="1">SUMIF(Сезон!A:A,F44,Сезон!B:B)</f>
        <v>1</v>
      </c>
      <c r="AL44" s="94">
        <f ca="1">VLOOKUP(I44,ЦветПолный!A:C,3,0)</f>
        <v>1</v>
      </c>
      <c r="AM44" s="94">
        <f ca="1">SUMIF(Цвет!A:A,Z44,Цвет!B:B)</f>
        <v>1</v>
      </c>
      <c r="AN44" s="94">
        <f ca="1">_xlfn.XLOOKUP(L44,Пол!A:A,Пол!B:B,0,0)</f>
        <v>1</v>
      </c>
      <c r="AO44" s="94">
        <f ca="1">SUMIF(Бренд!A:A,G44,Бренд!B:B)</f>
        <v>1</v>
      </c>
      <c r="AP44" s="137">
        <f ca="1">SUMIF(Страна!A:A,M44,Страна!B:B)</f>
        <v>1</v>
      </c>
      <c r="AQ44" s="150" t="str">
        <f t="shared" ca="1" si="13"/>
        <v>Кепка FREDRIKSON арт. 3190-618/28 (синий) {618/28}</v>
      </c>
      <c r="AR44" s="94">
        <f t="shared" ca="1" si="14"/>
        <v>1</v>
      </c>
      <c r="AS44" s="143">
        <f t="shared" ca="1" si="15"/>
        <v>1</v>
      </c>
      <c r="AT44" s="138" t="str">
        <f ca="1">IF(IFERROR(VLOOKUP(W44,Товары!A:B,2,FALSE),"")=A44,"Есть в 1С","ERR")</f>
        <v>ERR</v>
      </c>
      <c r="AU44" s="139" t="str">
        <f ca="1">IF(IFERROR(VLOOKUP(A44,Товары!B:B,1,FALSE),"")=A44,"Есть в 1С","ERR")</f>
        <v>ERR</v>
      </c>
      <c r="AV44" s="93" t="e">
        <f ca="1">VLOOKUP(W44,Товары!A:B,2,FALSE)</f>
        <v>#N/A</v>
      </c>
      <c r="AW44" s="91" t="e">
        <f ca="1">VLOOKUP(W44,Товары!A:B,1,FALSE)</f>
        <v>#N/A</v>
      </c>
    </row>
    <row r="45" spans="1:49" x14ac:dyDescent="0.25">
      <c r="A45" s="105" t="str">
        <f t="shared" ca="1" si="8"/>
        <v>95-095-06</v>
      </c>
      <c r="B45" s="78" t="str">
        <f ca="1">_xlfn.LET(_xlpm.CAPS,VLOOKUP(G45,Caps!A:B,2,0),_xlpm.Style,TRIM(_xlfn.XLOOKUP($A45,Строчный!$A:$A,Строчный!B:B,"ERR",0)),IF(_xlpm.CAPS=0,_xlpm.Style,UPPER(_xlpm.Style)))</f>
        <v>3190-618/28</v>
      </c>
      <c r="C45" s="78" t="str">
        <f ca="1">TRIM(PROPER(_xlfn.XLOOKUP($A45,Строчный!$A:$A,Строчный!C:C,"ERR",0)))</f>
        <v>Кепки</v>
      </c>
      <c r="D45" s="78" t="str">
        <f ca="1">_xlfn.LET(_xlpm.DATA,TRIM(_xlfn.XLOOKUP($A45,Строчный!$A:$A,Строчный!D:D,"ERR",0)),UPPER(MID(_xlpm.DATA,1,1))&amp;LOWER(MID(_xlpm.DATA,2,LEN(_xlpm.DATA)-1)))</f>
        <v>Кепка восьмиклинка</v>
      </c>
      <c r="E45" s="78" t="str">
        <f ca="1">PROPER(TRIM(_xlfn.XLOOKUP($A45,Строчный!$A:$A,Строчный!E:E,"ERR",0)))</f>
        <v>Fredrikson</v>
      </c>
      <c r="F45" s="78" t="str">
        <f ca="1">LOWER(TRIM(_xlfn.XLOOKUP($A45,Строчный!$A:$A,Строчный!F:F,"ERR",0)))</f>
        <v>всесезон</v>
      </c>
      <c r="G45" s="78" t="str">
        <f ca="1">UPPER(TRIM(_xlfn.XLOOKUP($A45,Строчный!$A:$A,Строчный!G:G,"ERR",0)))</f>
        <v>FREDRIKSON</v>
      </c>
      <c r="H45" s="78" t="str">
        <f ca="1">LOWER(TRIM(_xlfn.XLOOKUP($A45,Строчный!$A:$A,Строчный!H:H,"ERR",0)))</f>
        <v>618/28</v>
      </c>
      <c r="I45" s="78" t="str">
        <f ca="1">LOWER(TRIM(_xlfn.XLOOKUP($A45,Строчный!$A:$A,Строчный!I:I,"ERR",0)))</f>
        <v>синий</v>
      </c>
      <c r="J45" s="78" t="str">
        <f ca="1">SUBSTITUTE(LOWER(TRIM(_xlfn.XLOOKUP($A45,Строчный!$A:$A,Строчный!J:J,"ERR",0))),"подклад","Подклад")</f>
        <v>80% шерсть - 20% полиамид / Подклад: 100% хлопок</v>
      </c>
      <c r="K45" s="78" t="str">
        <f ca="1">LOWER(TRIM(_xlfn.XLOOKUP($A45,Строчный!$A:$A,Строчный!K:K,"ERR",0)))</f>
        <v>шерстяные</v>
      </c>
      <c r="L45" s="78" t="str">
        <f ca="1">PROPER(TRIM(_xlfn.XLOOKUP($A45,Строчный!$A:$A,Строчный!L:L,"ERR",0)))</f>
        <v>Унисекс</v>
      </c>
      <c r="M45" s="105" t="str">
        <f ca="1">PROPER(TRIM(_xlfn.XLOOKUP($A45,Строчный!$A:$A,Строчный!M:M,"ERR",0)))</f>
        <v>Россия</v>
      </c>
      <c r="N45" s="78" t="str">
        <f ca="1">UPPER(TRIM(_xlfn.XLOOKUP($A45,Строчный!$A:$A,Строчный!O:O,"ERR",0)))</f>
        <v/>
      </c>
      <c r="O45" s="99" t="str">
        <f ca="1">PROPER(TRIM(_xlfn.XLOOKUP($A45,Строчный!$A:$A,Строчный!P:P,"ERR",0)))</f>
        <v/>
      </c>
      <c r="P45" s="78" t="str">
        <f ca="1">PROPER(TRIM(_xlfn.XLOOKUP($A45,Строчный!$A:$A,Строчный!R:R,"ERR",0)))</f>
        <v/>
      </c>
      <c r="Q45" s="87">
        <f ca="1">VALUE(_xlfn.XLOOKUP($A45,Строчный!$A:$A,Строчный!N:N,"ERR",0))</f>
        <v>975.8</v>
      </c>
      <c r="R45" s="86" t="str">
        <f ca="1">_xlfn.XLOOKUP($G45,Фабрика!A:A,Фабрика!B:B,"ERR",0)</f>
        <v>ООО "ФРЭДРИКСОН" Россия 192029, С-Петербург, пр. Обуховской обороны, д.86, лит М</v>
      </c>
      <c r="S45" s="77" t="str">
        <f ca="1">_xlfn.XLOOKUP(RIGHT(AA45,2),Размеры!D:D,Размеры!A:A,"ERR",0)</f>
        <v>57</v>
      </c>
      <c r="T45" s="77">
        <f ca="1">VALUE(_xlfn.XLOOKUP($AA45,Строчный!$S:$S,Строчный!U:U,"ERR",0))</f>
        <v>10</v>
      </c>
      <c r="U45" s="14" t="s">
        <v>241</v>
      </c>
      <c r="V45" s="98" t="str">
        <f t="shared" ca="1" si="9"/>
        <v>Кепка FREDRIKSON арт. 3190-618/28 (синий)</v>
      </c>
      <c r="W45" s="97" t="str">
        <f t="shared" ca="1" si="10"/>
        <v>Кепка FREDRIKSON арт. 3190-618/28 (синий) {618/28}</v>
      </c>
      <c r="X45" s="18" t="str">
        <f t="shared" ca="1" si="11"/>
        <v>синий</v>
      </c>
      <c r="Y45" s="18" t="str">
        <f t="shared" ca="1" si="12"/>
        <v>синий</v>
      </c>
      <c r="Z45" s="109" t="str">
        <f ca="1">_xlfn.LET(_xlpm.FormColors,_xlfn.XLOOKUP(A45,Строчный!A:A,Строчный!Q:Q,"",0),IF(_xlpm.FormColors=0,IFERROR(MID(I45,FIND("-",I45)+1,LEN(I45)),IFERROR(MID(I45,1,FIND("/",I45)-2),I45)),_xlpm.FormColors))</f>
        <v>синий</v>
      </c>
      <c r="AA45" s="70" t="str">
        <f ca="1"/>
        <v>95-095-06-57</v>
      </c>
      <c r="AB45" s="72" t="str">
        <f ca="1">VLOOKUP(C45,Группа!A:B,2,FALSE)</f>
        <v>Кепка</v>
      </c>
      <c r="AC45" s="94" t="str">
        <f ca="1">IFERROR(VLOOKUP(S45,Размеры!A:C,3,FALSE),"")</f>
        <v>57 M</v>
      </c>
      <c r="AD45" s="94" t="str">
        <f ca="1">VLOOKUP(I45,ЦветПолный!A:B,2,FALSE)</f>
        <v>06</v>
      </c>
      <c r="AE45" s="94" t="str">
        <f ca="1">IFERROR(VLOOKUP(S45,Размеры!A:D,4,FALSE),"")</f>
        <v>57</v>
      </c>
      <c r="AF45" s="94">
        <f ca="1">SUMIF(Группа!A:A,C45,Группа!C:C)</f>
        <v>1</v>
      </c>
      <c r="AG45" s="94">
        <f ca="1">SUMIF(Группа!B:B,AB45,Группа!C:C)</f>
        <v>1</v>
      </c>
      <c r="AH45" s="94">
        <f ca="1">SUMIF(Формы!A:A,D45,Формы!B:B)</f>
        <v>1</v>
      </c>
      <c r="AI45" s="94">
        <f ca="1">IF(IFERROR(VLOOKUP(J45,Материал!D:D,1,0),0)&gt;0,1,SUMIF(Материал!A:A,K45,Материал!B:B))</f>
        <v>1</v>
      </c>
      <c r="AJ45" s="94">
        <f ca="1">SUMIF(Размеры!A:A,S45,Размеры!E:E)</f>
        <v>1</v>
      </c>
      <c r="AK45" s="94">
        <f ca="1">SUMIF(Сезон!A:A,F45,Сезон!B:B)</f>
        <v>1</v>
      </c>
      <c r="AL45" s="94">
        <f ca="1">VLOOKUP(I45,ЦветПолный!A:C,3,0)</f>
        <v>1</v>
      </c>
      <c r="AM45" s="94">
        <f ca="1">SUMIF(Цвет!A:A,Z45,Цвет!B:B)</f>
        <v>1</v>
      </c>
      <c r="AN45" s="94">
        <f ca="1">_xlfn.XLOOKUP(L45,Пол!A:A,Пол!B:B,0,0)</f>
        <v>1</v>
      </c>
      <c r="AO45" s="94">
        <f ca="1">SUMIF(Бренд!A:A,G45,Бренд!B:B)</f>
        <v>1</v>
      </c>
      <c r="AP45" s="137">
        <f ca="1">SUMIF(Страна!A:A,M45,Страна!B:B)</f>
        <v>1</v>
      </c>
      <c r="AQ45" s="150" t="str">
        <f t="shared" ca="1" si="13"/>
        <v>Кепка FREDRIKSON арт. 3190-618/28 (синий) {618/28}</v>
      </c>
      <c r="AR45" s="94">
        <f t="shared" ca="1" si="14"/>
        <v>1</v>
      </c>
      <c r="AS45" s="143">
        <f t="shared" ca="1" si="15"/>
        <v>1</v>
      </c>
      <c r="AT45" s="138" t="str">
        <f ca="1">IF(IFERROR(VLOOKUP(W45,Товары!A:B,2,FALSE),"")=A45,"Есть в 1С","ERR")</f>
        <v>ERR</v>
      </c>
      <c r="AU45" s="139" t="str">
        <f ca="1">IF(IFERROR(VLOOKUP(A45,Товары!B:B,1,FALSE),"")=A45,"Есть в 1С","ERR")</f>
        <v>ERR</v>
      </c>
      <c r="AV45" s="93" t="e">
        <f ca="1">VLOOKUP(W45,Товары!A:B,2,FALSE)</f>
        <v>#N/A</v>
      </c>
      <c r="AW45" s="91" t="e">
        <f ca="1">VLOOKUP(W45,Товары!A:B,1,FALSE)</f>
        <v>#N/A</v>
      </c>
    </row>
    <row r="46" spans="1:49" x14ac:dyDescent="0.25">
      <c r="A46" s="105" t="str">
        <f t="shared" ca="1" si="8"/>
        <v>95-095-06</v>
      </c>
      <c r="B46" s="78" t="str">
        <f ca="1">_xlfn.LET(_xlpm.CAPS,VLOOKUP(G46,Caps!A:B,2,0),_xlpm.Style,TRIM(_xlfn.XLOOKUP($A46,Строчный!$A:$A,Строчный!B:B,"ERR",0)),IF(_xlpm.CAPS=0,_xlpm.Style,UPPER(_xlpm.Style)))</f>
        <v>3190-618/28</v>
      </c>
      <c r="C46" s="78" t="str">
        <f ca="1">TRIM(PROPER(_xlfn.XLOOKUP($A46,Строчный!$A:$A,Строчный!C:C,"ERR",0)))</f>
        <v>Кепки</v>
      </c>
      <c r="D46" s="78" t="str">
        <f ca="1">_xlfn.LET(_xlpm.DATA,TRIM(_xlfn.XLOOKUP($A46,Строчный!$A:$A,Строчный!D:D,"ERR",0)),UPPER(MID(_xlpm.DATA,1,1))&amp;LOWER(MID(_xlpm.DATA,2,LEN(_xlpm.DATA)-1)))</f>
        <v>Кепка восьмиклинка</v>
      </c>
      <c r="E46" s="78" t="str">
        <f ca="1">PROPER(TRIM(_xlfn.XLOOKUP($A46,Строчный!$A:$A,Строчный!E:E,"ERR",0)))</f>
        <v>Fredrikson</v>
      </c>
      <c r="F46" s="78" t="str">
        <f ca="1">LOWER(TRIM(_xlfn.XLOOKUP($A46,Строчный!$A:$A,Строчный!F:F,"ERR",0)))</f>
        <v>всесезон</v>
      </c>
      <c r="G46" s="78" t="str">
        <f ca="1">UPPER(TRIM(_xlfn.XLOOKUP($A46,Строчный!$A:$A,Строчный!G:G,"ERR",0)))</f>
        <v>FREDRIKSON</v>
      </c>
      <c r="H46" s="78" t="str">
        <f ca="1">LOWER(TRIM(_xlfn.XLOOKUP($A46,Строчный!$A:$A,Строчный!H:H,"ERR",0)))</f>
        <v>618/28</v>
      </c>
      <c r="I46" s="78" t="str">
        <f ca="1">LOWER(TRIM(_xlfn.XLOOKUP($A46,Строчный!$A:$A,Строчный!I:I,"ERR",0)))</f>
        <v>синий</v>
      </c>
      <c r="J46" s="78" t="str">
        <f ca="1">SUBSTITUTE(LOWER(TRIM(_xlfn.XLOOKUP($A46,Строчный!$A:$A,Строчный!J:J,"ERR",0))),"подклад","Подклад")</f>
        <v>80% шерсть - 20% полиамид / Подклад: 100% хлопок</v>
      </c>
      <c r="K46" s="78" t="str">
        <f ca="1">LOWER(TRIM(_xlfn.XLOOKUP($A46,Строчный!$A:$A,Строчный!K:K,"ERR",0)))</f>
        <v>шерстяные</v>
      </c>
      <c r="L46" s="78" t="str">
        <f ca="1">PROPER(TRIM(_xlfn.XLOOKUP($A46,Строчный!$A:$A,Строчный!L:L,"ERR",0)))</f>
        <v>Унисекс</v>
      </c>
      <c r="M46" s="105" t="str">
        <f ca="1">PROPER(TRIM(_xlfn.XLOOKUP($A46,Строчный!$A:$A,Строчный!M:M,"ERR",0)))</f>
        <v>Россия</v>
      </c>
      <c r="N46" s="78" t="str">
        <f ca="1">UPPER(TRIM(_xlfn.XLOOKUP($A46,Строчный!$A:$A,Строчный!O:O,"ERR",0)))</f>
        <v/>
      </c>
      <c r="O46" s="99" t="str">
        <f ca="1">PROPER(TRIM(_xlfn.XLOOKUP($A46,Строчный!$A:$A,Строчный!P:P,"ERR",0)))</f>
        <v/>
      </c>
      <c r="P46" s="78" t="str">
        <f ca="1">PROPER(TRIM(_xlfn.XLOOKUP($A46,Строчный!$A:$A,Строчный!R:R,"ERR",0)))</f>
        <v/>
      </c>
      <c r="Q46" s="87">
        <f ca="1">VALUE(_xlfn.XLOOKUP($A46,Строчный!$A:$A,Строчный!N:N,"ERR",0))</f>
        <v>975.8</v>
      </c>
      <c r="R46" s="86" t="str">
        <f ca="1">_xlfn.XLOOKUP($G46,Фабрика!A:A,Фабрика!B:B,"ERR",0)</f>
        <v>ООО "ФРЭДРИКСОН" Россия 192029, С-Петербург, пр. Обуховской обороны, д.86, лит М</v>
      </c>
      <c r="S46" s="77" t="str">
        <f ca="1">_xlfn.XLOOKUP(RIGHT(AA46,2),Размеры!D:D,Размеры!A:A,"ERR",0)</f>
        <v>56</v>
      </c>
      <c r="T46" s="77">
        <f ca="1">VALUE(_xlfn.XLOOKUP($AA46,Строчный!$S:$S,Строчный!U:U,"ERR",0))</f>
        <v>5</v>
      </c>
      <c r="U46" s="14" t="s">
        <v>241</v>
      </c>
      <c r="V46" s="98" t="str">
        <f t="shared" ca="1" si="9"/>
        <v>Кепка FREDRIKSON арт. 3190-618/28 (синий)</v>
      </c>
      <c r="W46" s="97" t="str">
        <f t="shared" ca="1" si="10"/>
        <v>Кепка FREDRIKSON арт. 3190-618/28 (синий) {618/28}</v>
      </c>
      <c r="X46" s="18" t="str">
        <f t="shared" ca="1" si="11"/>
        <v>синий</v>
      </c>
      <c r="Y46" s="18" t="str">
        <f t="shared" ca="1" si="12"/>
        <v>синий</v>
      </c>
      <c r="Z46" s="109" t="str">
        <f ca="1">_xlfn.LET(_xlpm.FormColors,_xlfn.XLOOKUP(A46,Строчный!A:A,Строчный!Q:Q,"",0),IF(_xlpm.FormColors=0,IFERROR(MID(I46,FIND("-",I46)+1,LEN(I46)),IFERROR(MID(I46,1,FIND("/",I46)-2),I46)),_xlpm.FormColors))</f>
        <v>синий</v>
      </c>
      <c r="AA46" s="70" t="str">
        <f ca="1"/>
        <v>95-095-06-56</v>
      </c>
      <c r="AB46" s="72" t="str">
        <f ca="1">VLOOKUP(C46,Группа!A:B,2,FALSE)</f>
        <v>Кепка</v>
      </c>
      <c r="AC46" s="94" t="str">
        <f ca="1">IFERROR(VLOOKUP(S46,Размеры!A:C,3,FALSE),"")</f>
        <v>56 S/M</v>
      </c>
      <c r="AD46" s="94" t="str">
        <f ca="1">VLOOKUP(I46,ЦветПолный!A:B,2,FALSE)</f>
        <v>06</v>
      </c>
      <c r="AE46" s="94" t="str">
        <f ca="1">IFERROR(VLOOKUP(S46,Размеры!A:D,4,FALSE),"")</f>
        <v>56</v>
      </c>
      <c r="AF46" s="94">
        <f ca="1">SUMIF(Группа!A:A,C46,Группа!C:C)</f>
        <v>1</v>
      </c>
      <c r="AG46" s="94">
        <f ca="1">SUMIF(Группа!B:B,AB46,Группа!C:C)</f>
        <v>1</v>
      </c>
      <c r="AH46" s="94">
        <f ca="1">SUMIF(Формы!A:A,D46,Формы!B:B)</f>
        <v>1</v>
      </c>
      <c r="AI46" s="94">
        <f ca="1">IF(IFERROR(VLOOKUP(J46,Материал!D:D,1,0),0)&gt;0,1,SUMIF(Материал!A:A,K46,Материал!B:B))</f>
        <v>1</v>
      </c>
      <c r="AJ46" s="94">
        <f ca="1">SUMIF(Размеры!A:A,S46,Размеры!E:E)</f>
        <v>1</v>
      </c>
      <c r="AK46" s="94">
        <f ca="1">SUMIF(Сезон!A:A,F46,Сезон!B:B)</f>
        <v>1</v>
      </c>
      <c r="AL46" s="94">
        <f ca="1">VLOOKUP(I46,ЦветПолный!A:C,3,0)</f>
        <v>1</v>
      </c>
      <c r="AM46" s="94">
        <f ca="1">SUMIF(Цвет!A:A,Z46,Цвет!B:B)</f>
        <v>1</v>
      </c>
      <c r="AN46" s="94">
        <f ca="1">_xlfn.XLOOKUP(L46,Пол!A:A,Пол!B:B,0,0)</f>
        <v>1</v>
      </c>
      <c r="AO46" s="94">
        <f ca="1">SUMIF(Бренд!A:A,G46,Бренд!B:B)</f>
        <v>1</v>
      </c>
      <c r="AP46" s="137">
        <f ca="1">SUMIF(Страна!A:A,M46,Страна!B:B)</f>
        <v>1</v>
      </c>
      <c r="AQ46" s="150" t="str">
        <f t="shared" ca="1" si="13"/>
        <v>Кепка FREDRIKSON арт. 3190-618/28 (синий) {618/28}</v>
      </c>
      <c r="AR46" s="94">
        <f t="shared" ca="1" si="14"/>
        <v>1</v>
      </c>
      <c r="AS46" s="143">
        <f t="shared" ca="1" si="15"/>
        <v>1</v>
      </c>
      <c r="AT46" s="138" t="str">
        <f ca="1">IF(IFERROR(VLOOKUP(W46,Товары!A:B,2,FALSE),"")=A46,"Есть в 1С","ERR")</f>
        <v>ERR</v>
      </c>
      <c r="AU46" s="139" t="str">
        <f ca="1">IF(IFERROR(VLOOKUP(A46,Товары!B:B,1,FALSE),"")=A46,"Есть в 1С","ERR")</f>
        <v>ERR</v>
      </c>
      <c r="AV46" s="93" t="e">
        <f ca="1">VLOOKUP(W46,Товары!A:B,2,FALSE)</f>
        <v>#N/A</v>
      </c>
      <c r="AW46" s="91" t="e">
        <f ca="1">VLOOKUP(W46,Товары!A:B,1,FALSE)</f>
        <v>#N/A</v>
      </c>
    </row>
    <row r="47" spans="1:49" x14ac:dyDescent="0.25">
      <c r="A47" s="105" t="str">
        <f t="shared" ca="1" si="8"/>
        <v>95-094-80</v>
      </c>
      <c r="B47" s="78" t="str">
        <f ca="1">_xlfn.LET(_xlpm.CAPS,VLOOKUP(G47,Caps!A:B,2,0),_xlpm.Style,TRIM(_xlfn.XLOOKUP($A47,Строчный!$A:$A,Строчный!B:B,"ERR",0)),IF(_xlpm.CAPS=0,_xlpm.Style,UPPER(_xlpm.Style)))</f>
        <v>3155-635/75</v>
      </c>
      <c r="C47" s="78" t="str">
        <f ca="1">TRIM(PROPER(_xlfn.XLOOKUP($A47,Строчный!$A:$A,Строчный!C:C,"ERR",0)))</f>
        <v>Кепки</v>
      </c>
      <c r="D47" s="78" t="str">
        <f ca="1">_xlfn.LET(_xlpm.DATA,TRIM(_xlfn.XLOOKUP($A47,Строчный!$A:$A,Строчный!D:D,"ERR",0)),UPPER(MID(_xlpm.DATA,1,1))&amp;LOWER(MID(_xlpm.DATA,2,LEN(_xlpm.DATA)-1)))</f>
        <v>Кепка восьмиклинка</v>
      </c>
      <c r="E47" s="78" t="str">
        <f ca="1">PROPER(TRIM(_xlfn.XLOOKUP($A47,Строчный!$A:$A,Строчный!E:E,"ERR",0)))</f>
        <v>Fredrikson</v>
      </c>
      <c r="F47" s="78" t="str">
        <f ca="1">LOWER(TRIM(_xlfn.XLOOKUP($A47,Строчный!$A:$A,Строчный!F:F,"ERR",0)))</f>
        <v>всесезон</v>
      </c>
      <c r="G47" s="78" t="str">
        <f ca="1">UPPER(TRIM(_xlfn.XLOOKUP($A47,Строчный!$A:$A,Строчный!G:G,"ERR",0)))</f>
        <v>FREDRIKSON</v>
      </c>
      <c r="H47" s="78" t="str">
        <f ca="1">LOWER(TRIM(_xlfn.XLOOKUP($A47,Строчный!$A:$A,Строчный!H:H,"ERR",0)))</f>
        <v>635/75</v>
      </c>
      <c r="I47" s="78" t="str">
        <f ca="1">LOWER(TRIM(_xlfn.XLOOKUP($A47,Строчный!$A:$A,Строчный!I:I,"ERR",0)))</f>
        <v>серый</v>
      </c>
      <c r="J47" s="78" t="str">
        <f ca="1">SUBSTITUTE(LOWER(TRIM(_xlfn.XLOOKUP($A47,Строчный!$A:$A,Строчный!J:J,"ERR",0))),"подклад","Подклад")</f>
        <v>80% шерсть - 20% полиамид / Подклад: 100% хлопок</v>
      </c>
      <c r="K47" s="78" t="str">
        <f ca="1">LOWER(TRIM(_xlfn.XLOOKUP($A47,Строчный!$A:$A,Строчный!K:K,"ERR",0)))</f>
        <v>шерстяные</v>
      </c>
      <c r="L47" s="78" t="str">
        <f ca="1">PROPER(TRIM(_xlfn.XLOOKUP($A47,Строчный!$A:$A,Строчный!L:L,"ERR",0)))</f>
        <v>Унисекс</v>
      </c>
      <c r="M47" s="105" t="str">
        <f ca="1">PROPER(TRIM(_xlfn.XLOOKUP($A47,Строчный!$A:$A,Строчный!M:M,"ERR",0)))</f>
        <v>Россия</v>
      </c>
      <c r="N47" s="78" t="str">
        <f ca="1">UPPER(TRIM(_xlfn.XLOOKUP($A47,Строчный!$A:$A,Строчный!O:O,"ERR",0)))</f>
        <v/>
      </c>
      <c r="O47" s="99" t="str">
        <f ca="1">PROPER(TRIM(_xlfn.XLOOKUP($A47,Строчный!$A:$A,Строчный!P:P,"ERR",0)))</f>
        <v/>
      </c>
      <c r="P47" s="78" t="str">
        <f ca="1">PROPER(TRIM(_xlfn.XLOOKUP($A47,Строчный!$A:$A,Строчный!R:R,"ERR",0)))</f>
        <v/>
      </c>
      <c r="Q47" s="87">
        <f ca="1">VALUE(_xlfn.XLOOKUP($A47,Строчный!$A:$A,Строчный!N:N,"ERR",0))</f>
        <v>975.8</v>
      </c>
      <c r="R47" s="86" t="str">
        <f ca="1">_xlfn.XLOOKUP($G47,Фабрика!A:A,Фабрика!B:B,"ERR",0)</f>
        <v>ООО "ФРЭДРИКСОН" Россия 192029, С-Петербург, пр. Обуховской обороны, д.86, лит М</v>
      </c>
      <c r="S47" s="77" t="str">
        <f ca="1">_xlfn.XLOOKUP(RIGHT(AA47,2),Размеры!D:D,Размеры!A:A,"ERR",0)</f>
        <v>62</v>
      </c>
      <c r="T47" s="77">
        <f ca="1">VALUE(_xlfn.XLOOKUP($AA47,Строчный!$S:$S,Строчный!U:U,"ERR",0))</f>
        <v>3</v>
      </c>
      <c r="U47" s="14" t="s">
        <v>241</v>
      </c>
      <c r="V47" s="98" t="str">
        <f t="shared" ca="1" si="9"/>
        <v>Кепка FREDRIKSON арт. 3155-635/75 (серый)</v>
      </c>
      <c r="W47" s="97" t="str">
        <f t="shared" ca="1" si="10"/>
        <v>Кепка FREDRIKSON арт. 3155-635/75 (серый) {635/75}</v>
      </c>
      <c r="X47" s="18" t="str">
        <f t="shared" ca="1" si="11"/>
        <v>серый</v>
      </c>
      <c r="Y47" s="18" t="str">
        <f t="shared" ca="1" si="12"/>
        <v>серый</v>
      </c>
      <c r="Z47" s="109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0" t="str">
        <f ca="1"/>
        <v>95-094-80-62</v>
      </c>
      <c r="AB47" s="72" t="str">
        <f ca="1">VLOOKUP(C47,Группа!A:B,2,FALSE)</f>
        <v>Кепка</v>
      </c>
      <c r="AC47" s="94" t="str">
        <f ca="1">IFERROR(VLOOKUP(S47,Размеры!A:C,3,FALSE),"")</f>
        <v>62 XL/XXL</v>
      </c>
      <c r="AD47" s="94" t="str">
        <f ca="1">VLOOKUP(I47,ЦветПолный!A:B,2,FALSE)</f>
        <v>80</v>
      </c>
      <c r="AE47" s="94" t="str">
        <f ca="1">IFERROR(VLOOKUP(S47,Размеры!A:D,4,FALSE),"")</f>
        <v>62</v>
      </c>
      <c r="AF47" s="94">
        <f ca="1">SUMIF(Группа!A:A,C47,Группа!C:C)</f>
        <v>1</v>
      </c>
      <c r="AG47" s="94">
        <f ca="1">SUMIF(Группа!B:B,AB47,Группа!C:C)</f>
        <v>1</v>
      </c>
      <c r="AH47" s="94">
        <f ca="1">SUMIF(Формы!A:A,D47,Формы!B:B)</f>
        <v>1</v>
      </c>
      <c r="AI47" s="94">
        <f ca="1">IF(IFERROR(VLOOKUP(J47,Материал!D:D,1,0),0)&gt;0,1,SUMIF(Материал!A:A,K47,Материал!B:B))</f>
        <v>1</v>
      </c>
      <c r="AJ47" s="94">
        <f ca="1">SUMIF(Размеры!A:A,S47,Размеры!E:E)</f>
        <v>1</v>
      </c>
      <c r="AK47" s="94">
        <f ca="1">SUMIF(Сезон!A:A,F47,Сезон!B:B)</f>
        <v>1</v>
      </c>
      <c r="AL47" s="94">
        <f ca="1">VLOOKUP(I47,ЦветПолный!A:C,3,0)</f>
        <v>1</v>
      </c>
      <c r="AM47" s="94">
        <f ca="1">SUMIF(Цвет!A:A,Z47,Цвет!B:B)</f>
        <v>1</v>
      </c>
      <c r="AN47" s="94">
        <f ca="1">_xlfn.XLOOKUP(L47,Пол!A:A,Пол!B:B,0,0)</f>
        <v>1</v>
      </c>
      <c r="AO47" s="94">
        <f ca="1">SUMIF(Бренд!A:A,G47,Бренд!B:B)</f>
        <v>1</v>
      </c>
      <c r="AP47" s="137">
        <f ca="1">SUMIF(Страна!A:A,M47,Страна!B:B)</f>
        <v>1</v>
      </c>
      <c r="AQ47" s="150" t="str">
        <f t="shared" ca="1" si="13"/>
        <v>Кепка FREDRIKSON арт. 3155-635/75 (серый) {635/75}</v>
      </c>
      <c r="AR47" s="94">
        <f t="shared" ca="1" si="14"/>
        <v>1</v>
      </c>
      <c r="AS47" s="143">
        <f t="shared" ca="1" si="15"/>
        <v>1</v>
      </c>
      <c r="AT47" s="138" t="str">
        <f ca="1">IF(IFERROR(VLOOKUP(W47,Товары!A:B,2,FALSE),"")=A47,"Есть в 1С","ERR")</f>
        <v>ERR</v>
      </c>
      <c r="AU47" s="139" t="str">
        <f ca="1">IF(IFERROR(VLOOKUP(A47,Товары!B:B,1,FALSE),"")=A47,"Есть в 1С","ERR")</f>
        <v>ERR</v>
      </c>
      <c r="AV47" s="93" t="e">
        <f ca="1">VLOOKUP(W47,Товары!A:B,2,FALSE)</f>
        <v>#N/A</v>
      </c>
      <c r="AW47" s="91" t="e">
        <f ca="1">VLOOKUP(W47,Товары!A:B,1,FALSE)</f>
        <v>#N/A</v>
      </c>
    </row>
    <row r="48" spans="1:49" x14ac:dyDescent="0.25">
      <c r="A48" s="105" t="str">
        <f t="shared" ca="1" si="8"/>
        <v>95-094-80</v>
      </c>
      <c r="B48" s="78" t="str">
        <f ca="1">_xlfn.LET(_xlpm.CAPS,VLOOKUP(G48,Caps!A:B,2,0),_xlpm.Style,TRIM(_xlfn.XLOOKUP($A48,Строчный!$A:$A,Строчный!B:B,"ERR",0)),IF(_xlpm.CAPS=0,_xlpm.Style,UPPER(_xlpm.Style)))</f>
        <v>3155-635/75</v>
      </c>
      <c r="C48" s="78" t="str">
        <f ca="1">TRIM(PROPER(_xlfn.XLOOKUP($A48,Строчный!$A:$A,Строчный!C:C,"ERR",0)))</f>
        <v>Кепки</v>
      </c>
      <c r="D48" s="78" t="str">
        <f ca="1">_xlfn.LET(_xlpm.DATA,TRIM(_xlfn.XLOOKUP($A48,Строчный!$A:$A,Строчный!D:D,"ERR",0)),UPPER(MID(_xlpm.DATA,1,1))&amp;LOWER(MID(_xlpm.DATA,2,LEN(_xlpm.DATA)-1)))</f>
        <v>Кепка восьмиклинка</v>
      </c>
      <c r="E48" s="78" t="str">
        <f ca="1">PROPER(TRIM(_xlfn.XLOOKUP($A48,Строчный!$A:$A,Строчный!E:E,"ERR",0)))</f>
        <v>Fredrikson</v>
      </c>
      <c r="F48" s="78" t="str">
        <f ca="1">LOWER(TRIM(_xlfn.XLOOKUP($A48,Строчный!$A:$A,Строчный!F:F,"ERR",0)))</f>
        <v>всесезон</v>
      </c>
      <c r="G48" s="78" t="str">
        <f ca="1">UPPER(TRIM(_xlfn.XLOOKUP($A48,Строчный!$A:$A,Строчный!G:G,"ERR",0)))</f>
        <v>FREDRIKSON</v>
      </c>
      <c r="H48" s="78" t="str">
        <f ca="1">LOWER(TRIM(_xlfn.XLOOKUP($A48,Строчный!$A:$A,Строчный!H:H,"ERR",0)))</f>
        <v>635/75</v>
      </c>
      <c r="I48" s="78" t="str">
        <f ca="1">LOWER(TRIM(_xlfn.XLOOKUP($A48,Строчный!$A:$A,Строчный!I:I,"ERR",0)))</f>
        <v>серый</v>
      </c>
      <c r="J48" s="78" t="str">
        <f ca="1">SUBSTITUTE(LOWER(TRIM(_xlfn.XLOOKUP($A48,Строчный!$A:$A,Строчный!J:J,"ERR",0))),"подклад","Подклад")</f>
        <v>80% шерсть - 20% полиамид / Подклад: 100% хлопок</v>
      </c>
      <c r="K48" s="78" t="str">
        <f ca="1">LOWER(TRIM(_xlfn.XLOOKUP($A48,Строчный!$A:$A,Строчный!K:K,"ERR",0)))</f>
        <v>шерстяные</v>
      </c>
      <c r="L48" s="78" t="str">
        <f ca="1">PROPER(TRIM(_xlfn.XLOOKUP($A48,Строчный!$A:$A,Строчный!L:L,"ERR",0)))</f>
        <v>Унисекс</v>
      </c>
      <c r="M48" s="105" t="str">
        <f ca="1">PROPER(TRIM(_xlfn.XLOOKUP($A48,Строчный!$A:$A,Строчный!M:M,"ERR",0)))</f>
        <v>Россия</v>
      </c>
      <c r="N48" s="78" t="str">
        <f ca="1">UPPER(TRIM(_xlfn.XLOOKUP($A48,Строчный!$A:$A,Строчный!O:O,"ERR",0)))</f>
        <v/>
      </c>
      <c r="O48" s="99" t="str">
        <f ca="1">PROPER(TRIM(_xlfn.XLOOKUP($A48,Строчный!$A:$A,Строчный!P:P,"ERR",0)))</f>
        <v/>
      </c>
      <c r="P48" s="78" t="str">
        <f ca="1">PROPER(TRIM(_xlfn.XLOOKUP($A48,Строчный!$A:$A,Строчный!R:R,"ERR",0)))</f>
        <v/>
      </c>
      <c r="Q48" s="87">
        <f ca="1">VALUE(_xlfn.XLOOKUP($A48,Строчный!$A:$A,Строчный!N:N,"ERR",0))</f>
        <v>975.8</v>
      </c>
      <c r="R48" s="86" t="str">
        <f ca="1">_xlfn.XLOOKUP($G48,Фабрика!A:A,Фабрика!B:B,"ERR",0)</f>
        <v>ООО "ФРЭДРИКСОН" Россия 192029, С-Петербург, пр. Обуховской обороны, д.86, лит М</v>
      </c>
      <c r="S48" s="77" t="str">
        <f ca="1">_xlfn.XLOOKUP(RIGHT(AA48,2),Размеры!D:D,Размеры!A:A,"ERR",0)</f>
        <v>61</v>
      </c>
      <c r="T48" s="77">
        <f ca="1">VALUE(_xlfn.XLOOKUP($AA48,Строчный!$S:$S,Строчный!U:U,"ERR",0))</f>
        <v>6</v>
      </c>
      <c r="U48" s="14" t="s">
        <v>241</v>
      </c>
      <c r="V48" s="98" t="str">
        <f t="shared" ca="1" si="9"/>
        <v>Кепка FREDRIKSON арт. 3155-635/75 (серый)</v>
      </c>
      <c r="W48" s="97" t="str">
        <f t="shared" ca="1" si="10"/>
        <v>Кепка FREDRIKSON арт. 3155-635/75 (серый) {635/75}</v>
      </c>
      <c r="X48" s="18" t="str">
        <f t="shared" ca="1" si="11"/>
        <v>серый</v>
      </c>
      <c r="Y48" s="18" t="str">
        <f t="shared" ca="1" si="12"/>
        <v>серый</v>
      </c>
      <c r="Z48" s="109" t="str">
        <f ca="1">_xlfn.LET(_xlpm.FormColors,_xlfn.XLOOKUP(A48,Строчный!A:A,Строчный!Q:Q,"",0),IF(_xlpm.FormColors=0,IFERROR(MID(I48,FIND("-",I48)+1,LEN(I48)),IFERROR(MID(I48,1,FIND("/",I48)-2),I48)),_xlpm.FormColors))</f>
        <v>серый</v>
      </c>
      <c r="AA48" s="70" t="str">
        <f ca="1"/>
        <v>95-094-80-61</v>
      </c>
      <c r="AB48" s="72" t="str">
        <f ca="1">VLOOKUP(C48,Группа!A:B,2,FALSE)</f>
        <v>Кепка</v>
      </c>
      <c r="AC48" s="94" t="str">
        <f ca="1">IFERROR(VLOOKUP(S48,Размеры!A:C,3,FALSE),"")</f>
        <v>61 XL</v>
      </c>
      <c r="AD48" s="94" t="str">
        <f ca="1">VLOOKUP(I48,ЦветПолный!A:B,2,FALSE)</f>
        <v>80</v>
      </c>
      <c r="AE48" s="94" t="str">
        <f ca="1">IFERROR(VLOOKUP(S48,Размеры!A:D,4,FALSE),"")</f>
        <v>61</v>
      </c>
      <c r="AF48" s="94">
        <f ca="1">SUMIF(Группа!A:A,C48,Группа!C:C)</f>
        <v>1</v>
      </c>
      <c r="AG48" s="94">
        <f ca="1">SUMIF(Группа!B:B,AB48,Группа!C:C)</f>
        <v>1</v>
      </c>
      <c r="AH48" s="94">
        <f ca="1">SUMIF(Формы!A:A,D48,Формы!B:B)</f>
        <v>1</v>
      </c>
      <c r="AI48" s="94">
        <f ca="1">IF(IFERROR(VLOOKUP(J48,Материал!D:D,1,0),0)&gt;0,1,SUMIF(Материал!A:A,K48,Материал!B:B))</f>
        <v>1</v>
      </c>
      <c r="AJ48" s="94">
        <f ca="1">SUMIF(Размеры!A:A,S48,Размеры!E:E)</f>
        <v>1</v>
      </c>
      <c r="AK48" s="94">
        <f ca="1">SUMIF(Сезон!A:A,F48,Сезон!B:B)</f>
        <v>1</v>
      </c>
      <c r="AL48" s="94">
        <f ca="1">VLOOKUP(I48,ЦветПолный!A:C,3,0)</f>
        <v>1</v>
      </c>
      <c r="AM48" s="94">
        <f ca="1">SUMIF(Цвет!A:A,Z48,Цвет!B:B)</f>
        <v>1</v>
      </c>
      <c r="AN48" s="94">
        <f ca="1">_xlfn.XLOOKUP(L48,Пол!A:A,Пол!B:B,0,0)</f>
        <v>1</v>
      </c>
      <c r="AO48" s="94">
        <f ca="1">SUMIF(Бренд!A:A,G48,Бренд!B:B)</f>
        <v>1</v>
      </c>
      <c r="AP48" s="137">
        <f ca="1">SUMIF(Страна!A:A,M48,Страна!B:B)</f>
        <v>1</v>
      </c>
      <c r="AQ48" s="150" t="str">
        <f t="shared" ca="1" si="13"/>
        <v>Кепка FREDRIKSON арт. 3155-635/75 (серый) {635/75}</v>
      </c>
      <c r="AR48" s="94">
        <f t="shared" ca="1" si="14"/>
        <v>1</v>
      </c>
      <c r="AS48" s="143">
        <f t="shared" ca="1" si="15"/>
        <v>1</v>
      </c>
      <c r="AT48" s="138" t="str">
        <f ca="1">IF(IFERROR(VLOOKUP(W48,Товары!A:B,2,FALSE),"")=A48,"Есть в 1С","ERR")</f>
        <v>ERR</v>
      </c>
      <c r="AU48" s="139" t="str">
        <f ca="1">IF(IFERROR(VLOOKUP(A48,Товары!B:B,1,FALSE),"")=A48,"Есть в 1С","ERR")</f>
        <v>ERR</v>
      </c>
      <c r="AV48" s="93" t="e">
        <f ca="1">VLOOKUP(W48,Товары!A:B,2,FALSE)</f>
        <v>#N/A</v>
      </c>
      <c r="AW48" s="91" t="e">
        <f ca="1">VLOOKUP(W48,Товары!A:B,1,FALSE)</f>
        <v>#N/A</v>
      </c>
    </row>
    <row r="49" spans="1:49" x14ac:dyDescent="0.25">
      <c r="A49" s="105" t="str">
        <f t="shared" ca="1" si="8"/>
        <v>95-094-80</v>
      </c>
      <c r="B49" s="78" t="str">
        <f ca="1">_xlfn.LET(_xlpm.CAPS,VLOOKUP(G49,Caps!A:B,2,0),_xlpm.Style,TRIM(_xlfn.XLOOKUP($A49,Строчный!$A:$A,Строчный!B:B,"ERR",0)),IF(_xlpm.CAPS=0,_xlpm.Style,UPPER(_xlpm.Style)))</f>
        <v>3155-635/75</v>
      </c>
      <c r="C49" s="78" t="str">
        <f ca="1">TRIM(PROPER(_xlfn.XLOOKUP($A49,Строчный!$A:$A,Строчный!C:C,"ERR",0)))</f>
        <v>Кепки</v>
      </c>
      <c r="D49" s="78" t="str">
        <f ca="1">_xlfn.LET(_xlpm.DATA,TRIM(_xlfn.XLOOKUP($A49,Строчный!$A:$A,Строчный!D:D,"ERR",0)),UPPER(MID(_xlpm.DATA,1,1))&amp;LOWER(MID(_xlpm.DATA,2,LEN(_xlpm.DATA)-1)))</f>
        <v>Кепка восьмиклинка</v>
      </c>
      <c r="E49" s="78" t="str">
        <f ca="1">PROPER(TRIM(_xlfn.XLOOKUP($A49,Строчный!$A:$A,Строчный!E:E,"ERR",0)))</f>
        <v>Fredrikson</v>
      </c>
      <c r="F49" s="78" t="str">
        <f ca="1">LOWER(TRIM(_xlfn.XLOOKUP($A49,Строчный!$A:$A,Строчный!F:F,"ERR",0)))</f>
        <v>всесезон</v>
      </c>
      <c r="G49" s="78" t="str">
        <f ca="1">UPPER(TRIM(_xlfn.XLOOKUP($A49,Строчный!$A:$A,Строчный!G:G,"ERR",0)))</f>
        <v>FREDRIKSON</v>
      </c>
      <c r="H49" s="78" t="str">
        <f ca="1">LOWER(TRIM(_xlfn.XLOOKUP($A49,Строчный!$A:$A,Строчный!H:H,"ERR",0)))</f>
        <v>635/75</v>
      </c>
      <c r="I49" s="78" t="str">
        <f ca="1">LOWER(TRIM(_xlfn.XLOOKUP($A49,Строчный!$A:$A,Строчный!I:I,"ERR",0)))</f>
        <v>серый</v>
      </c>
      <c r="J49" s="78" t="str">
        <f ca="1">SUBSTITUTE(LOWER(TRIM(_xlfn.XLOOKUP($A49,Строчный!$A:$A,Строчный!J:J,"ERR",0))),"подклад","Подклад")</f>
        <v>80% шерсть - 20% полиамид / Подклад: 100% хлопок</v>
      </c>
      <c r="K49" s="78" t="str">
        <f ca="1">LOWER(TRIM(_xlfn.XLOOKUP($A49,Строчный!$A:$A,Строчный!K:K,"ERR",0)))</f>
        <v>шерстяные</v>
      </c>
      <c r="L49" s="78" t="str">
        <f ca="1">PROPER(TRIM(_xlfn.XLOOKUP($A49,Строчный!$A:$A,Строчный!L:L,"ERR",0)))</f>
        <v>Унисекс</v>
      </c>
      <c r="M49" s="105" t="str">
        <f ca="1">PROPER(TRIM(_xlfn.XLOOKUP($A49,Строчный!$A:$A,Строчный!M:M,"ERR",0)))</f>
        <v>Россия</v>
      </c>
      <c r="N49" s="78" t="str">
        <f ca="1">UPPER(TRIM(_xlfn.XLOOKUP($A49,Строчный!$A:$A,Строчный!O:O,"ERR",0)))</f>
        <v/>
      </c>
      <c r="O49" s="99" t="str">
        <f ca="1">PROPER(TRIM(_xlfn.XLOOKUP($A49,Строчный!$A:$A,Строчный!P:P,"ERR",0)))</f>
        <v/>
      </c>
      <c r="P49" s="78" t="str">
        <f ca="1">PROPER(TRIM(_xlfn.XLOOKUP($A49,Строчный!$A:$A,Строчный!R:R,"ERR",0)))</f>
        <v/>
      </c>
      <c r="Q49" s="87">
        <f ca="1">VALUE(_xlfn.XLOOKUP($A49,Строчный!$A:$A,Строчный!N:N,"ERR",0))</f>
        <v>975.8</v>
      </c>
      <c r="R49" s="86" t="str">
        <f ca="1">_xlfn.XLOOKUP($G49,Фабрика!A:A,Фабрика!B:B,"ERR",0)</f>
        <v>ООО "ФРЭДРИКСОН" Россия 192029, С-Петербург, пр. Обуховской обороны, д.86, лит М</v>
      </c>
      <c r="S49" s="77" t="str">
        <f ca="1">_xlfn.XLOOKUP(RIGHT(AA49,2),Размеры!D:D,Размеры!A:A,"ERR",0)</f>
        <v>60</v>
      </c>
      <c r="T49" s="77">
        <f ca="1">VALUE(_xlfn.XLOOKUP($AA49,Строчный!$S:$S,Строчный!U:U,"ERR",0))</f>
        <v>9</v>
      </c>
      <c r="U49" s="14" t="s">
        <v>241</v>
      </c>
      <c r="V49" s="98" t="str">
        <f t="shared" ca="1" si="9"/>
        <v>Кепка FREDRIKSON арт. 3155-635/75 (серый)</v>
      </c>
      <c r="W49" s="97" t="str">
        <f t="shared" ca="1" si="10"/>
        <v>Кепка FREDRIKSON арт. 3155-635/75 (серый) {635/75}</v>
      </c>
      <c r="X49" s="18" t="str">
        <f t="shared" ca="1" si="11"/>
        <v>серый</v>
      </c>
      <c r="Y49" s="18" t="str">
        <f t="shared" ca="1" si="12"/>
        <v>серый</v>
      </c>
      <c r="Z49" s="109" t="str">
        <f ca="1">_xlfn.LET(_xlpm.FormColors,_xlfn.XLOOKUP(A49,Строчный!A:A,Строчный!Q:Q,"",0),IF(_xlpm.FormColors=0,IFERROR(MID(I49,FIND("-",I49)+1,LEN(I49)),IFERROR(MID(I49,1,FIND("/",I49)-2),I49)),_xlpm.FormColors))</f>
        <v>серый</v>
      </c>
      <c r="AA49" s="70" t="str">
        <f ca="1"/>
        <v>95-094-80-60</v>
      </c>
      <c r="AB49" s="72" t="str">
        <f ca="1">VLOOKUP(C49,Группа!A:B,2,FALSE)</f>
        <v>Кепка</v>
      </c>
      <c r="AC49" s="94" t="str">
        <f ca="1">IFERROR(VLOOKUP(S49,Размеры!A:C,3,FALSE),"")</f>
        <v>60 L/XL</v>
      </c>
      <c r="AD49" s="94" t="str">
        <f ca="1">VLOOKUP(I49,ЦветПолный!A:B,2,FALSE)</f>
        <v>80</v>
      </c>
      <c r="AE49" s="94" t="str">
        <f ca="1">IFERROR(VLOOKUP(S49,Размеры!A:D,4,FALSE),"")</f>
        <v>60</v>
      </c>
      <c r="AF49" s="94">
        <f ca="1">SUMIF(Группа!A:A,C49,Группа!C:C)</f>
        <v>1</v>
      </c>
      <c r="AG49" s="94">
        <f ca="1">SUMIF(Группа!B:B,AB49,Группа!C:C)</f>
        <v>1</v>
      </c>
      <c r="AH49" s="94">
        <f ca="1">SUMIF(Формы!A:A,D49,Формы!B:B)</f>
        <v>1</v>
      </c>
      <c r="AI49" s="94">
        <f ca="1">IF(IFERROR(VLOOKUP(J49,Материал!D:D,1,0),0)&gt;0,1,SUMIF(Материал!A:A,K49,Материал!B:B))</f>
        <v>1</v>
      </c>
      <c r="AJ49" s="94">
        <f ca="1">SUMIF(Размеры!A:A,S49,Размеры!E:E)</f>
        <v>1</v>
      </c>
      <c r="AK49" s="94">
        <f ca="1">SUMIF(Сезон!A:A,F49,Сезон!B:B)</f>
        <v>1</v>
      </c>
      <c r="AL49" s="94">
        <f ca="1">VLOOKUP(I49,ЦветПолный!A:C,3,0)</f>
        <v>1</v>
      </c>
      <c r="AM49" s="94">
        <f ca="1">SUMIF(Цвет!A:A,Z49,Цвет!B:B)</f>
        <v>1</v>
      </c>
      <c r="AN49" s="94">
        <f ca="1">_xlfn.XLOOKUP(L49,Пол!A:A,Пол!B:B,0,0)</f>
        <v>1</v>
      </c>
      <c r="AO49" s="94">
        <f ca="1">SUMIF(Бренд!A:A,G49,Бренд!B:B)</f>
        <v>1</v>
      </c>
      <c r="AP49" s="137">
        <f ca="1">SUMIF(Страна!A:A,M49,Страна!B:B)</f>
        <v>1</v>
      </c>
      <c r="AQ49" s="150" t="str">
        <f t="shared" ca="1" si="13"/>
        <v>Кепка FREDRIKSON арт. 3155-635/75 (серый) {635/75}</v>
      </c>
      <c r="AR49" s="94">
        <f t="shared" ca="1" si="14"/>
        <v>1</v>
      </c>
      <c r="AS49" s="143">
        <f t="shared" ca="1" si="15"/>
        <v>1</v>
      </c>
      <c r="AT49" s="138" t="str">
        <f ca="1">IF(IFERROR(VLOOKUP(W49,Товары!A:B,2,FALSE),"")=A49,"Есть в 1С","ERR")</f>
        <v>ERR</v>
      </c>
      <c r="AU49" s="139" t="str">
        <f ca="1">IF(IFERROR(VLOOKUP(A49,Товары!B:B,1,FALSE),"")=A49,"Есть в 1С","ERR")</f>
        <v>ERR</v>
      </c>
      <c r="AV49" s="93" t="e">
        <f ca="1">VLOOKUP(W49,Товары!A:B,2,FALSE)</f>
        <v>#N/A</v>
      </c>
      <c r="AW49" s="91" t="e">
        <f ca="1">VLOOKUP(W49,Товары!A:B,1,FALSE)</f>
        <v>#N/A</v>
      </c>
    </row>
    <row r="50" spans="1:49" x14ac:dyDescent="0.25">
      <c r="A50" s="105" t="str">
        <f t="shared" ca="1" si="8"/>
        <v>95-094-80</v>
      </c>
      <c r="B50" s="78" t="str">
        <f ca="1">_xlfn.LET(_xlpm.CAPS,VLOOKUP(G50,Caps!A:B,2,0),_xlpm.Style,TRIM(_xlfn.XLOOKUP($A50,Строчный!$A:$A,Строчный!B:B,"ERR",0)),IF(_xlpm.CAPS=0,_xlpm.Style,UPPER(_xlpm.Style)))</f>
        <v>3155-635/75</v>
      </c>
      <c r="C50" s="78" t="str">
        <f ca="1">TRIM(PROPER(_xlfn.XLOOKUP($A50,Строчный!$A:$A,Строчный!C:C,"ERR",0)))</f>
        <v>Кепки</v>
      </c>
      <c r="D50" s="78" t="str">
        <f ca="1">_xlfn.LET(_xlpm.DATA,TRIM(_xlfn.XLOOKUP($A50,Строчный!$A:$A,Строчный!D:D,"ERR",0)),UPPER(MID(_xlpm.DATA,1,1))&amp;LOWER(MID(_xlpm.DATA,2,LEN(_xlpm.DATA)-1)))</f>
        <v>Кепка восьмиклинка</v>
      </c>
      <c r="E50" s="78" t="str">
        <f ca="1">PROPER(TRIM(_xlfn.XLOOKUP($A50,Строчный!$A:$A,Строчный!E:E,"ERR",0)))</f>
        <v>Fredrikson</v>
      </c>
      <c r="F50" s="78" t="str">
        <f ca="1">LOWER(TRIM(_xlfn.XLOOKUP($A50,Строчный!$A:$A,Строчный!F:F,"ERR",0)))</f>
        <v>всесезон</v>
      </c>
      <c r="G50" s="78" t="str">
        <f ca="1">UPPER(TRIM(_xlfn.XLOOKUP($A50,Строчный!$A:$A,Строчный!G:G,"ERR",0)))</f>
        <v>FREDRIKSON</v>
      </c>
      <c r="H50" s="78" t="str">
        <f ca="1">LOWER(TRIM(_xlfn.XLOOKUP($A50,Строчный!$A:$A,Строчный!H:H,"ERR",0)))</f>
        <v>635/75</v>
      </c>
      <c r="I50" s="78" t="str">
        <f ca="1">LOWER(TRIM(_xlfn.XLOOKUP($A50,Строчный!$A:$A,Строчный!I:I,"ERR",0)))</f>
        <v>серый</v>
      </c>
      <c r="J50" s="78" t="str">
        <f ca="1">SUBSTITUTE(LOWER(TRIM(_xlfn.XLOOKUP($A50,Строчный!$A:$A,Строчный!J:J,"ERR",0))),"подклад","Подклад")</f>
        <v>80% шерсть - 20% полиамид / Подклад: 100% хлопок</v>
      </c>
      <c r="K50" s="78" t="str">
        <f ca="1">LOWER(TRIM(_xlfn.XLOOKUP($A50,Строчный!$A:$A,Строчный!K:K,"ERR",0)))</f>
        <v>шерстяные</v>
      </c>
      <c r="L50" s="78" t="str">
        <f ca="1">PROPER(TRIM(_xlfn.XLOOKUP($A50,Строчный!$A:$A,Строчный!L:L,"ERR",0)))</f>
        <v>Унисекс</v>
      </c>
      <c r="M50" s="105" t="str">
        <f ca="1">PROPER(TRIM(_xlfn.XLOOKUP($A50,Строчный!$A:$A,Строчный!M:M,"ERR",0)))</f>
        <v>Россия</v>
      </c>
      <c r="N50" s="78" t="str">
        <f ca="1">UPPER(TRIM(_xlfn.XLOOKUP($A50,Строчный!$A:$A,Строчный!O:O,"ERR",0)))</f>
        <v/>
      </c>
      <c r="O50" s="99" t="str">
        <f ca="1">PROPER(TRIM(_xlfn.XLOOKUP($A50,Строчный!$A:$A,Строчный!P:P,"ERR",0)))</f>
        <v/>
      </c>
      <c r="P50" s="78" t="str">
        <f ca="1">PROPER(TRIM(_xlfn.XLOOKUP($A50,Строчный!$A:$A,Строчный!R:R,"ERR",0)))</f>
        <v/>
      </c>
      <c r="Q50" s="87">
        <f ca="1">VALUE(_xlfn.XLOOKUP($A50,Строчный!$A:$A,Строчный!N:N,"ERR",0))</f>
        <v>975.8</v>
      </c>
      <c r="R50" s="86" t="str">
        <f ca="1">_xlfn.XLOOKUP($G50,Фабрика!A:A,Фабрика!B:B,"ERR",0)</f>
        <v>ООО "ФРЭДРИКСОН" Россия 192029, С-Петербург, пр. Обуховской обороны, д.86, лит М</v>
      </c>
      <c r="S50" s="77" t="str">
        <f ca="1">_xlfn.XLOOKUP(RIGHT(AA50,2),Размеры!D:D,Размеры!A:A,"ERR",0)</f>
        <v>59</v>
      </c>
      <c r="T50" s="77">
        <f ca="1">VALUE(_xlfn.XLOOKUP($AA50,Строчный!$S:$S,Строчный!U:U,"ERR",0))</f>
        <v>12</v>
      </c>
      <c r="U50" s="14" t="s">
        <v>241</v>
      </c>
      <c r="V50" s="98" t="str">
        <f t="shared" ca="1" si="9"/>
        <v>Кепка FREDRIKSON арт. 3155-635/75 (серый)</v>
      </c>
      <c r="W50" s="97" t="str">
        <f t="shared" ca="1" si="10"/>
        <v>Кепка FREDRIKSON арт. 3155-635/75 (серый) {635/75}</v>
      </c>
      <c r="X50" s="18" t="str">
        <f t="shared" ca="1" si="11"/>
        <v>серый</v>
      </c>
      <c r="Y50" s="18" t="str">
        <f t="shared" ca="1" si="12"/>
        <v>серый</v>
      </c>
      <c r="Z50" s="109" t="str">
        <f ca="1">_xlfn.LET(_xlpm.FormColors,_xlfn.XLOOKUP(A50,Строчный!A:A,Строчный!Q:Q,"",0),IF(_xlpm.FormColors=0,IFERROR(MID(I50,FIND("-",I50)+1,LEN(I50)),IFERROR(MID(I50,1,FIND("/",I50)-2),I50)),_xlpm.FormColors))</f>
        <v>серый</v>
      </c>
      <c r="AA50" s="70" t="str">
        <f ca="1"/>
        <v>95-094-80-59</v>
      </c>
      <c r="AB50" s="72" t="str">
        <f ca="1">VLOOKUP(C50,Группа!A:B,2,FALSE)</f>
        <v>Кепка</v>
      </c>
      <c r="AC50" s="94" t="str">
        <f ca="1">IFERROR(VLOOKUP(S50,Размеры!A:C,3,FALSE),"")</f>
        <v>59 L</v>
      </c>
      <c r="AD50" s="94" t="str">
        <f ca="1">VLOOKUP(I50,ЦветПолный!A:B,2,FALSE)</f>
        <v>80</v>
      </c>
      <c r="AE50" s="94" t="str">
        <f ca="1">IFERROR(VLOOKUP(S50,Размеры!A:D,4,FALSE),"")</f>
        <v>59</v>
      </c>
      <c r="AF50" s="94">
        <f ca="1">SUMIF(Группа!A:A,C50,Группа!C:C)</f>
        <v>1</v>
      </c>
      <c r="AG50" s="94">
        <f ca="1">SUMIF(Группа!B:B,AB50,Группа!C:C)</f>
        <v>1</v>
      </c>
      <c r="AH50" s="94">
        <f ca="1">SUMIF(Формы!A:A,D50,Формы!B:B)</f>
        <v>1</v>
      </c>
      <c r="AI50" s="94">
        <f ca="1">IF(IFERROR(VLOOKUP(J50,Материал!D:D,1,0),0)&gt;0,1,SUMIF(Материал!A:A,K50,Материал!B:B))</f>
        <v>1</v>
      </c>
      <c r="AJ50" s="94">
        <f ca="1">SUMIF(Размеры!A:A,S50,Размеры!E:E)</f>
        <v>1</v>
      </c>
      <c r="AK50" s="94">
        <f ca="1">SUMIF(Сезон!A:A,F50,Сезон!B:B)</f>
        <v>1</v>
      </c>
      <c r="AL50" s="94">
        <f ca="1">VLOOKUP(I50,ЦветПолный!A:C,3,0)</f>
        <v>1</v>
      </c>
      <c r="AM50" s="94">
        <f ca="1">SUMIF(Цвет!A:A,Z50,Цвет!B:B)</f>
        <v>1</v>
      </c>
      <c r="AN50" s="94">
        <f ca="1">_xlfn.XLOOKUP(L50,Пол!A:A,Пол!B:B,0,0)</f>
        <v>1</v>
      </c>
      <c r="AO50" s="94">
        <f ca="1">SUMIF(Бренд!A:A,G50,Бренд!B:B)</f>
        <v>1</v>
      </c>
      <c r="AP50" s="137">
        <f ca="1">SUMIF(Страна!A:A,M50,Страна!B:B)</f>
        <v>1</v>
      </c>
      <c r="AQ50" s="150" t="str">
        <f t="shared" ca="1" si="13"/>
        <v>Кепка FREDRIKSON арт. 3155-635/75 (серый) {635/75}</v>
      </c>
      <c r="AR50" s="94">
        <f t="shared" ca="1" si="14"/>
        <v>1</v>
      </c>
      <c r="AS50" s="143">
        <f t="shared" ca="1" si="15"/>
        <v>1</v>
      </c>
      <c r="AT50" s="138" t="str">
        <f ca="1">IF(IFERROR(VLOOKUP(W50,Товары!A:B,2,FALSE),"")=A50,"Есть в 1С","ERR")</f>
        <v>ERR</v>
      </c>
      <c r="AU50" s="139" t="str">
        <f ca="1">IF(IFERROR(VLOOKUP(A50,Товары!B:B,1,FALSE),"")=A50,"Есть в 1С","ERR")</f>
        <v>ERR</v>
      </c>
      <c r="AV50" s="93" t="e">
        <f ca="1">VLOOKUP(W50,Товары!A:B,2,FALSE)</f>
        <v>#N/A</v>
      </c>
      <c r="AW50" s="91" t="e">
        <f ca="1">VLOOKUP(W50,Товары!A:B,1,FALSE)</f>
        <v>#N/A</v>
      </c>
    </row>
    <row r="51" spans="1:49" x14ac:dyDescent="0.25">
      <c r="A51" s="105" t="str">
        <f t="shared" ca="1" si="8"/>
        <v>95-094-80</v>
      </c>
      <c r="B51" s="78" t="str">
        <f ca="1">_xlfn.LET(_xlpm.CAPS,VLOOKUP(G51,Caps!A:B,2,0),_xlpm.Style,TRIM(_xlfn.XLOOKUP($A51,Строчный!$A:$A,Строчный!B:B,"ERR",0)),IF(_xlpm.CAPS=0,_xlpm.Style,UPPER(_xlpm.Style)))</f>
        <v>3155-635/75</v>
      </c>
      <c r="C51" s="78" t="str">
        <f ca="1">TRIM(PROPER(_xlfn.XLOOKUP($A51,Строчный!$A:$A,Строчный!C:C,"ERR",0)))</f>
        <v>Кепки</v>
      </c>
      <c r="D51" s="78" t="str">
        <f ca="1">_xlfn.LET(_xlpm.DATA,TRIM(_xlfn.XLOOKUP($A51,Строчный!$A:$A,Строчный!D:D,"ERR",0)),UPPER(MID(_xlpm.DATA,1,1))&amp;LOWER(MID(_xlpm.DATA,2,LEN(_xlpm.DATA)-1)))</f>
        <v>Кепка восьмиклинка</v>
      </c>
      <c r="E51" s="78" t="str">
        <f ca="1">PROPER(TRIM(_xlfn.XLOOKUP($A51,Строчный!$A:$A,Строчный!E:E,"ERR",0)))</f>
        <v>Fredrikson</v>
      </c>
      <c r="F51" s="78" t="str">
        <f ca="1">LOWER(TRIM(_xlfn.XLOOKUP($A51,Строчный!$A:$A,Строчный!F:F,"ERR",0)))</f>
        <v>всесезон</v>
      </c>
      <c r="G51" s="78" t="str">
        <f ca="1">UPPER(TRIM(_xlfn.XLOOKUP($A51,Строчный!$A:$A,Строчный!G:G,"ERR",0)))</f>
        <v>FREDRIKSON</v>
      </c>
      <c r="H51" s="78" t="str">
        <f ca="1">LOWER(TRIM(_xlfn.XLOOKUP($A51,Строчный!$A:$A,Строчный!H:H,"ERR",0)))</f>
        <v>635/75</v>
      </c>
      <c r="I51" s="78" t="str">
        <f ca="1">LOWER(TRIM(_xlfn.XLOOKUP($A51,Строчный!$A:$A,Строчный!I:I,"ERR",0)))</f>
        <v>серый</v>
      </c>
      <c r="J51" s="78" t="str">
        <f ca="1">SUBSTITUTE(LOWER(TRIM(_xlfn.XLOOKUP($A51,Строчный!$A:$A,Строчный!J:J,"ERR",0))),"подклад","Подклад")</f>
        <v>80% шерсть - 20% полиамид / Подклад: 100% хлопок</v>
      </c>
      <c r="K51" s="78" t="str">
        <f ca="1">LOWER(TRIM(_xlfn.XLOOKUP($A51,Строчный!$A:$A,Строчный!K:K,"ERR",0)))</f>
        <v>шерстяные</v>
      </c>
      <c r="L51" s="78" t="str">
        <f ca="1">PROPER(TRIM(_xlfn.XLOOKUP($A51,Строчный!$A:$A,Строчный!L:L,"ERR",0)))</f>
        <v>Унисекс</v>
      </c>
      <c r="M51" s="105" t="str">
        <f ca="1">PROPER(TRIM(_xlfn.XLOOKUP($A51,Строчный!$A:$A,Строчный!M:M,"ERR",0)))</f>
        <v>Россия</v>
      </c>
      <c r="N51" s="78" t="str">
        <f ca="1">UPPER(TRIM(_xlfn.XLOOKUP($A51,Строчный!$A:$A,Строчный!O:O,"ERR",0)))</f>
        <v/>
      </c>
      <c r="O51" s="99" t="str">
        <f ca="1">PROPER(TRIM(_xlfn.XLOOKUP($A51,Строчный!$A:$A,Строчный!P:P,"ERR",0)))</f>
        <v/>
      </c>
      <c r="P51" s="78" t="str">
        <f ca="1">PROPER(TRIM(_xlfn.XLOOKUP($A51,Строчный!$A:$A,Строчный!R:R,"ERR",0)))</f>
        <v/>
      </c>
      <c r="Q51" s="87">
        <f ca="1">VALUE(_xlfn.XLOOKUP($A51,Строчный!$A:$A,Строчный!N:N,"ERR",0))</f>
        <v>975.8</v>
      </c>
      <c r="R51" s="86" t="str">
        <f ca="1">_xlfn.XLOOKUP($G51,Фабрика!A:A,Фабрика!B:B,"ERR",0)</f>
        <v>ООО "ФРЭДРИКСОН" Россия 192029, С-Петербург, пр. Обуховской обороны, д.86, лит М</v>
      </c>
      <c r="S51" s="77" t="str">
        <f ca="1">_xlfn.XLOOKUP(RIGHT(AA51,2),Размеры!D:D,Размеры!A:A,"ERR",0)</f>
        <v>58</v>
      </c>
      <c r="T51" s="77">
        <f ca="1">VALUE(_xlfn.XLOOKUP($AA51,Строчный!$S:$S,Строчный!U:U,"ERR",0))</f>
        <v>9</v>
      </c>
      <c r="U51" s="14" t="s">
        <v>241</v>
      </c>
      <c r="V51" s="98" t="str">
        <f t="shared" ca="1" si="9"/>
        <v>Кепка FREDRIKSON арт. 3155-635/75 (серый)</v>
      </c>
      <c r="W51" s="97" t="str">
        <f t="shared" ca="1" si="10"/>
        <v>Кепка FREDRIKSON арт. 3155-635/75 (серый) {635/75}</v>
      </c>
      <c r="X51" s="18" t="str">
        <f t="shared" ca="1" si="11"/>
        <v>серый</v>
      </c>
      <c r="Y51" s="18" t="str">
        <f t="shared" ca="1" si="12"/>
        <v>серый</v>
      </c>
      <c r="Z51" s="109" t="str">
        <f ca="1">_xlfn.LET(_xlpm.FormColors,_xlfn.XLOOKUP(A51,Строчный!A:A,Строчный!Q:Q,"",0),IF(_xlpm.FormColors=0,IFERROR(MID(I51,FIND("-",I51)+1,LEN(I51)),IFERROR(MID(I51,1,FIND("/",I51)-2),I51)),_xlpm.FormColors))</f>
        <v>серый</v>
      </c>
      <c r="AA51" s="70" t="str">
        <f ca="1"/>
        <v>95-094-80-58</v>
      </c>
      <c r="AB51" s="72" t="str">
        <f ca="1">VLOOKUP(C51,Группа!A:B,2,FALSE)</f>
        <v>Кепка</v>
      </c>
      <c r="AC51" s="94" t="str">
        <f ca="1">IFERROR(VLOOKUP(S51,Размеры!A:C,3,FALSE),"")</f>
        <v>58 M/L</v>
      </c>
      <c r="AD51" s="94" t="str">
        <f ca="1">VLOOKUP(I51,ЦветПолный!A:B,2,FALSE)</f>
        <v>80</v>
      </c>
      <c r="AE51" s="94" t="str">
        <f ca="1">IFERROR(VLOOKUP(S51,Размеры!A:D,4,FALSE),"")</f>
        <v>58</v>
      </c>
      <c r="AF51" s="94">
        <f ca="1">SUMIF(Группа!A:A,C51,Группа!C:C)</f>
        <v>1</v>
      </c>
      <c r="AG51" s="94">
        <f ca="1">SUMIF(Группа!B:B,AB51,Группа!C:C)</f>
        <v>1</v>
      </c>
      <c r="AH51" s="94">
        <f ca="1">SUMIF(Формы!A:A,D51,Формы!B:B)</f>
        <v>1</v>
      </c>
      <c r="AI51" s="94">
        <f ca="1">IF(IFERROR(VLOOKUP(J51,Материал!D:D,1,0),0)&gt;0,1,SUMIF(Материал!A:A,K51,Материал!B:B))</f>
        <v>1</v>
      </c>
      <c r="AJ51" s="94">
        <f ca="1">SUMIF(Размеры!A:A,S51,Размеры!E:E)</f>
        <v>1</v>
      </c>
      <c r="AK51" s="94">
        <f ca="1">SUMIF(Сезон!A:A,F51,Сезон!B:B)</f>
        <v>1</v>
      </c>
      <c r="AL51" s="94">
        <f ca="1">VLOOKUP(I51,ЦветПолный!A:C,3,0)</f>
        <v>1</v>
      </c>
      <c r="AM51" s="94">
        <f ca="1">SUMIF(Цвет!A:A,Z51,Цвет!B:B)</f>
        <v>1</v>
      </c>
      <c r="AN51" s="94">
        <f ca="1">_xlfn.XLOOKUP(L51,Пол!A:A,Пол!B:B,0,0)</f>
        <v>1</v>
      </c>
      <c r="AO51" s="94">
        <f ca="1">SUMIF(Бренд!A:A,G51,Бренд!B:B)</f>
        <v>1</v>
      </c>
      <c r="AP51" s="137">
        <f ca="1">SUMIF(Страна!A:A,M51,Страна!B:B)</f>
        <v>1</v>
      </c>
      <c r="AQ51" s="150" t="str">
        <f t="shared" ca="1" si="13"/>
        <v>Кепка FREDRIKSON арт. 3155-635/75 (серый) {635/75}</v>
      </c>
      <c r="AR51" s="94">
        <f t="shared" ca="1" si="14"/>
        <v>1</v>
      </c>
      <c r="AS51" s="143">
        <f t="shared" ca="1" si="15"/>
        <v>1</v>
      </c>
      <c r="AT51" s="138" t="str">
        <f ca="1">IF(IFERROR(VLOOKUP(W51,Товары!A:B,2,FALSE),"")=A51,"Есть в 1С","ERR")</f>
        <v>ERR</v>
      </c>
      <c r="AU51" s="139" t="str">
        <f ca="1">IF(IFERROR(VLOOKUP(A51,Товары!B:B,1,FALSE),"")=A51,"Есть в 1С","ERR")</f>
        <v>ERR</v>
      </c>
      <c r="AV51" s="93" t="e">
        <f ca="1">VLOOKUP(W51,Товары!A:B,2,FALSE)</f>
        <v>#N/A</v>
      </c>
      <c r="AW51" s="91" t="e">
        <f ca="1">VLOOKUP(W51,Товары!A:B,1,FALSE)</f>
        <v>#N/A</v>
      </c>
    </row>
    <row r="52" spans="1:49" x14ac:dyDescent="0.25">
      <c r="A52" s="105" t="str">
        <f t="shared" ca="1" si="8"/>
        <v>95-094-80</v>
      </c>
      <c r="B52" s="78" t="str">
        <f ca="1">_xlfn.LET(_xlpm.CAPS,VLOOKUP(G52,Caps!A:B,2,0),_xlpm.Style,TRIM(_xlfn.XLOOKUP($A52,Строчный!$A:$A,Строчный!B:B,"ERR",0)),IF(_xlpm.CAPS=0,_xlpm.Style,UPPER(_xlpm.Style)))</f>
        <v>3155-635/75</v>
      </c>
      <c r="C52" s="78" t="str">
        <f ca="1">TRIM(PROPER(_xlfn.XLOOKUP($A52,Строчный!$A:$A,Строчный!C:C,"ERR",0)))</f>
        <v>Кепки</v>
      </c>
      <c r="D52" s="78" t="str">
        <f ca="1">_xlfn.LET(_xlpm.DATA,TRIM(_xlfn.XLOOKUP($A52,Строчный!$A:$A,Строчный!D:D,"ERR",0)),UPPER(MID(_xlpm.DATA,1,1))&amp;LOWER(MID(_xlpm.DATA,2,LEN(_xlpm.DATA)-1)))</f>
        <v>Кепка восьмиклинка</v>
      </c>
      <c r="E52" s="78" t="str">
        <f ca="1">PROPER(TRIM(_xlfn.XLOOKUP($A52,Строчный!$A:$A,Строчный!E:E,"ERR",0)))</f>
        <v>Fredrikson</v>
      </c>
      <c r="F52" s="78" t="str">
        <f ca="1">LOWER(TRIM(_xlfn.XLOOKUP($A52,Строчный!$A:$A,Строчный!F:F,"ERR",0)))</f>
        <v>всесезон</v>
      </c>
      <c r="G52" s="78" t="str">
        <f ca="1">UPPER(TRIM(_xlfn.XLOOKUP($A52,Строчный!$A:$A,Строчный!G:G,"ERR",0)))</f>
        <v>FREDRIKSON</v>
      </c>
      <c r="H52" s="78" t="str">
        <f ca="1">LOWER(TRIM(_xlfn.XLOOKUP($A52,Строчный!$A:$A,Строчный!H:H,"ERR",0)))</f>
        <v>635/75</v>
      </c>
      <c r="I52" s="78" t="str">
        <f ca="1">LOWER(TRIM(_xlfn.XLOOKUP($A52,Строчный!$A:$A,Строчный!I:I,"ERR",0)))</f>
        <v>серый</v>
      </c>
      <c r="J52" s="78" t="str">
        <f ca="1">SUBSTITUTE(LOWER(TRIM(_xlfn.XLOOKUP($A52,Строчный!$A:$A,Строчный!J:J,"ERR",0))),"подклад","Подклад")</f>
        <v>80% шерсть - 20% полиамид / Подклад: 100% хлопок</v>
      </c>
      <c r="K52" s="78" t="str">
        <f ca="1">LOWER(TRIM(_xlfn.XLOOKUP($A52,Строчный!$A:$A,Строчный!K:K,"ERR",0)))</f>
        <v>шерстяные</v>
      </c>
      <c r="L52" s="78" t="str">
        <f ca="1">PROPER(TRIM(_xlfn.XLOOKUP($A52,Строчный!$A:$A,Строчный!L:L,"ERR",0)))</f>
        <v>Унисекс</v>
      </c>
      <c r="M52" s="105" t="str">
        <f ca="1">PROPER(TRIM(_xlfn.XLOOKUP($A52,Строчный!$A:$A,Строчный!M:M,"ERR",0)))</f>
        <v>Россия</v>
      </c>
      <c r="N52" s="78" t="str">
        <f ca="1">UPPER(TRIM(_xlfn.XLOOKUP($A52,Строчный!$A:$A,Строчный!O:O,"ERR",0)))</f>
        <v/>
      </c>
      <c r="O52" s="99" t="str">
        <f ca="1">PROPER(TRIM(_xlfn.XLOOKUP($A52,Строчный!$A:$A,Строчный!P:P,"ERR",0)))</f>
        <v/>
      </c>
      <c r="P52" s="78" t="str">
        <f ca="1">PROPER(TRIM(_xlfn.XLOOKUP($A52,Строчный!$A:$A,Строчный!R:R,"ERR",0)))</f>
        <v/>
      </c>
      <c r="Q52" s="87">
        <f ca="1">VALUE(_xlfn.XLOOKUP($A52,Строчный!$A:$A,Строчный!N:N,"ERR",0))</f>
        <v>975.8</v>
      </c>
      <c r="R52" s="86" t="str">
        <f ca="1">_xlfn.XLOOKUP($G52,Фабрика!A:A,Фабрика!B:B,"ERR",0)</f>
        <v>ООО "ФРЭДРИКСОН" Россия 192029, С-Петербург, пр. Обуховской обороны, д.86, лит М</v>
      </c>
      <c r="S52" s="77" t="str">
        <f ca="1">_xlfn.XLOOKUP(RIGHT(AA52,2),Размеры!D:D,Размеры!A:A,"ERR",0)</f>
        <v>57</v>
      </c>
      <c r="T52" s="77">
        <f ca="1">VALUE(_xlfn.XLOOKUP($AA52,Строчный!$S:$S,Строчный!U:U,"ERR",0))</f>
        <v>6</v>
      </c>
      <c r="U52" s="14" t="s">
        <v>241</v>
      </c>
      <c r="V52" s="98" t="str">
        <f t="shared" ca="1" si="9"/>
        <v>Кепка FREDRIKSON арт. 3155-635/75 (серый)</v>
      </c>
      <c r="W52" s="97" t="str">
        <f t="shared" ca="1" si="10"/>
        <v>Кепка FREDRIKSON арт. 3155-635/75 (серый) {635/75}</v>
      </c>
      <c r="X52" s="18" t="str">
        <f t="shared" ca="1" si="11"/>
        <v>серый</v>
      </c>
      <c r="Y52" s="18" t="str">
        <f t="shared" ca="1" si="12"/>
        <v>серый</v>
      </c>
      <c r="Z52" s="109" t="str">
        <f ca="1">_xlfn.LET(_xlpm.FormColors,_xlfn.XLOOKUP(A52,Строчный!A:A,Строчный!Q:Q,"",0),IF(_xlpm.FormColors=0,IFERROR(MID(I52,FIND("-",I52)+1,LEN(I52)),IFERROR(MID(I52,1,FIND("/",I52)-2),I52)),_xlpm.FormColors))</f>
        <v>серый</v>
      </c>
      <c r="AA52" s="70" t="str">
        <f ca="1"/>
        <v>95-094-80-57</v>
      </c>
      <c r="AB52" s="72" t="str">
        <f ca="1">VLOOKUP(C52,Группа!A:B,2,FALSE)</f>
        <v>Кепка</v>
      </c>
      <c r="AC52" s="94" t="str">
        <f ca="1">IFERROR(VLOOKUP(S52,Размеры!A:C,3,FALSE),"")</f>
        <v>57 M</v>
      </c>
      <c r="AD52" s="94" t="str">
        <f ca="1">VLOOKUP(I52,ЦветПолный!A:B,2,FALSE)</f>
        <v>80</v>
      </c>
      <c r="AE52" s="94" t="str">
        <f ca="1">IFERROR(VLOOKUP(S52,Размеры!A:D,4,FALSE),"")</f>
        <v>57</v>
      </c>
      <c r="AF52" s="94">
        <f ca="1">SUMIF(Группа!A:A,C52,Группа!C:C)</f>
        <v>1</v>
      </c>
      <c r="AG52" s="94">
        <f ca="1">SUMIF(Группа!B:B,AB52,Группа!C:C)</f>
        <v>1</v>
      </c>
      <c r="AH52" s="94">
        <f ca="1">SUMIF(Формы!A:A,D52,Формы!B:B)</f>
        <v>1</v>
      </c>
      <c r="AI52" s="94">
        <f ca="1">IF(IFERROR(VLOOKUP(J52,Материал!D:D,1,0),0)&gt;0,1,SUMIF(Материал!A:A,K52,Материал!B:B))</f>
        <v>1</v>
      </c>
      <c r="AJ52" s="94">
        <f ca="1">SUMIF(Размеры!A:A,S52,Размеры!E:E)</f>
        <v>1</v>
      </c>
      <c r="AK52" s="94">
        <f ca="1">SUMIF(Сезон!A:A,F52,Сезон!B:B)</f>
        <v>1</v>
      </c>
      <c r="AL52" s="94">
        <f ca="1">VLOOKUP(I52,ЦветПолный!A:C,3,0)</f>
        <v>1</v>
      </c>
      <c r="AM52" s="94">
        <f ca="1">SUMIF(Цвет!A:A,Z52,Цвет!B:B)</f>
        <v>1</v>
      </c>
      <c r="AN52" s="94">
        <f ca="1">_xlfn.XLOOKUP(L52,Пол!A:A,Пол!B:B,0,0)</f>
        <v>1</v>
      </c>
      <c r="AO52" s="94">
        <f ca="1">SUMIF(Бренд!A:A,G52,Бренд!B:B)</f>
        <v>1</v>
      </c>
      <c r="AP52" s="137">
        <f ca="1">SUMIF(Страна!A:A,M52,Страна!B:B)</f>
        <v>1</v>
      </c>
      <c r="AQ52" s="150" t="str">
        <f t="shared" ca="1" si="13"/>
        <v>Кепка FREDRIKSON арт. 3155-635/75 (серый) {635/75}</v>
      </c>
      <c r="AR52" s="94">
        <f t="shared" ca="1" si="14"/>
        <v>1</v>
      </c>
      <c r="AS52" s="143">
        <f t="shared" ca="1" si="15"/>
        <v>1</v>
      </c>
      <c r="AT52" s="138" t="str">
        <f ca="1">IF(IFERROR(VLOOKUP(W52,Товары!A:B,2,FALSE),"")=A52,"Есть в 1С","ERR")</f>
        <v>ERR</v>
      </c>
      <c r="AU52" s="139" t="str">
        <f ca="1">IF(IFERROR(VLOOKUP(A52,Товары!B:B,1,FALSE),"")=A52,"Есть в 1С","ERR")</f>
        <v>ERR</v>
      </c>
      <c r="AV52" s="93" t="e">
        <f ca="1">VLOOKUP(W52,Товары!A:B,2,FALSE)</f>
        <v>#N/A</v>
      </c>
      <c r="AW52" s="91" t="e">
        <f ca="1">VLOOKUP(W52,Товары!A:B,1,FALSE)</f>
        <v>#N/A</v>
      </c>
    </row>
    <row r="53" spans="1:49" x14ac:dyDescent="0.25">
      <c r="A53" s="105" t="str">
        <f t="shared" ca="1" si="8"/>
        <v>95-094-80</v>
      </c>
      <c r="B53" s="78" t="str">
        <f ca="1">_xlfn.LET(_xlpm.CAPS,VLOOKUP(G53,Caps!A:B,2,0),_xlpm.Style,TRIM(_xlfn.XLOOKUP($A53,Строчный!$A:$A,Строчный!B:B,"ERR",0)),IF(_xlpm.CAPS=0,_xlpm.Style,UPPER(_xlpm.Style)))</f>
        <v>3155-635/75</v>
      </c>
      <c r="C53" s="78" t="str">
        <f ca="1">TRIM(PROPER(_xlfn.XLOOKUP($A53,Строчный!$A:$A,Строчный!C:C,"ERR",0)))</f>
        <v>Кепки</v>
      </c>
      <c r="D53" s="78" t="str">
        <f ca="1">_xlfn.LET(_xlpm.DATA,TRIM(_xlfn.XLOOKUP($A53,Строчный!$A:$A,Строчный!D:D,"ERR",0)),UPPER(MID(_xlpm.DATA,1,1))&amp;LOWER(MID(_xlpm.DATA,2,LEN(_xlpm.DATA)-1)))</f>
        <v>Кепка восьмиклинка</v>
      </c>
      <c r="E53" s="78" t="str">
        <f ca="1">PROPER(TRIM(_xlfn.XLOOKUP($A53,Строчный!$A:$A,Строчный!E:E,"ERR",0)))</f>
        <v>Fredrikson</v>
      </c>
      <c r="F53" s="78" t="str">
        <f ca="1">LOWER(TRIM(_xlfn.XLOOKUP($A53,Строчный!$A:$A,Строчный!F:F,"ERR",0)))</f>
        <v>всесезон</v>
      </c>
      <c r="G53" s="78" t="str">
        <f ca="1">UPPER(TRIM(_xlfn.XLOOKUP($A53,Строчный!$A:$A,Строчный!G:G,"ERR",0)))</f>
        <v>FREDRIKSON</v>
      </c>
      <c r="H53" s="78" t="str">
        <f ca="1">LOWER(TRIM(_xlfn.XLOOKUP($A53,Строчный!$A:$A,Строчный!H:H,"ERR",0)))</f>
        <v>635/75</v>
      </c>
      <c r="I53" s="78" t="str">
        <f ca="1">LOWER(TRIM(_xlfn.XLOOKUP($A53,Строчный!$A:$A,Строчный!I:I,"ERR",0)))</f>
        <v>серый</v>
      </c>
      <c r="J53" s="78" t="str">
        <f ca="1">SUBSTITUTE(LOWER(TRIM(_xlfn.XLOOKUP($A53,Строчный!$A:$A,Строчный!J:J,"ERR",0))),"подклад","Подклад")</f>
        <v>80% шерсть - 20% полиамид / Подклад: 100% хлопок</v>
      </c>
      <c r="K53" s="78" t="str">
        <f ca="1">LOWER(TRIM(_xlfn.XLOOKUP($A53,Строчный!$A:$A,Строчный!K:K,"ERR",0)))</f>
        <v>шерстяные</v>
      </c>
      <c r="L53" s="78" t="str">
        <f ca="1">PROPER(TRIM(_xlfn.XLOOKUP($A53,Строчный!$A:$A,Строчный!L:L,"ERR",0)))</f>
        <v>Унисекс</v>
      </c>
      <c r="M53" s="105" t="str">
        <f ca="1">PROPER(TRIM(_xlfn.XLOOKUP($A53,Строчный!$A:$A,Строчный!M:M,"ERR",0)))</f>
        <v>Россия</v>
      </c>
      <c r="N53" s="78" t="str">
        <f ca="1">UPPER(TRIM(_xlfn.XLOOKUP($A53,Строчный!$A:$A,Строчный!O:O,"ERR",0)))</f>
        <v/>
      </c>
      <c r="O53" s="99" t="str">
        <f ca="1">PROPER(TRIM(_xlfn.XLOOKUP($A53,Строчный!$A:$A,Строчный!P:P,"ERR",0)))</f>
        <v/>
      </c>
      <c r="P53" s="78" t="str">
        <f ca="1">PROPER(TRIM(_xlfn.XLOOKUP($A53,Строчный!$A:$A,Строчный!R:R,"ERR",0)))</f>
        <v/>
      </c>
      <c r="Q53" s="87">
        <f ca="1">VALUE(_xlfn.XLOOKUP($A53,Строчный!$A:$A,Строчный!N:N,"ERR",0))</f>
        <v>975.8</v>
      </c>
      <c r="R53" s="86" t="str">
        <f ca="1">_xlfn.XLOOKUP($G53,Фабрика!A:A,Фабрика!B:B,"ERR",0)</f>
        <v>ООО "ФРЭДРИКСОН" Россия 192029, С-Петербург, пр. Обуховской обороны, д.86, лит М</v>
      </c>
      <c r="S53" s="77" t="str">
        <f ca="1">_xlfn.XLOOKUP(RIGHT(AA53,2),Размеры!D:D,Размеры!A:A,"ERR",0)</f>
        <v>56</v>
      </c>
      <c r="T53" s="77">
        <f ca="1">VALUE(_xlfn.XLOOKUP($AA53,Строчный!$S:$S,Строчный!U:U,"ERR",0))</f>
        <v>3</v>
      </c>
      <c r="U53" s="14" t="s">
        <v>241</v>
      </c>
      <c r="V53" s="98" t="str">
        <f t="shared" ca="1" si="9"/>
        <v>Кепка FREDRIKSON арт. 3155-635/75 (серый)</v>
      </c>
      <c r="W53" s="97" t="str">
        <f t="shared" ca="1" si="10"/>
        <v>Кепка FREDRIKSON арт. 3155-635/75 (серый) {635/75}</v>
      </c>
      <c r="X53" s="18" t="str">
        <f t="shared" ca="1" si="11"/>
        <v>серый</v>
      </c>
      <c r="Y53" s="18" t="str">
        <f t="shared" ca="1" si="12"/>
        <v>серый</v>
      </c>
      <c r="Z53" s="109" t="str">
        <f ca="1">_xlfn.LET(_xlpm.FormColors,_xlfn.XLOOKUP(A53,Строчный!A:A,Строчный!Q:Q,"",0),IF(_xlpm.FormColors=0,IFERROR(MID(I53,FIND("-",I53)+1,LEN(I53)),IFERROR(MID(I53,1,FIND("/",I53)-2),I53)),_xlpm.FormColors))</f>
        <v>серый</v>
      </c>
      <c r="AA53" s="70" t="str">
        <f ca="1"/>
        <v>95-094-80-56</v>
      </c>
      <c r="AB53" s="72" t="str">
        <f ca="1">VLOOKUP(C53,Группа!A:B,2,FALSE)</f>
        <v>Кепка</v>
      </c>
      <c r="AC53" s="94" t="str">
        <f ca="1">IFERROR(VLOOKUP(S53,Размеры!A:C,3,FALSE),"")</f>
        <v>56 S/M</v>
      </c>
      <c r="AD53" s="94" t="str">
        <f ca="1">VLOOKUP(I53,ЦветПолный!A:B,2,FALSE)</f>
        <v>80</v>
      </c>
      <c r="AE53" s="94" t="str">
        <f ca="1">IFERROR(VLOOKUP(S53,Размеры!A:D,4,FALSE),"")</f>
        <v>56</v>
      </c>
      <c r="AF53" s="94">
        <f ca="1">SUMIF(Группа!A:A,C53,Группа!C:C)</f>
        <v>1</v>
      </c>
      <c r="AG53" s="94">
        <f ca="1">SUMIF(Группа!B:B,AB53,Группа!C:C)</f>
        <v>1</v>
      </c>
      <c r="AH53" s="94">
        <f ca="1">SUMIF(Формы!A:A,D53,Формы!B:B)</f>
        <v>1</v>
      </c>
      <c r="AI53" s="94">
        <f ca="1">IF(IFERROR(VLOOKUP(J53,Материал!D:D,1,0),0)&gt;0,1,SUMIF(Материал!A:A,K53,Материал!B:B))</f>
        <v>1</v>
      </c>
      <c r="AJ53" s="94">
        <f ca="1">SUMIF(Размеры!A:A,S53,Размеры!E:E)</f>
        <v>1</v>
      </c>
      <c r="AK53" s="94">
        <f ca="1">SUMIF(Сезон!A:A,F53,Сезон!B:B)</f>
        <v>1</v>
      </c>
      <c r="AL53" s="94">
        <f ca="1">VLOOKUP(I53,ЦветПолный!A:C,3,0)</f>
        <v>1</v>
      </c>
      <c r="AM53" s="94">
        <f ca="1">SUMIF(Цвет!A:A,Z53,Цвет!B:B)</f>
        <v>1</v>
      </c>
      <c r="AN53" s="94">
        <f ca="1">_xlfn.XLOOKUP(L53,Пол!A:A,Пол!B:B,0,0)</f>
        <v>1</v>
      </c>
      <c r="AO53" s="94">
        <f ca="1">SUMIF(Бренд!A:A,G53,Бренд!B:B)</f>
        <v>1</v>
      </c>
      <c r="AP53" s="137">
        <f ca="1">SUMIF(Страна!A:A,M53,Страна!B:B)</f>
        <v>1</v>
      </c>
      <c r="AQ53" s="150" t="str">
        <f t="shared" ca="1" si="13"/>
        <v>Кепка FREDRIKSON арт. 3155-635/75 (серый) {635/75}</v>
      </c>
      <c r="AR53" s="94">
        <f t="shared" ca="1" si="14"/>
        <v>1</v>
      </c>
      <c r="AS53" s="143">
        <f t="shared" ca="1" si="15"/>
        <v>1</v>
      </c>
      <c r="AT53" s="138" t="str">
        <f ca="1">IF(IFERROR(VLOOKUP(W53,Товары!A:B,2,FALSE),"")=A53,"Есть в 1С","ERR")</f>
        <v>ERR</v>
      </c>
      <c r="AU53" s="139" t="str">
        <f ca="1">IF(IFERROR(VLOOKUP(A53,Товары!B:B,1,FALSE),"")=A53,"Есть в 1С","ERR")</f>
        <v>ERR</v>
      </c>
      <c r="AV53" s="93" t="e">
        <f ca="1">VLOOKUP(W53,Товары!A:B,2,FALSE)</f>
        <v>#N/A</v>
      </c>
      <c r="AW53" s="91" t="e">
        <f ca="1">VLOOKUP(W53,Товары!A:B,1,FALSE)</f>
        <v>#N/A</v>
      </c>
    </row>
    <row r="54" spans="1:49" x14ac:dyDescent="0.25">
      <c r="A54" s="105" t="str">
        <f t="shared" ca="1" si="8"/>
        <v>95-093-72</v>
      </c>
      <c r="B54" s="78" t="str">
        <f ca="1">_xlfn.LET(_xlpm.CAPS,VLOOKUP(G54,Caps!A:B,2,0),_xlpm.Style,TRIM(_xlfn.XLOOKUP($A54,Строчный!$A:$A,Строчный!B:B,"ERR",0)),IF(_xlpm.CAPS=0,_xlpm.Style,UPPER(_xlpm.Style)))</f>
        <v>3147-667/70</v>
      </c>
      <c r="C54" s="78" t="str">
        <f ca="1">TRIM(PROPER(_xlfn.XLOOKUP($A54,Строчный!$A:$A,Строчный!C:C,"ERR",0)))</f>
        <v>Кепки</v>
      </c>
      <c r="D54" s="78" t="str">
        <f ca="1">_xlfn.LET(_xlpm.DATA,TRIM(_xlfn.XLOOKUP($A54,Строчный!$A:$A,Строчный!D:D,"ERR",0)),UPPER(MID(_xlpm.DATA,1,1))&amp;LOWER(MID(_xlpm.DATA,2,LEN(_xlpm.DATA)-1)))</f>
        <v>Кепка шестиклинка</v>
      </c>
      <c r="E54" s="78" t="str">
        <f ca="1">PROPER(TRIM(_xlfn.XLOOKUP($A54,Строчный!$A:$A,Строчный!E:E,"ERR",0)))</f>
        <v>Fredrikson</v>
      </c>
      <c r="F54" s="78" t="str">
        <f ca="1">LOWER(TRIM(_xlfn.XLOOKUP($A54,Строчный!$A:$A,Строчный!F:F,"ERR",0)))</f>
        <v>всесезон</v>
      </c>
      <c r="G54" s="78" t="str">
        <f ca="1">UPPER(TRIM(_xlfn.XLOOKUP($A54,Строчный!$A:$A,Строчный!G:G,"ERR",0)))</f>
        <v>FREDRIKSON</v>
      </c>
      <c r="H54" s="78" t="str">
        <f ca="1">LOWER(TRIM(_xlfn.XLOOKUP($A54,Строчный!$A:$A,Строчный!H:H,"ERR",0)))</f>
        <v>667/70</v>
      </c>
      <c r="I54" s="78" t="str">
        <f ca="1">LOWER(TRIM(_xlfn.XLOOKUP($A54,Строчный!$A:$A,Строчный!I:I,"ERR",0)))</f>
        <v>черный / белый</v>
      </c>
      <c r="J54" s="78" t="str">
        <f ca="1">SUBSTITUTE(LOWER(TRIM(_xlfn.XLOOKUP($A54,Строчный!$A:$A,Строчный!J:J,"ERR",0))),"подклад","Подклад")</f>
        <v>80% шерсть - 20% полиамид / Подклад: 100% вискоза</v>
      </c>
      <c r="K54" s="78" t="str">
        <f ca="1">LOWER(TRIM(_xlfn.XLOOKUP($A54,Строчный!$A:$A,Строчный!K:K,"ERR",0)))</f>
        <v>шерстяные</v>
      </c>
      <c r="L54" s="78" t="str">
        <f ca="1">PROPER(TRIM(_xlfn.XLOOKUP($A54,Строчный!$A:$A,Строчный!L:L,"ERR",0)))</f>
        <v>Унисекс</v>
      </c>
      <c r="M54" s="105" t="str">
        <f ca="1">PROPER(TRIM(_xlfn.XLOOKUP($A54,Строчный!$A:$A,Строчный!M:M,"ERR",0)))</f>
        <v>Россия</v>
      </c>
      <c r="N54" s="78" t="str">
        <f ca="1">UPPER(TRIM(_xlfn.XLOOKUP($A54,Строчный!$A:$A,Строчный!O:O,"ERR",0)))</f>
        <v/>
      </c>
      <c r="O54" s="99" t="str">
        <f ca="1">PROPER(TRIM(_xlfn.XLOOKUP($A54,Строчный!$A:$A,Строчный!P:P,"ERR",0)))</f>
        <v/>
      </c>
      <c r="P54" s="78" t="str">
        <f ca="1">PROPER(TRIM(_xlfn.XLOOKUP($A54,Строчный!$A:$A,Строчный!R:R,"ERR",0)))</f>
        <v/>
      </c>
      <c r="Q54" s="87">
        <f ca="1">VALUE(_xlfn.XLOOKUP($A54,Строчный!$A:$A,Строчный!N:N,"ERR",0))</f>
        <v>975.8</v>
      </c>
      <c r="R54" s="86" t="str">
        <f ca="1">_xlfn.XLOOKUP($G54,Фабрика!A:A,Фабрика!B:B,"ERR",0)</f>
        <v>ООО "ФРЭДРИКСОН" Россия 192029, С-Петербург, пр. Обуховской обороны, д.86, лит М</v>
      </c>
      <c r="S54" s="77" t="str">
        <f ca="1">_xlfn.XLOOKUP(RIGHT(AA54,2),Размеры!D:D,Размеры!A:A,"ERR",0)</f>
        <v>62</v>
      </c>
      <c r="T54" s="77">
        <f ca="1">VALUE(_xlfn.XLOOKUP($AA54,Строчный!$S:$S,Строчный!U:U,"ERR",0))</f>
        <v>1</v>
      </c>
      <c r="U54" s="14" t="s">
        <v>241</v>
      </c>
      <c r="V54" s="98" t="str">
        <f t="shared" ca="1" si="9"/>
        <v>Кепка FREDRIKSON арт. 3147-667/70 (черный / белый)</v>
      </c>
      <c r="W54" s="97" t="str">
        <f t="shared" ca="1" si="10"/>
        <v>Кепка FREDRIKSON арт. 3147-667/70 (черный / белый) {667/70}</v>
      </c>
      <c r="X54" s="18" t="str">
        <f t="shared" ca="1" si="11"/>
        <v>черный</v>
      </c>
      <c r="Y54" s="18" t="str">
        <f t="shared" ca="1" si="12"/>
        <v>белый</v>
      </c>
      <c r="Z54" s="109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0" t="str">
        <f ca="1"/>
        <v>95-093-72-62</v>
      </c>
      <c r="AB54" s="72" t="str">
        <f ca="1">VLOOKUP(C54,Группа!A:B,2,FALSE)</f>
        <v>Кепка</v>
      </c>
      <c r="AC54" s="94" t="str">
        <f ca="1">IFERROR(VLOOKUP(S54,Размеры!A:C,3,FALSE),"")</f>
        <v>62 XL/XXL</v>
      </c>
      <c r="AD54" s="94" t="str">
        <f ca="1">VLOOKUP(I54,ЦветПолный!A:B,2,FALSE)</f>
        <v>72</v>
      </c>
      <c r="AE54" s="94" t="str">
        <f ca="1">IFERROR(VLOOKUP(S54,Размеры!A:D,4,FALSE),"")</f>
        <v>62</v>
      </c>
      <c r="AF54" s="94">
        <f ca="1">SUMIF(Группа!A:A,C54,Группа!C:C)</f>
        <v>1</v>
      </c>
      <c r="AG54" s="94">
        <f ca="1">SUMIF(Группа!B:B,AB54,Группа!C:C)</f>
        <v>1</v>
      </c>
      <c r="AH54" s="94">
        <f ca="1">SUMIF(Формы!A:A,D54,Формы!B:B)</f>
        <v>1</v>
      </c>
      <c r="AI54" s="94">
        <f ca="1">IF(IFERROR(VLOOKUP(J54,Материал!D:D,1,0),0)&gt;0,1,SUMIF(Материал!A:A,K54,Материал!B:B))</f>
        <v>1</v>
      </c>
      <c r="AJ54" s="94">
        <f ca="1">SUMIF(Размеры!A:A,S54,Размеры!E:E)</f>
        <v>1</v>
      </c>
      <c r="AK54" s="94">
        <f ca="1">SUMIF(Сезон!A:A,F54,Сезон!B:B)</f>
        <v>1</v>
      </c>
      <c r="AL54" s="94">
        <f ca="1">VLOOKUP(I54,ЦветПолный!A:C,3,0)</f>
        <v>1</v>
      </c>
      <c r="AM54" s="94">
        <f ca="1">SUMIF(Цвет!A:A,Z54,Цвет!B:B)</f>
        <v>1</v>
      </c>
      <c r="AN54" s="94">
        <f ca="1">_xlfn.XLOOKUP(L54,Пол!A:A,Пол!B:B,0,0)</f>
        <v>1</v>
      </c>
      <c r="AO54" s="94">
        <f ca="1">SUMIF(Бренд!A:A,G54,Бренд!B:B)</f>
        <v>1</v>
      </c>
      <c r="AP54" s="137">
        <f ca="1">SUMIF(Страна!A:A,M54,Страна!B:B)</f>
        <v>1</v>
      </c>
      <c r="AQ54" s="150" t="str">
        <f t="shared" ca="1" si="13"/>
        <v>Кепка FREDRIKSON арт. 3147-667/70 (черный / белый) {667/70}</v>
      </c>
      <c r="AR54" s="94">
        <f t="shared" ca="1" si="14"/>
        <v>1</v>
      </c>
      <c r="AS54" s="143">
        <f t="shared" ca="1" si="15"/>
        <v>1</v>
      </c>
      <c r="AT54" s="138" t="str">
        <f ca="1">IF(IFERROR(VLOOKUP(W54,Товары!A:B,2,FALSE),"")=A54,"Есть в 1С","ERR")</f>
        <v>ERR</v>
      </c>
      <c r="AU54" s="139" t="str">
        <f ca="1">IF(IFERROR(VLOOKUP(A54,Товары!B:B,1,FALSE),"")=A54,"Есть в 1С","ERR")</f>
        <v>ERR</v>
      </c>
      <c r="AV54" s="93" t="e">
        <f ca="1">VLOOKUP(W54,Товары!A:B,2,FALSE)</f>
        <v>#N/A</v>
      </c>
      <c r="AW54" s="91" t="e">
        <f ca="1">VLOOKUP(W54,Товары!A:B,1,FALSE)</f>
        <v>#N/A</v>
      </c>
    </row>
    <row r="55" spans="1:49" x14ac:dyDescent="0.25">
      <c r="A55" s="105" t="str">
        <f t="shared" ca="1" si="8"/>
        <v>95-093-72</v>
      </c>
      <c r="B55" s="78" t="str">
        <f ca="1">_xlfn.LET(_xlpm.CAPS,VLOOKUP(G55,Caps!A:B,2,0),_xlpm.Style,TRIM(_xlfn.XLOOKUP($A55,Строчный!$A:$A,Строчный!B:B,"ERR",0)),IF(_xlpm.CAPS=0,_xlpm.Style,UPPER(_xlpm.Style)))</f>
        <v>3147-667/70</v>
      </c>
      <c r="C55" s="78" t="str">
        <f ca="1">TRIM(PROPER(_xlfn.XLOOKUP($A55,Строчный!$A:$A,Строчный!C:C,"ERR",0)))</f>
        <v>Кепки</v>
      </c>
      <c r="D55" s="78" t="str">
        <f ca="1">_xlfn.LET(_xlpm.DATA,TRIM(_xlfn.XLOOKUP($A55,Строчный!$A:$A,Строчный!D:D,"ERR",0)),UPPER(MID(_xlpm.DATA,1,1))&amp;LOWER(MID(_xlpm.DATA,2,LEN(_xlpm.DATA)-1)))</f>
        <v>Кепка шестиклинка</v>
      </c>
      <c r="E55" s="78" t="str">
        <f ca="1">PROPER(TRIM(_xlfn.XLOOKUP($A55,Строчный!$A:$A,Строчный!E:E,"ERR",0)))</f>
        <v>Fredrikson</v>
      </c>
      <c r="F55" s="78" t="str">
        <f ca="1">LOWER(TRIM(_xlfn.XLOOKUP($A55,Строчный!$A:$A,Строчный!F:F,"ERR",0)))</f>
        <v>всесезон</v>
      </c>
      <c r="G55" s="78" t="str">
        <f ca="1">UPPER(TRIM(_xlfn.XLOOKUP($A55,Строчный!$A:$A,Строчный!G:G,"ERR",0)))</f>
        <v>FREDRIKSON</v>
      </c>
      <c r="H55" s="78" t="str">
        <f ca="1">LOWER(TRIM(_xlfn.XLOOKUP($A55,Строчный!$A:$A,Строчный!H:H,"ERR",0)))</f>
        <v>667/70</v>
      </c>
      <c r="I55" s="78" t="str">
        <f ca="1">LOWER(TRIM(_xlfn.XLOOKUP($A55,Строчный!$A:$A,Строчный!I:I,"ERR",0)))</f>
        <v>черный / белый</v>
      </c>
      <c r="J55" s="78" t="str">
        <f ca="1">SUBSTITUTE(LOWER(TRIM(_xlfn.XLOOKUP($A55,Строчный!$A:$A,Строчный!J:J,"ERR",0))),"подклад","Подклад")</f>
        <v>80% шерсть - 20% полиамид / Подклад: 100% вискоза</v>
      </c>
      <c r="K55" s="78" t="str">
        <f ca="1">LOWER(TRIM(_xlfn.XLOOKUP($A55,Строчный!$A:$A,Строчный!K:K,"ERR",0)))</f>
        <v>шерстяные</v>
      </c>
      <c r="L55" s="78" t="str">
        <f ca="1">PROPER(TRIM(_xlfn.XLOOKUP($A55,Строчный!$A:$A,Строчный!L:L,"ERR",0)))</f>
        <v>Унисекс</v>
      </c>
      <c r="M55" s="105" t="str">
        <f ca="1">PROPER(TRIM(_xlfn.XLOOKUP($A55,Строчный!$A:$A,Строчный!M:M,"ERR",0)))</f>
        <v>Россия</v>
      </c>
      <c r="N55" s="78" t="str">
        <f ca="1">UPPER(TRIM(_xlfn.XLOOKUP($A55,Строчный!$A:$A,Строчный!O:O,"ERR",0)))</f>
        <v/>
      </c>
      <c r="O55" s="99" t="str">
        <f ca="1">PROPER(TRIM(_xlfn.XLOOKUP($A55,Строчный!$A:$A,Строчный!P:P,"ERR",0)))</f>
        <v/>
      </c>
      <c r="P55" s="78" t="str">
        <f ca="1">PROPER(TRIM(_xlfn.XLOOKUP($A55,Строчный!$A:$A,Строчный!R:R,"ERR",0)))</f>
        <v/>
      </c>
      <c r="Q55" s="87">
        <f ca="1">VALUE(_xlfn.XLOOKUP($A55,Строчный!$A:$A,Строчный!N:N,"ERR",0))</f>
        <v>975.8</v>
      </c>
      <c r="R55" s="86" t="str">
        <f ca="1">_xlfn.XLOOKUP($G55,Фабрика!A:A,Фабрика!B:B,"ERR",0)</f>
        <v>ООО "ФРЭДРИКСОН" Россия 192029, С-Петербург, пр. Обуховской обороны, д.86, лит М</v>
      </c>
      <c r="S55" s="77" t="str">
        <f ca="1">_xlfn.XLOOKUP(RIGHT(AA55,2),Размеры!D:D,Размеры!A:A,"ERR",0)</f>
        <v>61</v>
      </c>
      <c r="T55" s="77">
        <f ca="1">VALUE(_xlfn.XLOOKUP($AA55,Строчный!$S:$S,Строчный!U:U,"ERR",0))</f>
        <v>2</v>
      </c>
      <c r="U55" s="14" t="s">
        <v>241</v>
      </c>
      <c r="V55" s="98" t="str">
        <f t="shared" ca="1" si="9"/>
        <v>Кепка FREDRIKSON арт. 3147-667/70 (черный / белый)</v>
      </c>
      <c r="W55" s="97" t="str">
        <f t="shared" ca="1" si="10"/>
        <v>Кепка FREDRIKSON арт. 3147-667/70 (черный / белый) {667/70}</v>
      </c>
      <c r="X55" s="18" t="str">
        <f t="shared" ca="1" si="11"/>
        <v>черный</v>
      </c>
      <c r="Y55" s="18" t="str">
        <f t="shared" ca="1" si="12"/>
        <v>белый</v>
      </c>
      <c r="Z55" s="109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0" t="str">
        <f ca="1"/>
        <v>95-093-72-61</v>
      </c>
      <c r="AB55" s="72" t="str">
        <f ca="1">VLOOKUP(C55,Группа!A:B,2,FALSE)</f>
        <v>Кепка</v>
      </c>
      <c r="AC55" s="94" t="str">
        <f ca="1">IFERROR(VLOOKUP(S55,Размеры!A:C,3,FALSE),"")</f>
        <v>61 XL</v>
      </c>
      <c r="AD55" s="94" t="str">
        <f ca="1">VLOOKUP(I55,ЦветПолный!A:B,2,FALSE)</f>
        <v>72</v>
      </c>
      <c r="AE55" s="94" t="str">
        <f ca="1">IFERROR(VLOOKUP(S55,Размеры!A:D,4,FALSE),"")</f>
        <v>61</v>
      </c>
      <c r="AF55" s="94">
        <f ca="1">SUMIF(Группа!A:A,C55,Группа!C:C)</f>
        <v>1</v>
      </c>
      <c r="AG55" s="94">
        <f ca="1">SUMIF(Группа!B:B,AB55,Группа!C:C)</f>
        <v>1</v>
      </c>
      <c r="AH55" s="94">
        <f ca="1">SUMIF(Формы!A:A,D55,Формы!B:B)</f>
        <v>1</v>
      </c>
      <c r="AI55" s="94">
        <f ca="1">IF(IFERROR(VLOOKUP(J55,Материал!D:D,1,0),0)&gt;0,1,SUMIF(Материал!A:A,K55,Материал!B:B))</f>
        <v>1</v>
      </c>
      <c r="AJ55" s="94">
        <f ca="1">SUMIF(Размеры!A:A,S55,Размеры!E:E)</f>
        <v>1</v>
      </c>
      <c r="AK55" s="94">
        <f ca="1">SUMIF(Сезон!A:A,F55,Сезон!B:B)</f>
        <v>1</v>
      </c>
      <c r="AL55" s="94">
        <f ca="1">VLOOKUP(I55,ЦветПолный!A:C,3,0)</f>
        <v>1</v>
      </c>
      <c r="AM55" s="94">
        <f ca="1">SUMIF(Цвет!A:A,Z55,Цвет!B:B)</f>
        <v>1</v>
      </c>
      <c r="AN55" s="94">
        <f ca="1">_xlfn.XLOOKUP(L55,Пол!A:A,Пол!B:B,0,0)</f>
        <v>1</v>
      </c>
      <c r="AO55" s="94">
        <f ca="1">SUMIF(Бренд!A:A,G55,Бренд!B:B)</f>
        <v>1</v>
      </c>
      <c r="AP55" s="137">
        <f ca="1">SUMIF(Страна!A:A,M55,Страна!B:B)</f>
        <v>1</v>
      </c>
      <c r="AQ55" s="150" t="str">
        <f t="shared" ca="1" si="13"/>
        <v>Кепка FREDRIKSON арт. 3147-667/70 (черный / белый) {667/70}</v>
      </c>
      <c r="AR55" s="94">
        <f t="shared" ca="1" si="14"/>
        <v>1</v>
      </c>
      <c r="AS55" s="143">
        <f t="shared" ca="1" si="15"/>
        <v>1</v>
      </c>
      <c r="AT55" s="138" t="str">
        <f ca="1">IF(IFERROR(VLOOKUP(W55,Товары!A:B,2,FALSE),"")=A55,"Есть в 1С","ERR")</f>
        <v>ERR</v>
      </c>
      <c r="AU55" s="139" t="str">
        <f ca="1">IF(IFERROR(VLOOKUP(A55,Товары!B:B,1,FALSE),"")=A55,"Есть в 1С","ERR")</f>
        <v>ERR</v>
      </c>
      <c r="AV55" s="93" t="e">
        <f ca="1">VLOOKUP(W55,Товары!A:B,2,FALSE)</f>
        <v>#N/A</v>
      </c>
      <c r="AW55" s="91" t="e">
        <f ca="1">VLOOKUP(W55,Товары!A:B,1,FALSE)</f>
        <v>#N/A</v>
      </c>
    </row>
    <row r="56" spans="1:49" x14ac:dyDescent="0.25">
      <c r="A56" s="105" t="str">
        <f t="shared" ca="1" si="8"/>
        <v>95-093-72</v>
      </c>
      <c r="B56" s="78" t="str">
        <f ca="1">_xlfn.LET(_xlpm.CAPS,VLOOKUP(G56,Caps!A:B,2,0),_xlpm.Style,TRIM(_xlfn.XLOOKUP($A56,Строчный!$A:$A,Строчный!B:B,"ERR",0)),IF(_xlpm.CAPS=0,_xlpm.Style,UPPER(_xlpm.Style)))</f>
        <v>3147-667/70</v>
      </c>
      <c r="C56" s="78" t="str">
        <f ca="1">TRIM(PROPER(_xlfn.XLOOKUP($A56,Строчный!$A:$A,Строчный!C:C,"ERR",0)))</f>
        <v>Кепки</v>
      </c>
      <c r="D56" s="78" t="str">
        <f ca="1">_xlfn.LET(_xlpm.DATA,TRIM(_xlfn.XLOOKUP($A56,Строчный!$A:$A,Строчный!D:D,"ERR",0)),UPPER(MID(_xlpm.DATA,1,1))&amp;LOWER(MID(_xlpm.DATA,2,LEN(_xlpm.DATA)-1)))</f>
        <v>Кепка шестиклинка</v>
      </c>
      <c r="E56" s="78" t="str">
        <f ca="1">PROPER(TRIM(_xlfn.XLOOKUP($A56,Строчный!$A:$A,Строчный!E:E,"ERR",0)))</f>
        <v>Fredrikson</v>
      </c>
      <c r="F56" s="78" t="str">
        <f ca="1">LOWER(TRIM(_xlfn.XLOOKUP($A56,Строчный!$A:$A,Строчный!F:F,"ERR",0)))</f>
        <v>всесезон</v>
      </c>
      <c r="G56" s="78" t="str">
        <f ca="1">UPPER(TRIM(_xlfn.XLOOKUP($A56,Строчный!$A:$A,Строчный!G:G,"ERR",0)))</f>
        <v>FREDRIKSON</v>
      </c>
      <c r="H56" s="78" t="str">
        <f ca="1">LOWER(TRIM(_xlfn.XLOOKUP($A56,Строчный!$A:$A,Строчный!H:H,"ERR",0)))</f>
        <v>667/70</v>
      </c>
      <c r="I56" s="78" t="str">
        <f ca="1">LOWER(TRIM(_xlfn.XLOOKUP($A56,Строчный!$A:$A,Строчный!I:I,"ERR",0)))</f>
        <v>черный / белый</v>
      </c>
      <c r="J56" s="78" t="str">
        <f ca="1">SUBSTITUTE(LOWER(TRIM(_xlfn.XLOOKUP($A56,Строчный!$A:$A,Строчный!J:J,"ERR",0))),"подклад","Подклад")</f>
        <v>80% шерсть - 20% полиамид / Подклад: 100% вискоза</v>
      </c>
      <c r="K56" s="78" t="str">
        <f ca="1">LOWER(TRIM(_xlfn.XLOOKUP($A56,Строчный!$A:$A,Строчный!K:K,"ERR",0)))</f>
        <v>шерстяные</v>
      </c>
      <c r="L56" s="78" t="str">
        <f ca="1">PROPER(TRIM(_xlfn.XLOOKUP($A56,Строчный!$A:$A,Строчный!L:L,"ERR",0)))</f>
        <v>Унисекс</v>
      </c>
      <c r="M56" s="105" t="str">
        <f ca="1">PROPER(TRIM(_xlfn.XLOOKUP($A56,Строчный!$A:$A,Строчный!M:M,"ERR",0)))</f>
        <v>Россия</v>
      </c>
      <c r="N56" s="78" t="str">
        <f ca="1">UPPER(TRIM(_xlfn.XLOOKUP($A56,Строчный!$A:$A,Строчный!O:O,"ERR",0)))</f>
        <v/>
      </c>
      <c r="O56" s="99" t="str">
        <f ca="1">PROPER(TRIM(_xlfn.XLOOKUP($A56,Строчный!$A:$A,Строчный!P:P,"ERR",0)))</f>
        <v/>
      </c>
      <c r="P56" s="78" t="str">
        <f ca="1">PROPER(TRIM(_xlfn.XLOOKUP($A56,Строчный!$A:$A,Строчный!R:R,"ERR",0)))</f>
        <v/>
      </c>
      <c r="Q56" s="87">
        <f ca="1">VALUE(_xlfn.XLOOKUP($A56,Строчный!$A:$A,Строчный!N:N,"ERR",0))</f>
        <v>975.8</v>
      </c>
      <c r="R56" s="86" t="str">
        <f ca="1">_xlfn.XLOOKUP($G56,Фабрика!A:A,Фабрика!B:B,"ERR",0)</f>
        <v>ООО "ФРЭДРИКСОН" Россия 192029, С-Петербург, пр. Обуховской обороны, д.86, лит М</v>
      </c>
      <c r="S56" s="77" t="str">
        <f ca="1">_xlfn.XLOOKUP(RIGHT(AA56,2),Размеры!D:D,Размеры!A:A,"ERR",0)</f>
        <v>60</v>
      </c>
      <c r="T56" s="77">
        <f ca="1">VALUE(_xlfn.XLOOKUP($AA56,Строчный!$S:$S,Строчный!U:U,"ERR",0))</f>
        <v>3</v>
      </c>
      <c r="U56" s="14" t="s">
        <v>241</v>
      </c>
      <c r="V56" s="98" t="str">
        <f t="shared" ca="1" si="9"/>
        <v>Кепка FREDRIKSON арт. 3147-667/70 (черный / белый)</v>
      </c>
      <c r="W56" s="97" t="str">
        <f t="shared" ca="1" si="10"/>
        <v>Кепка FREDRIKSON арт. 3147-667/70 (черный / белый) {667/70}</v>
      </c>
      <c r="X56" s="18" t="str">
        <f t="shared" ca="1" si="11"/>
        <v>черный</v>
      </c>
      <c r="Y56" s="18" t="str">
        <f t="shared" ca="1" si="12"/>
        <v>белый</v>
      </c>
      <c r="Z56" s="109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0" t="str">
        <f ca="1"/>
        <v>95-093-72-60</v>
      </c>
      <c r="AB56" s="72" t="str">
        <f ca="1">VLOOKUP(C56,Группа!A:B,2,FALSE)</f>
        <v>Кепка</v>
      </c>
      <c r="AC56" s="94" t="str">
        <f ca="1">IFERROR(VLOOKUP(S56,Размеры!A:C,3,FALSE),"")</f>
        <v>60 L/XL</v>
      </c>
      <c r="AD56" s="94" t="str">
        <f ca="1">VLOOKUP(I56,ЦветПолный!A:B,2,FALSE)</f>
        <v>72</v>
      </c>
      <c r="AE56" s="94" t="str">
        <f ca="1">IFERROR(VLOOKUP(S56,Размеры!A:D,4,FALSE),"")</f>
        <v>60</v>
      </c>
      <c r="AF56" s="94">
        <f ca="1">SUMIF(Группа!A:A,C56,Группа!C:C)</f>
        <v>1</v>
      </c>
      <c r="AG56" s="94">
        <f ca="1">SUMIF(Группа!B:B,AB56,Группа!C:C)</f>
        <v>1</v>
      </c>
      <c r="AH56" s="94">
        <f ca="1">SUMIF(Формы!A:A,D56,Формы!B:B)</f>
        <v>1</v>
      </c>
      <c r="AI56" s="94">
        <f ca="1">IF(IFERROR(VLOOKUP(J56,Материал!D:D,1,0),0)&gt;0,1,SUMIF(Материал!A:A,K56,Материал!B:B))</f>
        <v>1</v>
      </c>
      <c r="AJ56" s="94">
        <f ca="1">SUMIF(Размеры!A:A,S56,Размеры!E:E)</f>
        <v>1</v>
      </c>
      <c r="AK56" s="94">
        <f ca="1">SUMIF(Сезон!A:A,F56,Сезон!B:B)</f>
        <v>1</v>
      </c>
      <c r="AL56" s="94">
        <f ca="1">VLOOKUP(I56,ЦветПолный!A:C,3,0)</f>
        <v>1</v>
      </c>
      <c r="AM56" s="94">
        <f ca="1">SUMIF(Цвет!A:A,Z56,Цвет!B:B)</f>
        <v>1</v>
      </c>
      <c r="AN56" s="94">
        <f ca="1">_xlfn.XLOOKUP(L56,Пол!A:A,Пол!B:B,0,0)</f>
        <v>1</v>
      </c>
      <c r="AO56" s="94">
        <f ca="1">SUMIF(Бренд!A:A,G56,Бренд!B:B)</f>
        <v>1</v>
      </c>
      <c r="AP56" s="137">
        <f ca="1">SUMIF(Страна!A:A,M56,Страна!B:B)</f>
        <v>1</v>
      </c>
      <c r="AQ56" s="150" t="str">
        <f t="shared" ca="1" si="13"/>
        <v>Кепка FREDRIKSON арт. 3147-667/70 (черный / белый) {667/70}</v>
      </c>
      <c r="AR56" s="94">
        <f t="shared" ca="1" si="14"/>
        <v>1</v>
      </c>
      <c r="AS56" s="143">
        <f t="shared" ca="1" si="15"/>
        <v>1</v>
      </c>
      <c r="AT56" s="138" t="str">
        <f ca="1">IF(IFERROR(VLOOKUP(W56,Товары!A:B,2,FALSE),"")=A56,"Есть в 1С","ERR")</f>
        <v>ERR</v>
      </c>
      <c r="AU56" s="139" t="str">
        <f ca="1">IF(IFERROR(VLOOKUP(A56,Товары!B:B,1,FALSE),"")=A56,"Есть в 1С","ERR")</f>
        <v>ERR</v>
      </c>
      <c r="AV56" s="93" t="e">
        <f ca="1">VLOOKUP(W56,Товары!A:B,2,FALSE)</f>
        <v>#N/A</v>
      </c>
      <c r="AW56" s="91" t="e">
        <f ca="1">VLOOKUP(W56,Товары!A:B,1,FALSE)</f>
        <v>#N/A</v>
      </c>
    </row>
    <row r="57" spans="1:49" x14ac:dyDescent="0.25">
      <c r="A57" s="105" t="str">
        <f t="shared" ca="1" si="8"/>
        <v>95-093-72</v>
      </c>
      <c r="B57" s="78" t="str">
        <f ca="1">_xlfn.LET(_xlpm.CAPS,VLOOKUP(G57,Caps!A:B,2,0),_xlpm.Style,TRIM(_xlfn.XLOOKUP($A57,Строчный!$A:$A,Строчный!B:B,"ERR",0)),IF(_xlpm.CAPS=0,_xlpm.Style,UPPER(_xlpm.Style)))</f>
        <v>3147-667/70</v>
      </c>
      <c r="C57" s="78" t="str">
        <f ca="1">TRIM(PROPER(_xlfn.XLOOKUP($A57,Строчный!$A:$A,Строчный!C:C,"ERR",0)))</f>
        <v>Кепки</v>
      </c>
      <c r="D57" s="78" t="str">
        <f ca="1">_xlfn.LET(_xlpm.DATA,TRIM(_xlfn.XLOOKUP($A57,Строчный!$A:$A,Строчный!D:D,"ERR",0)),UPPER(MID(_xlpm.DATA,1,1))&amp;LOWER(MID(_xlpm.DATA,2,LEN(_xlpm.DATA)-1)))</f>
        <v>Кепка шестиклинка</v>
      </c>
      <c r="E57" s="78" t="str">
        <f ca="1">PROPER(TRIM(_xlfn.XLOOKUP($A57,Строчный!$A:$A,Строчный!E:E,"ERR",0)))</f>
        <v>Fredrikson</v>
      </c>
      <c r="F57" s="78" t="str">
        <f ca="1">LOWER(TRIM(_xlfn.XLOOKUP($A57,Строчный!$A:$A,Строчный!F:F,"ERR",0)))</f>
        <v>всесезон</v>
      </c>
      <c r="G57" s="78" t="str">
        <f ca="1">UPPER(TRIM(_xlfn.XLOOKUP($A57,Строчный!$A:$A,Строчный!G:G,"ERR",0)))</f>
        <v>FREDRIKSON</v>
      </c>
      <c r="H57" s="78" t="str">
        <f ca="1">LOWER(TRIM(_xlfn.XLOOKUP($A57,Строчный!$A:$A,Строчный!H:H,"ERR",0)))</f>
        <v>667/70</v>
      </c>
      <c r="I57" s="78" t="str">
        <f ca="1">LOWER(TRIM(_xlfn.XLOOKUP($A57,Строчный!$A:$A,Строчный!I:I,"ERR",0)))</f>
        <v>черный / белый</v>
      </c>
      <c r="J57" s="78" t="str">
        <f ca="1">SUBSTITUTE(LOWER(TRIM(_xlfn.XLOOKUP($A57,Строчный!$A:$A,Строчный!J:J,"ERR",0))),"подклад","Подклад")</f>
        <v>80% шерсть - 20% полиамид / Подклад: 100% вискоза</v>
      </c>
      <c r="K57" s="78" t="str">
        <f ca="1">LOWER(TRIM(_xlfn.XLOOKUP($A57,Строчный!$A:$A,Строчный!K:K,"ERR",0)))</f>
        <v>шерстяные</v>
      </c>
      <c r="L57" s="78" t="str">
        <f ca="1">PROPER(TRIM(_xlfn.XLOOKUP($A57,Строчный!$A:$A,Строчный!L:L,"ERR",0)))</f>
        <v>Унисекс</v>
      </c>
      <c r="M57" s="105" t="str">
        <f ca="1">PROPER(TRIM(_xlfn.XLOOKUP($A57,Строчный!$A:$A,Строчный!M:M,"ERR",0)))</f>
        <v>Россия</v>
      </c>
      <c r="N57" s="78" t="str">
        <f ca="1">UPPER(TRIM(_xlfn.XLOOKUP($A57,Строчный!$A:$A,Строчный!O:O,"ERR",0)))</f>
        <v/>
      </c>
      <c r="O57" s="99" t="str">
        <f ca="1">PROPER(TRIM(_xlfn.XLOOKUP($A57,Строчный!$A:$A,Строчный!P:P,"ERR",0)))</f>
        <v/>
      </c>
      <c r="P57" s="78" t="str">
        <f ca="1">PROPER(TRIM(_xlfn.XLOOKUP($A57,Строчный!$A:$A,Строчный!R:R,"ERR",0)))</f>
        <v/>
      </c>
      <c r="Q57" s="87">
        <f ca="1">VALUE(_xlfn.XLOOKUP($A57,Строчный!$A:$A,Строчный!N:N,"ERR",0))</f>
        <v>975.8</v>
      </c>
      <c r="R57" s="86" t="str">
        <f ca="1">_xlfn.XLOOKUP($G57,Фабрика!A:A,Фабрика!B:B,"ERR",0)</f>
        <v>ООО "ФРЭДРИКСОН" Россия 192029, С-Петербург, пр. Обуховской обороны, д.86, лит М</v>
      </c>
      <c r="S57" s="77" t="str">
        <f ca="1">_xlfn.XLOOKUP(RIGHT(AA57,2),Размеры!D:D,Размеры!A:A,"ERR",0)</f>
        <v>59</v>
      </c>
      <c r="T57" s="77">
        <f ca="1">VALUE(_xlfn.XLOOKUP($AA57,Строчный!$S:$S,Строчный!U:U,"ERR",0))</f>
        <v>4</v>
      </c>
      <c r="U57" s="14" t="s">
        <v>241</v>
      </c>
      <c r="V57" s="98" t="str">
        <f t="shared" ca="1" si="9"/>
        <v>Кепка FREDRIKSON арт. 3147-667/70 (черный / белый)</v>
      </c>
      <c r="W57" s="97" t="str">
        <f t="shared" ca="1" si="10"/>
        <v>Кепка FREDRIKSON арт. 3147-667/70 (черный / белый) {667/70}</v>
      </c>
      <c r="X57" s="18" t="str">
        <f t="shared" ca="1" si="11"/>
        <v>черный</v>
      </c>
      <c r="Y57" s="18" t="str">
        <f t="shared" ca="1" si="12"/>
        <v>белый</v>
      </c>
      <c r="Z57" s="109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0" t="str">
        <f ca="1"/>
        <v>95-093-72-59</v>
      </c>
      <c r="AB57" s="72" t="str">
        <f ca="1">VLOOKUP(C57,Группа!A:B,2,FALSE)</f>
        <v>Кепка</v>
      </c>
      <c r="AC57" s="94" t="str">
        <f ca="1">IFERROR(VLOOKUP(S57,Размеры!A:C,3,FALSE),"")</f>
        <v>59 L</v>
      </c>
      <c r="AD57" s="94" t="str">
        <f ca="1">VLOOKUP(I57,ЦветПолный!A:B,2,FALSE)</f>
        <v>72</v>
      </c>
      <c r="AE57" s="94" t="str">
        <f ca="1">IFERROR(VLOOKUP(S57,Размеры!A:D,4,FALSE),"")</f>
        <v>59</v>
      </c>
      <c r="AF57" s="94">
        <f ca="1">SUMIF(Группа!A:A,C57,Группа!C:C)</f>
        <v>1</v>
      </c>
      <c r="AG57" s="94">
        <f ca="1">SUMIF(Группа!B:B,AB57,Группа!C:C)</f>
        <v>1</v>
      </c>
      <c r="AH57" s="94">
        <f ca="1">SUMIF(Формы!A:A,D57,Формы!B:B)</f>
        <v>1</v>
      </c>
      <c r="AI57" s="94">
        <f ca="1">IF(IFERROR(VLOOKUP(J57,Материал!D:D,1,0),0)&gt;0,1,SUMIF(Материал!A:A,K57,Материал!B:B))</f>
        <v>1</v>
      </c>
      <c r="AJ57" s="94">
        <f ca="1">SUMIF(Размеры!A:A,S57,Размеры!E:E)</f>
        <v>1</v>
      </c>
      <c r="AK57" s="94">
        <f ca="1">SUMIF(Сезон!A:A,F57,Сезон!B:B)</f>
        <v>1</v>
      </c>
      <c r="AL57" s="94">
        <f ca="1">VLOOKUP(I57,ЦветПолный!A:C,3,0)</f>
        <v>1</v>
      </c>
      <c r="AM57" s="94">
        <f ca="1">SUMIF(Цвет!A:A,Z57,Цвет!B:B)</f>
        <v>1</v>
      </c>
      <c r="AN57" s="94">
        <f ca="1">_xlfn.XLOOKUP(L57,Пол!A:A,Пол!B:B,0,0)</f>
        <v>1</v>
      </c>
      <c r="AO57" s="94">
        <f ca="1">SUMIF(Бренд!A:A,G57,Бренд!B:B)</f>
        <v>1</v>
      </c>
      <c r="AP57" s="137">
        <f ca="1">SUMIF(Страна!A:A,M57,Страна!B:B)</f>
        <v>1</v>
      </c>
      <c r="AQ57" s="150" t="str">
        <f t="shared" ca="1" si="13"/>
        <v>Кепка FREDRIKSON арт. 3147-667/70 (черный / белый) {667/70}</v>
      </c>
      <c r="AR57" s="94">
        <f t="shared" ca="1" si="14"/>
        <v>1</v>
      </c>
      <c r="AS57" s="143">
        <f t="shared" ca="1" si="15"/>
        <v>1</v>
      </c>
      <c r="AT57" s="138" t="str">
        <f ca="1">IF(IFERROR(VLOOKUP(W57,Товары!A:B,2,FALSE),"")=A57,"Есть в 1С","ERR")</f>
        <v>ERR</v>
      </c>
      <c r="AU57" s="139" t="str">
        <f ca="1">IF(IFERROR(VLOOKUP(A57,Товары!B:B,1,FALSE),"")=A57,"Есть в 1С","ERR")</f>
        <v>ERR</v>
      </c>
      <c r="AV57" s="93" t="e">
        <f ca="1">VLOOKUP(W57,Товары!A:B,2,FALSE)</f>
        <v>#N/A</v>
      </c>
      <c r="AW57" s="91" t="e">
        <f ca="1">VLOOKUP(W57,Товары!A:B,1,FALSE)</f>
        <v>#N/A</v>
      </c>
    </row>
    <row r="58" spans="1:49" x14ac:dyDescent="0.25">
      <c r="A58" s="105" t="str">
        <f t="shared" ca="1" si="8"/>
        <v>95-093-72</v>
      </c>
      <c r="B58" s="78" t="str">
        <f ca="1">_xlfn.LET(_xlpm.CAPS,VLOOKUP(G58,Caps!A:B,2,0),_xlpm.Style,TRIM(_xlfn.XLOOKUP($A58,Строчный!$A:$A,Строчный!B:B,"ERR",0)),IF(_xlpm.CAPS=0,_xlpm.Style,UPPER(_xlpm.Style)))</f>
        <v>3147-667/70</v>
      </c>
      <c r="C58" s="78" t="str">
        <f ca="1">TRIM(PROPER(_xlfn.XLOOKUP($A58,Строчный!$A:$A,Строчный!C:C,"ERR",0)))</f>
        <v>Кепки</v>
      </c>
      <c r="D58" s="78" t="str">
        <f ca="1">_xlfn.LET(_xlpm.DATA,TRIM(_xlfn.XLOOKUP($A58,Строчный!$A:$A,Строчный!D:D,"ERR",0)),UPPER(MID(_xlpm.DATA,1,1))&amp;LOWER(MID(_xlpm.DATA,2,LEN(_xlpm.DATA)-1)))</f>
        <v>Кепка шестиклинка</v>
      </c>
      <c r="E58" s="78" t="str">
        <f ca="1">PROPER(TRIM(_xlfn.XLOOKUP($A58,Строчный!$A:$A,Строчный!E:E,"ERR",0)))</f>
        <v>Fredrikson</v>
      </c>
      <c r="F58" s="78" t="str">
        <f ca="1">LOWER(TRIM(_xlfn.XLOOKUP($A58,Строчный!$A:$A,Строчный!F:F,"ERR",0)))</f>
        <v>всесезон</v>
      </c>
      <c r="G58" s="78" t="str">
        <f ca="1">UPPER(TRIM(_xlfn.XLOOKUP($A58,Строчный!$A:$A,Строчный!G:G,"ERR",0)))</f>
        <v>FREDRIKSON</v>
      </c>
      <c r="H58" s="78" t="str">
        <f ca="1">LOWER(TRIM(_xlfn.XLOOKUP($A58,Строчный!$A:$A,Строчный!H:H,"ERR",0)))</f>
        <v>667/70</v>
      </c>
      <c r="I58" s="78" t="str">
        <f ca="1">LOWER(TRIM(_xlfn.XLOOKUP($A58,Строчный!$A:$A,Строчный!I:I,"ERR",0)))</f>
        <v>черный / белый</v>
      </c>
      <c r="J58" s="78" t="str">
        <f ca="1">SUBSTITUTE(LOWER(TRIM(_xlfn.XLOOKUP($A58,Строчный!$A:$A,Строчный!J:J,"ERR",0))),"подклад","Подклад")</f>
        <v>80% шерсть - 20% полиамид / Подклад: 100% вискоза</v>
      </c>
      <c r="K58" s="78" t="str">
        <f ca="1">LOWER(TRIM(_xlfn.XLOOKUP($A58,Строчный!$A:$A,Строчный!K:K,"ERR",0)))</f>
        <v>шерстяные</v>
      </c>
      <c r="L58" s="78" t="str">
        <f ca="1">PROPER(TRIM(_xlfn.XLOOKUP($A58,Строчный!$A:$A,Строчный!L:L,"ERR",0)))</f>
        <v>Унисекс</v>
      </c>
      <c r="M58" s="105" t="str">
        <f ca="1">PROPER(TRIM(_xlfn.XLOOKUP($A58,Строчный!$A:$A,Строчный!M:M,"ERR",0)))</f>
        <v>Россия</v>
      </c>
      <c r="N58" s="78" t="str">
        <f ca="1">UPPER(TRIM(_xlfn.XLOOKUP($A58,Строчный!$A:$A,Строчный!O:O,"ERR",0)))</f>
        <v/>
      </c>
      <c r="O58" s="99" t="str">
        <f ca="1">PROPER(TRIM(_xlfn.XLOOKUP($A58,Строчный!$A:$A,Строчный!P:P,"ERR",0)))</f>
        <v/>
      </c>
      <c r="P58" s="78" t="str">
        <f ca="1">PROPER(TRIM(_xlfn.XLOOKUP($A58,Строчный!$A:$A,Строчный!R:R,"ERR",0)))</f>
        <v/>
      </c>
      <c r="Q58" s="87">
        <f ca="1">VALUE(_xlfn.XLOOKUP($A58,Строчный!$A:$A,Строчный!N:N,"ERR",0))</f>
        <v>975.8</v>
      </c>
      <c r="R58" s="86" t="str">
        <f ca="1">_xlfn.XLOOKUP($G58,Фабрика!A:A,Фабрика!B:B,"ERR",0)</f>
        <v>ООО "ФРЭДРИКСОН" Россия 192029, С-Петербург, пр. Обуховской обороны, д.86, лит М</v>
      </c>
      <c r="S58" s="77" t="str">
        <f ca="1">_xlfn.XLOOKUP(RIGHT(AA58,2),Размеры!D:D,Размеры!A:A,"ERR",0)</f>
        <v>58</v>
      </c>
      <c r="T58" s="77">
        <f ca="1">VALUE(_xlfn.XLOOKUP($AA58,Строчный!$S:$S,Строчный!U:U,"ERR",0))</f>
        <v>3</v>
      </c>
      <c r="U58" s="14" t="s">
        <v>241</v>
      </c>
      <c r="V58" s="98" t="str">
        <f t="shared" ca="1" si="9"/>
        <v>Кепка FREDRIKSON арт. 3147-667/70 (черный / белый)</v>
      </c>
      <c r="W58" s="97" t="str">
        <f t="shared" ca="1" si="10"/>
        <v>Кепка FREDRIKSON арт. 3147-667/70 (черный / белый) {667/70}</v>
      </c>
      <c r="X58" s="18" t="str">
        <f t="shared" ca="1" si="11"/>
        <v>черный</v>
      </c>
      <c r="Y58" s="18" t="str">
        <f t="shared" ca="1" si="12"/>
        <v>белый</v>
      </c>
      <c r="Z58" s="109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0" t="str">
        <f ca="1"/>
        <v>95-093-72-58</v>
      </c>
      <c r="AB58" s="72" t="str">
        <f ca="1">VLOOKUP(C58,Группа!A:B,2,FALSE)</f>
        <v>Кепка</v>
      </c>
      <c r="AC58" s="94" t="str">
        <f ca="1">IFERROR(VLOOKUP(S58,Размеры!A:C,3,FALSE),"")</f>
        <v>58 M/L</v>
      </c>
      <c r="AD58" s="94" t="str">
        <f ca="1">VLOOKUP(I58,ЦветПолный!A:B,2,FALSE)</f>
        <v>72</v>
      </c>
      <c r="AE58" s="94" t="str">
        <f ca="1">IFERROR(VLOOKUP(S58,Размеры!A:D,4,FALSE),"")</f>
        <v>58</v>
      </c>
      <c r="AF58" s="94">
        <f ca="1">SUMIF(Группа!A:A,C58,Группа!C:C)</f>
        <v>1</v>
      </c>
      <c r="AG58" s="94">
        <f ca="1">SUMIF(Группа!B:B,AB58,Группа!C:C)</f>
        <v>1</v>
      </c>
      <c r="AH58" s="94">
        <f ca="1">SUMIF(Формы!A:A,D58,Формы!B:B)</f>
        <v>1</v>
      </c>
      <c r="AI58" s="94">
        <f ca="1">IF(IFERROR(VLOOKUP(J58,Материал!D:D,1,0),0)&gt;0,1,SUMIF(Материал!A:A,K58,Материал!B:B))</f>
        <v>1</v>
      </c>
      <c r="AJ58" s="94">
        <f ca="1">SUMIF(Размеры!A:A,S58,Размеры!E:E)</f>
        <v>1</v>
      </c>
      <c r="AK58" s="94">
        <f ca="1">SUMIF(Сезон!A:A,F58,Сезон!B:B)</f>
        <v>1</v>
      </c>
      <c r="AL58" s="94">
        <f ca="1">VLOOKUP(I58,ЦветПолный!A:C,3,0)</f>
        <v>1</v>
      </c>
      <c r="AM58" s="94">
        <f ca="1">SUMIF(Цвет!A:A,Z58,Цвет!B:B)</f>
        <v>1</v>
      </c>
      <c r="AN58" s="94">
        <f ca="1">_xlfn.XLOOKUP(L58,Пол!A:A,Пол!B:B,0,0)</f>
        <v>1</v>
      </c>
      <c r="AO58" s="94">
        <f ca="1">SUMIF(Бренд!A:A,G58,Бренд!B:B)</f>
        <v>1</v>
      </c>
      <c r="AP58" s="137">
        <f ca="1">SUMIF(Страна!A:A,M58,Страна!B:B)</f>
        <v>1</v>
      </c>
      <c r="AQ58" s="150" t="str">
        <f t="shared" ca="1" si="13"/>
        <v>Кепка FREDRIKSON арт. 3147-667/70 (черный / белый) {667/70}</v>
      </c>
      <c r="AR58" s="94">
        <f t="shared" ca="1" si="14"/>
        <v>1</v>
      </c>
      <c r="AS58" s="143">
        <f t="shared" ca="1" si="15"/>
        <v>1</v>
      </c>
      <c r="AT58" s="138" t="str">
        <f ca="1">IF(IFERROR(VLOOKUP(W58,Товары!A:B,2,FALSE),"")=A58,"Есть в 1С","ERR")</f>
        <v>ERR</v>
      </c>
      <c r="AU58" s="139" t="str">
        <f ca="1">IF(IFERROR(VLOOKUP(A58,Товары!B:B,1,FALSE),"")=A58,"Есть в 1С","ERR")</f>
        <v>ERR</v>
      </c>
      <c r="AV58" s="93" t="e">
        <f ca="1">VLOOKUP(W58,Товары!A:B,2,FALSE)</f>
        <v>#N/A</v>
      </c>
      <c r="AW58" s="91" t="e">
        <f ca="1">VLOOKUP(W58,Товары!A:B,1,FALSE)</f>
        <v>#N/A</v>
      </c>
    </row>
    <row r="59" spans="1:49" x14ac:dyDescent="0.25">
      <c r="A59" s="105" t="str">
        <f t="shared" ca="1" si="8"/>
        <v>95-093-72</v>
      </c>
      <c r="B59" s="78" t="str">
        <f ca="1">_xlfn.LET(_xlpm.CAPS,VLOOKUP(G59,Caps!A:B,2,0),_xlpm.Style,TRIM(_xlfn.XLOOKUP($A59,Строчный!$A:$A,Строчный!B:B,"ERR",0)),IF(_xlpm.CAPS=0,_xlpm.Style,UPPER(_xlpm.Style)))</f>
        <v>3147-667/70</v>
      </c>
      <c r="C59" s="78" t="str">
        <f ca="1">TRIM(PROPER(_xlfn.XLOOKUP($A59,Строчный!$A:$A,Строчный!C:C,"ERR",0)))</f>
        <v>Кепки</v>
      </c>
      <c r="D59" s="78" t="str">
        <f ca="1">_xlfn.LET(_xlpm.DATA,TRIM(_xlfn.XLOOKUP($A59,Строчный!$A:$A,Строчный!D:D,"ERR",0)),UPPER(MID(_xlpm.DATA,1,1))&amp;LOWER(MID(_xlpm.DATA,2,LEN(_xlpm.DATA)-1)))</f>
        <v>Кепка шестиклинка</v>
      </c>
      <c r="E59" s="78" t="str">
        <f ca="1">PROPER(TRIM(_xlfn.XLOOKUP($A59,Строчный!$A:$A,Строчный!E:E,"ERR",0)))</f>
        <v>Fredrikson</v>
      </c>
      <c r="F59" s="78" t="str">
        <f ca="1">LOWER(TRIM(_xlfn.XLOOKUP($A59,Строчный!$A:$A,Строчный!F:F,"ERR",0)))</f>
        <v>всесезон</v>
      </c>
      <c r="G59" s="78" t="str">
        <f ca="1">UPPER(TRIM(_xlfn.XLOOKUP($A59,Строчный!$A:$A,Строчный!G:G,"ERR",0)))</f>
        <v>FREDRIKSON</v>
      </c>
      <c r="H59" s="78" t="str">
        <f ca="1">LOWER(TRIM(_xlfn.XLOOKUP($A59,Строчный!$A:$A,Строчный!H:H,"ERR",0)))</f>
        <v>667/70</v>
      </c>
      <c r="I59" s="78" t="str">
        <f ca="1">LOWER(TRIM(_xlfn.XLOOKUP($A59,Строчный!$A:$A,Строчный!I:I,"ERR",0)))</f>
        <v>черный / белый</v>
      </c>
      <c r="J59" s="78" t="str">
        <f ca="1">SUBSTITUTE(LOWER(TRIM(_xlfn.XLOOKUP($A59,Строчный!$A:$A,Строчный!J:J,"ERR",0))),"подклад","Подклад")</f>
        <v>80% шерсть - 20% полиамид / Подклад: 100% вискоза</v>
      </c>
      <c r="K59" s="78" t="str">
        <f ca="1">LOWER(TRIM(_xlfn.XLOOKUP($A59,Строчный!$A:$A,Строчный!K:K,"ERR",0)))</f>
        <v>шерстяные</v>
      </c>
      <c r="L59" s="78" t="str">
        <f ca="1">PROPER(TRIM(_xlfn.XLOOKUP($A59,Строчный!$A:$A,Строчный!L:L,"ERR",0)))</f>
        <v>Унисекс</v>
      </c>
      <c r="M59" s="105" t="str">
        <f ca="1">PROPER(TRIM(_xlfn.XLOOKUP($A59,Строчный!$A:$A,Строчный!M:M,"ERR",0)))</f>
        <v>Россия</v>
      </c>
      <c r="N59" s="78" t="str">
        <f ca="1">UPPER(TRIM(_xlfn.XLOOKUP($A59,Строчный!$A:$A,Строчный!O:O,"ERR",0)))</f>
        <v/>
      </c>
      <c r="O59" s="99" t="str">
        <f ca="1">PROPER(TRIM(_xlfn.XLOOKUP($A59,Строчный!$A:$A,Строчный!P:P,"ERR",0)))</f>
        <v/>
      </c>
      <c r="P59" s="78" t="str">
        <f ca="1">PROPER(TRIM(_xlfn.XLOOKUP($A59,Строчный!$A:$A,Строчный!R:R,"ERR",0)))</f>
        <v/>
      </c>
      <c r="Q59" s="87">
        <f ca="1">VALUE(_xlfn.XLOOKUP($A59,Строчный!$A:$A,Строчный!N:N,"ERR",0))</f>
        <v>975.8</v>
      </c>
      <c r="R59" s="86" t="str">
        <f ca="1">_xlfn.XLOOKUP($G59,Фабрика!A:A,Фабрика!B:B,"ERR",0)</f>
        <v>ООО "ФРЭДРИКСОН" Россия 192029, С-Петербург, пр. Обуховской обороны, д.86, лит М</v>
      </c>
      <c r="S59" s="77" t="str">
        <f ca="1">_xlfn.XLOOKUP(RIGHT(AA59,2),Размеры!D:D,Размеры!A:A,"ERR",0)</f>
        <v>57</v>
      </c>
      <c r="T59" s="77">
        <f ca="1">VALUE(_xlfn.XLOOKUP($AA59,Строчный!$S:$S,Строчный!U:U,"ERR",0))</f>
        <v>2</v>
      </c>
      <c r="U59" s="14" t="s">
        <v>241</v>
      </c>
      <c r="V59" s="98" t="str">
        <f t="shared" ca="1" si="9"/>
        <v>Кепка FREDRIKSON арт. 3147-667/70 (черный / белый)</v>
      </c>
      <c r="W59" s="97" t="str">
        <f t="shared" ca="1" si="10"/>
        <v>Кепка FREDRIKSON арт. 3147-667/70 (черный / белый) {667/70}</v>
      </c>
      <c r="X59" s="18" t="str">
        <f t="shared" ca="1" si="11"/>
        <v>черный</v>
      </c>
      <c r="Y59" s="18" t="str">
        <f t="shared" ca="1" si="12"/>
        <v>белый</v>
      </c>
      <c r="Z59" s="109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0" t="str">
        <f ca="1"/>
        <v>95-093-72-57</v>
      </c>
      <c r="AB59" s="72" t="str">
        <f ca="1">VLOOKUP(C59,Группа!A:B,2,FALSE)</f>
        <v>Кепка</v>
      </c>
      <c r="AC59" s="94" t="str">
        <f ca="1">IFERROR(VLOOKUP(S59,Размеры!A:C,3,FALSE),"")</f>
        <v>57 M</v>
      </c>
      <c r="AD59" s="94" t="str">
        <f ca="1">VLOOKUP(I59,ЦветПолный!A:B,2,FALSE)</f>
        <v>72</v>
      </c>
      <c r="AE59" s="94" t="str">
        <f ca="1">IFERROR(VLOOKUP(S59,Размеры!A:D,4,FALSE),"")</f>
        <v>57</v>
      </c>
      <c r="AF59" s="94">
        <f ca="1">SUMIF(Группа!A:A,C59,Группа!C:C)</f>
        <v>1</v>
      </c>
      <c r="AG59" s="94">
        <f ca="1">SUMIF(Группа!B:B,AB59,Группа!C:C)</f>
        <v>1</v>
      </c>
      <c r="AH59" s="94">
        <f ca="1">SUMIF(Формы!A:A,D59,Формы!B:B)</f>
        <v>1</v>
      </c>
      <c r="AI59" s="94">
        <f ca="1">IF(IFERROR(VLOOKUP(J59,Материал!D:D,1,0),0)&gt;0,1,SUMIF(Материал!A:A,K59,Материал!B:B))</f>
        <v>1</v>
      </c>
      <c r="AJ59" s="94">
        <f ca="1">SUMIF(Размеры!A:A,S59,Размеры!E:E)</f>
        <v>1</v>
      </c>
      <c r="AK59" s="94">
        <f ca="1">SUMIF(Сезон!A:A,F59,Сезон!B:B)</f>
        <v>1</v>
      </c>
      <c r="AL59" s="94">
        <f ca="1">VLOOKUP(I59,ЦветПолный!A:C,3,0)</f>
        <v>1</v>
      </c>
      <c r="AM59" s="94">
        <f ca="1">SUMIF(Цвет!A:A,Z59,Цвет!B:B)</f>
        <v>1</v>
      </c>
      <c r="AN59" s="94">
        <f ca="1">_xlfn.XLOOKUP(L59,Пол!A:A,Пол!B:B,0,0)</f>
        <v>1</v>
      </c>
      <c r="AO59" s="94">
        <f ca="1">SUMIF(Бренд!A:A,G59,Бренд!B:B)</f>
        <v>1</v>
      </c>
      <c r="AP59" s="137">
        <f ca="1">SUMIF(Страна!A:A,M59,Страна!B:B)</f>
        <v>1</v>
      </c>
      <c r="AQ59" s="150" t="str">
        <f t="shared" ca="1" si="13"/>
        <v>Кепка FREDRIKSON арт. 3147-667/70 (черный / белый) {667/70}</v>
      </c>
      <c r="AR59" s="94">
        <f t="shared" ca="1" si="14"/>
        <v>1</v>
      </c>
      <c r="AS59" s="143">
        <f t="shared" ca="1" si="15"/>
        <v>1</v>
      </c>
      <c r="AT59" s="138" t="str">
        <f ca="1">IF(IFERROR(VLOOKUP(W59,Товары!A:B,2,FALSE),"")=A59,"Есть в 1С","ERR")</f>
        <v>ERR</v>
      </c>
      <c r="AU59" s="139" t="str">
        <f ca="1">IF(IFERROR(VLOOKUP(A59,Товары!B:B,1,FALSE),"")=A59,"Есть в 1С","ERR")</f>
        <v>ERR</v>
      </c>
      <c r="AV59" s="93" t="e">
        <f ca="1">VLOOKUP(W59,Товары!A:B,2,FALSE)</f>
        <v>#N/A</v>
      </c>
      <c r="AW59" s="91" t="e">
        <f ca="1">VLOOKUP(W59,Товары!A:B,1,FALSE)</f>
        <v>#N/A</v>
      </c>
    </row>
    <row r="60" spans="1:49" x14ac:dyDescent="0.25">
      <c r="A60" s="105" t="str">
        <f t="shared" ca="1" si="8"/>
        <v>95-093-72</v>
      </c>
      <c r="B60" s="78" t="str">
        <f ca="1">_xlfn.LET(_xlpm.CAPS,VLOOKUP(G60,Caps!A:B,2,0),_xlpm.Style,TRIM(_xlfn.XLOOKUP($A60,Строчный!$A:$A,Строчный!B:B,"ERR",0)),IF(_xlpm.CAPS=0,_xlpm.Style,UPPER(_xlpm.Style)))</f>
        <v>3147-667/70</v>
      </c>
      <c r="C60" s="78" t="str">
        <f ca="1">TRIM(PROPER(_xlfn.XLOOKUP($A60,Строчный!$A:$A,Строчный!C:C,"ERR",0)))</f>
        <v>Кепки</v>
      </c>
      <c r="D60" s="78" t="str">
        <f ca="1">_xlfn.LET(_xlpm.DATA,TRIM(_xlfn.XLOOKUP($A60,Строчный!$A:$A,Строчный!D:D,"ERR",0)),UPPER(MID(_xlpm.DATA,1,1))&amp;LOWER(MID(_xlpm.DATA,2,LEN(_xlpm.DATA)-1)))</f>
        <v>Кепка шестиклинка</v>
      </c>
      <c r="E60" s="78" t="str">
        <f ca="1">PROPER(TRIM(_xlfn.XLOOKUP($A60,Строчный!$A:$A,Строчный!E:E,"ERR",0)))</f>
        <v>Fredrikson</v>
      </c>
      <c r="F60" s="78" t="str">
        <f ca="1">LOWER(TRIM(_xlfn.XLOOKUP($A60,Строчный!$A:$A,Строчный!F:F,"ERR",0)))</f>
        <v>всесезон</v>
      </c>
      <c r="G60" s="78" t="str">
        <f ca="1">UPPER(TRIM(_xlfn.XLOOKUP($A60,Строчный!$A:$A,Строчный!G:G,"ERR",0)))</f>
        <v>FREDRIKSON</v>
      </c>
      <c r="H60" s="78" t="str">
        <f ca="1">LOWER(TRIM(_xlfn.XLOOKUP($A60,Строчный!$A:$A,Строчный!H:H,"ERR",0)))</f>
        <v>667/70</v>
      </c>
      <c r="I60" s="78" t="str">
        <f ca="1">LOWER(TRIM(_xlfn.XLOOKUP($A60,Строчный!$A:$A,Строчный!I:I,"ERR",0)))</f>
        <v>черный / белый</v>
      </c>
      <c r="J60" s="78" t="str">
        <f ca="1">SUBSTITUTE(LOWER(TRIM(_xlfn.XLOOKUP($A60,Строчный!$A:$A,Строчный!J:J,"ERR",0))),"подклад","Подклад")</f>
        <v>80% шерсть - 20% полиамид / Подклад: 100% вискоза</v>
      </c>
      <c r="K60" s="78" t="str">
        <f ca="1">LOWER(TRIM(_xlfn.XLOOKUP($A60,Строчный!$A:$A,Строчный!K:K,"ERR",0)))</f>
        <v>шерстяные</v>
      </c>
      <c r="L60" s="78" t="str">
        <f ca="1">PROPER(TRIM(_xlfn.XLOOKUP($A60,Строчный!$A:$A,Строчный!L:L,"ERR",0)))</f>
        <v>Унисекс</v>
      </c>
      <c r="M60" s="105" t="str">
        <f ca="1">PROPER(TRIM(_xlfn.XLOOKUP($A60,Строчный!$A:$A,Строчный!M:M,"ERR",0)))</f>
        <v>Россия</v>
      </c>
      <c r="N60" s="78" t="str">
        <f ca="1">UPPER(TRIM(_xlfn.XLOOKUP($A60,Строчный!$A:$A,Строчный!O:O,"ERR",0)))</f>
        <v/>
      </c>
      <c r="O60" s="99" t="str">
        <f ca="1">PROPER(TRIM(_xlfn.XLOOKUP($A60,Строчный!$A:$A,Строчный!P:P,"ERR",0)))</f>
        <v/>
      </c>
      <c r="P60" s="78" t="str">
        <f ca="1">PROPER(TRIM(_xlfn.XLOOKUP($A60,Строчный!$A:$A,Строчный!R:R,"ERR",0)))</f>
        <v/>
      </c>
      <c r="Q60" s="87">
        <f ca="1">VALUE(_xlfn.XLOOKUP($A60,Строчный!$A:$A,Строчный!N:N,"ERR",0))</f>
        <v>975.8</v>
      </c>
      <c r="R60" s="86" t="str">
        <f ca="1">_xlfn.XLOOKUP($G60,Фабрика!A:A,Фабрика!B:B,"ERR",0)</f>
        <v>ООО "ФРЭДРИКСОН" Россия 192029, С-Петербург, пр. Обуховской обороны, д.86, лит М</v>
      </c>
      <c r="S60" s="77" t="str">
        <f ca="1">_xlfn.XLOOKUP(RIGHT(AA60,2),Размеры!D:D,Размеры!A:A,"ERR",0)</f>
        <v>56</v>
      </c>
      <c r="T60" s="77">
        <f ca="1">VALUE(_xlfn.XLOOKUP($AA60,Строчный!$S:$S,Строчный!U:U,"ERR",0))</f>
        <v>1</v>
      </c>
      <c r="U60" s="14" t="s">
        <v>241</v>
      </c>
      <c r="V60" s="98" t="str">
        <f t="shared" ca="1" si="9"/>
        <v>Кепка FREDRIKSON арт. 3147-667/70 (черный / белый)</v>
      </c>
      <c r="W60" s="97" t="str">
        <f t="shared" ca="1" si="10"/>
        <v>Кепка FREDRIKSON арт. 3147-667/70 (черный / белый) {667/70}</v>
      </c>
      <c r="X60" s="18" t="str">
        <f t="shared" ca="1" si="11"/>
        <v>черный</v>
      </c>
      <c r="Y60" s="18" t="str">
        <f t="shared" ca="1" si="12"/>
        <v>белый</v>
      </c>
      <c r="Z60" s="109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0" t="str">
        <f ca="1"/>
        <v>95-093-72-56</v>
      </c>
      <c r="AB60" s="72" t="str">
        <f ca="1">VLOOKUP(C60,Группа!A:B,2,FALSE)</f>
        <v>Кепка</v>
      </c>
      <c r="AC60" s="94" t="str">
        <f ca="1">IFERROR(VLOOKUP(S60,Размеры!A:C,3,FALSE),"")</f>
        <v>56 S/M</v>
      </c>
      <c r="AD60" s="94" t="str">
        <f ca="1">VLOOKUP(I60,ЦветПолный!A:B,2,FALSE)</f>
        <v>72</v>
      </c>
      <c r="AE60" s="94" t="str">
        <f ca="1">IFERROR(VLOOKUP(S60,Размеры!A:D,4,FALSE),"")</f>
        <v>56</v>
      </c>
      <c r="AF60" s="94">
        <f ca="1">SUMIF(Группа!A:A,C60,Группа!C:C)</f>
        <v>1</v>
      </c>
      <c r="AG60" s="94">
        <f ca="1">SUMIF(Группа!B:B,AB60,Группа!C:C)</f>
        <v>1</v>
      </c>
      <c r="AH60" s="94">
        <f ca="1">SUMIF(Формы!A:A,D60,Формы!B:B)</f>
        <v>1</v>
      </c>
      <c r="AI60" s="94">
        <f ca="1">IF(IFERROR(VLOOKUP(J60,Материал!D:D,1,0),0)&gt;0,1,SUMIF(Материал!A:A,K60,Материал!B:B))</f>
        <v>1</v>
      </c>
      <c r="AJ60" s="94">
        <f ca="1">SUMIF(Размеры!A:A,S60,Размеры!E:E)</f>
        <v>1</v>
      </c>
      <c r="AK60" s="94">
        <f ca="1">SUMIF(Сезон!A:A,F60,Сезон!B:B)</f>
        <v>1</v>
      </c>
      <c r="AL60" s="94">
        <f ca="1">VLOOKUP(I60,ЦветПолный!A:C,3,0)</f>
        <v>1</v>
      </c>
      <c r="AM60" s="94">
        <f ca="1">SUMIF(Цвет!A:A,Z60,Цвет!B:B)</f>
        <v>1</v>
      </c>
      <c r="AN60" s="94">
        <f ca="1">_xlfn.XLOOKUP(L60,Пол!A:A,Пол!B:B,0,0)</f>
        <v>1</v>
      </c>
      <c r="AO60" s="94">
        <f ca="1">SUMIF(Бренд!A:A,G60,Бренд!B:B)</f>
        <v>1</v>
      </c>
      <c r="AP60" s="137">
        <f ca="1">SUMIF(Страна!A:A,M60,Страна!B:B)</f>
        <v>1</v>
      </c>
      <c r="AQ60" s="150" t="str">
        <f t="shared" ca="1" si="13"/>
        <v>Кепка FREDRIKSON арт. 3147-667/70 (черный / белый) {667/70}</v>
      </c>
      <c r="AR60" s="94">
        <f t="shared" ca="1" si="14"/>
        <v>1</v>
      </c>
      <c r="AS60" s="143">
        <f t="shared" ca="1" si="15"/>
        <v>1</v>
      </c>
      <c r="AT60" s="138" t="str">
        <f ca="1">IF(IFERROR(VLOOKUP(W60,Товары!A:B,2,FALSE),"")=A60,"Есть в 1С","ERR")</f>
        <v>ERR</v>
      </c>
      <c r="AU60" s="139" t="str">
        <f ca="1">IF(IFERROR(VLOOKUP(A60,Товары!B:B,1,FALSE),"")=A60,"Есть в 1С","ERR")</f>
        <v>ERR</v>
      </c>
      <c r="AV60" s="93" t="e">
        <f ca="1">VLOOKUP(W60,Товары!A:B,2,FALSE)</f>
        <v>#N/A</v>
      </c>
      <c r="AW60" s="91" t="e">
        <f ca="1">VLOOKUP(W60,Товары!A:B,1,FALSE)</f>
        <v>#N/A</v>
      </c>
    </row>
    <row r="61" spans="1:49" x14ac:dyDescent="0.25">
      <c r="A61" s="105" t="str">
        <f t="shared" ca="1" si="8"/>
        <v>95-092-14</v>
      </c>
      <c r="B61" s="78" t="str">
        <f ca="1">_xlfn.LET(_xlpm.CAPS,VLOOKUP(G61,Caps!A:B,2,0),_xlpm.Style,TRIM(_xlfn.XLOOKUP($A61,Строчный!$A:$A,Строчный!B:B,"ERR",0)),IF(_xlpm.CAPS=0,_xlpm.Style,UPPER(_xlpm.Style)))</f>
        <v>3147-655/55</v>
      </c>
      <c r="C61" s="78" t="str">
        <f ca="1">TRIM(PROPER(_xlfn.XLOOKUP($A61,Строчный!$A:$A,Строчный!C:C,"ERR",0)))</f>
        <v>Кепки</v>
      </c>
      <c r="D61" s="78" t="str">
        <f ca="1">_xlfn.LET(_xlpm.DATA,TRIM(_xlfn.XLOOKUP($A61,Строчный!$A:$A,Строчный!D:D,"ERR",0)),UPPER(MID(_xlpm.DATA,1,1))&amp;LOWER(MID(_xlpm.DATA,2,LEN(_xlpm.DATA)-1)))</f>
        <v>Кепка шестиклинка</v>
      </c>
      <c r="E61" s="78" t="str">
        <f ca="1">PROPER(TRIM(_xlfn.XLOOKUP($A61,Строчный!$A:$A,Строчный!E:E,"ERR",0)))</f>
        <v>Fredrikson</v>
      </c>
      <c r="F61" s="78" t="str">
        <f ca="1">LOWER(TRIM(_xlfn.XLOOKUP($A61,Строчный!$A:$A,Строчный!F:F,"ERR",0)))</f>
        <v>всесезон</v>
      </c>
      <c r="G61" s="78" t="str">
        <f ca="1">UPPER(TRIM(_xlfn.XLOOKUP($A61,Строчный!$A:$A,Строчный!G:G,"ERR",0)))</f>
        <v>FREDRIKSON</v>
      </c>
      <c r="H61" s="78" t="str">
        <f ca="1">LOWER(TRIM(_xlfn.XLOOKUP($A61,Строчный!$A:$A,Строчный!H:H,"ERR",0)))</f>
        <v>655/55</v>
      </c>
      <c r="I61" s="78" t="str">
        <f ca="1">LOWER(TRIM(_xlfn.XLOOKUP($A61,Строчный!$A:$A,Строчный!I:I,"ERR",0)))</f>
        <v>коричневый</v>
      </c>
      <c r="J61" s="78" t="str">
        <f ca="1">SUBSTITUTE(LOWER(TRIM(_xlfn.XLOOKUP($A61,Строчный!$A:$A,Строчный!J:J,"ERR",0))),"подклад","Подклад")</f>
        <v>80% шерсть - 20% полиамид / Подклад: 100% вискоза</v>
      </c>
      <c r="K61" s="78" t="str">
        <f ca="1">LOWER(TRIM(_xlfn.XLOOKUP($A61,Строчный!$A:$A,Строчный!K:K,"ERR",0)))</f>
        <v>шерстяные</v>
      </c>
      <c r="L61" s="78" t="str">
        <f ca="1">PROPER(TRIM(_xlfn.XLOOKUP($A61,Строчный!$A:$A,Строчный!L:L,"ERR",0)))</f>
        <v>Унисекс</v>
      </c>
      <c r="M61" s="105" t="str">
        <f ca="1">PROPER(TRIM(_xlfn.XLOOKUP($A61,Строчный!$A:$A,Строчный!M:M,"ERR",0)))</f>
        <v>Россия</v>
      </c>
      <c r="N61" s="78" t="str">
        <f ca="1">UPPER(TRIM(_xlfn.XLOOKUP($A61,Строчный!$A:$A,Строчный!O:O,"ERR",0)))</f>
        <v/>
      </c>
      <c r="O61" s="99" t="str">
        <f ca="1">PROPER(TRIM(_xlfn.XLOOKUP($A61,Строчный!$A:$A,Строчный!P:P,"ERR",0)))</f>
        <v/>
      </c>
      <c r="P61" s="78" t="str">
        <f ca="1">PROPER(TRIM(_xlfn.XLOOKUP($A61,Строчный!$A:$A,Строчный!R:R,"ERR",0)))</f>
        <v/>
      </c>
      <c r="Q61" s="87">
        <f ca="1">VALUE(_xlfn.XLOOKUP($A61,Строчный!$A:$A,Строчный!N:N,"ERR",0))</f>
        <v>975.8</v>
      </c>
      <c r="R61" s="86" t="str">
        <f ca="1">_xlfn.XLOOKUP($G61,Фабрика!A:A,Фабрика!B:B,"ERR",0)</f>
        <v>ООО "ФРЭДРИКСОН" Россия 192029, С-Петербург, пр. Обуховской обороны, д.86, лит М</v>
      </c>
      <c r="S61" s="77" t="str">
        <f ca="1">_xlfn.XLOOKUP(RIGHT(AA61,2),Размеры!D:D,Размеры!A:A,"ERR",0)</f>
        <v>62</v>
      </c>
      <c r="T61" s="77">
        <f ca="1">VALUE(_xlfn.XLOOKUP($AA61,Строчный!$S:$S,Строчный!U:U,"ERR",0))</f>
        <v>1</v>
      </c>
      <c r="U61" s="14" t="s">
        <v>241</v>
      </c>
      <c r="V61" s="98" t="str">
        <f t="shared" ca="1" si="9"/>
        <v>Кепка FREDRIKSON арт. 3147-655/55 (коричневый)</v>
      </c>
      <c r="W61" s="97" t="str">
        <f t="shared" ca="1" si="10"/>
        <v>Кепка FREDRIKSON арт. 3147-655/55 (коричневый) {655/55}</v>
      </c>
      <c r="X61" s="18" t="str">
        <f t="shared" ca="1" si="11"/>
        <v>коричневый</v>
      </c>
      <c r="Y61" s="18" t="str">
        <f t="shared" ca="1" si="12"/>
        <v>коричневый</v>
      </c>
      <c r="Z61" s="109" t="str">
        <f ca="1">_xlfn.LET(_xlpm.FormColors,_xlfn.XLOOKUP(A61,Строчный!A:A,Строчный!Q:Q,"",0),IF(_xlpm.FormColors=0,IFERROR(MID(I61,FIND("-",I61)+1,LEN(I61)),IFERROR(MID(I61,1,FIND("/",I61)-2),I61)),_xlpm.FormColors))</f>
        <v>коричневый</v>
      </c>
      <c r="AA61" s="70" t="str">
        <f ca="1"/>
        <v>95-092-14-62</v>
      </c>
      <c r="AB61" s="72" t="str">
        <f ca="1">VLOOKUP(C61,Группа!A:B,2,FALSE)</f>
        <v>Кепка</v>
      </c>
      <c r="AC61" s="94" t="str">
        <f ca="1">IFERROR(VLOOKUP(S61,Размеры!A:C,3,FALSE),"")</f>
        <v>62 XL/XXL</v>
      </c>
      <c r="AD61" s="94" t="str">
        <f ca="1">VLOOKUP(I61,ЦветПолный!A:B,2,FALSE)</f>
        <v>14</v>
      </c>
      <c r="AE61" s="94" t="str">
        <f ca="1">IFERROR(VLOOKUP(S61,Размеры!A:D,4,FALSE),"")</f>
        <v>62</v>
      </c>
      <c r="AF61" s="94">
        <f ca="1">SUMIF(Группа!A:A,C61,Группа!C:C)</f>
        <v>1</v>
      </c>
      <c r="AG61" s="94">
        <f ca="1">SUMIF(Группа!B:B,AB61,Группа!C:C)</f>
        <v>1</v>
      </c>
      <c r="AH61" s="94">
        <f ca="1">SUMIF(Формы!A:A,D61,Формы!B:B)</f>
        <v>1</v>
      </c>
      <c r="AI61" s="94">
        <f ca="1">IF(IFERROR(VLOOKUP(J61,Материал!D:D,1,0),0)&gt;0,1,SUMIF(Материал!A:A,K61,Материал!B:B))</f>
        <v>1</v>
      </c>
      <c r="AJ61" s="94">
        <f ca="1">SUMIF(Размеры!A:A,S61,Размеры!E:E)</f>
        <v>1</v>
      </c>
      <c r="AK61" s="94">
        <f ca="1">SUMIF(Сезон!A:A,F61,Сезон!B:B)</f>
        <v>1</v>
      </c>
      <c r="AL61" s="94">
        <f ca="1">VLOOKUP(I61,ЦветПолный!A:C,3,0)</f>
        <v>1</v>
      </c>
      <c r="AM61" s="94">
        <f ca="1">SUMIF(Цвет!A:A,Z61,Цвет!B:B)</f>
        <v>1</v>
      </c>
      <c r="AN61" s="94">
        <f ca="1">_xlfn.XLOOKUP(L61,Пол!A:A,Пол!B:B,0,0)</f>
        <v>1</v>
      </c>
      <c r="AO61" s="94">
        <f ca="1">SUMIF(Бренд!A:A,G61,Бренд!B:B)</f>
        <v>1</v>
      </c>
      <c r="AP61" s="137">
        <f ca="1">SUMIF(Страна!A:A,M61,Страна!B:B)</f>
        <v>1</v>
      </c>
      <c r="AQ61" s="150" t="str">
        <f t="shared" ca="1" si="13"/>
        <v>Кепка FREDRIKSON арт. 3147-655/55 (коричневый) {655/55}</v>
      </c>
      <c r="AR61" s="94">
        <f t="shared" ca="1" si="14"/>
        <v>1</v>
      </c>
      <c r="AS61" s="143">
        <f t="shared" ca="1" si="15"/>
        <v>1</v>
      </c>
      <c r="AT61" s="138" t="str">
        <f ca="1">IF(IFERROR(VLOOKUP(W61,Товары!A:B,2,FALSE),"")=A61,"Есть в 1С","ERR")</f>
        <v>ERR</v>
      </c>
      <c r="AU61" s="139" t="str">
        <f ca="1">IF(IFERROR(VLOOKUP(A61,Товары!B:B,1,FALSE),"")=A61,"Есть в 1С","ERR")</f>
        <v>ERR</v>
      </c>
      <c r="AV61" s="93" t="e">
        <f ca="1">VLOOKUP(W61,Товары!A:B,2,FALSE)</f>
        <v>#N/A</v>
      </c>
      <c r="AW61" s="91" t="e">
        <f ca="1">VLOOKUP(W61,Товары!A:B,1,FALSE)</f>
        <v>#N/A</v>
      </c>
    </row>
    <row r="62" spans="1:49" x14ac:dyDescent="0.25">
      <c r="A62" s="105" t="str">
        <f t="shared" ca="1" si="8"/>
        <v>95-092-14</v>
      </c>
      <c r="B62" s="78" t="str">
        <f ca="1">_xlfn.LET(_xlpm.CAPS,VLOOKUP(G62,Caps!A:B,2,0),_xlpm.Style,TRIM(_xlfn.XLOOKUP($A62,Строчный!$A:$A,Строчный!B:B,"ERR",0)),IF(_xlpm.CAPS=0,_xlpm.Style,UPPER(_xlpm.Style)))</f>
        <v>3147-655/55</v>
      </c>
      <c r="C62" s="78" t="str">
        <f ca="1">TRIM(PROPER(_xlfn.XLOOKUP($A62,Строчный!$A:$A,Строчный!C:C,"ERR",0)))</f>
        <v>Кепки</v>
      </c>
      <c r="D62" s="78" t="str">
        <f ca="1">_xlfn.LET(_xlpm.DATA,TRIM(_xlfn.XLOOKUP($A62,Строчный!$A:$A,Строчный!D:D,"ERR",0)),UPPER(MID(_xlpm.DATA,1,1))&amp;LOWER(MID(_xlpm.DATA,2,LEN(_xlpm.DATA)-1)))</f>
        <v>Кепка шестиклинка</v>
      </c>
      <c r="E62" s="78" t="str">
        <f ca="1">PROPER(TRIM(_xlfn.XLOOKUP($A62,Строчный!$A:$A,Строчный!E:E,"ERR",0)))</f>
        <v>Fredrikson</v>
      </c>
      <c r="F62" s="78" t="str">
        <f ca="1">LOWER(TRIM(_xlfn.XLOOKUP($A62,Строчный!$A:$A,Строчный!F:F,"ERR",0)))</f>
        <v>всесезон</v>
      </c>
      <c r="G62" s="78" t="str">
        <f ca="1">UPPER(TRIM(_xlfn.XLOOKUP($A62,Строчный!$A:$A,Строчный!G:G,"ERR",0)))</f>
        <v>FREDRIKSON</v>
      </c>
      <c r="H62" s="78" t="str">
        <f ca="1">LOWER(TRIM(_xlfn.XLOOKUP($A62,Строчный!$A:$A,Строчный!H:H,"ERR",0)))</f>
        <v>655/55</v>
      </c>
      <c r="I62" s="78" t="str">
        <f ca="1">LOWER(TRIM(_xlfn.XLOOKUP($A62,Строчный!$A:$A,Строчный!I:I,"ERR",0)))</f>
        <v>коричневый</v>
      </c>
      <c r="J62" s="78" t="str">
        <f ca="1">SUBSTITUTE(LOWER(TRIM(_xlfn.XLOOKUP($A62,Строчный!$A:$A,Строчный!J:J,"ERR",0))),"подклад","Подклад")</f>
        <v>80% шерсть - 20% полиамид / Подклад: 100% вискоза</v>
      </c>
      <c r="K62" s="78" t="str">
        <f ca="1">LOWER(TRIM(_xlfn.XLOOKUP($A62,Строчный!$A:$A,Строчный!K:K,"ERR",0)))</f>
        <v>шерстяные</v>
      </c>
      <c r="L62" s="78" t="str">
        <f ca="1">PROPER(TRIM(_xlfn.XLOOKUP($A62,Строчный!$A:$A,Строчный!L:L,"ERR",0)))</f>
        <v>Унисекс</v>
      </c>
      <c r="M62" s="105" t="str">
        <f ca="1">PROPER(TRIM(_xlfn.XLOOKUP($A62,Строчный!$A:$A,Строчный!M:M,"ERR",0)))</f>
        <v>Россия</v>
      </c>
      <c r="N62" s="78" t="str">
        <f ca="1">UPPER(TRIM(_xlfn.XLOOKUP($A62,Строчный!$A:$A,Строчный!O:O,"ERR",0)))</f>
        <v/>
      </c>
      <c r="O62" s="99" t="str">
        <f ca="1">PROPER(TRIM(_xlfn.XLOOKUP($A62,Строчный!$A:$A,Строчный!P:P,"ERR",0)))</f>
        <v/>
      </c>
      <c r="P62" s="78" t="str">
        <f ca="1">PROPER(TRIM(_xlfn.XLOOKUP($A62,Строчный!$A:$A,Строчный!R:R,"ERR",0)))</f>
        <v/>
      </c>
      <c r="Q62" s="87">
        <f ca="1">VALUE(_xlfn.XLOOKUP($A62,Строчный!$A:$A,Строчный!N:N,"ERR",0))</f>
        <v>975.8</v>
      </c>
      <c r="R62" s="86" t="str">
        <f ca="1">_xlfn.XLOOKUP($G62,Фабрика!A:A,Фабрика!B:B,"ERR",0)</f>
        <v>ООО "ФРЭДРИКСОН" Россия 192029, С-Петербург, пр. Обуховской обороны, д.86, лит М</v>
      </c>
      <c r="S62" s="77" t="str">
        <f ca="1">_xlfn.XLOOKUP(RIGHT(AA62,2),Размеры!D:D,Размеры!A:A,"ERR",0)</f>
        <v>61</v>
      </c>
      <c r="T62" s="77">
        <f ca="1">VALUE(_xlfn.XLOOKUP($AA62,Строчный!$S:$S,Строчный!U:U,"ERR",0))</f>
        <v>2</v>
      </c>
      <c r="U62" s="14" t="s">
        <v>241</v>
      </c>
      <c r="V62" s="98" t="str">
        <f t="shared" ca="1" si="9"/>
        <v>Кепка FREDRIKSON арт. 3147-655/55 (коричневый)</v>
      </c>
      <c r="W62" s="97" t="str">
        <f t="shared" ca="1" si="10"/>
        <v>Кепка FREDRIKSON арт. 3147-655/55 (коричневый) {655/55}</v>
      </c>
      <c r="X62" s="18" t="str">
        <f t="shared" ca="1" si="11"/>
        <v>коричневый</v>
      </c>
      <c r="Y62" s="18" t="str">
        <f t="shared" ca="1" si="12"/>
        <v>коричневый</v>
      </c>
      <c r="Z62" s="109" t="str">
        <f ca="1">_xlfn.LET(_xlpm.FormColors,_xlfn.XLOOKUP(A62,Строчный!A:A,Строчный!Q:Q,"",0),IF(_xlpm.FormColors=0,IFERROR(MID(I62,FIND("-",I62)+1,LEN(I62)),IFERROR(MID(I62,1,FIND("/",I62)-2),I62)),_xlpm.FormColors))</f>
        <v>коричневый</v>
      </c>
      <c r="AA62" s="70" t="str">
        <f ca="1"/>
        <v>95-092-14-61</v>
      </c>
      <c r="AB62" s="72" t="str">
        <f ca="1">VLOOKUP(C62,Группа!A:B,2,FALSE)</f>
        <v>Кепка</v>
      </c>
      <c r="AC62" s="94" t="str">
        <f ca="1">IFERROR(VLOOKUP(S62,Размеры!A:C,3,FALSE),"")</f>
        <v>61 XL</v>
      </c>
      <c r="AD62" s="94" t="str">
        <f ca="1">VLOOKUP(I62,ЦветПолный!A:B,2,FALSE)</f>
        <v>14</v>
      </c>
      <c r="AE62" s="94" t="str">
        <f ca="1">IFERROR(VLOOKUP(S62,Размеры!A:D,4,FALSE),"")</f>
        <v>61</v>
      </c>
      <c r="AF62" s="94">
        <f ca="1">SUMIF(Группа!A:A,C62,Группа!C:C)</f>
        <v>1</v>
      </c>
      <c r="AG62" s="94">
        <f ca="1">SUMIF(Группа!B:B,AB62,Группа!C:C)</f>
        <v>1</v>
      </c>
      <c r="AH62" s="94">
        <f ca="1">SUMIF(Формы!A:A,D62,Формы!B:B)</f>
        <v>1</v>
      </c>
      <c r="AI62" s="94">
        <f ca="1">IF(IFERROR(VLOOKUP(J62,Материал!D:D,1,0),0)&gt;0,1,SUMIF(Материал!A:A,K62,Материал!B:B))</f>
        <v>1</v>
      </c>
      <c r="AJ62" s="94">
        <f ca="1">SUMIF(Размеры!A:A,S62,Размеры!E:E)</f>
        <v>1</v>
      </c>
      <c r="AK62" s="94">
        <f ca="1">SUMIF(Сезон!A:A,F62,Сезон!B:B)</f>
        <v>1</v>
      </c>
      <c r="AL62" s="94">
        <f ca="1">VLOOKUP(I62,ЦветПолный!A:C,3,0)</f>
        <v>1</v>
      </c>
      <c r="AM62" s="94">
        <f ca="1">SUMIF(Цвет!A:A,Z62,Цвет!B:B)</f>
        <v>1</v>
      </c>
      <c r="AN62" s="94">
        <f ca="1">_xlfn.XLOOKUP(L62,Пол!A:A,Пол!B:B,0,0)</f>
        <v>1</v>
      </c>
      <c r="AO62" s="94">
        <f ca="1">SUMIF(Бренд!A:A,G62,Бренд!B:B)</f>
        <v>1</v>
      </c>
      <c r="AP62" s="137">
        <f ca="1">SUMIF(Страна!A:A,M62,Страна!B:B)</f>
        <v>1</v>
      </c>
      <c r="AQ62" s="150" t="str">
        <f t="shared" ca="1" si="13"/>
        <v>Кепка FREDRIKSON арт. 3147-655/55 (коричневый) {655/55}</v>
      </c>
      <c r="AR62" s="94">
        <f t="shared" ca="1" si="14"/>
        <v>1</v>
      </c>
      <c r="AS62" s="143">
        <f t="shared" ca="1" si="15"/>
        <v>1</v>
      </c>
      <c r="AT62" s="138" t="str">
        <f ca="1">IF(IFERROR(VLOOKUP(W62,Товары!A:B,2,FALSE),"")=A62,"Есть в 1С","ERR")</f>
        <v>ERR</v>
      </c>
      <c r="AU62" s="139" t="str">
        <f ca="1">IF(IFERROR(VLOOKUP(A62,Товары!B:B,1,FALSE),"")=A62,"Есть в 1С","ERR")</f>
        <v>ERR</v>
      </c>
      <c r="AV62" s="93" t="e">
        <f ca="1">VLOOKUP(W62,Товары!A:B,2,FALSE)</f>
        <v>#N/A</v>
      </c>
      <c r="AW62" s="91" t="e">
        <f ca="1">VLOOKUP(W62,Товары!A:B,1,FALSE)</f>
        <v>#N/A</v>
      </c>
    </row>
    <row r="63" spans="1:49" x14ac:dyDescent="0.25">
      <c r="A63" s="105" t="str">
        <f t="shared" ca="1" si="8"/>
        <v>95-092-14</v>
      </c>
      <c r="B63" s="78" t="str">
        <f ca="1">_xlfn.LET(_xlpm.CAPS,VLOOKUP(G63,Caps!A:B,2,0),_xlpm.Style,TRIM(_xlfn.XLOOKUP($A63,Строчный!$A:$A,Строчный!B:B,"ERR",0)),IF(_xlpm.CAPS=0,_xlpm.Style,UPPER(_xlpm.Style)))</f>
        <v>3147-655/55</v>
      </c>
      <c r="C63" s="78" t="str">
        <f ca="1">TRIM(PROPER(_xlfn.XLOOKUP($A63,Строчный!$A:$A,Строчный!C:C,"ERR",0)))</f>
        <v>Кепки</v>
      </c>
      <c r="D63" s="78" t="str">
        <f ca="1">_xlfn.LET(_xlpm.DATA,TRIM(_xlfn.XLOOKUP($A63,Строчный!$A:$A,Строчный!D:D,"ERR",0)),UPPER(MID(_xlpm.DATA,1,1))&amp;LOWER(MID(_xlpm.DATA,2,LEN(_xlpm.DATA)-1)))</f>
        <v>Кепка шестиклинка</v>
      </c>
      <c r="E63" s="78" t="str">
        <f ca="1">PROPER(TRIM(_xlfn.XLOOKUP($A63,Строчный!$A:$A,Строчный!E:E,"ERR",0)))</f>
        <v>Fredrikson</v>
      </c>
      <c r="F63" s="78" t="str">
        <f ca="1">LOWER(TRIM(_xlfn.XLOOKUP($A63,Строчный!$A:$A,Строчный!F:F,"ERR",0)))</f>
        <v>всесезон</v>
      </c>
      <c r="G63" s="78" t="str">
        <f ca="1">UPPER(TRIM(_xlfn.XLOOKUP($A63,Строчный!$A:$A,Строчный!G:G,"ERR",0)))</f>
        <v>FREDRIKSON</v>
      </c>
      <c r="H63" s="78" t="str">
        <f ca="1">LOWER(TRIM(_xlfn.XLOOKUP($A63,Строчный!$A:$A,Строчный!H:H,"ERR",0)))</f>
        <v>655/55</v>
      </c>
      <c r="I63" s="78" t="str">
        <f ca="1">LOWER(TRIM(_xlfn.XLOOKUP($A63,Строчный!$A:$A,Строчный!I:I,"ERR",0)))</f>
        <v>коричневый</v>
      </c>
      <c r="J63" s="78" t="str">
        <f ca="1">SUBSTITUTE(LOWER(TRIM(_xlfn.XLOOKUP($A63,Строчный!$A:$A,Строчный!J:J,"ERR",0))),"подклад","Подклад")</f>
        <v>80% шерсть - 20% полиамид / Подклад: 100% вискоза</v>
      </c>
      <c r="K63" s="78" t="str">
        <f ca="1">LOWER(TRIM(_xlfn.XLOOKUP($A63,Строчный!$A:$A,Строчный!K:K,"ERR",0)))</f>
        <v>шерстяные</v>
      </c>
      <c r="L63" s="78" t="str">
        <f ca="1">PROPER(TRIM(_xlfn.XLOOKUP($A63,Строчный!$A:$A,Строчный!L:L,"ERR",0)))</f>
        <v>Унисекс</v>
      </c>
      <c r="M63" s="105" t="str">
        <f ca="1">PROPER(TRIM(_xlfn.XLOOKUP($A63,Строчный!$A:$A,Строчный!M:M,"ERR",0)))</f>
        <v>Россия</v>
      </c>
      <c r="N63" s="78" t="str">
        <f ca="1">UPPER(TRIM(_xlfn.XLOOKUP($A63,Строчный!$A:$A,Строчный!O:O,"ERR",0)))</f>
        <v/>
      </c>
      <c r="O63" s="99" t="str">
        <f ca="1">PROPER(TRIM(_xlfn.XLOOKUP($A63,Строчный!$A:$A,Строчный!P:P,"ERR",0)))</f>
        <v/>
      </c>
      <c r="P63" s="78" t="str">
        <f ca="1">PROPER(TRIM(_xlfn.XLOOKUP($A63,Строчный!$A:$A,Строчный!R:R,"ERR",0)))</f>
        <v/>
      </c>
      <c r="Q63" s="87">
        <f ca="1">VALUE(_xlfn.XLOOKUP($A63,Строчный!$A:$A,Строчный!N:N,"ERR",0))</f>
        <v>975.8</v>
      </c>
      <c r="R63" s="86" t="str">
        <f ca="1">_xlfn.XLOOKUP($G63,Фабрика!A:A,Фабрика!B:B,"ERR",0)</f>
        <v>ООО "ФРЭДРИКСОН" Россия 192029, С-Петербург, пр. Обуховской обороны, д.86, лит М</v>
      </c>
      <c r="S63" s="77" t="str">
        <f ca="1">_xlfn.XLOOKUP(RIGHT(AA63,2),Размеры!D:D,Размеры!A:A,"ERR",0)</f>
        <v>60</v>
      </c>
      <c r="T63" s="77">
        <f ca="1">VALUE(_xlfn.XLOOKUP($AA63,Строчный!$S:$S,Строчный!U:U,"ERR",0))</f>
        <v>3</v>
      </c>
      <c r="U63" s="14" t="s">
        <v>241</v>
      </c>
      <c r="V63" s="98" t="str">
        <f t="shared" ca="1" si="9"/>
        <v>Кепка FREDRIKSON арт. 3147-655/55 (коричневый)</v>
      </c>
      <c r="W63" s="97" t="str">
        <f t="shared" ca="1" si="10"/>
        <v>Кепка FREDRIKSON арт. 3147-655/55 (коричневый) {655/55}</v>
      </c>
      <c r="X63" s="18" t="str">
        <f t="shared" ca="1" si="11"/>
        <v>коричневый</v>
      </c>
      <c r="Y63" s="18" t="str">
        <f t="shared" ca="1" si="12"/>
        <v>коричневый</v>
      </c>
      <c r="Z63" s="109" t="str">
        <f ca="1">_xlfn.LET(_xlpm.FormColors,_xlfn.XLOOKUP(A63,Строчный!A:A,Строчный!Q:Q,"",0),IF(_xlpm.FormColors=0,IFERROR(MID(I63,FIND("-",I63)+1,LEN(I63)),IFERROR(MID(I63,1,FIND("/",I63)-2),I63)),_xlpm.FormColors))</f>
        <v>коричневый</v>
      </c>
      <c r="AA63" s="70" t="str">
        <f ca="1"/>
        <v>95-092-14-60</v>
      </c>
      <c r="AB63" s="72" t="str">
        <f ca="1">VLOOKUP(C63,Группа!A:B,2,FALSE)</f>
        <v>Кепка</v>
      </c>
      <c r="AC63" s="94" t="str">
        <f ca="1">IFERROR(VLOOKUP(S63,Размеры!A:C,3,FALSE),"")</f>
        <v>60 L/XL</v>
      </c>
      <c r="AD63" s="94" t="str">
        <f ca="1">VLOOKUP(I63,ЦветПолный!A:B,2,FALSE)</f>
        <v>14</v>
      </c>
      <c r="AE63" s="94" t="str">
        <f ca="1">IFERROR(VLOOKUP(S63,Размеры!A:D,4,FALSE),"")</f>
        <v>60</v>
      </c>
      <c r="AF63" s="94">
        <f ca="1">SUMIF(Группа!A:A,C63,Группа!C:C)</f>
        <v>1</v>
      </c>
      <c r="AG63" s="94">
        <f ca="1">SUMIF(Группа!B:B,AB63,Группа!C:C)</f>
        <v>1</v>
      </c>
      <c r="AH63" s="94">
        <f ca="1">SUMIF(Формы!A:A,D63,Формы!B:B)</f>
        <v>1</v>
      </c>
      <c r="AI63" s="94">
        <f ca="1">IF(IFERROR(VLOOKUP(J63,Материал!D:D,1,0),0)&gt;0,1,SUMIF(Материал!A:A,K63,Материал!B:B))</f>
        <v>1</v>
      </c>
      <c r="AJ63" s="94">
        <f ca="1">SUMIF(Размеры!A:A,S63,Размеры!E:E)</f>
        <v>1</v>
      </c>
      <c r="AK63" s="94">
        <f ca="1">SUMIF(Сезон!A:A,F63,Сезон!B:B)</f>
        <v>1</v>
      </c>
      <c r="AL63" s="94">
        <f ca="1">VLOOKUP(I63,ЦветПолный!A:C,3,0)</f>
        <v>1</v>
      </c>
      <c r="AM63" s="94">
        <f ca="1">SUMIF(Цвет!A:A,Z63,Цвет!B:B)</f>
        <v>1</v>
      </c>
      <c r="AN63" s="94">
        <f ca="1">_xlfn.XLOOKUP(L63,Пол!A:A,Пол!B:B,0,0)</f>
        <v>1</v>
      </c>
      <c r="AO63" s="94">
        <f ca="1">SUMIF(Бренд!A:A,G63,Бренд!B:B)</f>
        <v>1</v>
      </c>
      <c r="AP63" s="137">
        <f ca="1">SUMIF(Страна!A:A,M63,Страна!B:B)</f>
        <v>1</v>
      </c>
      <c r="AQ63" s="150" t="str">
        <f t="shared" ca="1" si="13"/>
        <v>Кепка FREDRIKSON арт. 3147-655/55 (коричневый) {655/55}</v>
      </c>
      <c r="AR63" s="94">
        <f t="shared" ca="1" si="14"/>
        <v>1</v>
      </c>
      <c r="AS63" s="143">
        <f t="shared" ca="1" si="15"/>
        <v>1</v>
      </c>
      <c r="AT63" s="138" t="str">
        <f ca="1">IF(IFERROR(VLOOKUP(W63,Товары!A:B,2,FALSE),"")=A63,"Есть в 1С","ERR")</f>
        <v>ERR</v>
      </c>
      <c r="AU63" s="139" t="str">
        <f ca="1">IF(IFERROR(VLOOKUP(A63,Товары!B:B,1,FALSE),"")=A63,"Есть в 1С","ERR")</f>
        <v>ERR</v>
      </c>
      <c r="AV63" s="93" t="e">
        <f ca="1">VLOOKUP(W63,Товары!A:B,2,FALSE)</f>
        <v>#N/A</v>
      </c>
      <c r="AW63" s="91" t="e">
        <f ca="1">VLOOKUP(W63,Товары!A:B,1,FALSE)</f>
        <v>#N/A</v>
      </c>
    </row>
    <row r="64" spans="1:49" x14ac:dyDescent="0.25">
      <c r="A64" s="105" t="str">
        <f t="shared" ca="1" si="8"/>
        <v>95-092-14</v>
      </c>
      <c r="B64" s="78" t="str">
        <f ca="1">_xlfn.LET(_xlpm.CAPS,VLOOKUP(G64,Caps!A:B,2,0),_xlpm.Style,TRIM(_xlfn.XLOOKUP($A64,Строчный!$A:$A,Строчный!B:B,"ERR",0)),IF(_xlpm.CAPS=0,_xlpm.Style,UPPER(_xlpm.Style)))</f>
        <v>3147-655/55</v>
      </c>
      <c r="C64" s="78" t="str">
        <f ca="1">TRIM(PROPER(_xlfn.XLOOKUP($A64,Строчный!$A:$A,Строчный!C:C,"ERR",0)))</f>
        <v>Кепки</v>
      </c>
      <c r="D64" s="78" t="str">
        <f ca="1">_xlfn.LET(_xlpm.DATA,TRIM(_xlfn.XLOOKUP($A64,Строчный!$A:$A,Строчный!D:D,"ERR",0)),UPPER(MID(_xlpm.DATA,1,1))&amp;LOWER(MID(_xlpm.DATA,2,LEN(_xlpm.DATA)-1)))</f>
        <v>Кепка шестиклинка</v>
      </c>
      <c r="E64" s="78" t="str">
        <f ca="1">PROPER(TRIM(_xlfn.XLOOKUP($A64,Строчный!$A:$A,Строчный!E:E,"ERR",0)))</f>
        <v>Fredrikson</v>
      </c>
      <c r="F64" s="78" t="str">
        <f ca="1">LOWER(TRIM(_xlfn.XLOOKUP($A64,Строчный!$A:$A,Строчный!F:F,"ERR",0)))</f>
        <v>всесезон</v>
      </c>
      <c r="G64" s="78" t="str">
        <f ca="1">UPPER(TRIM(_xlfn.XLOOKUP($A64,Строчный!$A:$A,Строчный!G:G,"ERR",0)))</f>
        <v>FREDRIKSON</v>
      </c>
      <c r="H64" s="78" t="str">
        <f ca="1">LOWER(TRIM(_xlfn.XLOOKUP($A64,Строчный!$A:$A,Строчный!H:H,"ERR",0)))</f>
        <v>655/55</v>
      </c>
      <c r="I64" s="78" t="str">
        <f ca="1">LOWER(TRIM(_xlfn.XLOOKUP($A64,Строчный!$A:$A,Строчный!I:I,"ERR",0)))</f>
        <v>коричневый</v>
      </c>
      <c r="J64" s="78" t="str">
        <f ca="1">SUBSTITUTE(LOWER(TRIM(_xlfn.XLOOKUP($A64,Строчный!$A:$A,Строчный!J:J,"ERR",0))),"подклад","Подклад")</f>
        <v>80% шерсть - 20% полиамид / Подклад: 100% вискоза</v>
      </c>
      <c r="K64" s="78" t="str">
        <f ca="1">LOWER(TRIM(_xlfn.XLOOKUP($A64,Строчный!$A:$A,Строчный!K:K,"ERR",0)))</f>
        <v>шерстяные</v>
      </c>
      <c r="L64" s="78" t="str">
        <f ca="1">PROPER(TRIM(_xlfn.XLOOKUP($A64,Строчный!$A:$A,Строчный!L:L,"ERR",0)))</f>
        <v>Унисекс</v>
      </c>
      <c r="M64" s="105" t="str">
        <f ca="1">PROPER(TRIM(_xlfn.XLOOKUP($A64,Строчный!$A:$A,Строчный!M:M,"ERR",0)))</f>
        <v>Россия</v>
      </c>
      <c r="N64" s="78" t="str">
        <f ca="1">UPPER(TRIM(_xlfn.XLOOKUP($A64,Строчный!$A:$A,Строчный!O:O,"ERR",0)))</f>
        <v/>
      </c>
      <c r="O64" s="99" t="str">
        <f ca="1">PROPER(TRIM(_xlfn.XLOOKUP($A64,Строчный!$A:$A,Строчный!P:P,"ERR",0)))</f>
        <v/>
      </c>
      <c r="P64" s="78" t="str">
        <f ca="1">PROPER(TRIM(_xlfn.XLOOKUP($A64,Строчный!$A:$A,Строчный!R:R,"ERR",0)))</f>
        <v/>
      </c>
      <c r="Q64" s="87">
        <f ca="1">VALUE(_xlfn.XLOOKUP($A64,Строчный!$A:$A,Строчный!N:N,"ERR",0))</f>
        <v>975.8</v>
      </c>
      <c r="R64" s="86" t="str">
        <f ca="1">_xlfn.XLOOKUP($G64,Фабрика!A:A,Фабрика!B:B,"ERR",0)</f>
        <v>ООО "ФРЭДРИКСОН" Россия 192029, С-Петербург, пр. Обуховской обороны, д.86, лит М</v>
      </c>
      <c r="S64" s="77" t="str">
        <f ca="1">_xlfn.XLOOKUP(RIGHT(AA64,2),Размеры!D:D,Размеры!A:A,"ERR",0)</f>
        <v>59</v>
      </c>
      <c r="T64" s="77">
        <f ca="1">VALUE(_xlfn.XLOOKUP($AA64,Строчный!$S:$S,Строчный!U:U,"ERR",0))</f>
        <v>4</v>
      </c>
      <c r="U64" s="14" t="s">
        <v>241</v>
      </c>
      <c r="V64" s="98" t="str">
        <f t="shared" ca="1" si="9"/>
        <v>Кепка FREDRIKSON арт. 3147-655/55 (коричневый)</v>
      </c>
      <c r="W64" s="97" t="str">
        <f t="shared" ca="1" si="10"/>
        <v>Кепка FREDRIKSON арт. 3147-655/55 (коричневый) {655/55}</v>
      </c>
      <c r="X64" s="18" t="str">
        <f t="shared" ca="1" si="11"/>
        <v>коричневый</v>
      </c>
      <c r="Y64" s="18" t="str">
        <f t="shared" ca="1" si="12"/>
        <v>коричневый</v>
      </c>
      <c r="Z64" s="109" t="str">
        <f ca="1">_xlfn.LET(_xlpm.FormColors,_xlfn.XLOOKUP(A64,Строчный!A:A,Строчный!Q:Q,"",0),IF(_xlpm.FormColors=0,IFERROR(MID(I64,FIND("-",I64)+1,LEN(I64)),IFERROR(MID(I64,1,FIND("/",I64)-2),I64)),_xlpm.FormColors))</f>
        <v>коричневый</v>
      </c>
      <c r="AA64" s="70" t="str">
        <f ca="1"/>
        <v>95-092-14-59</v>
      </c>
      <c r="AB64" s="72" t="str">
        <f ca="1">VLOOKUP(C64,Группа!A:B,2,FALSE)</f>
        <v>Кепка</v>
      </c>
      <c r="AC64" s="94" t="str">
        <f ca="1">IFERROR(VLOOKUP(S64,Размеры!A:C,3,FALSE),"")</f>
        <v>59 L</v>
      </c>
      <c r="AD64" s="94" t="str">
        <f ca="1">VLOOKUP(I64,ЦветПолный!A:B,2,FALSE)</f>
        <v>14</v>
      </c>
      <c r="AE64" s="94" t="str">
        <f ca="1">IFERROR(VLOOKUP(S64,Размеры!A:D,4,FALSE),"")</f>
        <v>59</v>
      </c>
      <c r="AF64" s="94">
        <f ca="1">SUMIF(Группа!A:A,C64,Группа!C:C)</f>
        <v>1</v>
      </c>
      <c r="AG64" s="94">
        <f ca="1">SUMIF(Группа!B:B,AB64,Группа!C:C)</f>
        <v>1</v>
      </c>
      <c r="AH64" s="94">
        <f ca="1">SUMIF(Формы!A:A,D64,Формы!B:B)</f>
        <v>1</v>
      </c>
      <c r="AI64" s="94">
        <f ca="1">IF(IFERROR(VLOOKUP(J64,Материал!D:D,1,0),0)&gt;0,1,SUMIF(Материал!A:A,K64,Материал!B:B))</f>
        <v>1</v>
      </c>
      <c r="AJ64" s="94">
        <f ca="1">SUMIF(Размеры!A:A,S64,Размеры!E:E)</f>
        <v>1</v>
      </c>
      <c r="AK64" s="94">
        <f ca="1">SUMIF(Сезон!A:A,F64,Сезон!B:B)</f>
        <v>1</v>
      </c>
      <c r="AL64" s="94">
        <f ca="1">VLOOKUP(I64,ЦветПолный!A:C,3,0)</f>
        <v>1</v>
      </c>
      <c r="AM64" s="94">
        <f ca="1">SUMIF(Цвет!A:A,Z64,Цвет!B:B)</f>
        <v>1</v>
      </c>
      <c r="AN64" s="94">
        <f ca="1">_xlfn.XLOOKUP(L64,Пол!A:A,Пол!B:B,0,0)</f>
        <v>1</v>
      </c>
      <c r="AO64" s="94">
        <f ca="1">SUMIF(Бренд!A:A,G64,Бренд!B:B)</f>
        <v>1</v>
      </c>
      <c r="AP64" s="137">
        <f ca="1">SUMIF(Страна!A:A,M64,Страна!B:B)</f>
        <v>1</v>
      </c>
      <c r="AQ64" s="150" t="str">
        <f t="shared" ca="1" si="13"/>
        <v>Кепка FREDRIKSON арт. 3147-655/55 (коричневый) {655/55}</v>
      </c>
      <c r="AR64" s="94">
        <f t="shared" ca="1" si="14"/>
        <v>1</v>
      </c>
      <c r="AS64" s="143">
        <f t="shared" ca="1" si="15"/>
        <v>1</v>
      </c>
      <c r="AT64" s="138" t="str">
        <f ca="1">IF(IFERROR(VLOOKUP(W64,Товары!A:B,2,FALSE),"")=A64,"Есть в 1С","ERR")</f>
        <v>ERR</v>
      </c>
      <c r="AU64" s="139" t="str">
        <f ca="1">IF(IFERROR(VLOOKUP(A64,Товары!B:B,1,FALSE),"")=A64,"Есть в 1С","ERR")</f>
        <v>ERR</v>
      </c>
      <c r="AV64" s="93" t="e">
        <f ca="1">VLOOKUP(W64,Товары!A:B,2,FALSE)</f>
        <v>#N/A</v>
      </c>
      <c r="AW64" s="91" t="e">
        <f ca="1">VLOOKUP(W64,Товары!A:B,1,FALSE)</f>
        <v>#N/A</v>
      </c>
    </row>
    <row r="65" spans="1:49" x14ac:dyDescent="0.25">
      <c r="A65" s="105" t="str">
        <f t="shared" ca="1" si="8"/>
        <v>95-092-14</v>
      </c>
      <c r="B65" s="78" t="str">
        <f ca="1">_xlfn.LET(_xlpm.CAPS,VLOOKUP(G65,Caps!A:B,2,0),_xlpm.Style,TRIM(_xlfn.XLOOKUP($A65,Строчный!$A:$A,Строчный!B:B,"ERR",0)),IF(_xlpm.CAPS=0,_xlpm.Style,UPPER(_xlpm.Style)))</f>
        <v>3147-655/55</v>
      </c>
      <c r="C65" s="78" t="str">
        <f ca="1">TRIM(PROPER(_xlfn.XLOOKUP($A65,Строчный!$A:$A,Строчный!C:C,"ERR",0)))</f>
        <v>Кепки</v>
      </c>
      <c r="D65" s="78" t="str">
        <f ca="1">_xlfn.LET(_xlpm.DATA,TRIM(_xlfn.XLOOKUP($A65,Строчный!$A:$A,Строчный!D:D,"ERR",0)),UPPER(MID(_xlpm.DATA,1,1))&amp;LOWER(MID(_xlpm.DATA,2,LEN(_xlpm.DATA)-1)))</f>
        <v>Кепка шестиклинка</v>
      </c>
      <c r="E65" s="78" t="str">
        <f ca="1">PROPER(TRIM(_xlfn.XLOOKUP($A65,Строчный!$A:$A,Строчный!E:E,"ERR",0)))</f>
        <v>Fredrikson</v>
      </c>
      <c r="F65" s="78" t="str">
        <f ca="1">LOWER(TRIM(_xlfn.XLOOKUP($A65,Строчный!$A:$A,Строчный!F:F,"ERR",0)))</f>
        <v>всесезон</v>
      </c>
      <c r="G65" s="78" t="str">
        <f ca="1">UPPER(TRIM(_xlfn.XLOOKUP($A65,Строчный!$A:$A,Строчный!G:G,"ERR",0)))</f>
        <v>FREDRIKSON</v>
      </c>
      <c r="H65" s="78" t="str">
        <f ca="1">LOWER(TRIM(_xlfn.XLOOKUP($A65,Строчный!$A:$A,Строчный!H:H,"ERR",0)))</f>
        <v>655/55</v>
      </c>
      <c r="I65" s="78" t="str">
        <f ca="1">LOWER(TRIM(_xlfn.XLOOKUP($A65,Строчный!$A:$A,Строчный!I:I,"ERR",0)))</f>
        <v>коричневый</v>
      </c>
      <c r="J65" s="78" t="str">
        <f ca="1">SUBSTITUTE(LOWER(TRIM(_xlfn.XLOOKUP($A65,Строчный!$A:$A,Строчный!J:J,"ERR",0))),"подклад","Подклад")</f>
        <v>80% шерсть - 20% полиамид / Подклад: 100% вискоза</v>
      </c>
      <c r="K65" s="78" t="str">
        <f ca="1">LOWER(TRIM(_xlfn.XLOOKUP($A65,Строчный!$A:$A,Строчный!K:K,"ERR",0)))</f>
        <v>шерстяные</v>
      </c>
      <c r="L65" s="78" t="str">
        <f ca="1">PROPER(TRIM(_xlfn.XLOOKUP($A65,Строчный!$A:$A,Строчный!L:L,"ERR",0)))</f>
        <v>Унисекс</v>
      </c>
      <c r="M65" s="105" t="str">
        <f ca="1">PROPER(TRIM(_xlfn.XLOOKUP($A65,Строчный!$A:$A,Строчный!M:M,"ERR",0)))</f>
        <v>Россия</v>
      </c>
      <c r="N65" s="78" t="str">
        <f ca="1">UPPER(TRIM(_xlfn.XLOOKUP($A65,Строчный!$A:$A,Строчный!O:O,"ERR",0)))</f>
        <v/>
      </c>
      <c r="O65" s="99" t="str">
        <f ca="1">PROPER(TRIM(_xlfn.XLOOKUP($A65,Строчный!$A:$A,Строчный!P:P,"ERR",0)))</f>
        <v/>
      </c>
      <c r="P65" s="78" t="str">
        <f ca="1">PROPER(TRIM(_xlfn.XLOOKUP($A65,Строчный!$A:$A,Строчный!R:R,"ERR",0)))</f>
        <v/>
      </c>
      <c r="Q65" s="87">
        <f ca="1">VALUE(_xlfn.XLOOKUP($A65,Строчный!$A:$A,Строчный!N:N,"ERR",0))</f>
        <v>975.8</v>
      </c>
      <c r="R65" s="86" t="str">
        <f ca="1">_xlfn.XLOOKUP($G65,Фабрика!A:A,Фабрика!B:B,"ERR",0)</f>
        <v>ООО "ФРЭДРИКСОН" Россия 192029, С-Петербург, пр. Обуховской обороны, д.86, лит М</v>
      </c>
      <c r="S65" s="77" t="str">
        <f ca="1">_xlfn.XLOOKUP(RIGHT(AA65,2),Размеры!D:D,Размеры!A:A,"ERR",0)</f>
        <v>58</v>
      </c>
      <c r="T65" s="77">
        <f ca="1">VALUE(_xlfn.XLOOKUP($AA65,Строчный!$S:$S,Строчный!U:U,"ERR",0))</f>
        <v>3</v>
      </c>
      <c r="U65" s="14" t="s">
        <v>241</v>
      </c>
      <c r="V65" s="98" t="str">
        <f t="shared" ca="1" si="9"/>
        <v>Кепка FREDRIKSON арт. 3147-655/55 (коричневый)</v>
      </c>
      <c r="W65" s="97" t="str">
        <f t="shared" ca="1" si="10"/>
        <v>Кепка FREDRIKSON арт. 3147-655/55 (коричневый) {655/55}</v>
      </c>
      <c r="X65" s="18" t="str">
        <f t="shared" ca="1" si="11"/>
        <v>коричневый</v>
      </c>
      <c r="Y65" s="18" t="str">
        <f t="shared" ca="1" si="12"/>
        <v>коричневый</v>
      </c>
      <c r="Z65" s="109" t="str">
        <f ca="1">_xlfn.LET(_xlpm.FormColors,_xlfn.XLOOKUP(A65,Строчный!A:A,Строчный!Q:Q,"",0),IF(_xlpm.FormColors=0,IFERROR(MID(I65,FIND("-",I65)+1,LEN(I65)),IFERROR(MID(I65,1,FIND("/",I65)-2),I65)),_xlpm.FormColors))</f>
        <v>коричневый</v>
      </c>
      <c r="AA65" s="70" t="str">
        <f ca="1"/>
        <v>95-092-14-58</v>
      </c>
      <c r="AB65" s="72" t="str">
        <f ca="1">VLOOKUP(C65,Группа!A:B,2,FALSE)</f>
        <v>Кепка</v>
      </c>
      <c r="AC65" s="94" t="str">
        <f ca="1">IFERROR(VLOOKUP(S65,Размеры!A:C,3,FALSE),"")</f>
        <v>58 M/L</v>
      </c>
      <c r="AD65" s="94" t="str">
        <f ca="1">VLOOKUP(I65,ЦветПолный!A:B,2,FALSE)</f>
        <v>14</v>
      </c>
      <c r="AE65" s="94" t="str">
        <f ca="1">IFERROR(VLOOKUP(S65,Размеры!A:D,4,FALSE),"")</f>
        <v>58</v>
      </c>
      <c r="AF65" s="94">
        <f ca="1">SUMIF(Группа!A:A,C65,Группа!C:C)</f>
        <v>1</v>
      </c>
      <c r="AG65" s="94">
        <f ca="1">SUMIF(Группа!B:B,AB65,Группа!C:C)</f>
        <v>1</v>
      </c>
      <c r="AH65" s="94">
        <f ca="1">SUMIF(Формы!A:A,D65,Формы!B:B)</f>
        <v>1</v>
      </c>
      <c r="AI65" s="94">
        <f ca="1">IF(IFERROR(VLOOKUP(J65,Материал!D:D,1,0),0)&gt;0,1,SUMIF(Материал!A:A,K65,Материал!B:B))</f>
        <v>1</v>
      </c>
      <c r="AJ65" s="94">
        <f ca="1">SUMIF(Размеры!A:A,S65,Размеры!E:E)</f>
        <v>1</v>
      </c>
      <c r="AK65" s="94">
        <f ca="1">SUMIF(Сезон!A:A,F65,Сезон!B:B)</f>
        <v>1</v>
      </c>
      <c r="AL65" s="94">
        <f ca="1">VLOOKUP(I65,ЦветПолный!A:C,3,0)</f>
        <v>1</v>
      </c>
      <c r="AM65" s="94">
        <f ca="1">SUMIF(Цвет!A:A,Z65,Цвет!B:B)</f>
        <v>1</v>
      </c>
      <c r="AN65" s="94">
        <f ca="1">_xlfn.XLOOKUP(L65,Пол!A:A,Пол!B:B,0,0)</f>
        <v>1</v>
      </c>
      <c r="AO65" s="94">
        <f ca="1">SUMIF(Бренд!A:A,G65,Бренд!B:B)</f>
        <v>1</v>
      </c>
      <c r="AP65" s="137">
        <f ca="1">SUMIF(Страна!A:A,M65,Страна!B:B)</f>
        <v>1</v>
      </c>
      <c r="AQ65" s="150" t="str">
        <f t="shared" ca="1" si="13"/>
        <v>Кепка FREDRIKSON арт. 3147-655/55 (коричневый) {655/55}</v>
      </c>
      <c r="AR65" s="94">
        <f t="shared" ca="1" si="14"/>
        <v>1</v>
      </c>
      <c r="AS65" s="143">
        <f t="shared" ca="1" si="15"/>
        <v>1</v>
      </c>
      <c r="AT65" s="138" t="str">
        <f ca="1">IF(IFERROR(VLOOKUP(W65,Товары!A:B,2,FALSE),"")=A65,"Есть в 1С","ERR")</f>
        <v>ERR</v>
      </c>
      <c r="AU65" s="139" t="str">
        <f ca="1">IF(IFERROR(VLOOKUP(A65,Товары!B:B,1,FALSE),"")=A65,"Есть в 1С","ERR")</f>
        <v>ERR</v>
      </c>
      <c r="AV65" s="93" t="e">
        <f ca="1">VLOOKUP(W65,Товары!A:B,2,FALSE)</f>
        <v>#N/A</v>
      </c>
      <c r="AW65" s="91" t="e">
        <f ca="1">VLOOKUP(W65,Товары!A:B,1,FALSE)</f>
        <v>#N/A</v>
      </c>
    </row>
    <row r="66" spans="1:49" x14ac:dyDescent="0.25">
      <c r="A66" s="105" t="str">
        <f t="shared" ref="A66:A97" ca="1" si="16">LEFT(AA66,9)</f>
        <v>95-092-14</v>
      </c>
      <c r="B66" s="78" t="str">
        <f ca="1">_xlfn.LET(_xlpm.CAPS,VLOOKUP(G66,Caps!A:B,2,0),_xlpm.Style,TRIM(_xlfn.XLOOKUP($A66,Строчный!$A:$A,Строчный!B:B,"ERR",0)),IF(_xlpm.CAPS=0,_xlpm.Style,UPPER(_xlpm.Style)))</f>
        <v>3147-655/55</v>
      </c>
      <c r="C66" s="78" t="str">
        <f ca="1">TRIM(PROPER(_xlfn.XLOOKUP($A66,Строчный!$A:$A,Строчный!C:C,"ERR",0)))</f>
        <v>Кепки</v>
      </c>
      <c r="D66" s="78" t="str">
        <f ca="1">_xlfn.LET(_xlpm.DATA,TRIM(_xlfn.XLOOKUP($A66,Строчный!$A:$A,Строчный!D:D,"ERR",0)),UPPER(MID(_xlpm.DATA,1,1))&amp;LOWER(MID(_xlpm.DATA,2,LEN(_xlpm.DATA)-1)))</f>
        <v>Кепка шестиклинка</v>
      </c>
      <c r="E66" s="78" t="str">
        <f ca="1">PROPER(TRIM(_xlfn.XLOOKUP($A66,Строчный!$A:$A,Строчный!E:E,"ERR",0)))</f>
        <v>Fredrikson</v>
      </c>
      <c r="F66" s="78" t="str">
        <f ca="1">LOWER(TRIM(_xlfn.XLOOKUP($A66,Строчный!$A:$A,Строчный!F:F,"ERR",0)))</f>
        <v>всесезон</v>
      </c>
      <c r="G66" s="78" t="str">
        <f ca="1">UPPER(TRIM(_xlfn.XLOOKUP($A66,Строчный!$A:$A,Строчный!G:G,"ERR",0)))</f>
        <v>FREDRIKSON</v>
      </c>
      <c r="H66" s="78" t="str">
        <f ca="1">LOWER(TRIM(_xlfn.XLOOKUP($A66,Строчный!$A:$A,Строчный!H:H,"ERR",0)))</f>
        <v>655/55</v>
      </c>
      <c r="I66" s="78" t="str">
        <f ca="1">LOWER(TRIM(_xlfn.XLOOKUP($A66,Строчный!$A:$A,Строчный!I:I,"ERR",0)))</f>
        <v>коричневый</v>
      </c>
      <c r="J66" s="78" t="str">
        <f ca="1">SUBSTITUTE(LOWER(TRIM(_xlfn.XLOOKUP($A66,Строчный!$A:$A,Строчный!J:J,"ERR",0))),"подклад","Подклад")</f>
        <v>80% шерсть - 20% полиамид / Подклад: 100% вискоза</v>
      </c>
      <c r="K66" s="78" t="str">
        <f ca="1">LOWER(TRIM(_xlfn.XLOOKUP($A66,Строчный!$A:$A,Строчный!K:K,"ERR",0)))</f>
        <v>шерстяные</v>
      </c>
      <c r="L66" s="78" t="str">
        <f ca="1">PROPER(TRIM(_xlfn.XLOOKUP($A66,Строчный!$A:$A,Строчный!L:L,"ERR",0)))</f>
        <v>Унисекс</v>
      </c>
      <c r="M66" s="105" t="str">
        <f ca="1">PROPER(TRIM(_xlfn.XLOOKUP($A66,Строчный!$A:$A,Строчный!M:M,"ERR",0)))</f>
        <v>Россия</v>
      </c>
      <c r="N66" s="78" t="str">
        <f ca="1">UPPER(TRIM(_xlfn.XLOOKUP($A66,Строчный!$A:$A,Строчный!O:O,"ERR",0)))</f>
        <v/>
      </c>
      <c r="O66" s="99" t="str">
        <f ca="1">PROPER(TRIM(_xlfn.XLOOKUP($A66,Строчный!$A:$A,Строчный!P:P,"ERR",0)))</f>
        <v/>
      </c>
      <c r="P66" s="78" t="str">
        <f ca="1">PROPER(TRIM(_xlfn.XLOOKUP($A66,Строчный!$A:$A,Строчный!R:R,"ERR",0)))</f>
        <v/>
      </c>
      <c r="Q66" s="87">
        <f ca="1">VALUE(_xlfn.XLOOKUP($A66,Строчный!$A:$A,Строчный!N:N,"ERR",0))</f>
        <v>975.8</v>
      </c>
      <c r="R66" s="86" t="str">
        <f ca="1">_xlfn.XLOOKUP($G66,Фабрика!A:A,Фабрика!B:B,"ERR",0)</f>
        <v>ООО "ФРЭДРИКСОН" Россия 192029, С-Петербург, пр. Обуховской обороны, д.86, лит М</v>
      </c>
      <c r="S66" s="77" t="str">
        <f ca="1">_xlfn.XLOOKUP(RIGHT(AA66,2),Размеры!D:D,Размеры!A:A,"ERR",0)</f>
        <v>57</v>
      </c>
      <c r="T66" s="77">
        <f ca="1">VALUE(_xlfn.XLOOKUP($AA66,Строчный!$S:$S,Строчный!U:U,"ERR",0))</f>
        <v>2</v>
      </c>
      <c r="U66" s="14" t="s">
        <v>241</v>
      </c>
      <c r="V66" s="98" t="str">
        <f t="shared" ref="V66:V97" ca="1" si="17">TRIM(CONCATENATE(AB66," ",G66," арт. ",B66," (",I66,")"))</f>
        <v>Кепка FREDRIKSON арт. 3147-655/55 (коричневый)</v>
      </c>
      <c r="W66" s="97" t="str">
        <f t="shared" ref="W66:W97" ca="1" si="18">TRIM(CONCATENATE(AB66," ",G66," арт. ",B66," (",I66,") {",H66,"}"))</f>
        <v>Кепка FREDRIKSON арт. 3147-655/55 (коричневый) {655/55}</v>
      </c>
      <c r="X66" s="18" t="str">
        <f t="shared" ref="X66:X97" ca="1" si="19">IFERROR(MID(I66,FIND("-",I66)+1,LEN(I66)),IFERROR(MID(I66,1,FIND("/",I66)-2),I66))</f>
        <v>коричневый</v>
      </c>
      <c r="Y66" s="18" t="str">
        <f t="shared" ref="Y66:Y97" ca="1" si="20">IFERROR(MID(I66,FIND("-",I66)+1,LEN(I66)),IFERROR(MID(I66,FIND("/",I66)+2,LEN(I66)),I66))</f>
        <v>коричневый</v>
      </c>
      <c r="Z66" s="109" t="str">
        <f ca="1">_xlfn.LET(_xlpm.FormColors,_xlfn.XLOOKUP(A66,Строчный!A:A,Строчный!Q:Q,"",0),IF(_xlpm.FormColors=0,IFERROR(MID(I66,FIND("-",I66)+1,LEN(I66)),IFERROR(MID(I66,1,FIND("/",I66)-2),I66)),_xlpm.FormColors))</f>
        <v>коричневый</v>
      </c>
      <c r="AA66" s="70" t="str">
        <f ca="1"/>
        <v>95-092-14-57</v>
      </c>
      <c r="AB66" s="72" t="str">
        <f ca="1">VLOOKUP(C66,Группа!A:B,2,FALSE)</f>
        <v>Кепка</v>
      </c>
      <c r="AC66" s="94" t="str">
        <f ca="1">IFERROR(VLOOKUP(S66,Размеры!A:C,3,FALSE),"")</f>
        <v>57 M</v>
      </c>
      <c r="AD66" s="94" t="str">
        <f ca="1">VLOOKUP(I66,ЦветПолный!A:B,2,FALSE)</f>
        <v>14</v>
      </c>
      <c r="AE66" s="94" t="str">
        <f ca="1">IFERROR(VLOOKUP(S66,Размеры!A:D,4,FALSE),"")</f>
        <v>57</v>
      </c>
      <c r="AF66" s="94">
        <f ca="1">SUMIF(Группа!A:A,C66,Группа!C:C)</f>
        <v>1</v>
      </c>
      <c r="AG66" s="94">
        <f ca="1">SUMIF(Группа!B:B,AB66,Группа!C:C)</f>
        <v>1</v>
      </c>
      <c r="AH66" s="94">
        <f ca="1">SUMIF(Формы!A:A,D66,Формы!B:B)</f>
        <v>1</v>
      </c>
      <c r="AI66" s="94">
        <f ca="1">IF(IFERROR(VLOOKUP(J66,Материал!D:D,1,0),0)&gt;0,1,SUMIF(Материал!A:A,K66,Материал!B:B))</f>
        <v>1</v>
      </c>
      <c r="AJ66" s="94">
        <f ca="1">SUMIF(Размеры!A:A,S66,Размеры!E:E)</f>
        <v>1</v>
      </c>
      <c r="AK66" s="94">
        <f ca="1">SUMIF(Сезон!A:A,F66,Сезон!B:B)</f>
        <v>1</v>
      </c>
      <c r="AL66" s="94">
        <f ca="1">VLOOKUP(I66,ЦветПолный!A:C,3,0)</f>
        <v>1</v>
      </c>
      <c r="AM66" s="94">
        <f ca="1">SUMIF(Цвет!A:A,Z66,Цвет!B:B)</f>
        <v>1</v>
      </c>
      <c r="AN66" s="94">
        <f ca="1">_xlfn.XLOOKUP(L66,Пол!A:A,Пол!B:B,0,0)</f>
        <v>1</v>
      </c>
      <c r="AO66" s="94">
        <f ca="1">SUMIF(Бренд!A:A,G66,Бренд!B:B)</f>
        <v>1</v>
      </c>
      <c r="AP66" s="137">
        <f ca="1">SUMIF(Страна!A:A,M66,Страна!B:B)</f>
        <v>1</v>
      </c>
      <c r="AQ66" s="150" t="str">
        <f t="shared" ref="AQ66:AQ97" ca="1" si="21">ВАЛИДАЦИЯНАЗВАНИЯ(W66)</f>
        <v>Кепка FREDRIKSON арт. 3147-655/55 (коричневый) {655/55}</v>
      </c>
      <c r="AR66" s="94">
        <f t="shared" ref="AR66:AR97" ca="1" si="22">INT(AQ66=W66)</f>
        <v>1</v>
      </c>
      <c r="AS66" s="143">
        <f t="shared" ref="AS66:AS97" ca="1" si="23">MIN(AF66:AR66,IF(AT66=AU66,1,0))</f>
        <v>1</v>
      </c>
      <c r="AT66" s="138" t="str">
        <f ca="1">IF(IFERROR(VLOOKUP(W66,Товары!A:B,2,FALSE),"")=A66,"Есть в 1С","ERR")</f>
        <v>ERR</v>
      </c>
      <c r="AU66" s="139" t="str">
        <f ca="1">IF(IFERROR(VLOOKUP(A66,Товары!B:B,1,FALSE),"")=A66,"Есть в 1С","ERR")</f>
        <v>ERR</v>
      </c>
      <c r="AV66" s="93" t="e">
        <f ca="1">VLOOKUP(W66,Товары!A:B,2,FALSE)</f>
        <v>#N/A</v>
      </c>
      <c r="AW66" s="91" t="e">
        <f ca="1">VLOOKUP(W66,Товары!A:B,1,FALSE)</f>
        <v>#N/A</v>
      </c>
    </row>
    <row r="67" spans="1:49" x14ac:dyDescent="0.25">
      <c r="A67" s="105" t="str">
        <f t="shared" ca="1" si="16"/>
        <v>95-092-14</v>
      </c>
      <c r="B67" s="78" t="str">
        <f ca="1">_xlfn.LET(_xlpm.CAPS,VLOOKUP(G67,Caps!A:B,2,0),_xlpm.Style,TRIM(_xlfn.XLOOKUP($A67,Строчный!$A:$A,Строчный!B:B,"ERR",0)),IF(_xlpm.CAPS=0,_xlpm.Style,UPPER(_xlpm.Style)))</f>
        <v>3147-655/55</v>
      </c>
      <c r="C67" s="78" t="str">
        <f ca="1">TRIM(PROPER(_xlfn.XLOOKUP($A67,Строчный!$A:$A,Строчный!C:C,"ERR",0)))</f>
        <v>Кепки</v>
      </c>
      <c r="D67" s="78" t="str">
        <f ca="1">_xlfn.LET(_xlpm.DATA,TRIM(_xlfn.XLOOKUP($A67,Строчный!$A:$A,Строчный!D:D,"ERR",0)),UPPER(MID(_xlpm.DATA,1,1))&amp;LOWER(MID(_xlpm.DATA,2,LEN(_xlpm.DATA)-1)))</f>
        <v>Кепка шестиклинка</v>
      </c>
      <c r="E67" s="78" t="str">
        <f ca="1">PROPER(TRIM(_xlfn.XLOOKUP($A67,Строчный!$A:$A,Строчный!E:E,"ERR",0)))</f>
        <v>Fredrikson</v>
      </c>
      <c r="F67" s="78" t="str">
        <f ca="1">LOWER(TRIM(_xlfn.XLOOKUP($A67,Строчный!$A:$A,Строчный!F:F,"ERR",0)))</f>
        <v>всесезон</v>
      </c>
      <c r="G67" s="78" t="str">
        <f ca="1">UPPER(TRIM(_xlfn.XLOOKUP($A67,Строчный!$A:$A,Строчный!G:G,"ERR",0)))</f>
        <v>FREDRIKSON</v>
      </c>
      <c r="H67" s="78" t="str">
        <f ca="1">LOWER(TRIM(_xlfn.XLOOKUP($A67,Строчный!$A:$A,Строчный!H:H,"ERR",0)))</f>
        <v>655/55</v>
      </c>
      <c r="I67" s="78" t="str">
        <f ca="1">LOWER(TRIM(_xlfn.XLOOKUP($A67,Строчный!$A:$A,Строчный!I:I,"ERR",0)))</f>
        <v>коричневый</v>
      </c>
      <c r="J67" s="78" t="str">
        <f ca="1">SUBSTITUTE(LOWER(TRIM(_xlfn.XLOOKUP($A67,Строчный!$A:$A,Строчный!J:J,"ERR",0))),"подклад","Подклад")</f>
        <v>80% шерсть - 20% полиамид / Подклад: 100% вискоза</v>
      </c>
      <c r="K67" s="78" t="str">
        <f ca="1">LOWER(TRIM(_xlfn.XLOOKUP($A67,Строчный!$A:$A,Строчный!K:K,"ERR",0)))</f>
        <v>шерстяные</v>
      </c>
      <c r="L67" s="78" t="str">
        <f ca="1">PROPER(TRIM(_xlfn.XLOOKUP($A67,Строчный!$A:$A,Строчный!L:L,"ERR",0)))</f>
        <v>Унисекс</v>
      </c>
      <c r="M67" s="105" t="str">
        <f ca="1">PROPER(TRIM(_xlfn.XLOOKUP($A67,Строчный!$A:$A,Строчный!M:M,"ERR",0)))</f>
        <v>Россия</v>
      </c>
      <c r="N67" s="78" t="str">
        <f ca="1">UPPER(TRIM(_xlfn.XLOOKUP($A67,Строчный!$A:$A,Строчный!O:O,"ERR",0)))</f>
        <v/>
      </c>
      <c r="O67" s="99" t="str">
        <f ca="1">PROPER(TRIM(_xlfn.XLOOKUP($A67,Строчный!$A:$A,Строчный!P:P,"ERR",0)))</f>
        <v/>
      </c>
      <c r="P67" s="78" t="str">
        <f ca="1">PROPER(TRIM(_xlfn.XLOOKUP($A67,Строчный!$A:$A,Строчный!R:R,"ERR",0)))</f>
        <v/>
      </c>
      <c r="Q67" s="87">
        <f ca="1">VALUE(_xlfn.XLOOKUP($A67,Строчный!$A:$A,Строчный!N:N,"ERR",0))</f>
        <v>975.8</v>
      </c>
      <c r="R67" s="86" t="str">
        <f ca="1">_xlfn.XLOOKUP($G67,Фабрика!A:A,Фабрика!B:B,"ERR",0)</f>
        <v>ООО "ФРЭДРИКСОН" Россия 192029, С-Петербург, пр. Обуховской обороны, д.86, лит М</v>
      </c>
      <c r="S67" s="77" t="str">
        <f ca="1">_xlfn.XLOOKUP(RIGHT(AA67,2),Размеры!D:D,Размеры!A:A,"ERR",0)</f>
        <v>56</v>
      </c>
      <c r="T67" s="77">
        <f ca="1">VALUE(_xlfn.XLOOKUP($AA67,Строчный!$S:$S,Строчный!U:U,"ERR",0))</f>
        <v>1</v>
      </c>
      <c r="U67" s="14" t="s">
        <v>241</v>
      </c>
      <c r="V67" s="98" t="str">
        <f t="shared" ca="1" si="17"/>
        <v>Кепка FREDRIKSON арт. 3147-655/55 (коричневый)</v>
      </c>
      <c r="W67" s="97" t="str">
        <f t="shared" ca="1" si="18"/>
        <v>Кепка FREDRIKSON арт. 3147-655/55 (коричневый) {655/55}</v>
      </c>
      <c r="X67" s="18" t="str">
        <f t="shared" ca="1" si="19"/>
        <v>коричневый</v>
      </c>
      <c r="Y67" s="18" t="str">
        <f t="shared" ca="1" si="20"/>
        <v>коричневый</v>
      </c>
      <c r="Z67" s="109" t="str">
        <f ca="1">_xlfn.LET(_xlpm.FormColors,_xlfn.XLOOKUP(A67,Строчный!A:A,Строчный!Q:Q,"",0),IF(_xlpm.FormColors=0,IFERROR(MID(I67,FIND("-",I67)+1,LEN(I67)),IFERROR(MID(I67,1,FIND("/",I67)-2),I67)),_xlpm.FormColors))</f>
        <v>коричневый</v>
      </c>
      <c r="AA67" s="70" t="str">
        <f ca="1"/>
        <v>95-092-14-56</v>
      </c>
      <c r="AB67" s="72" t="str">
        <f ca="1">VLOOKUP(C67,Группа!A:B,2,FALSE)</f>
        <v>Кепка</v>
      </c>
      <c r="AC67" s="94" t="str">
        <f ca="1">IFERROR(VLOOKUP(S67,Размеры!A:C,3,FALSE),"")</f>
        <v>56 S/M</v>
      </c>
      <c r="AD67" s="94" t="str">
        <f ca="1">VLOOKUP(I67,ЦветПолный!A:B,2,FALSE)</f>
        <v>14</v>
      </c>
      <c r="AE67" s="94" t="str">
        <f ca="1">IFERROR(VLOOKUP(S67,Размеры!A:D,4,FALSE),"")</f>
        <v>56</v>
      </c>
      <c r="AF67" s="94">
        <f ca="1">SUMIF(Группа!A:A,C67,Группа!C:C)</f>
        <v>1</v>
      </c>
      <c r="AG67" s="94">
        <f ca="1">SUMIF(Группа!B:B,AB67,Группа!C:C)</f>
        <v>1</v>
      </c>
      <c r="AH67" s="94">
        <f ca="1">SUMIF(Формы!A:A,D67,Формы!B:B)</f>
        <v>1</v>
      </c>
      <c r="AI67" s="94">
        <f ca="1">IF(IFERROR(VLOOKUP(J67,Материал!D:D,1,0),0)&gt;0,1,SUMIF(Материал!A:A,K67,Материал!B:B))</f>
        <v>1</v>
      </c>
      <c r="AJ67" s="94">
        <f ca="1">SUMIF(Размеры!A:A,S67,Размеры!E:E)</f>
        <v>1</v>
      </c>
      <c r="AK67" s="94">
        <f ca="1">SUMIF(Сезон!A:A,F67,Сезон!B:B)</f>
        <v>1</v>
      </c>
      <c r="AL67" s="94">
        <f ca="1">VLOOKUP(I67,ЦветПолный!A:C,3,0)</f>
        <v>1</v>
      </c>
      <c r="AM67" s="94">
        <f ca="1">SUMIF(Цвет!A:A,Z67,Цвет!B:B)</f>
        <v>1</v>
      </c>
      <c r="AN67" s="94">
        <f ca="1">_xlfn.XLOOKUP(L67,Пол!A:A,Пол!B:B,0,0)</f>
        <v>1</v>
      </c>
      <c r="AO67" s="94">
        <f ca="1">SUMIF(Бренд!A:A,G67,Бренд!B:B)</f>
        <v>1</v>
      </c>
      <c r="AP67" s="137">
        <f ca="1">SUMIF(Страна!A:A,M67,Страна!B:B)</f>
        <v>1</v>
      </c>
      <c r="AQ67" s="150" t="str">
        <f t="shared" ca="1" si="21"/>
        <v>Кепка FREDRIKSON арт. 3147-655/55 (коричневый) {655/55}</v>
      </c>
      <c r="AR67" s="94">
        <f t="shared" ca="1" si="22"/>
        <v>1</v>
      </c>
      <c r="AS67" s="143">
        <f t="shared" ca="1" si="23"/>
        <v>1</v>
      </c>
      <c r="AT67" s="138" t="str">
        <f ca="1">IF(IFERROR(VLOOKUP(W67,Товары!A:B,2,FALSE),"")=A67,"Есть в 1С","ERR")</f>
        <v>ERR</v>
      </c>
      <c r="AU67" s="139" t="str">
        <f ca="1">IF(IFERROR(VLOOKUP(A67,Товары!B:B,1,FALSE),"")=A67,"Есть в 1С","ERR")</f>
        <v>ERR</v>
      </c>
      <c r="AV67" s="93" t="e">
        <f ca="1">VLOOKUP(W67,Товары!A:B,2,FALSE)</f>
        <v>#N/A</v>
      </c>
      <c r="AW67" s="91" t="e">
        <f ca="1">VLOOKUP(W67,Товары!A:B,1,FALSE)</f>
        <v>#N/A</v>
      </c>
    </row>
    <row r="68" spans="1:49" x14ac:dyDescent="0.25">
      <c r="A68" s="105" t="str">
        <f t="shared" ca="1" si="16"/>
        <v>95-091-14</v>
      </c>
      <c r="B68" s="78" t="str">
        <f ca="1">_xlfn.LET(_xlpm.CAPS,VLOOKUP(G68,Caps!A:B,2,0),_xlpm.Style,TRIM(_xlfn.XLOOKUP($A68,Строчный!$A:$A,Строчный!B:B,"ERR",0)),IF(_xlpm.CAPS=0,_xlpm.Style,UPPER(_xlpm.Style)))</f>
        <v>3142-655/55</v>
      </c>
      <c r="C68" s="78" t="str">
        <f ca="1">TRIM(PROPER(_xlfn.XLOOKUP($A68,Строчный!$A:$A,Строчный!C:C,"ERR",0)))</f>
        <v>Кепки</v>
      </c>
      <c r="D68" s="78" t="str">
        <f ca="1">_xlfn.LET(_xlpm.DATA,TRIM(_xlfn.XLOOKUP($A68,Строчный!$A:$A,Строчный!D:D,"ERR",0)),UPPER(MID(_xlpm.DATA,1,1))&amp;LOWER(MID(_xlpm.DATA,2,LEN(_xlpm.DATA)-1)))</f>
        <v>Кепка восьмиклинка</v>
      </c>
      <c r="E68" s="78" t="str">
        <f ca="1">PROPER(TRIM(_xlfn.XLOOKUP($A68,Строчный!$A:$A,Строчный!E:E,"ERR",0)))</f>
        <v>Fredrikson</v>
      </c>
      <c r="F68" s="78" t="str">
        <f ca="1">LOWER(TRIM(_xlfn.XLOOKUP($A68,Строчный!$A:$A,Строчный!F:F,"ERR",0)))</f>
        <v>всесезон</v>
      </c>
      <c r="G68" s="78" t="str">
        <f ca="1">UPPER(TRIM(_xlfn.XLOOKUP($A68,Строчный!$A:$A,Строчный!G:G,"ERR",0)))</f>
        <v>FREDRIKSON</v>
      </c>
      <c r="H68" s="78" t="str">
        <f ca="1">LOWER(TRIM(_xlfn.XLOOKUP($A68,Строчный!$A:$A,Строчный!H:H,"ERR",0)))</f>
        <v>655/55</v>
      </c>
      <c r="I68" s="78" t="str">
        <f ca="1">LOWER(TRIM(_xlfn.XLOOKUP($A68,Строчный!$A:$A,Строчный!I:I,"ERR",0)))</f>
        <v>коричневый</v>
      </c>
      <c r="J68" s="78" t="str">
        <f ca="1">SUBSTITUTE(LOWER(TRIM(_xlfn.XLOOKUP($A68,Строчный!$A:$A,Строчный!J:J,"ERR",0))),"подклад","Подклад")</f>
        <v>80% шерсть - 20% полиамид / Подклад: 100% вискоза</v>
      </c>
      <c r="K68" s="78" t="str">
        <f ca="1">LOWER(TRIM(_xlfn.XLOOKUP($A68,Строчный!$A:$A,Строчный!K:K,"ERR",0)))</f>
        <v>шерстяные</v>
      </c>
      <c r="L68" s="78" t="str">
        <f ca="1">PROPER(TRIM(_xlfn.XLOOKUP($A68,Строчный!$A:$A,Строчный!L:L,"ERR",0)))</f>
        <v>Унисекс</v>
      </c>
      <c r="M68" s="105" t="str">
        <f ca="1">PROPER(TRIM(_xlfn.XLOOKUP($A68,Строчный!$A:$A,Строчный!M:M,"ERR",0)))</f>
        <v>Россия</v>
      </c>
      <c r="N68" s="78" t="str">
        <f ca="1">UPPER(TRIM(_xlfn.XLOOKUP($A68,Строчный!$A:$A,Строчный!O:O,"ERR",0)))</f>
        <v/>
      </c>
      <c r="O68" s="99" t="str">
        <f ca="1">PROPER(TRIM(_xlfn.XLOOKUP($A68,Строчный!$A:$A,Строчный!P:P,"ERR",0)))</f>
        <v/>
      </c>
      <c r="P68" s="78" t="str">
        <f ca="1">PROPER(TRIM(_xlfn.XLOOKUP($A68,Строчный!$A:$A,Строчный!R:R,"ERR",0)))</f>
        <v/>
      </c>
      <c r="Q68" s="87">
        <f ca="1">VALUE(_xlfn.XLOOKUP($A68,Строчный!$A:$A,Строчный!N:N,"ERR",0))</f>
        <v>975.8</v>
      </c>
      <c r="R68" s="86" t="str">
        <f ca="1">_xlfn.XLOOKUP($G68,Фабрика!A:A,Фабрика!B:B,"ERR",0)</f>
        <v>ООО "ФРЭДРИКСОН" Россия 192029, С-Петербург, пр. Обуховской обороны, д.86, лит М</v>
      </c>
      <c r="S68" s="77" t="str">
        <f ca="1">_xlfn.XLOOKUP(RIGHT(AA68,2),Размеры!D:D,Размеры!A:A,"ERR",0)</f>
        <v>62</v>
      </c>
      <c r="T68" s="77">
        <f ca="1">VALUE(_xlfn.XLOOKUP($AA68,Строчный!$S:$S,Строчный!U:U,"ERR",0))</f>
        <v>1</v>
      </c>
      <c r="U68" s="14" t="s">
        <v>241</v>
      </c>
      <c r="V68" s="98" t="str">
        <f t="shared" ca="1" si="17"/>
        <v>Кепка FREDRIKSON арт. 3142-655/55 (коричневый)</v>
      </c>
      <c r="W68" s="97" t="str">
        <f t="shared" ca="1" si="18"/>
        <v>Кепка FREDRIKSON арт. 3142-655/55 (коричневый) {655/55}</v>
      </c>
      <c r="X68" s="18" t="str">
        <f t="shared" ca="1" si="19"/>
        <v>коричневый</v>
      </c>
      <c r="Y68" s="18" t="str">
        <f t="shared" ca="1" si="20"/>
        <v>коричневый</v>
      </c>
      <c r="Z68" s="109" t="str">
        <f ca="1">_xlfn.LET(_xlpm.FormColors,_xlfn.XLOOKUP(A68,Строчный!A:A,Строчный!Q:Q,"",0),IF(_xlpm.FormColors=0,IFERROR(MID(I68,FIND("-",I68)+1,LEN(I68)),IFERROR(MID(I68,1,FIND("/",I68)-2),I68)),_xlpm.FormColors))</f>
        <v>коричневый</v>
      </c>
      <c r="AA68" s="70" t="str">
        <f ca="1"/>
        <v>95-091-14-62</v>
      </c>
      <c r="AB68" s="72" t="str">
        <f ca="1">VLOOKUP(C68,Группа!A:B,2,FALSE)</f>
        <v>Кепка</v>
      </c>
      <c r="AC68" s="94" t="str">
        <f ca="1">IFERROR(VLOOKUP(S68,Размеры!A:C,3,FALSE),"")</f>
        <v>62 XL/XXL</v>
      </c>
      <c r="AD68" s="94" t="str">
        <f ca="1">VLOOKUP(I68,ЦветПолный!A:B,2,FALSE)</f>
        <v>14</v>
      </c>
      <c r="AE68" s="94" t="str">
        <f ca="1">IFERROR(VLOOKUP(S68,Размеры!A:D,4,FALSE),"")</f>
        <v>62</v>
      </c>
      <c r="AF68" s="94">
        <f ca="1">SUMIF(Группа!A:A,C68,Группа!C:C)</f>
        <v>1</v>
      </c>
      <c r="AG68" s="94">
        <f ca="1">SUMIF(Группа!B:B,AB68,Группа!C:C)</f>
        <v>1</v>
      </c>
      <c r="AH68" s="94">
        <f ca="1">SUMIF(Формы!A:A,D68,Формы!B:B)</f>
        <v>1</v>
      </c>
      <c r="AI68" s="94">
        <f ca="1">IF(IFERROR(VLOOKUP(J68,Материал!D:D,1,0),0)&gt;0,1,SUMIF(Материал!A:A,K68,Материал!B:B))</f>
        <v>1</v>
      </c>
      <c r="AJ68" s="94">
        <f ca="1">SUMIF(Размеры!A:A,S68,Размеры!E:E)</f>
        <v>1</v>
      </c>
      <c r="AK68" s="94">
        <f ca="1">SUMIF(Сезон!A:A,F68,Сезон!B:B)</f>
        <v>1</v>
      </c>
      <c r="AL68" s="94">
        <f ca="1">VLOOKUP(I68,ЦветПолный!A:C,3,0)</f>
        <v>1</v>
      </c>
      <c r="AM68" s="94">
        <f ca="1">SUMIF(Цвет!A:A,Z68,Цвет!B:B)</f>
        <v>1</v>
      </c>
      <c r="AN68" s="94">
        <f ca="1">_xlfn.XLOOKUP(L68,Пол!A:A,Пол!B:B,0,0)</f>
        <v>1</v>
      </c>
      <c r="AO68" s="94">
        <f ca="1">SUMIF(Бренд!A:A,G68,Бренд!B:B)</f>
        <v>1</v>
      </c>
      <c r="AP68" s="137">
        <f ca="1">SUMIF(Страна!A:A,M68,Страна!B:B)</f>
        <v>1</v>
      </c>
      <c r="AQ68" s="150" t="str">
        <f t="shared" ca="1" si="21"/>
        <v>Кепка FREDRIKSON арт. 3142-655/55 (коричневый) {655/55}</v>
      </c>
      <c r="AR68" s="94">
        <f t="shared" ca="1" si="22"/>
        <v>1</v>
      </c>
      <c r="AS68" s="143">
        <f t="shared" ca="1" si="23"/>
        <v>1</v>
      </c>
      <c r="AT68" s="138" t="str">
        <f ca="1">IF(IFERROR(VLOOKUP(W68,Товары!A:B,2,FALSE),"")=A68,"Есть в 1С","ERR")</f>
        <v>ERR</v>
      </c>
      <c r="AU68" s="139" t="str">
        <f ca="1">IF(IFERROR(VLOOKUP(A68,Товары!B:B,1,FALSE),"")=A68,"Есть в 1С","ERR")</f>
        <v>ERR</v>
      </c>
      <c r="AV68" s="93" t="e">
        <f ca="1">VLOOKUP(W68,Товары!A:B,2,FALSE)</f>
        <v>#N/A</v>
      </c>
      <c r="AW68" s="91" t="e">
        <f ca="1">VLOOKUP(W68,Товары!A:B,1,FALSE)</f>
        <v>#N/A</v>
      </c>
    </row>
    <row r="69" spans="1:49" x14ac:dyDescent="0.25">
      <c r="A69" s="105" t="str">
        <f t="shared" ca="1" si="16"/>
        <v>95-091-14</v>
      </c>
      <c r="B69" s="78" t="str">
        <f ca="1">_xlfn.LET(_xlpm.CAPS,VLOOKUP(G69,Caps!A:B,2,0),_xlpm.Style,TRIM(_xlfn.XLOOKUP($A69,Строчный!$A:$A,Строчный!B:B,"ERR",0)),IF(_xlpm.CAPS=0,_xlpm.Style,UPPER(_xlpm.Style)))</f>
        <v>3142-655/55</v>
      </c>
      <c r="C69" s="78" t="str">
        <f ca="1">TRIM(PROPER(_xlfn.XLOOKUP($A69,Строчный!$A:$A,Строчный!C:C,"ERR",0)))</f>
        <v>Кепки</v>
      </c>
      <c r="D69" s="78" t="str">
        <f ca="1">_xlfn.LET(_xlpm.DATA,TRIM(_xlfn.XLOOKUP($A69,Строчный!$A:$A,Строчный!D:D,"ERR",0)),UPPER(MID(_xlpm.DATA,1,1))&amp;LOWER(MID(_xlpm.DATA,2,LEN(_xlpm.DATA)-1)))</f>
        <v>Кепка восьмиклинка</v>
      </c>
      <c r="E69" s="78" t="str">
        <f ca="1">PROPER(TRIM(_xlfn.XLOOKUP($A69,Строчный!$A:$A,Строчный!E:E,"ERR",0)))</f>
        <v>Fredrikson</v>
      </c>
      <c r="F69" s="78" t="str">
        <f ca="1">LOWER(TRIM(_xlfn.XLOOKUP($A69,Строчный!$A:$A,Строчный!F:F,"ERR",0)))</f>
        <v>всесезон</v>
      </c>
      <c r="G69" s="78" t="str">
        <f ca="1">UPPER(TRIM(_xlfn.XLOOKUP($A69,Строчный!$A:$A,Строчный!G:G,"ERR",0)))</f>
        <v>FREDRIKSON</v>
      </c>
      <c r="H69" s="78" t="str">
        <f ca="1">LOWER(TRIM(_xlfn.XLOOKUP($A69,Строчный!$A:$A,Строчный!H:H,"ERR",0)))</f>
        <v>655/55</v>
      </c>
      <c r="I69" s="78" t="str">
        <f ca="1">LOWER(TRIM(_xlfn.XLOOKUP($A69,Строчный!$A:$A,Строчный!I:I,"ERR",0)))</f>
        <v>коричневый</v>
      </c>
      <c r="J69" s="78" t="str">
        <f ca="1">SUBSTITUTE(LOWER(TRIM(_xlfn.XLOOKUP($A69,Строчный!$A:$A,Строчный!J:J,"ERR",0))),"подклад","Подклад")</f>
        <v>80% шерсть - 20% полиамид / Подклад: 100% вискоза</v>
      </c>
      <c r="K69" s="78" t="str">
        <f ca="1">LOWER(TRIM(_xlfn.XLOOKUP($A69,Строчный!$A:$A,Строчный!K:K,"ERR",0)))</f>
        <v>шерстяные</v>
      </c>
      <c r="L69" s="78" t="str">
        <f ca="1">PROPER(TRIM(_xlfn.XLOOKUP($A69,Строчный!$A:$A,Строчный!L:L,"ERR",0)))</f>
        <v>Унисекс</v>
      </c>
      <c r="M69" s="105" t="str">
        <f ca="1">PROPER(TRIM(_xlfn.XLOOKUP($A69,Строчный!$A:$A,Строчный!M:M,"ERR",0)))</f>
        <v>Россия</v>
      </c>
      <c r="N69" s="78" t="str">
        <f ca="1">UPPER(TRIM(_xlfn.XLOOKUP($A69,Строчный!$A:$A,Строчный!O:O,"ERR",0)))</f>
        <v/>
      </c>
      <c r="O69" s="99" t="str">
        <f ca="1">PROPER(TRIM(_xlfn.XLOOKUP($A69,Строчный!$A:$A,Строчный!P:P,"ERR",0)))</f>
        <v/>
      </c>
      <c r="P69" s="78" t="str">
        <f ca="1">PROPER(TRIM(_xlfn.XLOOKUP($A69,Строчный!$A:$A,Строчный!R:R,"ERR",0)))</f>
        <v/>
      </c>
      <c r="Q69" s="87">
        <f ca="1">VALUE(_xlfn.XLOOKUP($A69,Строчный!$A:$A,Строчный!N:N,"ERR",0))</f>
        <v>975.8</v>
      </c>
      <c r="R69" s="86" t="str">
        <f ca="1">_xlfn.XLOOKUP($G69,Фабрика!A:A,Фабрика!B:B,"ERR",0)</f>
        <v>ООО "ФРЭДРИКСОН" Россия 192029, С-Петербург, пр. Обуховской обороны, д.86, лит М</v>
      </c>
      <c r="S69" s="77" t="str">
        <f ca="1">_xlfn.XLOOKUP(RIGHT(AA69,2),Размеры!D:D,Размеры!A:A,"ERR",0)</f>
        <v>61</v>
      </c>
      <c r="T69" s="77">
        <f ca="1">VALUE(_xlfn.XLOOKUP($AA69,Строчный!$S:$S,Строчный!U:U,"ERR",0))</f>
        <v>2</v>
      </c>
      <c r="U69" s="14" t="s">
        <v>241</v>
      </c>
      <c r="V69" s="98" t="str">
        <f t="shared" ca="1" si="17"/>
        <v>Кепка FREDRIKSON арт. 3142-655/55 (коричневый)</v>
      </c>
      <c r="W69" s="97" t="str">
        <f t="shared" ca="1" si="18"/>
        <v>Кепка FREDRIKSON арт. 3142-655/55 (коричневый) {655/55}</v>
      </c>
      <c r="X69" s="18" t="str">
        <f t="shared" ca="1" si="19"/>
        <v>коричневый</v>
      </c>
      <c r="Y69" s="18" t="str">
        <f t="shared" ca="1" si="20"/>
        <v>коричневый</v>
      </c>
      <c r="Z69" s="109" t="str">
        <f ca="1">_xlfn.LET(_xlpm.FormColors,_xlfn.XLOOKUP(A69,Строчный!A:A,Строчный!Q:Q,"",0),IF(_xlpm.FormColors=0,IFERROR(MID(I69,FIND("-",I69)+1,LEN(I69)),IFERROR(MID(I69,1,FIND("/",I69)-2),I69)),_xlpm.FormColors))</f>
        <v>коричневый</v>
      </c>
      <c r="AA69" s="70" t="str">
        <f ca="1"/>
        <v>95-091-14-61</v>
      </c>
      <c r="AB69" s="72" t="str">
        <f ca="1">VLOOKUP(C69,Группа!A:B,2,FALSE)</f>
        <v>Кепка</v>
      </c>
      <c r="AC69" s="94" t="str">
        <f ca="1">IFERROR(VLOOKUP(S69,Размеры!A:C,3,FALSE),"")</f>
        <v>61 XL</v>
      </c>
      <c r="AD69" s="94" t="str">
        <f ca="1">VLOOKUP(I69,ЦветПолный!A:B,2,FALSE)</f>
        <v>14</v>
      </c>
      <c r="AE69" s="94" t="str">
        <f ca="1">IFERROR(VLOOKUP(S69,Размеры!A:D,4,FALSE),"")</f>
        <v>61</v>
      </c>
      <c r="AF69" s="94">
        <f ca="1">SUMIF(Группа!A:A,C69,Группа!C:C)</f>
        <v>1</v>
      </c>
      <c r="AG69" s="94">
        <f ca="1">SUMIF(Группа!B:B,AB69,Группа!C:C)</f>
        <v>1</v>
      </c>
      <c r="AH69" s="94">
        <f ca="1">SUMIF(Формы!A:A,D69,Формы!B:B)</f>
        <v>1</v>
      </c>
      <c r="AI69" s="94">
        <f ca="1">IF(IFERROR(VLOOKUP(J69,Материал!D:D,1,0),0)&gt;0,1,SUMIF(Материал!A:A,K69,Материал!B:B))</f>
        <v>1</v>
      </c>
      <c r="AJ69" s="94">
        <f ca="1">SUMIF(Размеры!A:A,S69,Размеры!E:E)</f>
        <v>1</v>
      </c>
      <c r="AK69" s="94">
        <f ca="1">SUMIF(Сезон!A:A,F69,Сезон!B:B)</f>
        <v>1</v>
      </c>
      <c r="AL69" s="94">
        <f ca="1">VLOOKUP(I69,ЦветПолный!A:C,3,0)</f>
        <v>1</v>
      </c>
      <c r="AM69" s="94">
        <f ca="1">SUMIF(Цвет!A:A,Z69,Цвет!B:B)</f>
        <v>1</v>
      </c>
      <c r="AN69" s="94">
        <f ca="1">_xlfn.XLOOKUP(L69,Пол!A:A,Пол!B:B,0,0)</f>
        <v>1</v>
      </c>
      <c r="AO69" s="94">
        <f ca="1">SUMIF(Бренд!A:A,G69,Бренд!B:B)</f>
        <v>1</v>
      </c>
      <c r="AP69" s="137">
        <f ca="1">SUMIF(Страна!A:A,M69,Страна!B:B)</f>
        <v>1</v>
      </c>
      <c r="AQ69" s="150" t="str">
        <f t="shared" ca="1" si="21"/>
        <v>Кепка FREDRIKSON арт. 3142-655/55 (коричневый) {655/55}</v>
      </c>
      <c r="AR69" s="94">
        <f t="shared" ca="1" si="22"/>
        <v>1</v>
      </c>
      <c r="AS69" s="143">
        <f t="shared" ca="1" si="23"/>
        <v>1</v>
      </c>
      <c r="AT69" s="138" t="str">
        <f ca="1">IF(IFERROR(VLOOKUP(W69,Товары!A:B,2,FALSE),"")=A69,"Есть в 1С","ERR")</f>
        <v>ERR</v>
      </c>
      <c r="AU69" s="139" t="str">
        <f ca="1">IF(IFERROR(VLOOKUP(A69,Товары!B:B,1,FALSE),"")=A69,"Есть в 1С","ERR")</f>
        <v>ERR</v>
      </c>
      <c r="AV69" s="93" t="e">
        <f ca="1">VLOOKUP(W69,Товары!A:B,2,FALSE)</f>
        <v>#N/A</v>
      </c>
      <c r="AW69" s="91" t="e">
        <f ca="1">VLOOKUP(W69,Товары!A:B,1,FALSE)</f>
        <v>#N/A</v>
      </c>
    </row>
    <row r="70" spans="1:49" x14ac:dyDescent="0.25">
      <c r="A70" s="105" t="str">
        <f t="shared" ca="1" si="16"/>
        <v>95-091-14</v>
      </c>
      <c r="B70" s="78" t="str">
        <f ca="1">_xlfn.LET(_xlpm.CAPS,VLOOKUP(G70,Caps!A:B,2,0),_xlpm.Style,TRIM(_xlfn.XLOOKUP($A70,Строчный!$A:$A,Строчный!B:B,"ERR",0)),IF(_xlpm.CAPS=0,_xlpm.Style,UPPER(_xlpm.Style)))</f>
        <v>3142-655/55</v>
      </c>
      <c r="C70" s="78" t="str">
        <f ca="1">TRIM(PROPER(_xlfn.XLOOKUP($A70,Строчный!$A:$A,Строчный!C:C,"ERR",0)))</f>
        <v>Кепки</v>
      </c>
      <c r="D70" s="78" t="str">
        <f ca="1">_xlfn.LET(_xlpm.DATA,TRIM(_xlfn.XLOOKUP($A70,Строчный!$A:$A,Строчный!D:D,"ERR",0)),UPPER(MID(_xlpm.DATA,1,1))&amp;LOWER(MID(_xlpm.DATA,2,LEN(_xlpm.DATA)-1)))</f>
        <v>Кепка восьмиклинка</v>
      </c>
      <c r="E70" s="78" t="str">
        <f ca="1">PROPER(TRIM(_xlfn.XLOOKUP($A70,Строчный!$A:$A,Строчный!E:E,"ERR",0)))</f>
        <v>Fredrikson</v>
      </c>
      <c r="F70" s="78" t="str">
        <f ca="1">LOWER(TRIM(_xlfn.XLOOKUP($A70,Строчный!$A:$A,Строчный!F:F,"ERR",0)))</f>
        <v>всесезон</v>
      </c>
      <c r="G70" s="78" t="str">
        <f ca="1">UPPER(TRIM(_xlfn.XLOOKUP($A70,Строчный!$A:$A,Строчный!G:G,"ERR",0)))</f>
        <v>FREDRIKSON</v>
      </c>
      <c r="H70" s="78" t="str">
        <f ca="1">LOWER(TRIM(_xlfn.XLOOKUP($A70,Строчный!$A:$A,Строчный!H:H,"ERR",0)))</f>
        <v>655/55</v>
      </c>
      <c r="I70" s="78" t="str">
        <f ca="1">LOWER(TRIM(_xlfn.XLOOKUP($A70,Строчный!$A:$A,Строчный!I:I,"ERR",0)))</f>
        <v>коричневый</v>
      </c>
      <c r="J70" s="78" t="str">
        <f ca="1">SUBSTITUTE(LOWER(TRIM(_xlfn.XLOOKUP($A70,Строчный!$A:$A,Строчный!J:J,"ERR",0))),"подклад","Подклад")</f>
        <v>80% шерсть - 20% полиамид / Подклад: 100% вискоза</v>
      </c>
      <c r="K70" s="78" t="str">
        <f ca="1">LOWER(TRIM(_xlfn.XLOOKUP($A70,Строчный!$A:$A,Строчный!K:K,"ERR",0)))</f>
        <v>шерстяные</v>
      </c>
      <c r="L70" s="78" t="str">
        <f ca="1">PROPER(TRIM(_xlfn.XLOOKUP($A70,Строчный!$A:$A,Строчный!L:L,"ERR",0)))</f>
        <v>Унисекс</v>
      </c>
      <c r="M70" s="105" t="str">
        <f ca="1">PROPER(TRIM(_xlfn.XLOOKUP($A70,Строчный!$A:$A,Строчный!M:M,"ERR",0)))</f>
        <v>Россия</v>
      </c>
      <c r="N70" s="78" t="str">
        <f ca="1">UPPER(TRIM(_xlfn.XLOOKUP($A70,Строчный!$A:$A,Строчный!O:O,"ERR",0)))</f>
        <v/>
      </c>
      <c r="O70" s="99" t="str">
        <f ca="1">PROPER(TRIM(_xlfn.XLOOKUP($A70,Строчный!$A:$A,Строчный!P:P,"ERR",0)))</f>
        <v/>
      </c>
      <c r="P70" s="78" t="str">
        <f ca="1">PROPER(TRIM(_xlfn.XLOOKUP($A70,Строчный!$A:$A,Строчный!R:R,"ERR",0)))</f>
        <v/>
      </c>
      <c r="Q70" s="87">
        <f ca="1">VALUE(_xlfn.XLOOKUP($A70,Строчный!$A:$A,Строчный!N:N,"ERR",0))</f>
        <v>975.8</v>
      </c>
      <c r="R70" s="86" t="str">
        <f ca="1">_xlfn.XLOOKUP($G70,Фабрика!A:A,Фабрика!B:B,"ERR",0)</f>
        <v>ООО "ФРЭДРИКСОН" Россия 192029, С-Петербург, пр. Обуховской обороны, д.86, лит М</v>
      </c>
      <c r="S70" s="77" t="str">
        <f ca="1">_xlfn.XLOOKUP(RIGHT(AA70,2),Размеры!D:D,Размеры!A:A,"ERR",0)</f>
        <v>60</v>
      </c>
      <c r="T70" s="77">
        <f ca="1">VALUE(_xlfn.XLOOKUP($AA70,Строчный!$S:$S,Строчный!U:U,"ERR",0))</f>
        <v>3</v>
      </c>
      <c r="U70" s="14" t="s">
        <v>241</v>
      </c>
      <c r="V70" s="98" t="str">
        <f t="shared" ca="1" si="17"/>
        <v>Кепка FREDRIKSON арт. 3142-655/55 (коричневый)</v>
      </c>
      <c r="W70" s="97" t="str">
        <f t="shared" ca="1" si="18"/>
        <v>Кепка FREDRIKSON арт. 3142-655/55 (коричневый) {655/55}</v>
      </c>
      <c r="X70" s="18" t="str">
        <f t="shared" ca="1" si="19"/>
        <v>коричневый</v>
      </c>
      <c r="Y70" s="18" t="str">
        <f t="shared" ca="1" si="20"/>
        <v>коричневый</v>
      </c>
      <c r="Z70" s="109" t="str">
        <f ca="1">_xlfn.LET(_xlpm.FormColors,_xlfn.XLOOKUP(A70,Строчный!A:A,Строчный!Q:Q,"",0),IF(_xlpm.FormColors=0,IFERROR(MID(I70,FIND("-",I70)+1,LEN(I70)),IFERROR(MID(I70,1,FIND("/",I70)-2),I70)),_xlpm.FormColors))</f>
        <v>коричневый</v>
      </c>
      <c r="AA70" s="70" t="str">
        <f ca="1"/>
        <v>95-091-14-60</v>
      </c>
      <c r="AB70" s="72" t="str">
        <f ca="1">VLOOKUP(C70,Группа!A:B,2,FALSE)</f>
        <v>Кепка</v>
      </c>
      <c r="AC70" s="94" t="str">
        <f ca="1">IFERROR(VLOOKUP(S70,Размеры!A:C,3,FALSE),"")</f>
        <v>60 L/XL</v>
      </c>
      <c r="AD70" s="94" t="str">
        <f ca="1">VLOOKUP(I70,ЦветПолный!A:B,2,FALSE)</f>
        <v>14</v>
      </c>
      <c r="AE70" s="94" t="str">
        <f ca="1">IFERROR(VLOOKUP(S70,Размеры!A:D,4,FALSE),"")</f>
        <v>60</v>
      </c>
      <c r="AF70" s="94">
        <f ca="1">SUMIF(Группа!A:A,C70,Группа!C:C)</f>
        <v>1</v>
      </c>
      <c r="AG70" s="94">
        <f ca="1">SUMIF(Группа!B:B,AB70,Группа!C:C)</f>
        <v>1</v>
      </c>
      <c r="AH70" s="94">
        <f ca="1">SUMIF(Формы!A:A,D70,Формы!B:B)</f>
        <v>1</v>
      </c>
      <c r="AI70" s="94">
        <f ca="1">IF(IFERROR(VLOOKUP(J70,Материал!D:D,1,0),0)&gt;0,1,SUMIF(Материал!A:A,K70,Материал!B:B))</f>
        <v>1</v>
      </c>
      <c r="AJ70" s="94">
        <f ca="1">SUMIF(Размеры!A:A,S70,Размеры!E:E)</f>
        <v>1</v>
      </c>
      <c r="AK70" s="94">
        <f ca="1">SUMIF(Сезон!A:A,F70,Сезон!B:B)</f>
        <v>1</v>
      </c>
      <c r="AL70" s="94">
        <f ca="1">VLOOKUP(I70,ЦветПолный!A:C,3,0)</f>
        <v>1</v>
      </c>
      <c r="AM70" s="94">
        <f ca="1">SUMIF(Цвет!A:A,Z70,Цвет!B:B)</f>
        <v>1</v>
      </c>
      <c r="AN70" s="94">
        <f ca="1">_xlfn.XLOOKUP(L70,Пол!A:A,Пол!B:B,0,0)</f>
        <v>1</v>
      </c>
      <c r="AO70" s="94">
        <f ca="1">SUMIF(Бренд!A:A,G70,Бренд!B:B)</f>
        <v>1</v>
      </c>
      <c r="AP70" s="137">
        <f ca="1">SUMIF(Страна!A:A,M70,Страна!B:B)</f>
        <v>1</v>
      </c>
      <c r="AQ70" s="150" t="str">
        <f t="shared" ca="1" si="21"/>
        <v>Кепка FREDRIKSON арт. 3142-655/55 (коричневый) {655/55}</v>
      </c>
      <c r="AR70" s="94">
        <f t="shared" ca="1" si="22"/>
        <v>1</v>
      </c>
      <c r="AS70" s="143">
        <f t="shared" ca="1" si="23"/>
        <v>1</v>
      </c>
      <c r="AT70" s="138" t="str">
        <f ca="1">IF(IFERROR(VLOOKUP(W70,Товары!A:B,2,FALSE),"")=A70,"Есть в 1С","ERR")</f>
        <v>ERR</v>
      </c>
      <c r="AU70" s="139" t="str">
        <f ca="1">IF(IFERROR(VLOOKUP(A70,Товары!B:B,1,FALSE),"")=A70,"Есть в 1С","ERR")</f>
        <v>ERR</v>
      </c>
      <c r="AV70" s="93" t="e">
        <f ca="1">VLOOKUP(W70,Товары!A:B,2,FALSE)</f>
        <v>#N/A</v>
      </c>
      <c r="AW70" s="91" t="e">
        <f ca="1">VLOOKUP(W70,Товары!A:B,1,FALSE)</f>
        <v>#N/A</v>
      </c>
    </row>
    <row r="71" spans="1:49" x14ac:dyDescent="0.25">
      <c r="A71" s="105" t="str">
        <f t="shared" ca="1" si="16"/>
        <v>95-091-14</v>
      </c>
      <c r="B71" s="78" t="str">
        <f ca="1">_xlfn.LET(_xlpm.CAPS,VLOOKUP(G71,Caps!A:B,2,0),_xlpm.Style,TRIM(_xlfn.XLOOKUP($A71,Строчный!$A:$A,Строчный!B:B,"ERR",0)),IF(_xlpm.CAPS=0,_xlpm.Style,UPPER(_xlpm.Style)))</f>
        <v>3142-655/55</v>
      </c>
      <c r="C71" s="78" t="str">
        <f ca="1">TRIM(PROPER(_xlfn.XLOOKUP($A71,Строчный!$A:$A,Строчный!C:C,"ERR",0)))</f>
        <v>Кепки</v>
      </c>
      <c r="D71" s="78" t="str">
        <f ca="1">_xlfn.LET(_xlpm.DATA,TRIM(_xlfn.XLOOKUP($A71,Строчный!$A:$A,Строчный!D:D,"ERR",0)),UPPER(MID(_xlpm.DATA,1,1))&amp;LOWER(MID(_xlpm.DATA,2,LEN(_xlpm.DATA)-1)))</f>
        <v>Кепка восьмиклинка</v>
      </c>
      <c r="E71" s="78" t="str">
        <f ca="1">PROPER(TRIM(_xlfn.XLOOKUP($A71,Строчный!$A:$A,Строчный!E:E,"ERR",0)))</f>
        <v>Fredrikson</v>
      </c>
      <c r="F71" s="78" t="str">
        <f ca="1">LOWER(TRIM(_xlfn.XLOOKUP($A71,Строчный!$A:$A,Строчный!F:F,"ERR",0)))</f>
        <v>всесезон</v>
      </c>
      <c r="G71" s="78" t="str">
        <f ca="1">UPPER(TRIM(_xlfn.XLOOKUP($A71,Строчный!$A:$A,Строчный!G:G,"ERR",0)))</f>
        <v>FREDRIKSON</v>
      </c>
      <c r="H71" s="78" t="str">
        <f ca="1">LOWER(TRIM(_xlfn.XLOOKUP($A71,Строчный!$A:$A,Строчный!H:H,"ERR",0)))</f>
        <v>655/55</v>
      </c>
      <c r="I71" s="78" t="str">
        <f ca="1">LOWER(TRIM(_xlfn.XLOOKUP($A71,Строчный!$A:$A,Строчный!I:I,"ERR",0)))</f>
        <v>коричневый</v>
      </c>
      <c r="J71" s="78" t="str">
        <f ca="1">SUBSTITUTE(LOWER(TRIM(_xlfn.XLOOKUP($A71,Строчный!$A:$A,Строчный!J:J,"ERR",0))),"подклад","Подклад")</f>
        <v>80% шерсть - 20% полиамид / Подклад: 100% вискоза</v>
      </c>
      <c r="K71" s="78" t="str">
        <f ca="1">LOWER(TRIM(_xlfn.XLOOKUP($A71,Строчный!$A:$A,Строчный!K:K,"ERR",0)))</f>
        <v>шерстяные</v>
      </c>
      <c r="L71" s="78" t="str">
        <f ca="1">PROPER(TRIM(_xlfn.XLOOKUP($A71,Строчный!$A:$A,Строчный!L:L,"ERR",0)))</f>
        <v>Унисекс</v>
      </c>
      <c r="M71" s="105" t="str">
        <f ca="1">PROPER(TRIM(_xlfn.XLOOKUP($A71,Строчный!$A:$A,Строчный!M:M,"ERR",0)))</f>
        <v>Россия</v>
      </c>
      <c r="N71" s="78" t="str">
        <f ca="1">UPPER(TRIM(_xlfn.XLOOKUP($A71,Строчный!$A:$A,Строчный!O:O,"ERR",0)))</f>
        <v/>
      </c>
      <c r="O71" s="99" t="str">
        <f ca="1">PROPER(TRIM(_xlfn.XLOOKUP($A71,Строчный!$A:$A,Строчный!P:P,"ERR",0)))</f>
        <v/>
      </c>
      <c r="P71" s="78" t="str">
        <f ca="1">PROPER(TRIM(_xlfn.XLOOKUP($A71,Строчный!$A:$A,Строчный!R:R,"ERR",0)))</f>
        <v/>
      </c>
      <c r="Q71" s="87">
        <f ca="1">VALUE(_xlfn.XLOOKUP($A71,Строчный!$A:$A,Строчный!N:N,"ERR",0))</f>
        <v>975.8</v>
      </c>
      <c r="R71" s="86" t="str">
        <f ca="1">_xlfn.XLOOKUP($G71,Фабрика!A:A,Фабрика!B:B,"ERR",0)</f>
        <v>ООО "ФРЭДРИКСОН" Россия 192029, С-Петербург, пр. Обуховской обороны, д.86, лит М</v>
      </c>
      <c r="S71" s="77" t="str">
        <f ca="1">_xlfn.XLOOKUP(RIGHT(AA71,2),Размеры!D:D,Размеры!A:A,"ERR",0)</f>
        <v>59</v>
      </c>
      <c r="T71" s="77">
        <f ca="1">VALUE(_xlfn.XLOOKUP($AA71,Строчный!$S:$S,Строчный!U:U,"ERR",0))</f>
        <v>4</v>
      </c>
      <c r="U71" s="14" t="s">
        <v>241</v>
      </c>
      <c r="V71" s="98" t="str">
        <f t="shared" ca="1" si="17"/>
        <v>Кепка FREDRIKSON арт. 3142-655/55 (коричневый)</v>
      </c>
      <c r="W71" s="97" t="str">
        <f t="shared" ca="1" si="18"/>
        <v>Кепка FREDRIKSON арт. 3142-655/55 (коричневый) {655/55}</v>
      </c>
      <c r="X71" s="18" t="str">
        <f t="shared" ca="1" si="19"/>
        <v>коричневый</v>
      </c>
      <c r="Y71" s="18" t="str">
        <f t="shared" ca="1" si="20"/>
        <v>коричневый</v>
      </c>
      <c r="Z71" s="109" t="str">
        <f ca="1">_xlfn.LET(_xlpm.FormColors,_xlfn.XLOOKUP(A71,Строчный!A:A,Строчный!Q:Q,"",0),IF(_xlpm.FormColors=0,IFERROR(MID(I71,FIND("-",I71)+1,LEN(I71)),IFERROR(MID(I71,1,FIND("/",I71)-2),I71)),_xlpm.FormColors))</f>
        <v>коричневый</v>
      </c>
      <c r="AA71" s="70" t="str">
        <f ca="1"/>
        <v>95-091-14-59</v>
      </c>
      <c r="AB71" s="72" t="str">
        <f ca="1">VLOOKUP(C71,Группа!A:B,2,FALSE)</f>
        <v>Кепка</v>
      </c>
      <c r="AC71" s="94" t="str">
        <f ca="1">IFERROR(VLOOKUP(S71,Размеры!A:C,3,FALSE),"")</f>
        <v>59 L</v>
      </c>
      <c r="AD71" s="94" t="str">
        <f ca="1">VLOOKUP(I71,ЦветПолный!A:B,2,FALSE)</f>
        <v>14</v>
      </c>
      <c r="AE71" s="94" t="str">
        <f ca="1">IFERROR(VLOOKUP(S71,Размеры!A:D,4,FALSE),"")</f>
        <v>59</v>
      </c>
      <c r="AF71" s="94">
        <f ca="1">SUMIF(Группа!A:A,C71,Группа!C:C)</f>
        <v>1</v>
      </c>
      <c r="AG71" s="94">
        <f ca="1">SUMIF(Группа!B:B,AB71,Группа!C:C)</f>
        <v>1</v>
      </c>
      <c r="AH71" s="94">
        <f ca="1">SUMIF(Формы!A:A,D71,Формы!B:B)</f>
        <v>1</v>
      </c>
      <c r="AI71" s="94">
        <f ca="1">IF(IFERROR(VLOOKUP(J71,Материал!D:D,1,0),0)&gt;0,1,SUMIF(Материал!A:A,K71,Материал!B:B))</f>
        <v>1</v>
      </c>
      <c r="AJ71" s="94">
        <f ca="1">SUMIF(Размеры!A:A,S71,Размеры!E:E)</f>
        <v>1</v>
      </c>
      <c r="AK71" s="94">
        <f ca="1">SUMIF(Сезон!A:A,F71,Сезон!B:B)</f>
        <v>1</v>
      </c>
      <c r="AL71" s="94">
        <f ca="1">VLOOKUP(I71,ЦветПолный!A:C,3,0)</f>
        <v>1</v>
      </c>
      <c r="AM71" s="94">
        <f ca="1">SUMIF(Цвет!A:A,Z71,Цвет!B:B)</f>
        <v>1</v>
      </c>
      <c r="AN71" s="94">
        <f ca="1">_xlfn.XLOOKUP(L71,Пол!A:A,Пол!B:B,0,0)</f>
        <v>1</v>
      </c>
      <c r="AO71" s="94">
        <f ca="1">SUMIF(Бренд!A:A,G71,Бренд!B:B)</f>
        <v>1</v>
      </c>
      <c r="AP71" s="137">
        <f ca="1">SUMIF(Страна!A:A,M71,Страна!B:B)</f>
        <v>1</v>
      </c>
      <c r="AQ71" s="150" t="str">
        <f t="shared" ca="1" si="21"/>
        <v>Кепка FREDRIKSON арт. 3142-655/55 (коричневый) {655/55}</v>
      </c>
      <c r="AR71" s="94">
        <f t="shared" ca="1" si="22"/>
        <v>1</v>
      </c>
      <c r="AS71" s="143">
        <f t="shared" ca="1" si="23"/>
        <v>1</v>
      </c>
      <c r="AT71" s="138" t="str">
        <f ca="1">IF(IFERROR(VLOOKUP(W71,Товары!A:B,2,FALSE),"")=A71,"Есть в 1С","ERR")</f>
        <v>ERR</v>
      </c>
      <c r="AU71" s="139" t="str">
        <f ca="1">IF(IFERROR(VLOOKUP(A71,Товары!B:B,1,FALSE),"")=A71,"Есть в 1С","ERR")</f>
        <v>ERR</v>
      </c>
      <c r="AV71" s="93" t="e">
        <f ca="1">VLOOKUP(W71,Товары!A:B,2,FALSE)</f>
        <v>#N/A</v>
      </c>
      <c r="AW71" s="91" t="e">
        <f ca="1">VLOOKUP(W71,Товары!A:B,1,FALSE)</f>
        <v>#N/A</v>
      </c>
    </row>
    <row r="72" spans="1:49" x14ac:dyDescent="0.25">
      <c r="A72" s="105" t="str">
        <f t="shared" ca="1" si="16"/>
        <v>95-091-14</v>
      </c>
      <c r="B72" s="78" t="str">
        <f ca="1">_xlfn.LET(_xlpm.CAPS,VLOOKUP(G72,Caps!A:B,2,0),_xlpm.Style,TRIM(_xlfn.XLOOKUP($A72,Строчный!$A:$A,Строчный!B:B,"ERR",0)),IF(_xlpm.CAPS=0,_xlpm.Style,UPPER(_xlpm.Style)))</f>
        <v>3142-655/55</v>
      </c>
      <c r="C72" s="78" t="str">
        <f ca="1">TRIM(PROPER(_xlfn.XLOOKUP($A72,Строчный!$A:$A,Строчный!C:C,"ERR",0)))</f>
        <v>Кепки</v>
      </c>
      <c r="D72" s="78" t="str">
        <f ca="1">_xlfn.LET(_xlpm.DATA,TRIM(_xlfn.XLOOKUP($A72,Строчный!$A:$A,Строчный!D:D,"ERR",0)),UPPER(MID(_xlpm.DATA,1,1))&amp;LOWER(MID(_xlpm.DATA,2,LEN(_xlpm.DATA)-1)))</f>
        <v>Кепка восьмиклинка</v>
      </c>
      <c r="E72" s="78" t="str">
        <f ca="1">PROPER(TRIM(_xlfn.XLOOKUP($A72,Строчный!$A:$A,Строчный!E:E,"ERR",0)))</f>
        <v>Fredrikson</v>
      </c>
      <c r="F72" s="78" t="str">
        <f ca="1">LOWER(TRIM(_xlfn.XLOOKUP($A72,Строчный!$A:$A,Строчный!F:F,"ERR",0)))</f>
        <v>всесезон</v>
      </c>
      <c r="G72" s="78" t="str">
        <f ca="1">UPPER(TRIM(_xlfn.XLOOKUP($A72,Строчный!$A:$A,Строчный!G:G,"ERR",0)))</f>
        <v>FREDRIKSON</v>
      </c>
      <c r="H72" s="78" t="str">
        <f ca="1">LOWER(TRIM(_xlfn.XLOOKUP($A72,Строчный!$A:$A,Строчный!H:H,"ERR",0)))</f>
        <v>655/55</v>
      </c>
      <c r="I72" s="78" t="str">
        <f ca="1">LOWER(TRIM(_xlfn.XLOOKUP($A72,Строчный!$A:$A,Строчный!I:I,"ERR",0)))</f>
        <v>коричневый</v>
      </c>
      <c r="J72" s="78" t="str">
        <f ca="1">SUBSTITUTE(LOWER(TRIM(_xlfn.XLOOKUP($A72,Строчный!$A:$A,Строчный!J:J,"ERR",0))),"подклад","Подклад")</f>
        <v>80% шерсть - 20% полиамид / Подклад: 100% вискоза</v>
      </c>
      <c r="K72" s="78" t="str">
        <f ca="1">LOWER(TRIM(_xlfn.XLOOKUP($A72,Строчный!$A:$A,Строчный!K:K,"ERR",0)))</f>
        <v>шерстяные</v>
      </c>
      <c r="L72" s="78" t="str">
        <f ca="1">PROPER(TRIM(_xlfn.XLOOKUP($A72,Строчный!$A:$A,Строчный!L:L,"ERR",0)))</f>
        <v>Унисекс</v>
      </c>
      <c r="M72" s="105" t="str">
        <f ca="1">PROPER(TRIM(_xlfn.XLOOKUP($A72,Строчный!$A:$A,Строчный!M:M,"ERR",0)))</f>
        <v>Россия</v>
      </c>
      <c r="N72" s="78" t="str">
        <f ca="1">UPPER(TRIM(_xlfn.XLOOKUP($A72,Строчный!$A:$A,Строчный!O:O,"ERR",0)))</f>
        <v/>
      </c>
      <c r="O72" s="99" t="str">
        <f ca="1">PROPER(TRIM(_xlfn.XLOOKUP($A72,Строчный!$A:$A,Строчный!P:P,"ERR",0)))</f>
        <v/>
      </c>
      <c r="P72" s="78" t="str">
        <f ca="1">PROPER(TRIM(_xlfn.XLOOKUP($A72,Строчный!$A:$A,Строчный!R:R,"ERR",0)))</f>
        <v/>
      </c>
      <c r="Q72" s="87">
        <f ca="1">VALUE(_xlfn.XLOOKUP($A72,Строчный!$A:$A,Строчный!N:N,"ERR",0))</f>
        <v>975.8</v>
      </c>
      <c r="R72" s="86" t="str">
        <f ca="1">_xlfn.XLOOKUP($G72,Фабрика!A:A,Фабрика!B:B,"ERR",0)</f>
        <v>ООО "ФРЭДРИКСОН" Россия 192029, С-Петербург, пр. Обуховской обороны, д.86, лит М</v>
      </c>
      <c r="S72" s="77" t="str">
        <f ca="1">_xlfn.XLOOKUP(RIGHT(AA72,2),Размеры!D:D,Размеры!A:A,"ERR",0)</f>
        <v>58</v>
      </c>
      <c r="T72" s="77">
        <f ca="1">VALUE(_xlfn.XLOOKUP($AA72,Строчный!$S:$S,Строчный!U:U,"ERR",0))</f>
        <v>3</v>
      </c>
      <c r="U72" s="14" t="s">
        <v>241</v>
      </c>
      <c r="V72" s="98" t="str">
        <f t="shared" ca="1" si="17"/>
        <v>Кепка FREDRIKSON арт. 3142-655/55 (коричневый)</v>
      </c>
      <c r="W72" s="97" t="str">
        <f t="shared" ca="1" si="18"/>
        <v>Кепка FREDRIKSON арт. 3142-655/55 (коричневый) {655/55}</v>
      </c>
      <c r="X72" s="18" t="str">
        <f t="shared" ca="1" si="19"/>
        <v>коричневый</v>
      </c>
      <c r="Y72" s="18" t="str">
        <f t="shared" ca="1" si="20"/>
        <v>коричневый</v>
      </c>
      <c r="Z72" s="109" t="str">
        <f ca="1">_xlfn.LET(_xlpm.FormColors,_xlfn.XLOOKUP(A72,Строчный!A:A,Строчный!Q:Q,"",0),IF(_xlpm.FormColors=0,IFERROR(MID(I72,FIND("-",I72)+1,LEN(I72)),IFERROR(MID(I72,1,FIND("/",I72)-2),I72)),_xlpm.FormColors))</f>
        <v>коричневый</v>
      </c>
      <c r="AA72" s="70" t="str">
        <f ca="1"/>
        <v>95-091-14-58</v>
      </c>
      <c r="AB72" s="72" t="str">
        <f ca="1">VLOOKUP(C72,Группа!A:B,2,FALSE)</f>
        <v>Кепка</v>
      </c>
      <c r="AC72" s="94" t="str">
        <f ca="1">IFERROR(VLOOKUP(S72,Размеры!A:C,3,FALSE),"")</f>
        <v>58 M/L</v>
      </c>
      <c r="AD72" s="94" t="str">
        <f ca="1">VLOOKUP(I72,ЦветПолный!A:B,2,FALSE)</f>
        <v>14</v>
      </c>
      <c r="AE72" s="94" t="str">
        <f ca="1">IFERROR(VLOOKUP(S72,Размеры!A:D,4,FALSE),"")</f>
        <v>58</v>
      </c>
      <c r="AF72" s="94">
        <f ca="1">SUMIF(Группа!A:A,C72,Группа!C:C)</f>
        <v>1</v>
      </c>
      <c r="AG72" s="94">
        <f ca="1">SUMIF(Группа!B:B,AB72,Группа!C:C)</f>
        <v>1</v>
      </c>
      <c r="AH72" s="94">
        <f ca="1">SUMIF(Формы!A:A,D72,Формы!B:B)</f>
        <v>1</v>
      </c>
      <c r="AI72" s="94">
        <f ca="1">IF(IFERROR(VLOOKUP(J72,Материал!D:D,1,0),0)&gt;0,1,SUMIF(Материал!A:A,K72,Материал!B:B))</f>
        <v>1</v>
      </c>
      <c r="AJ72" s="94">
        <f ca="1">SUMIF(Размеры!A:A,S72,Размеры!E:E)</f>
        <v>1</v>
      </c>
      <c r="AK72" s="94">
        <f ca="1">SUMIF(Сезон!A:A,F72,Сезон!B:B)</f>
        <v>1</v>
      </c>
      <c r="AL72" s="94">
        <f ca="1">VLOOKUP(I72,ЦветПолный!A:C,3,0)</f>
        <v>1</v>
      </c>
      <c r="AM72" s="94">
        <f ca="1">SUMIF(Цвет!A:A,Z72,Цвет!B:B)</f>
        <v>1</v>
      </c>
      <c r="AN72" s="94">
        <f ca="1">_xlfn.XLOOKUP(L72,Пол!A:A,Пол!B:B,0,0)</f>
        <v>1</v>
      </c>
      <c r="AO72" s="94">
        <f ca="1">SUMIF(Бренд!A:A,G72,Бренд!B:B)</f>
        <v>1</v>
      </c>
      <c r="AP72" s="137">
        <f ca="1">SUMIF(Страна!A:A,M72,Страна!B:B)</f>
        <v>1</v>
      </c>
      <c r="AQ72" s="150" t="str">
        <f t="shared" ca="1" si="21"/>
        <v>Кепка FREDRIKSON арт. 3142-655/55 (коричневый) {655/55}</v>
      </c>
      <c r="AR72" s="94">
        <f t="shared" ca="1" si="22"/>
        <v>1</v>
      </c>
      <c r="AS72" s="143">
        <f t="shared" ca="1" si="23"/>
        <v>1</v>
      </c>
      <c r="AT72" s="138" t="str">
        <f ca="1">IF(IFERROR(VLOOKUP(W72,Товары!A:B,2,FALSE),"")=A72,"Есть в 1С","ERR")</f>
        <v>ERR</v>
      </c>
      <c r="AU72" s="139" t="str">
        <f ca="1">IF(IFERROR(VLOOKUP(A72,Товары!B:B,1,FALSE),"")=A72,"Есть в 1С","ERR")</f>
        <v>ERR</v>
      </c>
      <c r="AV72" s="93" t="e">
        <f ca="1">VLOOKUP(W72,Товары!A:B,2,FALSE)</f>
        <v>#N/A</v>
      </c>
      <c r="AW72" s="91" t="e">
        <f ca="1">VLOOKUP(W72,Товары!A:B,1,FALSE)</f>
        <v>#N/A</v>
      </c>
    </row>
    <row r="73" spans="1:49" x14ac:dyDescent="0.25">
      <c r="A73" s="105" t="str">
        <f t="shared" ca="1" si="16"/>
        <v>95-091-14</v>
      </c>
      <c r="B73" s="78" t="str">
        <f ca="1">_xlfn.LET(_xlpm.CAPS,VLOOKUP(G73,Caps!A:B,2,0),_xlpm.Style,TRIM(_xlfn.XLOOKUP($A73,Строчный!$A:$A,Строчный!B:B,"ERR",0)),IF(_xlpm.CAPS=0,_xlpm.Style,UPPER(_xlpm.Style)))</f>
        <v>3142-655/55</v>
      </c>
      <c r="C73" s="78" t="str">
        <f ca="1">TRIM(PROPER(_xlfn.XLOOKUP($A73,Строчный!$A:$A,Строчный!C:C,"ERR",0)))</f>
        <v>Кепки</v>
      </c>
      <c r="D73" s="78" t="str">
        <f ca="1">_xlfn.LET(_xlpm.DATA,TRIM(_xlfn.XLOOKUP($A73,Строчный!$A:$A,Строчный!D:D,"ERR",0)),UPPER(MID(_xlpm.DATA,1,1))&amp;LOWER(MID(_xlpm.DATA,2,LEN(_xlpm.DATA)-1)))</f>
        <v>Кепка восьмиклинка</v>
      </c>
      <c r="E73" s="78" t="str">
        <f ca="1">PROPER(TRIM(_xlfn.XLOOKUP($A73,Строчный!$A:$A,Строчный!E:E,"ERR",0)))</f>
        <v>Fredrikson</v>
      </c>
      <c r="F73" s="78" t="str">
        <f ca="1">LOWER(TRIM(_xlfn.XLOOKUP($A73,Строчный!$A:$A,Строчный!F:F,"ERR",0)))</f>
        <v>всесезон</v>
      </c>
      <c r="G73" s="78" t="str">
        <f ca="1">UPPER(TRIM(_xlfn.XLOOKUP($A73,Строчный!$A:$A,Строчный!G:G,"ERR",0)))</f>
        <v>FREDRIKSON</v>
      </c>
      <c r="H73" s="78" t="str">
        <f ca="1">LOWER(TRIM(_xlfn.XLOOKUP($A73,Строчный!$A:$A,Строчный!H:H,"ERR",0)))</f>
        <v>655/55</v>
      </c>
      <c r="I73" s="78" t="str">
        <f ca="1">LOWER(TRIM(_xlfn.XLOOKUP($A73,Строчный!$A:$A,Строчный!I:I,"ERR",0)))</f>
        <v>коричневый</v>
      </c>
      <c r="J73" s="78" t="str">
        <f ca="1">SUBSTITUTE(LOWER(TRIM(_xlfn.XLOOKUP($A73,Строчный!$A:$A,Строчный!J:J,"ERR",0))),"подклад","Подклад")</f>
        <v>80% шерсть - 20% полиамид / Подклад: 100% вискоза</v>
      </c>
      <c r="K73" s="78" t="str">
        <f ca="1">LOWER(TRIM(_xlfn.XLOOKUP($A73,Строчный!$A:$A,Строчный!K:K,"ERR",0)))</f>
        <v>шерстяные</v>
      </c>
      <c r="L73" s="78" t="str">
        <f ca="1">PROPER(TRIM(_xlfn.XLOOKUP($A73,Строчный!$A:$A,Строчный!L:L,"ERR",0)))</f>
        <v>Унисекс</v>
      </c>
      <c r="M73" s="105" t="str">
        <f ca="1">PROPER(TRIM(_xlfn.XLOOKUP($A73,Строчный!$A:$A,Строчный!M:M,"ERR",0)))</f>
        <v>Россия</v>
      </c>
      <c r="N73" s="78" t="str">
        <f ca="1">UPPER(TRIM(_xlfn.XLOOKUP($A73,Строчный!$A:$A,Строчный!O:O,"ERR",0)))</f>
        <v/>
      </c>
      <c r="O73" s="99" t="str">
        <f ca="1">PROPER(TRIM(_xlfn.XLOOKUP($A73,Строчный!$A:$A,Строчный!P:P,"ERR",0)))</f>
        <v/>
      </c>
      <c r="P73" s="78" t="str">
        <f ca="1">PROPER(TRIM(_xlfn.XLOOKUP($A73,Строчный!$A:$A,Строчный!R:R,"ERR",0)))</f>
        <v/>
      </c>
      <c r="Q73" s="87">
        <f ca="1">VALUE(_xlfn.XLOOKUP($A73,Строчный!$A:$A,Строчный!N:N,"ERR",0))</f>
        <v>975.8</v>
      </c>
      <c r="R73" s="86" t="str">
        <f ca="1">_xlfn.XLOOKUP($G73,Фабрика!A:A,Фабрика!B:B,"ERR",0)</f>
        <v>ООО "ФРЭДРИКСОН" Россия 192029, С-Петербург, пр. Обуховской обороны, д.86, лит М</v>
      </c>
      <c r="S73" s="77" t="str">
        <f ca="1">_xlfn.XLOOKUP(RIGHT(AA73,2),Размеры!D:D,Размеры!A:A,"ERR",0)</f>
        <v>57</v>
      </c>
      <c r="T73" s="77">
        <f ca="1">VALUE(_xlfn.XLOOKUP($AA73,Строчный!$S:$S,Строчный!U:U,"ERR",0))</f>
        <v>2</v>
      </c>
      <c r="U73" s="14" t="s">
        <v>241</v>
      </c>
      <c r="V73" s="98" t="str">
        <f t="shared" ca="1" si="17"/>
        <v>Кепка FREDRIKSON арт. 3142-655/55 (коричневый)</v>
      </c>
      <c r="W73" s="97" t="str">
        <f t="shared" ca="1" si="18"/>
        <v>Кепка FREDRIKSON арт. 3142-655/55 (коричневый) {655/55}</v>
      </c>
      <c r="X73" s="18" t="str">
        <f t="shared" ca="1" si="19"/>
        <v>коричневый</v>
      </c>
      <c r="Y73" s="18" t="str">
        <f t="shared" ca="1" si="20"/>
        <v>коричневый</v>
      </c>
      <c r="Z73" s="109" t="str">
        <f ca="1">_xlfn.LET(_xlpm.FormColors,_xlfn.XLOOKUP(A73,Строчный!A:A,Строчный!Q:Q,"",0),IF(_xlpm.FormColors=0,IFERROR(MID(I73,FIND("-",I73)+1,LEN(I73)),IFERROR(MID(I73,1,FIND("/",I73)-2),I73)),_xlpm.FormColors))</f>
        <v>коричневый</v>
      </c>
      <c r="AA73" s="70" t="str">
        <f ca="1"/>
        <v>95-091-14-57</v>
      </c>
      <c r="AB73" s="72" t="str">
        <f ca="1">VLOOKUP(C73,Группа!A:B,2,FALSE)</f>
        <v>Кепка</v>
      </c>
      <c r="AC73" s="94" t="str">
        <f ca="1">IFERROR(VLOOKUP(S73,Размеры!A:C,3,FALSE),"")</f>
        <v>57 M</v>
      </c>
      <c r="AD73" s="94" t="str">
        <f ca="1">VLOOKUP(I73,ЦветПолный!A:B,2,FALSE)</f>
        <v>14</v>
      </c>
      <c r="AE73" s="94" t="str">
        <f ca="1">IFERROR(VLOOKUP(S73,Размеры!A:D,4,FALSE),"")</f>
        <v>57</v>
      </c>
      <c r="AF73" s="94">
        <f ca="1">SUMIF(Группа!A:A,C73,Группа!C:C)</f>
        <v>1</v>
      </c>
      <c r="AG73" s="94">
        <f ca="1">SUMIF(Группа!B:B,AB73,Группа!C:C)</f>
        <v>1</v>
      </c>
      <c r="AH73" s="94">
        <f ca="1">SUMIF(Формы!A:A,D73,Формы!B:B)</f>
        <v>1</v>
      </c>
      <c r="AI73" s="94">
        <f ca="1">IF(IFERROR(VLOOKUP(J73,Материал!D:D,1,0),0)&gt;0,1,SUMIF(Материал!A:A,K73,Материал!B:B))</f>
        <v>1</v>
      </c>
      <c r="AJ73" s="94">
        <f ca="1">SUMIF(Размеры!A:A,S73,Размеры!E:E)</f>
        <v>1</v>
      </c>
      <c r="AK73" s="94">
        <f ca="1">SUMIF(Сезон!A:A,F73,Сезон!B:B)</f>
        <v>1</v>
      </c>
      <c r="AL73" s="94">
        <f ca="1">VLOOKUP(I73,ЦветПолный!A:C,3,0)</f>
        <v>1</v>
      </c>
      <c r="AM73" s="94">
        <f ca="1">SUMIF(Цвет!A:A,Z73,Цвет!B:B)</f>
        <v>1</v>
      </c>
      <c r="AN73" s="94">
        <f ca="1">_xlfn.XLOOKUP(L73,Пол!A:A,Пол!B:B,0,0)</f>
        <v>1</v>
      </c>
      <c r="AO73" s="94">
        <f ca="1">SUMIF(Бренд!A:A,G73,Бренд!B:B)</f>
        <v>1</v>
      </c>
      <c r="AP73" s="137">
        <f ca="1">SUMIF(Страна!A:A,M73,Страна!B:B)</f>
        <v>1</v>
      </c>
      <c r="AQ73" s="150" t="str">
        <f t="shared" ca="1" si="21"/>
        <v>Кепка FREDRIKSON арт. 3142-655/55 (коричневый) {655/55}</v>
      </c>
      <c r="AR73" s="94">
        <f t="shared" ca="1" si="22"/>
        <v>1</v>
      </c>
      <c r="AS73" s="143">
        <f t="shared" ca="1" si="23"/>
        <v>1</v>
      </c>
      <c r="AT73" s="138" t="str">
        <f ca="1">IF(IFERROR(VLOOKUP(W73,Товары!A:B,2,FALSE),"")=A73,"Есть в 1С","ERR")</f>
        <v>ERR</v>
      </c>
      <c r="AU73" s="139" t="str">
        <f ca="1">IF(IFERROR(VLOOKUP(A73,Товары!B:B,1,FALSE),"")=A73,"Есть в 1С","ERR")</f>
        <v>ERR</v>
      </c>
      <c r="AV73" s="93" t="e">
        <f ca="1">VLOOKUP(W73,Товары!A:B,2,FALSE)</f>
        <v>#N/A</v>
      </c>
      <c r="AW73" s="91" t="e">
        <f ca="1">VLOOKUP(W73,Товары!A:B,1,FALSE)</f>
        <v>#N/A</v>
      </c>
    </row>
    <row r="74" spans="1:49" x14ac:dyDescent="0.25">
      <c r="A74" s="105" t="str">
        <f t="shared" ca="1" si="16"/>
        <v>95-091-14</v>
      </c>
      <c r="B74" s="78" t="str">
        <f ca="1">_xlfn.LET(_xlpm.CAPS,VLOOKUP(G74,Caps!A:B,2,0),_xlpm.Style,TRIM(_xlfn.XLOOKUP($A74,Строчный!$A:$A,Строчный!B:B,"ERR",0)),IF(_xlpm.CAPS=0,_xlpm.Style,UPPER(_xlpm.Style)))</f>
        <v>3142-655/55</v>
      </c>
      <c r="C74" s="78" t="str">
        <f ca="1">TRIM(PROPER(_xlfn.XLOOKUP($A74,Строчный!$A:$A,Строчный!C:C,"ERR",0)))</f>
        <v>Кепки</v>
      </c>
      <c r="D74" s="78" t="str">
        <f ca="1">_xlfn.LET(_xlpm.DATA,TRIM(_xlfn.XLOOKUP($A74,Строчный!$A:$A,Строчный!D:D,"ERR",0)),UPPER(MID(_xlpm.DATA,1,1))&amp;LOWER(MID(_xlpm.DATA,2,LEN(_xlpm.DATA)-1)))</f>
        <v>Кепка восьмиклинка</v>
      </c>
      <c r="E74" s="78" t="str">
        <f ca="1">PROPER(TRIM(_xlfn.XLOOKUP($A74,Строчный!$A:$A,Строчный!E:E,"ERR",0)))</f>
        <v>Fredrikson</v>
      </c>
      <c r="F74" s="78" t="str">
        <f ca="1">LOWER(TRIM(_xlfn.XLOOKUP($A74,Строчный!$A:$A,Строчный!F:F,"ERR",0)))</f>
        <v>всесезон</v>
      </c>
      <c r="G74" s="78" t="str">
        <f ca="1">UPPER(TRIM(_xlfn.XLOOKUP($A74,Строчный!$A:$A,Строчный!G:G,"ERR",0)))</f>
        <v>FREDRIKSON</v>
      </c>
      <c r="H74" s="78" t="str">
        <f ca="1">LOWER(TRIM(_xlfn.XLOOKUP($A74,Строчный!$A:$A,Строчный!H:H,"ERR",0)))</f>
        <v>655/55</v>
      </c>
      <c r="I74" s="78" t="str">
        <f ca="1">LOWER(TRIM(_xlfn.XLOOKUP($A74,Строчный!$A:$A,Строчный!I:I,"ERR",0)))</f>
        <v>коричневый</v>
      </c>
      <c r="J74" s="78" t="str">
        <f ca="1">SUBSTITUTE(LOWER(TRIM(_xlfn.XLOOKUP($A74,Строчный!$A:$A,Строчный!J:J,"ERR",0))),"подклад","Подклад")</f>
        <v>80% шерсть - 20% полиамид / Подклад: 100% вискоза</v>
      </c>
      <c r="K74" s="78" t="str">
        <f ca="1">LOWER(TRIM(_xlfn.XLOOKUP($A74,Строчный!$A:$A,Строчный!K:K,"ERR",0)))</f>
        <v>шерстяные</v>
      </c>
      <c r="L74" s="78" t="str">
        <f ca="1">PROPER(TRIM(_xlfn.XLOOKUP($A74,Строчный!$A:$A,Строчный!L:L,"ERR",0)))</f>
        <v>Унисекс</v>
      </c>
      <c r="M74" s="105" t="str">
        <f ca="1">PROPER(TRIM(_xlfn.XLOOKUP($A74,Строчный!$A:$A,Строчный!M:M,"ERR",0)))</f>
        <v>Россия</v>
      </c>
      <c r="N74" s="78" t="str">
        <f ca="1">UPPER(TRIM(_xlfn.XLOOKUP($A74,Строчный!$A:$A,Строчный!O:O,"ERR",0)))</f>
        <v/>
      </c>
      <c r="O74" s="99" t="str">
        <f ca="1">PROPER(TRIM(_xlfn.XLOOKUP($A74,Строчный!$A:$A,Строчный!P:P,"ERR",0)))</f>
        <v/>
      </c>
      <c r="P74" s="78" t="str">
        <f ca="1">PROPER(TRIM(_xlfn.XLOOKUP($A74,Строчный!$A:$A,Строчный!R:R,"ERR",0)))</f>
        <v/>
      </c>
      <c r="Q74" s="87">
        <f ca="1">VALUE(_xlfn.XLOOKUP($A74,Строчный!$A:$A,Строчный!N:N,"ERR",0))</f>
        <v>975.8</v>
      </c>
      <c r="R74" s="86" t="str">
        <f ca="1">_xlfn.XLOOKUP($G74,Фабрика!A:A,Фабрика!B:B,"ERR",0)</f>
        <v>ООО "ФРЭДРИКСОН" Россия 192029, С-Петербург, пр. Обуховской обороны, д.86, лит М</v>
      </c>
      <c r="S74" s="77" t="str">
        <f ca="1">_xlfn.XLOOKUP(RIGHT(AA74,2),Размеры!D:D,Размеры!A:A,"ERR",0)</f>
        <v>56</v>
      </c>
      <c r="T74" s="77">
        <f ca="1">VALUE(_xlfn.XLOOKUP($AA74,Строчный!$S:$S,Строчный!U:U,"ERR",0))</f>
        <v>1</v>
      </c>
      <c r="U74" s="14" t="s">
        <v>241</v>
      </c>
      <c r="V74" s="98" t="str">
        <f t="shared" ca="1" si="17"/>
        <v>Кепка FREDRIKSON арт. 3142-655/55 (коричневый)</v>
      </c>
      <c r="W74" s="97" t="str">
        <f t="shared" ca="1" si="18"/>
        <v>Кепка FREDRIKSON арт. 3142-655/55 (коричневый) {655/55}</v>
      </c>
      <c r="X74" s="18" t="str">
        <f t="shared" ca="1" si="19"/>
        <v>коричневый</v>
      </c>
      <c r="Y74" s="18" t="str">
        <f t="shared" ca="1" si="20"/>
        <v>коричневый</v>
      </c>
      <c r="Z74" s="109" t="str">
        <f ca="1">_xlfn.LET(_xlpm.FormColors,_xlfn.XLOOKUP(A74,Строчный!A:A,Строчный!Q:Q,"",0),IF(_xlpm.FormColors=0,IFERROR(MID(I74,FIND("-",I74)+1,LEN(I74)),IFERROR(MID(I74,1,FIND("/",I74)-2),I74)),_xlpm.FormColors))</f>
        <v>коричневый</v>
      </c>
      <c r="AA74" s="70" t="str">
        <f ca="1"/>
        <v>95-091-14-56</v>
      </c>
      <c r="AB74" s="72" t="str">
        <f ca="1">VLOOKUP(C74,Группа!A:B,2,FALSE)</f>
        <v>Кепка</v>
      </c>
      <c r="AC74" s="94" t="str">
        <f ca="1">IFERROR(VLOOKUP(S74,Размеры!A:C,3,FALSE),"")</f>
        <v>56 S/M</v>
      </c>
      <c r="AD74" s="94" t="str">
        <f ca="1">VLOOKUP(I74,ЦветПолный!A:B,2,FALSE)</f>
        <v>14</v>
      </c>
      <c r="AE74" s="94" t="str">
        <f ca="1">IFERROR(VLOOKUP(S74,Размеры!A:D,4,FALSE),"")</f>
        <v>56</v>
      </c>
      <c r="AF74" s="94">
        <f ca="1">SUMIF(Группа!A:A,C74,Группа!C:C)</f>
        <v>1</v>
      </c>
      <c r="AG74" s="94">
        <f ca="1">SUMIF(Группа!B:B,AB74,Группа!C:C)</f>
        <v>1</v>
      </c>
      <c r="AH74" s="94">
        <f ca="1">SUMIF(Формы!A:A,D74,Формы!B:B)</f>
        <v>1</v>
      </c>
      <c r="AI74" s="94">
        <f ca="1">IF(IFERROR(VLOOKUP(J74,Материал!D:D,1,0),0)&gt;0,1,SUMIF(Материал!A:A,K74,Материал!B:B))</f>
        <v>1</v>
      </c>
      <c r="AJ74" s="94">
        <f ca="1">SUMIF(Размеры!A:A,S74,Размеры!E:E)</f>
        <v>1</v>
      </c>
      <c r="AK74" s="94">
        <f ca="1">SUMIF(Сезон!A:A,F74,Сезон!B:B)</f>
        <v>1</v>
      </c>
      <c r="AL74" s="94">
        <f ca="1">VLOOKUP(I74,ЦветПолный!A:C,3,0)</f>
        <v>1</v>
      </c>
      <c r="AM74" s="94">
        <f ca="1">SUMIF(Цвет!A:A,Z74,Цвет!B:B)</f>
        <v>1</v>
      </c>
      <c r="AN74" s="94">
        <f ca="1">_xlfn.XLOOKUP(L74,Пол!A:A,Пол!B:B,0,0)</f>
        <v>1</v>
      </c>
      <c r="AO74" s="94">
        <f ca="1">SUMIF(Бренд!A:A,G74,Бренд!B:B)</f>
        <v>1</v>
      </c>
      <c r="AP74" s="137">
        <f ca="1">SUMIF(Страна!A:A,M74,Страна!B:B)</f>
        <v>1</v>
      </c>
      <c r="AQ74" s="150" t="str">
        <f t="shared" ca="1" si="21"/>
        <v>Кепка FREDRIKSON арт. 3142-655/55 (коричневый) {655/55}</v>
      </c>
      <c r="AR74" s="94">
        <f t="shared" ca="1" si="22"/>
        <v>1</v>
      </c>
      <c r="AS74" s="143">
        <f t="shared" ca="1" si="23"/>
        <v>1</v>
      </c>
      <c r="AT74" s="138" t="str">
        <f ca="1">IF(IFERROR(VLOOKUP(W74,Товары!A:B,2,FALSE),"")=A74,"Есть в 1С","ERR")</f>
        <v>ERR</v>
      </c>
      <c r="AU74" s="139" t="str">
        <f ca="1">IF(IFERROR(VLOOKUP(A74,Товары!B:B,1,FALSE),"")=A74,"Есть в 1С","ERR")</f>
        <v>ERR</v>
      </c>
      <c r="AV74" s="93" t="e">
        <f ca="1">VLOOKUP(W74,Товары!A:B,2,FALSE)</f>
        <v>#N/A</v>
      </c>
      <c r="AW74" s="91" t="e">
        <f ca="1">VLOOKUP(W74,Товары!A:B,1,FALSE)</f>
        <v>#N/A</v>
      </c>
    </row>
    <row r="75" spans="1:49" x14ac:dyDescent="0.25">
      <c r="A75" s="105" t="str">
        <f t="shared" ca="1" si="16"/>
        <v>95-090-80</v>
      </c>
      <c r="B75" s="78" t="str">
        <f ca="1">_xlfn.LET(_xlpm.CAPS,VLOOKUP(G75,Caps!A:B,2,0),_xlpm.Style,TRIM(_xlfn.XLOOKUP($A75,Строчный!$A:$A,Строчный!B:B,"ERR",0)),IF(_xlpm.CAPS=0,_xlpm.Style,UPPER(_xlpm.Style)))</f>
        <v>3142-635/75</v>
      </c>
      <c r="C75" s="78" t="str">
        <f ca="1">TRIM(PROPER(_xlfn.XLOOKUP($A75,Строчный!$A:$A,Строчный!C:C,"ERR",0)))</f>
        <v>Кепки</v>
      </c>
      <c r="D75" s="78" t="str">
        <f ca="1">_xlfn.LET(_xlpm.DATA,TRIM(_xlfn.XLOOKUP($A75,Строчный!$A:$A,Строчный!D:D,"ERR",0)),UPPER(MID(_xlpm.DATA,1,1))&amp;LOWER(MID(_xlpm.DATA,2,LEN(_xlpm.DATA)-1)))</f>
        <v>Кепка восьмиклинка</v>
      </c>
      <c r="E75" s="78" t="str">
        <f ca="1">PROPER(TRIM(_xlfn.XLOOKUP($A75,Строчный!$A:$A,Строчный!E:E,"ERR",0)))</f>
        <v>Fredrikson</v>
      </c>
      <c r="F75" s="78" t="str">
        <f ca="1">LOWER(TRIM(_xlfn.XLOOKUP($A75,Строчный!$A:$A,Строчный!F:F,"ERR",0)))</f>
        <v>всесезон</v>
      </c>
      <c r="G75" s="78" t="str">
        <f ca="1">UPPER(TRIM(_xlfn.XLOOKUP($A75,Строчный!$A:$A,Строчный!G:G,"ERR",0)))</f>
        <v>FREDRIKSON</v>
      </c>
      <c r="H75" s="78" t="str">
        <f ca="1">LOWER(TRIM(_xlfn.XLOOKUP($A75,Строчный!$A:$A,Строчный!H:H,"ERR",0)))</f>
        <v>635/75</v>
      </c>
      <c r="I75" s="78" t="str">
        <f ca="1">LOWER(TRIM(_xlfn.XLOOKUP($A75,Строчный!$A:$A,Строчный!I:I,"ERR",0)))</f>
        <v>серый</v>
      </c>
      <c r="J75" s="78" t="str">
        <f ca="1">SUBSTITUTE(LOWER(TRIM(_xlfn.XLOOKUP($A75,Строчный!$A:$A,Строчный!J:J,"ERR",0))),"подклад","Подклад")</f>
        <v>80% шерсть - 20% полиамид / Подклад: 100% вискоза</v>
      </c>
      <c r="K75" s="78" t="str">
        <f ca="1">LOWER(TRIM(_xlfn.XLOOKUP($A75,Строчный!$A:$A,Строчный!K:K,"ERR",0)))</f>
        <v>шерстяные</v>
      </c>
      <c r="L75" s="78" t="str">
        <f ca="1">PROPER(TRIM(_xlfn.XLOOKUP($A75,Строчный!$A:$A,Строчный!L:L,"ERR",0)))</f>
        <v>Унисекс</v>
      </c>
      <c r="M75" s="105" t="str">
        <f ca="1">PROPER(TRIM(_xlfn.XLOOKUP($A75,Строчный!$A:$A,Строчный!M:M,"ERR",0)))</f>
        <v>Россия</v>
      </c>
      <c r="N75" s="78" t="str">
        <f ca="1">UPPER(TRIM(_xlfn.XLOOKUP($A75,Строчный!$A:$A,Строчный!O:O,"ERR",0)))</f>
        <v/>
      </c>
      <c r="O75" s="99" t="str">
        <f ca="1">PROPER(TRIM(_xlfn.XLOOKUP($A75,Строчный!$A:$A,Строчный!P:P,"ERR",0)))</f>
        <v/>
      </c>
      <c r="P75" s="78" t="str">
        <f ca="1">PROPER(TRIM(_xlfn.XLOOKUP($A75,Строчный!$A:$A,Строчный!R:R,"ERR",0)))</f>
        <v/>
      </c>
      <c r="Q75" s="87">
        <f ca="1">VALUE(_xlfn.XLOOKUP($A75,Строчный!$A:$A,Строчный!N:N,"ERR",0))</f>
        <v>975.8</v>
      </c>
      <c r="R75" s="86" t="str">
        <f ca="1">_xlfn.XLOOKUP($G75,Фабрика!A:A,Фабрика!B:B,"ERR",0)</f>
        <v>ООО "ФРЭДРИКСОН" Россия 192029, С-Петербург, пр. Обуховской обороны, д.86, лит М</v>
      </c>
      <c r="S75" s="77" t="str">
        <f ca="1">_xlfn.XLOOKUP(RIGHT(AA75,2),Размеры!D:D,Размеры!A:A,"ERR",0)</f>
        <v>62</v>
      </c>
      <c r="T75" s="77">
        <f ca="1">VALUE(_xlfn.XLOOKUP($AA75,Строчный!$S:$S,Строчный!U:U,"ERR",0))</f>
        <v>2</v>
      </c>
      <c r="U75" s="14" t="s">
        <v>241</v>
      </c>
      <c r="V75" s="98" t="str">
        <f t="shared" ca="1" si="17"/>
        <v>Кепка FREDRIKSON арт. 3142-635/75 (серый)</v>
      </c>
      <c r="W75" s="97" t="str">
        <f t="shared" ca="1" si="18"/>
        <v>Кепка FREDRIKSON арт. 3142-635/75 (серый) {635/75}</v>
      </c>
      <c r="X75" s="18" t="str">
        <f t="shared" ca="1" si="19"/>
        <v>серый</v>
      </c>
      <c r="Y75" s="18" t="str">
        <f t="shared" ca="1" si="20"/>
        <v>серый</v>
      </c>
      <c r="Z75" s="109" t="str">
        <f ca="1">_xlfn.LET(_xlpm.FormColors,_xlfn.XLOOKUP(A75,Строчный!A:A,Строчный!Q:Q,"",0),IF(_xlpm.FormColors=0,IFERROR(MID(I75,FIND("-",I75)+1,LEN(I75)),IFERROR(MID(I75,1,FIND("/",I75)-2),I75)),_xlpm.FormColors))</f>
        <v>серый</v>
      </c>
      <c r="AA75" s="70" t="str">
        <f ca="1"/>
        <v>95-090-80-62</v>
      </c>
      <c r="AB75" s="72" t="str">
        <f ca="1">VLOOKUP(C75,Группа!A:B,2,FALSE)</f>
        <v>Кепка</v>
      </c>
      <c r="AC75" s="94" t="str">
        <f ca="1">IFERROR(VLOOKUP(S75,Размеры!A:C,3,FALSE),"")</f>
        <v>62 XL/XXL</v>
      </c>
      <c r="AD75" s="94" t="str">
        <f ca="1">VLOOKUP(I75,ЦветПолный!A:B,2,FALSE)</f>
        <v>80</v>
      </c>
      <c r="AE75" s="94" t="str">
        <f ca="1">IFERROR(VLOOKUP(S75,Размеры!A:D,4,FALSE),"")</f>
        <v>62</v>
      </c>
      <c r="AF75" s="94">
        <f ca="1">SUMIF(Группа!A:A,C75,Группа!C:C)</f>
        <v>1</v>
      </c>
      <c r="AG75" s="94">
        <f ca="1">SUMIF(Группа!B:B,AB75,Группа!C:C)</f>
        <v>1</v>
      </c>
      <c r="AH75" s="94">
        <f ca="1">SUMIF(Формы!A:A,D75,Формы!B:B)</f>
        <v>1</v>
      </c>
      <c r="AI75" s="94">
        <f ca="1">IF(IFERROR(VLOOKUP(J75,Материал!D:D,1,0),0)&gt;0,1,SUMIF(Материал!A:A,K75,Материал!B:B))</f>
        <v>1</v>
      </c>
      <c r="AJ75" s="94">
        <f ca="1">SUMIF(Размеры!A:A,S75,Размеры!E:E)</f>
        <v>1</v>
      </c>
      <c r="AK75" s="94">
        <f ca="1">SUMIF(Сезон!A:A,F75,Сезон!B:B)</f>
        <v>1</v>
      </c>
      <c r="AL75" s="94">
        <f ca="1">VLOOKUP(I75,ЦветПолный!A:C,3,0)</f>
        <v>1</v>
      </c>
      <c r="AM75" s="94">
        <f ca="1">SUMIF(Цвет!A:A,Z75,Цвет!B:B)</f>
        <v>1</v>
      </c>
      <c r="AN75" s="94">
        <f ca="1">_xlfn.XLOOKUP(L75,Пол!A:A,Пол!B:B,0,0)</f>
        <v>1</v>
      </c>
      <c r="AO75" s="94">
        <f ca="1">SUMIF(Бренд!A:A,G75,Бренд!B:B)</f>
        <v>1</v>
      </c>
      <c r="AP75" s="137">
        <f ca="1">SUMIF(Страна!A:A,M75,Страна!B:B)</f>
        <v>1</v>
      </c>
      <c r="AQ75" s="150" t="str">
        <f t="shared" ca="1" si="21"/>
        <v>Кепка FREDRIKSON арт. 3142-635/75 (серый) {635/75}</v>
      </c>
      <c r="AR75" s="94">
        <f t="shared" ca="1" si="22"/>
        <v>1</v>
      </c>
      <c r="AS75" s="143">
        <f t="shared" ca="1" si="23"/>
        <v>1</v>
      </c>
      <c r="AT75" s="138" t="str">
        <f ca="1">IF(IFERROR(VLOOKUP(W75,Товары!A:B,2,FALSE),"")=A75,"Есть в 1С","ERR")</f>
        <v>ERR</v>
      </c>
      <c r="AU75" s="139" t="str">
        <f ca="1">IF(IFERROR(VLOOKUP(A75,Товары!B:B,1,FALSE),"")=A75,"Есть в 1С","ERR")</f>
        <v>ERR</v>
      </c>
      <c r="AV75" s="93" t="e">
        <f ca="1">VLOOKUP(W75,Товары!A:B,2,FALSE)</f>
        <v>#N/A</v>
      </c>
      <c r="AW75" s="91" t="e">
        <f ca="1">VLOOKUP(W75,Товары!A:B,1,FALSE)</f>
        <v>#N/A</v>
      </c>
    </row>
    <row r="76" spans="1:49" x14ac:dyDescent="0.25">
      <c r="A76" s="105" t="str">
        <f t="shared" ca="1" si="16"/>
        <v>95-090-80</v>
      </c>
      <c r="B76" s="78" t="str">
        <f ca="1">_xlfn.LET(_xlpm.CAPS,VLOOKUP(G76,Caps!A:B,2,0),_xlpm.Style,TRIM(_xlfn.XLOOKUP($A76,Строчный!$A:$A,Строчный!B:B,"ERR",0)),IF(_xlpm.CAPS=0,_xlpm.Style,UPPER(_xlpm.Style)))</f>
        <v>3142-635/75</v>
      </c>
      <c r="C76" s="78" t="str">
        <f ca="1">TRIM(PROPER(_xlfn.XLOOKUP($A76,Строчный!$A:$A,Строчный!C:C,"ERR",0)))</f>
        <v>Кепки</v>
      </c>
      <c r="D76" s="78" t="str">
        <f ca="1">_xlfn.LET(_xlpm.DATA,TRIM(_xlfn.XLOOKUP($A76,Строчный!$A:$A,Строчный!D:D,"ERR",0)),UPPER(MID(_xlpm.DATA,1,1))&amp;LOWER(MID(_xlpm.DATA,2,LEN(_xlpm.DATA)-1)))</f>
        <v>Кепка восьмиклинка</v>
      </c>
      <c r="E76" s="78" t="str">
        <f ca="1">PROPER(TRIM(_xlfn.XLOOKUP($A76,Строчный!$A:$A,Строчный!E:E,"ERR",0)))</f>
        <v>Fredrikson</v>
      </c>
      <c r="F76" s="78" t="str">
        <f ca="1">LOWER(TRIM(_xlfn.XLOOKUP($A76,Строчный!$A:$A,Строчный!F:F,"ERR",0)))</f>
        <v>всесезон</v>
      </c>
      <c r="G76" s="78" t="str">
        <f ca="1">UPPER(TRIM(_xlfn.XLOOKUP($A76,Строчный!$A:$A,Строчный!G:G,"ERR",0)))</f>
        <v>FREDRIKSON</v>
      </c>
      <c r="H76" s="78" t="str">
        <f ca="1">LOWER(TRIM(_xlfn.XLOOKUP($A76,Строчный!$A:$A,Строчный!H:H,"ERR",0)))</f>
        <v>635/75</v>
      </c>
      <c r="I76" s="78" t="str">
        <f ca="1">LOWER(TRIM(_xlfn.XLOOKUP($A76,Строчный!$A:$A,Строчный!I:I,"ERR",0)))</f>
        <v>серый</v>
      </c>
      <c r="J76" s="78" t="str">
        <f ca="1">SUBSTITUTE(LOWER(TRIM(_xlfn.XLOOKUP($A76,Строчный!$A:$A,Строчный!J:J,"ERR",0))),"подклад","Подклад")</f>
        <v>80% шерсть - 20% полиамид / Подклад: 100% вискоза</v>
      </c>
      <c r="K76" s="78" t="str">
        <f ca="1">LOWER(TRIM(_xlfn.XLOOKUP($A76,Строчный!$A:$A,Строчный!K:K,"ERR",0)))</f>
        <v>шерстяные</v>
      </c>
      <c r="L76" s="78" t="str">
        <f ca="1">PROPER(TRIM(_xlfn.XLOOKUP($A76,Строчный!$A:$A,Строчный!L:L,"ERR",0)))</f>
        <v>Унисекс</v>
      </c>
      <c r="M76" s="105" t="str">
        <f ca="1">PROPER(TRIM(_xlfn.XLOOKUP($A76,Строчный!$A:$A,Строчный!M:M,"ERR",0)))</f>
        <v>Россия</v>
      </c>
      <c r="N76" s="78" t="str">
        <f ca="1">UPPER(TRIM(_xlfn.XLOOKUP($A76,Строчный!$A:$A,Строчный!O:O,"ERR",0)))</f>
        <v/>
      </c>
      <c r="O76" s="99" t="str">
        <f ca="1">PROPER(TRIM(_xlfn.XLOOKUP($A76,Строчный!$A:$A,Строчный!P:P,"ERR",0)))</f>
        <v/>
      </c>
      <c r="P76" s="78" t="str">
        <f ca="1">PROPER(TRIM(_xlfn.XLOOKUP($A76,Строчный!$A:$A,Строчный!R:R,"ERR",0)))</f>
        <v/>
      </c>
      <c r="Q76" s="87">
        <f ca="1">VALUE(_xlfn.XLOOKUP($A76,Строчный!$A:$A,Строчный!N:N,"ERR",0))</f>
        <v>975.8</v>
      </c>
      <c r="R76" s="86" t="str">
        <f ca="1">_xlfn.XLOOKUP($G76,Фабрика!A:A,Фабрика!B:B,"ERR",0)</f>
        <v>ООО "ФРЭДРИКСОН" Россия 192029, С-Петербург, пр. Обуховской обороны, д.86, лит М</v>
      </c>
      <c r="S76" s="77" t="str">
        <f ca="1">_xlfn.XLOOKUP(RIGHT(AA76,2),Размеры!D:D,Размеры!A:A,"ERR",0)</f>
        <v>61</v>
      </c>
      <c r="T76" s="77">
        <f ca="1">VALUE(_xlfn.XLOOKUP($AA76,Строчный!$S:$S,Строчный!U:U,"ERR",0))</f>
        <v>3</v>
      </c>
      <c r="U76" s="14" t="s">
        <v>241</v>
      </c>
      <c r="V76" s="98" t="str">
        <f t="shared" ca="1" si="17"/>
        <v>Кепка FREDRIKSON арт. 3142-635/75 (серый)</v>
      </c>
      <c r="W76" s="97" t="str">
        <f t="shared" ca="1" si="18"/>
        <v>Кепка FREDRIKSON арт. 3142-635/75 (серый) {635/75}</v>
      </c>
      <c r="X76" s="18" t="str">
        <f t="shared" ca="1" si="19"/>
        <v>серый</v>
      </c>
      <c r="Y76" s="18" t="str">
        <f t="shared" ca="1" si="20"/>
        <v>серый</v>
      </c>
      <c r="Z76" s="109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0" t="str">
        <f ca="1"/>
        <v>95-090-80-61</v>
      </c>
      <c r="AB76" s="72" t="str">
        <f ca="1">VLOOKUP(C76,Группа!A:B,2,FALSE)</f>
        <v>Кепка</v>
      </c>
      <c r="AC76" s="94" t="str">
        <f ca="1">IFERROR(VLOOKUP(S76,Размеры!A:C,3,FALSE),"")</f>
        <v>61 XL</v>
      </c>
      <c r="AD76" s="94" t="str">
        <f ca="1">VLOOKUP(I76,ЦветПолный!A:B,2,FALSE)</f>
        <v>80</v>
      </c>
      <c r="AE76" s="94" t="str">
        <f ca="1">IFERROR(VLOOKUP(S76,Размеры!A:D,4,FALSE),"")</f>
        <v>61</v>
      </c>
      <c r="AF76" s="94">
        <f ca="1">SUMIF(Группа!A:A,C76,Группа!C:C)</f>
        <v>1</v>
      </c>
      <c r="AG76" s="94">
        <f ca="1">SUMIF(Группа!B:B,AB76,Группа!C:C)</f>
        <v>1</v>
      </c>
      <c r="AH76" s="94">
        <f ca="1">SUMIF(Формы!A:A,D76,Формы!B:B)</f>
        <v>1</v>
      </c>
      <c r="AI76" s="94">
        <f ca="1">IF(IFERROR(VLOOKUP(J76,Материал!D:D,1,0),0)&gt;0,1,SUMIF(Материал!A:A,K76,Материал!B:B))</f>
        <v>1</v>
      </c>
      <c r="AJ76" s="94">
        <f ca="1">SUMIF(Размеры!A:A,S76,Размеры!E:E)</f>
        <v>1</v>
      </c>
      <c r="AK76" s="94">
        <f ca="1">SUMIF(Сезон!A:A,F76,Сезон!B:B)</f>
        <v>1</v>
      </c>
      <c r="AL76" s="94">
        <f ca="1">VLOOKUP(I76,ЦветПолный!A:C,3,0)</f>
        <v>1</v>
      </c>
      <c r="AM76" s="94">
        <f ca="1">SUMIF(Цвет!A:A,Z76,Цвет!B:B)</f>
        <v>1</v>
      </c>
      <c r="AN76" s="94">
        <f ca="1">_xlfn.XLOOKUP(L76,Пол!A:A,Пол!B:B,0,0)</f>
        <v>1</v>
      </c>
      <c r="AO76" s="94">
        <f ca="1">SUMIF(Бренд!A:A,G76,Бренд!B:B)</f>
        <v>1</v>
      </c>
      <c r="AP76" s="137">
        <f ca="1">SUMIF(Страна!A:A,M76,Страна!B:B)</f>
        <v>1</v>
      </c>
      <c r="AQ76" s="150" t="str">
        <f t="shared" ca="1" si="21"/>
        <v>Кепка FREDRIKSON арт. 3142-635/75 (серый) {635/75}</v>
      </c>
      <c r="AR76" s="94">
        <f t="shared" ca="1" si="22"/>
        <v>1</v>
      </c>
      <c r="AS76" s="143">
        <f t="shared" ca="1" si="23"/>
        <v>1</v>
      </c>
      <c r="AT76" s="138" t="str">
        <f ca="1">IF(IFERROR(VLOOKUP(W76,Товары!A:B,2,FALSE),"")=A76,"Есть в 1С","ERR")</f>
        <v>ERR</v>
      </c>
      <c r="AU76" s="139" t="str">
        <f ca="1">IF(IFERROR(VLOOKUP(A76,Товары!B:B,1,FALSE),"")=A76,"Есть в 1С","ERR")</f>
        <v>ERR</v>
      </c>
      <c r="AV76" s="93" t="e">
        <f ca="1">VLOOKUP(W76,Товары!A:B,2,FALSE)</f>
        <v>#N/A</v>
      </c>
      <c r="AW76" s="91" t="e">
        <f ca="1">VLOOKUP(W76,Товары!A:B,1,FALSE)</f>
        <v>#N/A</v>
      </c>
    </row>
    <row r="77" spans="1:49" x14ac:dyDescent="0.25">
      <c r="A77" s="105" t="str">
        <f t="shared" ca="1" si="16"/>
        <v>95-090-80</v>
      </c>
      <c r="B77" s="78" t="str">
        <f ca="1">_xlfn.LET(_xlpm.CAPS,VLOOKUP(G77,Caps!A:B,2,0),_xlpm.Style,TRIM(_xlfn.XLOOKUP($A77,Строчный!$A:$A,Строчный!B:B,"ERR",0)),IF(_xlpm.CAPS=0,_xlpm.Style,UPPER(_xlpm.Style)))</f>
        <v>3142-635/75</v>
      </c>
      <c r="C77" s="78" t="str">
        <f ca="1">TRIM(PROPER(_xlfn.XLOOKUP($A77,Строчный!$A:$A,Строчный!C:C,"ERR",0)))</f>
        <v>Кепки</v>
      </c>
      <c r="D77" s="78" t="str">
        <f ca="1">_xlfn.LET(_xlpm.DATA,TRIM(_xlfn.XLOOKUP($A77,Строчный!$A:$A,Строчный!D:D,"ERR",0)),UPPER(MID(_xlpm.DATA,1,1))&amp;LOWER(MID(_xlpm.DATA,2,LEN(_xlpm.DATA)-1)))</f>
        <v>Кепка восьмиклинка</v>
      </c>
      <c r="E77" s="78" t="str">
        <f ca="1">PROPER(TRIM(_xlfn.XLOOKUP($A77,Строчный!$A:$A,Строчный!E:E,"ERR",0)))</f>
        <v>Fredrikson</v>
      </c>
      <c r="F77" s="78" t="str">
        <f ca="1">LOWER(TRIM(_xlfn.XLOOKUP($A77,Строчный!$A:$A,Строчный!F:F,"ERR",0)))</f>
        <v>всесезон</v>
      </c>
      <c r="G77" s="78" t="str">
        <f ca="1">UPPER(TRIM(_xlfn.XLOOKUP($A77,Строчный!$A:$A,Строчный!G:G,"ERR",0)))</f>
        <v>FREDRIKSON</v>
      </c>
      <c r="H77" s="78" t="str">
        <f ca="1">LOWER(TRIM(_xlfn.XLOOKUP($A77,Строчный!$A:$A,Строчный!H:H,"ERR",0)))</f>
        <v>635/75</v>
      </c>
      <c r="I77" s="78" t="str">
        <f ca="1">LOWER(TRIM(_xlfn.XLOOKUP($A77,Строчный!$A:$A,Строчный!I:I,"ERR",0)))</f>
        <v>серый</v>
      </c>
      <c r="J77" s="78" t="str">
        <f ca="1">SUBSTITUTE(LOWER(TRIM(_xlfn.XLOOKUP($A77,Строчный!$A:$A,Строчный!J:J,"ERR",0))),"подклад","Подклад")</f>
        <v>80% шерсть - 20% полиамид / Подклад: 100% вискоза</v>
      </c>
      <c r="K77" s="78" t="str">
        <f ca="1">LOWER(TRIM(_xlfn.XLOOKUP($A77,Строчный!$A:$A,Строчный!K:K,"ERR",0)))</f>
        <v>шерстяные</v>
      </c>
      <c r="L77" s="78" t="str">
        <f ca="1">PROPER(TRIM(_xlfn.XLOOKUP($A77,Строчный!$A:$A,Строчный!L:L,"ERR",0)))</f>
        <v>Унисекс</v>
      </c>
      <c r="M77" s="105" t="str">
        <f ca="1">PROPER(TRIM(_xlfn.XLOOKUP($A77,Строчный!$A:$A,Строчный!M:M,"ERR",0)))</f>
        <v>Россия</v>
      </c>
      <c r="N77" s="78" t="str">
        <f ca="1">UPPER(TRIM(_xlfn.XLOOKUP($A77,Строчный!$A:$A,Строчный!O:O,"ERR",0)))</f>
        <v/>
      </c>
      <c r="O77" s="99" t="str">
        <f ca="1">PROPER(TRIM(_xlfn.XLOOKUP($A77,Строчный!$A:$A,Строчный!P:P,"ERR",0)))</f>
        <v/>
      </c>
      <c r="P77" s="78" t="str">
        <f ca="1">PROPER(TRIM(_xlfn.XLOOKUP($A77,Строчный!$A:$A,Строчный!R:R,"ERR",0)))</f>
        <v/>
      </c>
      <c r="Q77" s="87">
        <f ca="1">VALUE(_xlfn.XLOOKUP($A77,Строчный!$A:$A,Строчный!N:N,"ERR",0))</f>
        <v>975.8</v>
      </c>
      <c r="R77" s="86" t="str">
        <f ca="1">_xlfn.XLOOKUP($G77,Фабрика!A:A,Фабрика!B:B,"ERR",0)</f>
        <v>ООО "ФРЭДРИКСОН" Россия 192029, С-Петербург, пр. Обуховской обороны, д.86, лит М</v>
      </c>
      <c r="S77" s="77" t="str">
        <f ca="1">_xlfn.XLOOKUP(RIGHT(AA77,2),Размеры!D:D,Размеры!A:A,"ERR",0)</f>
        <v>60</v>
      </c>
      <c r="T77" s="77">
        <f ca="1">VALUE(_xlfn.XLOOKUP($AA77,Строчный!$S:$S,Строчный!U:U,"ERR",0))</f>
        <v>4</v>
      </c>
      <c r="U77" s="14" t="s">
        <v>241</v>
      </c>
      <c r="V77" s="98" t="str">
        <f t="shared" ca="1" si="17"/>
        <v>Кепка FREDRIKSON арт. 3142-635/75 (серый)</v>
      </c>
      <c r="W77" s="97" t="str">
        <f t="shared" ca="1" si="18"/>
        <v>Кепка FREDRIKSON арт. 3142-635/75 (серый) {635/75}</v>
      </c>
      <c r="X77" s="18" t="str">
        <f t="shared" ca="1" si="19"/>
        <v>серый</v>
      </c>
      <c r="Y77" s="18" t="str">
        <f t="shared" ca="1" si="20"/>
        <v>серый</v>
      </c>
      <c r="Z77" s="109" t="str">
        <f ca="1">_xlfn.LET(_xlpm.FormColors,_xlfn.XLOOKUP(A77,Строчный!A:A,Строчный!Q:Q,"",0),IF(_xlpm.FormColors=0,IFERROR(MID(I77,FIND("-",I77)+1,LEN(I77)),IFERROR(MID(I77,1,FIND("/",I77)-2),I77)),_xlpm.FormColors))</f>
        <v>серый</v>
      </c>
      <c r="AA77" s="70" t="str">
        <f ca="1"/>
        <v>95-090-80-60</v>
      </c>
      <c r="AB77" s="72" t="str">
        <f ca="1">VLOOKUP(C77,Группа!A:B,2,FALSE)</f>
        <v>Кепка</v>
      </c>
      <c r="AC77" s="94" t="str">
        <f ca="1">IFERROR(VLOOKUP(S77,Размеры!A:C,3,FALSE),"")</f>
        <v>60 L/XL</v>
      </c>
      <c r="AD77" s="94" t="str">
        <f ca="1">VLOOKUP(I77,ЦветПолный!A:B,2,FALSE)</f>
        <v>80</v>
      </c>
      <c r="AE77" s="94" t="str">
        <f ca="1">IFERROR(VLOOKUP(S77,Размеры!A:D,4,FALSE),"")</f>
        <v>60</v>
      </c>
      <c r="AF77" s="94">
        <f ca="1">SUMIF(Группа!A:A,C77,Группа!C:C)</f>
        <v>1</v>
      </c>
      <c r="AG77" s="94">
        <f ca="1">SUMIF(Группа!B:B,AB77,Группа!C:C)</f>
        <v>1</v>
      </c>
      <c r="AH77" s="94">
        <f ca="1">SUMIF(Формы!A:A,D77,Формы!B:B)</f>
        <v>1</v>
      </c>
      <c r="AI77" s="94">
        <f ca="1">IF(IFERROR(VLOOKUP(J77,Материал!D:D,1,0),0)&gt;0,1,SUMIF(Материал!A:A,K77,Материал!B:B))</f>
        <v>1</v>
      </c>
      <c r="AJ77" s="94">
        <f ca="1">SUMIF(Размеры!A:A,S77,Размеры!E:E)</f>
        <v>1</v>
      </c>
      <c r="AK77" s="94">
        <f ca="1">SUMIF(Сезон!A:A,F77,Сезон!B:B)</f>
        <v>1</v>
      </c>
      <c r="AL77" s="94">
        <f ca="1">VLOOKUP(I77,ЦветПолный!A:C,3,0)</f>
        <v>1</v>
      </c>
      <c r="AM77" s="94">
        <f ca="1">SUMIF(Цвет!A:A,Z77,Цвет!B:B)</f>
        <v>1</v>
      </c>
      <c r="AN77" s="94">
        <f ca="1">_xlfn.XLOOKUP(L77,Пол!A:A,Пол!B:B,0,0)</f>
        <v>1</v>
      </c>
      <c r="AO77" s="94">
        <f ca="1">SUMIF(Бренд!A:A,G77,Бренд!B:B)</f>
        <v>1</v>
      </c>
      <c r="AP77" s="137">
        <f ca="1">SUMIF(Страна!A:A,M77,Страна!B:B)</f>
        <v>1</v>
      </c>
      <c r="AQ77" s="150" t="str">
        <f t="shared" ca="1" si="21"/>
        <v>Кепка FREDRIKSON арт. 3142-635/75 (серый) {635/75}</v>
      </c>
      <c r="AR77" s="94">
        <f t="shared" ca="1" si="22"/>
        <v>1</v>
      </c>
      <c r="AS77" s="143">
        <f t="shared" ca="1" si="23"/>
        <v>1</v>
      </c>
      <c r="AT77" s="138" t="str">
        <f ca="1">IF(IFERROR(VLOOKUP(W77,Товары!A:B,2,FALSE),"")=A77,"Есть в 1С","ERR")</f>
        <v>ERR</v>
      </c>
      <c r="AU77" s="139" t="str">
        <f ca="1">IF(IFERROR(VLOOKUP(A77,Товары!B:B,1,FALSE),"")=A77,"Есть в 1С","ERR")</f>
        <v>ERR</v>
      </c>
      <c r="AV77" s="93" t="e">
        <f ca="1">VLOOKUP(W77,Товары!A:B,2,FALSE)</f>
        <v>#N/A</v>
      </c>
      <c r="AW77" s="91" t="e">
        <f ca="1">VLOOKUP(W77,Товары!A:B,1,FALSE)</f>
        <v>#N/A</v>
      </c>
    </row>
    <row r="78" spans="1:49" x14ac:dyDescent="0.25">
      <c r="A78" s="105" t="str">
        <f t="shared" ca="1" si="16"/>
        <v>95-090-80</v>
      </c>
      <c r="B78" s="78" t="str">
        <f ca="1">_xlfn.LET(_xlpm.CAPS,VLOOKUP(G78,Caps!A:B,2,0),_xlpm.Style,TRIM(_xlfn.XLOOKUP($A78,Строчный!$A:$A,Строчный!B:B,"ERR",0)),IF(_xlpm.CAPS=0,_xlpm.Style,UPPER(_xlpm.Style)))</f>
        <v>3142-635/75</v>
      </c>
      <c r="C78" s="78" t="str">
        <f ca="1">TRIM(PROPER(_xlfn.XLOOKUP($A78,Строчный!$A:$A,Строчный!C:C,"ERR",0)))</f>
        <v>Кепки</v>
      </c>
      <c r="D78" s="78" t="str">
        <f ca="1">_xlfn.LET(_xlpm.DATA,TRIM(_xlfn.XLOOKUP($A78,Строчный!$A:$A,Строчный!D:D,"ERR",0)),UPPER(MID(_xlpm.DATA,1,1))&amp;LOWER(MID(_xlpm.DATA,2,LEN(_xlpm.DATA)-1)))</f>
        <v>Кепка восьмиклинка</v>
      </c>
      <c r="E78" s="78" t="str">
        <f ca="1">PROPER(TRIM(_xlfn.XLOOKUP($A78,Строчный!$A:$A,Строчный!E:E,"ERR",0)))</f>
        <v>Fredrikson</v>
      </c>
      <c r="F78" s="78" t="str">
        <f ca="1">LOWER(TRIM(_xlfn.XLOOKUP($A78,Строчный!$A:$A,Строчный!F:F,"ERR",0)))</f>
        <v>всесезон</v>
      </c>
      <c r="G78" s="78" t="str">
        <f ca="1">UPPER(TRIM(_xlfn.XLOOKUP($A78,Строчный!$A:$A,Строчный!G:G,"ERR",0)))</f>
        <v>FREDRIKSON</v>
      </c>
      <c r="H78" s="78" t="str">
        <f ca="1">LOWER(TRIM(_xlfn.XLOOKUP($A78,Строчный!$A:$A,Строчный!H:H,"ERR",0)))</f>
        <v>635/75</v>
      </c>
      <c r="I78" s="78" t="str">
        <f ca="1">LOWER(TRIM(_xlfn.XLOOKUP($A78,Строчный!$A:$A,Строчный!I:I,"ERR",0)))</f>
        <v>серый</v>
      </c>
      <c r="J78" s="78" t="str">
        <f ca="1">SUBSTITUTE(LOWER(TRIM(_xlfn.XLOOKUP($A78,Строчный!$A:$A,Строчный!J:J,"ERR",0))),"подклад","Подклад")</f>
        <v>80% шерсть - 20% полиамид / Подклад: 100% вискоза</v>
      </c>
      <c r="K78" s="78" t="str">
        <f ca="1">LOWER(TRIM(_xlfn.XLOOKUP($A78,Строчный!$A:$A,Строчный!K:K,"ERR",0)))</f>
        <v>шерстяные</v>
      </c>
      <c r="L78" s="78" t="str">
        <f ca="1">PROPER(TRIM(_xlfn.XLOOKUP($A78,Строчный!$A:$A,Строчный!L:L,"ERR",0)))</f>
        <v>Унисекс</v>
      </c>
      <c r="M78" s="105" t="str">
        <f ca="1">PROPER(TRIM(_xlfn.XLOOKUP($A78,Строчный!$A:$A,Строчный!M:M,"ERR",0)))</f>
        <v>Россия</v>
      </c>
      <c r="N78" s="78" t="str">
        <f ca="1">UPPER(TRIM(_xlfn.XLOOKUP($A78,Строчный!$A:$A,Строчный!O:O,"ERR",0)))</f>
        <v/>
      </c>
      <c r="O78" s="99" t="str">
        <f ca="1">PROPER(TRIM(_xlfn.XLOOKUP($A78,Строчный!$A:$A,Строчный!P:P,"ERR",0)))</f>
        <v/>
      </c>
      <c r="P78" s="78" t="str">
        <f ca="1">PROPER(TRIM(_xlfn.XLOOKUP($A78,Строчный!$A:$A,Строчный!R:R,"ERR",0)))</f>
        <v/>
      </c>
      <c r="Q78" s="87">
        <f ca="1">VALUE(_xlfn.XLOOKUP($A78,Строчный!$A:$A,Строчный!N:N,"ERR",0))</f>
        <v>975.8</v>
      </c>
      <c r="R78" s="86" t="str">
        <f ca="1">_xlfn.XLOOKUP($G78,Фабрика!A:A,Фабрика!B:B,"ERR",0)</f>
        <v>ООО "ФРЭДРИКСОН" Россия 192029, С-Петербург, пр. Обуховской обороны, д.86, лит М</v>
      </c>
      <c r="S78" s="77" t="str">
        <f ca="1">_xlfn.XLOOKUP(RIGHT(AA78,2),Размеры!D:D,Размеры!A:A,"ERR",0)</f>
        <v>59</v>
      </c>
      <c r="T78" s="77">
        <f ca="1">VALUE(_xlfn.XLOOKUP($AA78,Строчный!$S:$S,Строчный!U:U,"ERR",0))</f>
        <v>6</v>
      </c>
      <c r="U78" s="14" t="s">
        <v>241</v>
      </c>
      <c r="V78" s="98" t="str">
        <f t="shared" ca="1" si="17"/>
        <v>Кепка FREDRIKSON арт. 3142-635/75 (серый)</v>
      </c>
      <c r="W78" s="97" t="str">
        <f t="shared" ca="1" si="18"/>
        <v>Кепка FREDRIKSON арт. 3142-635/75 (серый) {635/75}</v>
      </c>
      <c r="X78" s="18" t="str">
        <f t="shared" ca="1" si="19"/>
        <v>серый</v>
      </c>
      <c r="Y78" s="18" t="str">
        <f t="shared" ca="1" si="20"/>
        <v>серый</v>
      </c>
      <c r="Z78" s="109" t="str">
        <f ca="1">_xlfn.LET(_xlpm.FormColors,_xlfn.XLOOKUP(A78,Строчный!A:A,Строчный!Q:Q,"",0),IF(_xlpm.FormColors=0,IFERROR(MID(I78,FIND("-",I78)+1,LEN(I78)),IFERROR(MID(I78,1,FIND("/",I78)-2),I78)),_xlpm.FormColors))</f>
        <v>серый</v>
      </c>
      <c r="AA78" s="70" t="str">
        <f ca="1"/>
        <v>95-090-80-59</v>
      </c>
      <c r="AB78" s="72" t="str">
        <f ca="1">VLOOKUP(C78,Группа!A:B,2,FALSE)</f>
        <v>Кепка</v>
      </c>
      <c r="AC78" s="94" t="str">
        <f ca="1">IFERROR(VLOOKUP(S78,Размеры!A:C,3,FALSE),"")</f>
        <v>59 L</v>
      </c>
      <c r="AD78" s="94" t="str">
        <f ca="1">VLOOKUP(I78,ЦветПолный!A:B,2,FALSE)</f>
        <v>80</v>
      </c>
      <c r="AE78" s="94" t="str">
        <f ca="1">IFERROR(VLOOKUP(S78,Размеры!A:D,4,FALSE),"")</f>
        <v>59</v>
      </c>
      <c r="AF78" s="94">
        <f ca="1">SUMIF(Группа!A:A,C78,Группа!C:C)</f>
        <v>1</v>
      </c>
      <c r="AG78" s="94">
        <f ca="1">SUMIF(Группа!B:B,AB78,Группа!C:C)</f>
        <v>1</v>
      </c>
      <c r="AH78" s="94">
        <f ca="1">SUMIF(Формы!A:A,D78,Формы!B:B)</f>
        <v>1</v>
      </c>
      <c r="AI78" s="94">
        <f ca="1">IF(IFERROR(VLOOKUP(J78,Материал!D:D,1,0),0)&gt;0,1,SUMIF(Материал!A:A,K78,Материал!B:B))</f>
        <v>1</v>
      </c>
      <c r="AJ78" s="94">
        <f ca="1">SUMIF(Размеры!A:A,S78,Размеры!E:E)</f>
        <v>1</v>
      </c>
      <c r="AK78" s="94">
        <f ca="1">SUMIF(Сезон!A:A,F78,Сезон!B:B)</f>
        <v>1</v>
      </c>
      <c r="AL78" s="94">
        <f ca="1">VLOOKUP(I78,ЦветПолный!A:C,3,0)</f>
        <v>1</v>
      </c>
      <c r="AM78" s="94">
        <f ca="1">SUMIF(Цвет!A:A,Z78,Цвет!B:B)</f>
        <v>1</v>
      </c>
      <c r="AN78" s="94">
        <f ca="1">_xlfn.XLOOKUP(L78,Пол!A:A,Пол!B:B,0,0)</f>
        <v>1</v>
      </c>
      <c r="AO78" s="94">
        <f ca="1">SUMIF(Бренд!A:A,G78,Бренд!B:B)</f>
        <v>1</v>
      </c>
      <c r="AP78" s="137">
        <f ca="1">SUMIF(Страна!A:A,M78,Страна!B:B)</f>
        <v>1</v>
      </c>
      <c r="AQ78" s="150" t="str">
        <f t="shared" ca="1" si="21"/>
        <v>Кепка FREDRIKSON арт. 3142-635/75 (серый) {635/75}</v>
      </c>
      <c r="AR78" s="94">
        <f t="shared" ca="1" si="22"/>
        <v>1</v>
      </c>
      <c r="AS78" s="143">
        <f t="shared" ca="1" si="23"/>
        <v>1</v>
      </c>
      <c r="AT78" s="138" t="str">
        <f ca="1">IF(IFERROR(VLOOKUP(W78,Товары!A:B,2,FALSE),"")=A78,"Есть в 1С","ERR")</f>
        <v>ERR</v>
      </c>
      <c r="AU78" s="139" t="str">
        <f ca="1">IF(IFERROR(VLOOKUP(A78,Товары!B:B,1,FALSE),"")=A78,"Есть в 1С","ERR")</f>
        <v>ERR</v>
      </c>
      <c r="AV78" s="93" t="e">
        <f ca="1">VLOOKUP(W78,Товары!A:B,2,FALSE)</f>
        <v>#N/A</v>
      </c>
      <c r="AW78" s="91" t="e">
        <f ca="1">VLOOKUP(W78,Товары!A:B,1,FALSE)</f>
        <v>#N/A</v>
      </c>
    </row>
    <row r="79" spans="1:49" x14ac:dyDescent="0.25">
      <c r="A79" s="105" t="str">
        <f t="shared" ca="1" si="16"/>
        <v>95-090-80</v>
      </c>
      <c r="B79" s="78" t="str">
        <f ca="1">_xlfn.LET(_xlpm.CAPS,VLOOKUP(G79,Caps!A:B,2,0),_xlpm.Style,TRIM(_xlfn.XLOOKUP($A79,Строчный!$A:$A,Строчный!B:B,"ERR",0)),IF(_xlpm.CAPS=0,_xlpm.Style,UPPER(_xlpm.Style)))</f>
        <v>3142-635/75</v>
      </c>
      <c r="C79" s="78" t="str">
        <f ca="1">TRIM(PROPER(_xlfn.XLOOKUP($A79,Строчный!$A:$A,Строчный!C:C,"ERR",0)))</f>
        <v>Кепки</v>
      </c>
      <c r="D79" s="78" t="str">
        <f ca="1">_xlfn.LET(_xlpm.DATA,TRIM(_xlfn.XLOOKUP($A79,Строчный!$A:$A,Строчный!D:D,"ERR",0)),UPPER(MID(_xlpm.DATA,1,1))&amp;LOWER(MID(_xlpm.DATA,2,LEN(_xlpm.DATA)-1)))</f>
        <v>Кепка восьмиклинка</v>
      </c>
      <c r="E79" s="78" t="str">
        <f ca="1">PROPER(TRIM(_xlfn.XLOOKUP($A79,Строчный!$A:$A,Строчный!E:E,"ERR",0)))</f>
        <v>Fredrikson</v>
      </c>
      <c r="F79" s="78" t="str">
        <f ca="1">LOWER(TRIM(_xlfn.XLOOKUP($A79,Строчный!$A:$A,Строчный!F:F,"ERR",0)))</f>
        <v>всесезон</v>
      </c>
      <c r="G79" s="78" t="str">
        <f ca="1">UPPER(TRIM(_xlfn.XLOOKUP($A79,Строчный!$A:$A,Строчный!G:G,"ERR",0)))</f>
        <v>FREDRIKSON</v>
      </c>
      <c r="H79" s="78" t="str">
        <f ca="1">LOWER(TRIM(_xlfn.XLOOKUP($A79,Строчный!$A:$A,Строчный!H:H,"ERR",0)))</f>
        <v>635/75</v>
      </c>
      <c r="I79" s="78" t="str">
        <f ca="1">LOWER(TRIM(_xlfn.XLOOKUP($A79,Строчный!$A:$A,Строчный!I:I,"ERR",0)))</f>
        <v>серый</v>
      </c>
      <c r="J79" s="78" t="str">
        <f ca="1">SUBSTITUTE(LOWER(TRIM(_xlfn.XLOOKUP($A79,Строчный!$A:$A,Строчный!J:J,"ERR",0))),"подклад","Подклад")</f>
        <v>80% шерсть - 20% полиамид / Подклад: 100% вискоза</v>
      </c>
      <c r="K79" s="78" t="str">
        <f ca="1">LOWER(TRIM(_xlfn.XLOOKUP($A79,Строчный!$A:$A,Строчный!K:K,"ERR",0)))</f>
        <v>шерстяные</v>
      </c>
      <c r="L79" s="78" t="str">
        <f ca="1">PROPER(TRIM(_xlfn.XLOOKUP($A79,Строчный!$A:$A,Строчный!L:L,"ERR",0)))</f>
        <v>Унисекс</v>
      </c>
      <c r="M79" s="105" t="str">
        <f ca="1">PROPER(TRIM(_xlfn.XLOOKUP($A79,Строчный!$A:$A,Строчный!M:M,"ERR",0)))</f>
        <v>Россия</v>
      </c>
      <c r="N79" s="78" t="str">
        <f ca="1">UPPER(TRIM(_xlfn.XLOOKUP($A79,Строчный!$A:$A,Строчный!O:O,"ERR",0)))</f>
        <v/>
      </c>
      <c r="O79" s="99" t="str">
        <f ca="1">PROPER(TRIM(_xlfn.XLOOKUP($A79,Строчный!$A:$A,Строчный!P:P,"ERR",0)))</f>
        <v/>
      </c>
      <c r="P79" s="78" t="str">
        <f ca="1">PROPER(TRIM(_xlfn.XLOOKUP($A79,Строчный!$A:$A,Строчный!R:R,"ERR",0)))</f>
        <v/>
      </c>
      <c r="Q79" s="87">
        <f ca="1">VALUE(_xlfn.XLOOKUP($A79,Строчный!$A:$A,Строчный!N:N,"ERR",0))</f>
        <v>975.8</v>
      </c>
      <c r="R79" s="86" t="str">
        <f ca="1">_xlfn.XLOOKUP($G79,Фабрика!A:A,Фабрика!B:B,"ERR",0)</f>
        <v>ООО "ФРЭДРИКСОН" Россия 192029, С-Петербург, пр. Обуховской обороны, д.86, лит М</v>
      </c>
      <c r="S79" s="77" t="str">
        <f ca="1">_xlfn.XLOOKUP(RIGHT(AA79,2),Размеры!D:D,Размеры!A:A,"ERR",0)</f>
        <v>58</v>
      </c>
      <c r="T79" s="77">
        <f ca="1">VALUE(_xlfn.XLOOKUP($AA79,Строчный!$S:$S,Строчный!U:U,"ERR",0))</f>
        <v>4</v>
      </c>
      <c r="U79" s="14" t="s">
        <v>241</v>
      </c>
      <c r="V79" s="98" t="str">
        <f t="shared" ca="1" si="17"/>
        <v>Кепка FREDRIKSON арт. 3142-635/75 (серый)</v>
      </c>
      <c r="W79" s="97" t="str">
        <f t="shared" ca="1" si="18"/>
        <v>Кепка FREDRIKSON арт. 3142-635/75 (серый) {635/75}</v>
      </c>
      <c r="X79" s="18" t="str">
        <f t="shared" ca="1" si="19"/>
        <v>серый</v>
      </c>
      <c r="Y79" s="18" t="str">
        <f t="shared" ca="1" si="20"/>
        <v>серый</v>
      </c>
      <c r="Z79" s="109" t="str">
        <f ca="1">_xlfn.LET(_xlpm.FormColors,_xlfn.XLOOKUP(A79,Строчный!A:A,Строчный!Q:Q,"",0),IF(_xlpm.FormColors=0,IFERROR(MID(I79,FIND("-",I79)+1,LEN(I79)),IFERROR(MID(I79,1,FIND("/",I79)-2),I79)),_xlpm.FormColors))</f>
        <v>серый</v>
      </c>
      <c r="AA79" s="70" t="str">
        <f ca="1"/>
        <v>95-090-80-58</v>
      </c>
      <c r="AB79" s="72" t="str">
        <f ca="1">VLOOKUP(C79,Группа!A:B,2,FALSE)</f>
        <v>Кепка</v>
      </c>
      <c r="AC79" s="94" t="str">
        <f ca="1">IFERROR(VLOOKUP(S79,Размеры!A:C,3,FALSE),"")</f>
        <v>58 M/L</v>
      </c>
      <c r="AD79" s="94" t="str">
        <f ca="1">VLOOKUP(I79,ЦветПолный!A:B,2,FALSE)</f>
        <v>80</v>
      </c>
      <c r="AE79" s="94" t="str">
        <f ca="1">IFERROR(VLOOKUP(S79,Размеры!A:D,4,FALSE),"")</f>
        <v>58</v>
      </c>
      <c r="AF79" s="94">
        <f ca="1">SUMIF(Группа!A:A,C79,Группа!C:C)</f>
        <v>1</v>
      </c>
      <c r="AG79" s="94">
        <f ca="1">SUMIF(Группа!B:B,AB79,Группа!C:C)</f>
        <v>1</v>
      </c>
      <c r="AH79" s="94">
        <f ca="1">SUMIF(Формы!A:A,D79,Формы!B:B)</f>
        <v>1</v>
      </c>
      <c r="AI79" s="94">
        <f ca="1">IF(IFERROR(VLOOKUP(J79,Материал!D:D,1,0),0)&gt;0,1,SUMIF(Материал!A:A,K79,Материал!B:B))</f>
        <v>1</v>
      </c>
      <c r="AJ79" s="94">
        <f ca="1">SUMIF(Размеры!A:A,S79,Размеры!E:E)</f>
        <v>1</v>
      </c>
      <c r="AK79" s="94">
        <f ca="1">SUMIF(Сезон!A:A,F79,Сезон!B:B)</f>
        <v>1</v>
      </c>
      <c r="AL79" s="94">
        <f ca="1">VLOOKUP(I79,ЦветПолный!A:C,3,0)</f>
        <v>1</v>
      </c>
      <c r="AM79" s="94">
        <f ca="1">SUMIF(Цвет!A:A,Z79,Цвет!B:B)</f>
        <v>1</v>
      </c>
      <c r="AN79" s="94">
        <f ca="1">_xlfn.XLOOKUP(L79,Пол!A:A,Пол!B:B,0,0)</f>
        <v>1</v>
      </c>
      <c r="AO79" s="94">
        <f ca="1">SUMIF(Бренд!A:A,G79,Бренд!B:B)</f>
        <v>1</v>
      </c>
      <c r="AP79" s="137">
        <f ca="1">SUMIF(Страна!A:A,M79,Страна!B:B)</f>
        <v>1</v>
      </c>
      <c r="AQ79" s="150" t="str">
        <f t="shared" ca="1" si="21"/>
        <v>Кепка FREDRIKSON арт. 3142-635/75 (серый) {635/75}</v>
      </c>
      <c r="AR79" s="94">
        <f t="shared" ca="1" si="22"/>
        <v>1</v>
      </c>
      <c r="AS79" s="143">
        <f t="shared" ca="1" si="23"/>
        <v>1</v>
      </c>
      <c r="AT79" s="138" t="str">
        <f ca="1">IF(IFERROR(VLOOKUP(W79,Товары!A:B,2,FALSE),"")=A79,"Есть в 1С","ERR")</f>
        <v>ERR</v>
      </c>
      <c r="AU79" s="139" t="str">
        <f ca="1">IF(IFERROR(VLOOKUP(A79,Товары!B:B,1,FALSE),"")=A79,"Есть в 1С","ERR")</f>
        <v>ERR</v>
      </c>
      <c r="AV79" s="93" t="e">
        <f ca="1">VLOOKUP(W79,Товары!A:B,2,FALSE)</f>
        <v>#N/A</v>
      </c>
      <c r="AW79" s="91" t="e">
        <f ca="1">VLOOKUP(W79,Товары!A:B,1,FALSE)</f>
        <v>#N/A</v>
      </c>
    </row>
    <row r="80" spans="1:49" x14ac:dyDescent="0.25">
      <c r="A80" s="105" t="str">
        <f t="shared" ca="1" si="16"/>
        <v>95-090-80</v>
      </c>
      <c r="B80" s="78" t="str">
        <f ca="1">_xlfn.LET(_xlpm.CAPS,VLOOKUP(G80,Caps!A:B,2,0),_xlpm.Style,TRIM(_xlfn.XLOOKUP($A80,Строчный!$A:$A,Строчный!B:B,"ERR",0)),IF(_xlpm.CAPS=0,_xlpm.Style,UPPER(_xlpm.Style)))</f>
        <v>3142-635/75</v>
      </c>
      <c r="C80" s="78" t="str">
        <f ca="1">TRIM(PROPER(_xlfn.XLOOKUP($A80,Строчный!$A:$A,Строчный!C:C,"ERR",0)))</f>
        <v>Кепки</v>
      </c>
      <c r="D80" s="78" t="str">
        <f ca="1">_xlfn.LET(_xlpm.DATA,TRIM(_xlfn.XLOOKUP($A80,Строчный!$A:$A,Строчный!D:D,"ERR",0)),UPPER(MID(_xlpm.DATA,1,1))&amp;LOWER(MID(_xlpm.DATA,2,LEN(_xlpm.DATA)-1)))</f>
        <v>Кепка восьмиклинка</v>
      </c>
      <c r="E80" s="78" t="str">
        <f ca="1">PROPER(TRIM(_xlfn.XLOOKUP($A80,Строчный!$A:$A,Строчный!E:E,"ERR",0)))</f>
        <v>Fredrikson</v>
      </c>
      <c r="F80" s="78" t="str">
        <f ca="1">LOWER(TRIM(_xlfn.XLOOKUP($A80,Строчный!$A:$A,Строчный!F:F,"ERR",0)))</f>
        <v>всесезон</v>
      </c>
      <c r="G80" s="78" t="str">
        <f ca="1">UPPER(TRIM(_xlfn.XLOOKUP($A80,Строчный!$A:$A,Строчный!G:G,"ERR",0)))</f>
        <v>FREDRIKSON</v>
      </c>
      <c r="H80" s="78" t="str">
        <f ca="1">LOWER(TRIM(_xlfn.XLOOKUP($A80,Строчный!$A:$A,Строчный!H:H,"ERR",0)))</f>
        <v>635/75</v>
      </c>
      <c r="I80" s="78" t="str">
        <f ca="1">LOWER(TRIM(_xlfn.XLOOKUP($A80,Строчный!$A:$A,Строчный!I:I,"ERR",0)))</f>
        <v>серый</v>
      </c>
      <c r="J80" s="78" t="str">
        <f ca="1">SUBSTITUTE(LOWER(TRIM(_xlfn.XLOOKUP($A80,Строчный!$A:$A,Строчный!J:J,"ERR",0))),"подклад","Подклад")</f>
        <v>80% шерсть - 20% полиамид / Подклад: 100% вискоза</v>
      </c>
      <c r="K80" s="78" t="str">
        <f ca="1">LOWER(TRIM(_xlfn.XLOOKUP($A80,Строчный!$A:$A,Строчный!K:K,"ERR",0)))</f>
        <v>шерстяные</v>
      </c>
      <c r="L80" s="78" t="str">
        <f ca="1">PROPER(TRIM(_xlfn.XLOOKUP($A80,Строчный!$A:$A,Строчный!L:L,"ERR",0)))</f>
        <v>Унисекс</v>
      </c>
      <c r="M80" s="105" t="str">
        <f ca="1">PROPER(TRIM(_xlfn.XLOOKUP($A80,Строчный!$A:$A,Строчный!M:M,"ERR",0)))</f>
        <v>Россия</v>
      </c>
      <c r="N80" s="78" t="str">
        <f ca="1">UPPER(TRIM(_xlfn.XLOOKUP($A80,Строчный!$A:$A,Строчный!O:O,"ERR",0)))</f>
        <v/>
      </c>
      <c r="O80" s="99" t="str">
        <f ca="1">PROPER(TRIM(_xlfn.XLOOKUP($A80,Строчный!$A:$A,Строчный!P:P,"ERR",0)))</f>
        <v/>
      </c>
      <c r="P80" s="78" t="str">
        <f ca="1">PROPER(TRIM(_xlfn.XLOOKUP($A80,Строчный!$A:$A,Строчный!R:R,"ERR",0)))</f>
        <v/>
      </c>
      <c r="Q80" s="87">
        <f ca="1">VALUE(_xlfn.XLOOKUP($A80,Строчный!$A:$A,Строчный!N:N,"ERR",0))</f>
        <v>975.8</v>
      </c>
      <c r="R80" s="86" t="str">
        <f ca="1">_xlfn.XLOOKUP($G80,Фабрика!A:A,Фабрика!B:B,"ERR",0)</f>
        <v>ООО "ФРЭДРИКСОН" Россия 192029, С-Петербург, пр. Обуховской обороны, д.86, лит М</v>
      </c>
      <c r="S80" s="77" t="str">
        <f ca="1">_xlfn.XLOOKUP(RIGHT(AA80,2),Размеры!D:D,Размеры!A:A,"ERR",0)</f>
        <v>57</v>
      </c>
      <c r="T80" s="77">
        <f ca="1">VALUE(_xlfn.XLOOKUP($AA80,Строчный!$S:$S,Строчный!U:U,"ERR",0))</f>
        <v>3</v>
      </c>
      <c r="U80" s="14" t="s">
        <v>241</v>
      </c>
      <c r="V80" s="98" t="str">
        <f t="shared" ca="1" si="17"/>
        <v>Кепка FREDRIKSON арт. 3142-635/75 (серый)</v>
      </c>
      <c r="W80" s="97" t="str">
        <f t="shared" ca="1" si="18"/>
        <v>Кепка FREDRIKSON арт. 3142-635/75 (серый) {635/75}</v>
      </c>
      <c r="X80" s="18" t="str">
        <f t="shared" ca="1" si="19"/>
        <v>серый</v>
      </c>
      <c r="Y80" s="18" t="str">
        <f t="shared" ca="1" si="20"/>
        <v>серый</v>
      </c>
      <c r="Z80" s="109" t="str">
        <f ca="1">_xlfn.LET(_xlpm.FormColors,_xlfn.XLOOKUP(A80,Строчный!A:A,Строчный!Q:Q,"",0),IF(_xlpm.FormColors=0,IFERROR(MID(I80,FIND("-",I80)+1,LEN(I80)),IFERROR(MID(I80,1,FIND("/",I80)-2),I80)),_xlpm.FormColors))</f>
        <v>серый</v>
      </c>
      <c r="AA80" s="70" t="str">
        <f ca="1"/>
        <v>95-090-80-57</v>
      </c>
      <c r="AB80" s="72" t="str">
        <f ca="1">VLOOKUP(C80,Группа!A:B,2,FALSE)</f>
        <v>Кепка</v>
      </c>
      <c r="AC80" s="94" t="str">
        <f ca="1">IFERROR(VLOOKUP(S80,Размеры!A:C,3,FALSE),"")</f>
        <v>57 M</v>
      </c>
      <c r="AD80" s="94" t="str">
        <f ca="1">VLOOKUP(I80,ЦветПолный!A:B,2,FALSE)</f>
        <v>80</v>
      </c>
      <c r="AE80" s="94" t="str">
        <f ca="1">IFERROR(VLOOKUP(S80,Размеры!A:D,4,FALSE),"")</f>
        <v>57</v>
      </c>
      <c r="AF80" s="94">
        <f ca="1">SUMIF(Группа!A:A,C80,Группа!C:C)</f>
        <v>1</v>
      </c>
      <c r="AG80" s="94">
        <f ca="1">SUMIF(Группа!B:B,AB80,Группа!C:C)</f>
        <v>1</v>
      </c>
      <c r="AH80" s="94">
        <f ca="1">SUMIF(Формы!A:A,D80,Формы!B:B)</f>
        <v>1</v>
      </c>
      <c r="AI80" s="94">
        <f ca="1">IF(IFERROR(VLOOKUP(J80,Материал!D:D,1,0),0)&gt;0,1,SUMIF(Материал!A:A,K80,Материал!B:B))</f>
        <v>1</v>
      </c>
      <c r="AJ80" s="94">
        <f ca="1">SUMIF(Размеры!A:A,S80,Размеры!E:E)</f>
        <v>1</v>
      </c>
      <c r="AK80" s="94">
        <f ca="1">SUMIF(Сезон!A:A,F80,Сезон!B:B)</f>
        <v>1</v>
      </c>
      <c r="AL80" s="94">
        <f ca="1">VLOOKUP(I80,ЦветПолный!A:C,3,0)</f>
        <v>1</v>
      </c>
      <c r="AM80" s="94">
        <f ca="1">SUMIF(Цвет!A:A,Z80,Цвет!B:B)</f>
        <v>1</v>
      </c>
      <c r="AN80" s="94">
        <f ca="1">_xlfn.XLOOKUP(L80,Пол!A:A,Пол!B:B,0,0)</f>
        <v>1</v>
      </c>
      <c r="AO80" s="94">
        <f ca="1">SUMIF(Бренд!A:A,G80,Бренд!B:B)</f>
        <v>1</v>
      </c>
      <c r="AP80" s="137">
        <f ca="1">SUMIF(Страна!A:A,M80,Страна!B:B)</f>
        <v>1</v>
      </c>
      <c r="AQ80" s="150" t="str">
        <f t="shared" ca="1" si="21"/>
        <v>Кепка FREDRIKSON арт. 3142-635/75 (серый) {635/75}</v>
      </c>
      <c r="AR80" s="94">
        <f t="shared" ca="1" si="22"/>
        <v>1</v>
      </c>
      <c r="AS80" s="143">
        <f t="shared" ca="1" si="23"/>
        <v>1</v>
      </c>
      <c r="AT80" s="138" t="str">
        <f ca="1">IF(IFERROR(VLOOKUP(W80,Товары!A:B,2,FALSE),"")=A80,"Есть в 1С","ERR")</f>
        <v>ERR</v>
      </c>
      <c r="AU80" s="139" t="str">
        <f ca="1">IF(IFERROR(VLOOKUP(A80,Товары!B:B,1,FALSE),"")=A80,"Есть в 1С","ERR")</f>
        <v>ERR</v>
      </c>
      <c r="AV80" s="93" t="e">
        <f ca="1">VLOOKUP(W80,Товары!A:B,2,FALSE)</f>
        <v>#N/A</v>
      </c>
      <c r="AW80" s="91" t="e">
        <f ca="1">VLOOKUP(W80,Товары!A:B,1,FALSE)</f>
        <v>#N/A</v>
      </c>
    </row>
    <row r="81" spans="1:49" x14ac:dyDescent="0.25">
      <c r="A81" s="105" t="str">
        <f t="shared" ca="1" si="16"/>
        <v>95-090-80</v>
      </c>
      <c r="B81" s="78" t="str">
        <f ca="1">_xlfn.LET(_xlpm.CAPS,VLOOKUP(G81,Caps!A:B,2,0),_xlpm.Style,TRIM(_xlfn.XLOOKUP($A81,Строчный!$A:$A,Строчный!B:B,"ERR",0)),IF(_xlpm.CAPS=0,_xlpm.Style,UPPER(_xlpm.Style)))</f>
        <v>3142-635/75</v>
      </c>
      <c r="C81" s="78" t="str">
        <f ca="1">TRIM(PROPER(_xlfn.XLOOKUP($A81,Строчный!$A:$A,Строчный!C:C,"ERR",0)))</f>
        <v>Кепки</v>
      </c>
      <c r="D81" s="78" t="str">
        <f ca="1">_xlfn.LET(_xlpm.DATA,TRIM(_xlfn.XLOOKUP($A81,Строчный!$A:$A,Строчный!D:D,"ERR",0)),UPPER(MID(_xlpm.DATA,1,1))&amp;LOWER(MID(_xlpm.DATA,2,LEN(_xlpm.DATA)-1)))</f>
        <v>Кепка восьмиклинка</v>
      </c>
      <c r="E81" s="78" t="str">
        <f ca="1">PROPER(TRIM(_xlfn.XLOOKUP($A81,Строчный!$A:$A,Строчный!E:E,"ERR",0)))</f>
        <v>Fredrikson</v>
      </c>
      <c r="F81" s="78" t="str">
        <f ca="1">LOWER(TRIM(_xlfn.XLOOKUP($A81,Строчный!$A:$A,Строчный!F:F,"ERR",0)))</f>
        <v>всесезон</v>
      </c>
      <c r="G81" s="78" t="str">
        <f ca="1">UPPER(TRIM(_xlfn.XLOOKUP($A81,Строчный!$A:$A,Строчный!G:G,"ERR",0)))</f>
        <v>FREDRIKSON</v>
      </c>
      <c r="H81" s="78" t="str">
        <f ca="1">LOWER(TRIM(_xlfn.XLOOKUP($A81,Строчный!$A:$A,Строчный!H:H,"ERR",0)))</f>
        <v>635/75</v>
      </c>
      <c r="I81" s="78" t="str">
        <f ca="1">LOWER(TRIM(_xlfn.XLOOKUP($A81,Строчный!$A:$A,Строчный!I:I,"ERR",0)))</f>
        <v>серый</v>
      </c>
      <c r="J81" s="78" t="str">
        <f ca="1">SUBSTITUTE(LOWER(TRIM(_xlfn.XLOOKUP($A81,Строчный!$A:$A,Строчный!J:J,"ERR",0))),"подклад","Подклад")</f>
        <v>80% шерсть - 20% полиамид / Подклад: 100% вискоза</v>
      </c>
      <c r="K81" s="78" t="str">
        <f ca="1">LOWER(TRIM(_xlfn.XLOOKUP($A81,Строчный!$A:$A,Строчный!K:K,"ERR",0)))</f>
        <v>шерстяные</v>
      </c>
      <c r="L81" s="78" t="str">
        <f ca="1">PROPER(TRIM(_xlfn.XLOOKUP($A81,Строчный!$A:$A,Строчный!L:L,"ERR",0)))</f>
        <v>Унисекс</v>
      </c>
      <c r="M81" s="105" t="str">
        <f ca="1">PROPER(TRIM(_xlfn.XLOOKUP($A81,Строчный!$A:$A,Строчный!M:M,"ERR",0)))</f>
        <v>Россия</v>
      </c>
      <c r="N81" s="78" t="str">
        <f ca="1">UPPER(TRIM(_xlfn.XLOOKUP($A81,Строчный!$A:$A,Строчный!O:O,"ERR",0)))</f>
        <v/>
      </c>
      <c r="O81" s="99" t="str">
        <f ca="1">PROPER(TRIM(_xlfn.XLOOKUP($A81,Строчный!$A:$A,Строчный!P:P,"ERR",0)))</f>
        <v/>
      </c>
      <c r="P81" s="78" t="str">
        <f ca="1">PROPER(TRIM(_xlfn.XLOOKUP($A81,Строчный!$A:$A,Строчный!R:R,"ERR",0)))</f>
        <v/>
      </c>
      <c r="Q81" s="87">
        <f ca="1">VALUE(_xlfn.XLOOKUP($A81,Строчный!$A:$A,Строчный!N:N,"ERR",0))</f>
        <v>975.8</v>
      </c>
      <c r="R81" s="86" t="str">
        <f ca="1">_xlfn.XLOOKUP($G81,Фабрика!A:A,Фабрика!B:B,"ERR",0)</f>
        <v>ООО "ФРЭДРИКСОН" Россия 192029, С-Петербург, пр. Обуховской обороны, д.86, лит М</v>
      </c>
      <c r="S81" s="77" t="str">
        <f ca="1">_xlfn.XLOOKUP(RIGHT(AA81,2),Размеры!D:D,Размеры!A:A,"ERR",0)</f>
        <v>56</v>
      </c>
      <c r="T81" s="77">
        <f ca="1">VALUE(_xlfn.XLOOKUP($AA81,Строчный!$S:$S,Строчный!U:U,"ERR",0))</f>
        <v>2</v>
      </c>
      <c r="U81" s="14" t="s">
        <v>241</v>
      </c>
      <c r="V81" s="98" t="str">
        <f t="shared" ca="1" si="17"/>
        <v>Кепка FREDRIKSON арт. 3142-635/75 (серый)</v>
      </c>
      <c r="W81" s="97" t="str">
        <f t="shared" ca="1" si="18"/>
        <v>Кепка FREDRIKSON арт. 3142-635/75 (серый) {635/75}</v>
      </c>
      <c r="X81" s="18" t="str">
        <f t="shared" ca="1" si="19"/>
        <v>серый</v>
      </c>
      <c r="Y81" s="18" t="str">
        <f t="shared" ca="1" si="20"/>
        <v>серый</v>
      </c>
      <c r="Z81" s="109" t="str">
        <f ca="1">_xlfn.LET(_xlpm.FormColors,_xlfn.XLOOKUP(A81,Строчный!A:A,Строчный!Q:Q,"",0),IF(_xlpm.FormColors=0,IFERROR(MID(I81,FIND("-",I81)+1,LEN(I81)),IFERROR(MID(I81,1,FIND("/",I81)-2),I81)),_xlpm.FormColors))</f>
        <v>серый</v>
      </c>
      <c r="AA81" s="70" t="str">
        <f ca="1"/>
        <v>95-090-80-56</v>
      </c>
      <c r="AB81" s="72" t="str">
        <f ca="1">VLOOKUP(C81,Группа!A:B,2,FALSE)</f>
        <v>Кепка</v>
      </c>
      <c r="AC81" s="94" t="str">
        <f ca="1">IFERROR(VLOOKUP(S81,Размеры!A:C,3,FALSE),"")</f>
        <v>56 S/M</v>
      </c>
      <c r="AD81" s="94" t="str">
        <f ca="1">VLOOKUP(I81,ЦветПолный!A:B,2,FALSE)</f>
        <v>80</v>
      </c>
      <c r="AE81" s="94" t="str">
        <f ca="1">IFERROR(VLOOKUP(S81,Размеры!A:D,4,FALSE),"")</f>
        <v>56</v>
      </c>
      <c r="AF81" s="94">
        <f ca="1">SUMIF(Группа!A:A,C81,Группа!C:C)</f>
        <v>1</v>
      </c>
      <c r="AG81" s="94">
        <f ca="1">SUMIF(Группа!B:B,AB81,Группа!C:C)</f>
        <v>1</v>
      </c>
      <c r="AH81" s="94">
        <f ca="1">SUMIF(Формы!A:A,D81,Формы!B:B)</f>
        <v>1</v>
      </c>
      <c r="AI81" s="94">
        <f ca="1">IF(IFERROR(VLOOKUP(J81,Материал!D:D,1,0),0)&gt;0,1,SUMIF(Материал!A:A,K81,Материал!B:B))</f>
        <v>1</v>
      </c>
      <c r="AJ81" s="94">
        <f ca="1">SUMIF(Размеры!A:A,S81,Размеры!E:E)</f>
        <v>1</v>
      </c>
      <c r="AK81" s="94">
        <f ca="1">SUMIF(Сезон!A:A,F81,Сезон!B:B)</f>
        <v>1</v>
      </c>
      <c r="AL81" s="94">
        <f ca="1">VLOOKUP(I81,ЦветПолный!A:C,3,0)</f>
        <v>1</v>
      </c>
      <c r="AM81" s="94">
        <f ca="1">SUMIF(Цвет!A:A,Z81,Цвет!B:B)</f>
        <v>1</v>
      </c>
      <c r="AN81" s="94">
        <f ca="1">_xlfn.XLOOKUP(L81,Пол!A:A,Пол!B:B,0,0)</f>
        <v>1</v>
      </c>
      <c r="AO81" s="94">
        <f ca="1">SUMIF(Бренд!A:A,G81,Бренд!B:B)</f>
        <v>1</v>
      </c>
      <c r="AP81" s="137">
        <f ca="1">SUMIF(Страна!A:A,M81,Страна!B:B)</f>
        <v>1</v>
      </c>
      <c r="AQ81" s="150" t="str">
        <f t="shared" ca="1" si="21"/>
        <v>Кепка FREDRIKSON арт. 3142-635/75 (серый) {635/75}</v>
      </c>
      <c r="AR81" s="94">
        <f t="shared" ca="1" si="22"/>
        <v>1</v>
      </c>
      <c r="AS81" s="143">
        <f t="shared" ca="1" si="23"/>
        <v>1</v>
      </c>
      <c r="AT81" s="138" t="str">
        <f ca="1">IF(IFERROR(VLOOKUP(W81,Товары!A:B,2,FALSE),"")=A81,"Есть в 1С","ERR")</f>
        <v>ERR</v>
      </c>
      <c r="AU81" s="139" t="str">
        <f ca="1">IF(IFERROR(VLOOKUP(A81,Товары!B:B,1,FALSE),"")=A81,"Есть в 1С","ERR")</f>
        <v>ERR</v>
      </c>
      <c r="AV81" s="93" t="e">
        <f ca="1">VLOOKUP(W81,Товары!A:B,2,FALSE)</f>
        <v>#N/A</v>
      </c>
      <c r="AW81" s="91" t="e">
        <f ca="1">VLOOKUP(W81,Товары!A:B,1,FALSE)</f>
        <v>#N/A</v>
      </c>
    </row>
    <row r="82" spans="1:49" x14ac:dyDescent="0.25">
      <c r="A82" s="105" t="str">
        <f t="shared" ca="1" si="16"/>
        <v>95-089-09</v>
      </c>
      <c r="B82" s="78" t="str">
        <f ca="1">_xlfn.LET(_xlpm.CAPS,VLOOKUP(G82,Caps!A:B,2,0),_xlpm.Style,TRIM(_xlfn.XLOOKUP($A82,Строчный!$A:$A,Строчный!B:B,"ERR",0)),IF(_xlpm.CAPS=0,_xlpm.Style,UPPER(_xlpm.Style)))</f>
        <v>3125-676/76</v>
      </c>
      <c r="C82" s="78" t="str">
        <f ca="1">TRIM(PROPER(_xlfn.XLOOKUP($A82,Строчный!$A:$A,Строчный!C:C,"ERR",0)))</f>
        <v>Кепки</v>
      </c>
      <c r="D82" s="78" t="str">
        <f ca="1">_xlfn.LET(_xlpm.DATA,TRIM(_xlfn.XLOOKUP($A82,Строчный!$A:$A,Строчный!D:D,"ERR",0)),UPPER(MID(_xlpm.DATA,1,1))&amp;LOWER(MID(_xlpm.DATA,2,LEN(_xlpm.DATA)-1)))</f>
        <v>Кепка плоская</v>
      </c>
      <c r="E82" s="78" t="str">
        <f ca="1">PROPER(TRIM(_xlfn.XLOOKUP($A82,Строчный!$A:$A,Строчный!E:E,"ERR",0)))</f>
        <v>Fredrikson</v>
      </c>
      <c r="F82" s="78" t="str">
        <f ca="1">LOWER(TRIM(_xlfn.XLOOKUP($A82,Строчный!$A:$A,Строчный!F:F,"ERR",0)))</f>
        <v>всесезон</v>
      </c>
      <c r="G82" s="78" t="str">
        <f ca="1">UPPER(TRIM(_xlfn.XLOOKUP($A82,Строчный!$A:$A,Строчный!G:G,"ERR",0)))</f>
        <v>FREDRIKSON</v>
      </c>
      <c r="H82" s="78" t="str">
        <f ca="1">LOWER(TRIM(_xlfn.XLOOKUP($A82,Строчный!$A:$A,Строчный!H:H,"ERR",0)))</f>
        <v>676/76</v>
      </c>
      <c r="I82" s="78" t="str">
        <f ca="1">LOWER(TRIM(_xlfn.XLOOKUP($A82,Строчный!$A:$A,Строчный!I:I,"ERR",0)))</f>
        <v>черный</v>
      </c>
      <c r="J82" s="78" t="str">
        <f ca="1">SUBSTITUTE(LOWER(TRIM(_xlfn.XLOOKUP($A82,Строчный!$A:$A,Строчный!J:J,"ERR",0))),"подклад","Подклад")</f>
        <v>80% шерсть - 20% полиамид / Подклад: 100% вискоза</v>
      </c>
      <c r="K82" s="78" t="str">
        <f ca="1">LOWER(TRIM(_xlfn.XLOOKUP($A82,Строчный!$A:$A,Строчный!K:K,"ERR",0)))</f>
        <v>шерстяные</v>
      </c>
      <c r="L82" s="78" t="str">
        <f ca="1">PROPER(TRIM(_xlfn.XLOOKUP($A82,Строчный!$A:$A,Строчный!L:L,"ERR",0)))</f>
        <v>Унисекс</v>
      </c>
      <c r="M82" s="105" t="str">
        <f ca="1">PROPER(TRIM(_xlfn.XLOOKUP($A82,Строчный!$A:$A,Строчный!M:M,"ERR",0)))</f>
        <v>Россия</v>
      </c>
      <c r="N82" s="78" t="str">
        <f ca="1">UPPER(TRIM(_xlfn.XLOOKUP($A82,Строчный!$A:$A,Строчный!O:O,"ERR",0)))</f>
        <v/>
      </c>
      <c r="O82" s="99" t="str">
        <f ca="1">PROPER(TRIM(_xlfn.XLOOKUP($A82,Строчный!$A:$A,Строчный!P:P,"ERR",0)))</f>
        <v/>
      </c>
      <c r="P82" s="78" t="str">
        <f ca="1">PROPER(TRIM(_xlfn.XLOOKUP($A82,Строчный!$A:$A,Строчный!R:R,"ERR",0)))</f>
        <v/>
      </c>
      <c r="Q82" s="87">
        <f ca="1">VALUE(_xlfn.XLOOKUP($A82,Строчный!$A:$A,Строчный!N:N,"ERR",0))</f>
        <v>975.8</v>
      </c>
      <c r="R82" s="86" t="str">
        <f ca="1">_xlfn.XLOOKUP($G82,Фабрика!A:A,Фабрика!B:B,"ERR",0)</f>
        <v>ООО "ФРЭДРИКСОН" Россия 192029, С-Петербург, пр. Обуховской обороны, д.86, лит М</v>
      </c>
      <c r="S82" s="77" t="str">
        <f ca="1">_xlfn.XLOOKUP(RIGHT(AA82,2),Размеры!D:D,Размеры!A:A,"ERR",0)</f>
        <v>62</v>
      </c>
      <c r="T82" s="77">
        <f ca="1">VALUE(_xlfn.XLOOKUP($AA82,Строчный!$S:$S,Строчный!U:U,"ERR",0))</f>
        <v>2</v>
      </c>
      <c r="U82" s="14" t="s">
        <v>241</v>
      </c>
      <c r="V82" s="98" t="str">
        <f t="shared" ca="1" si="17"/>
        <v>Кепка FREDRIKSON арт. 3125-676/76 (черный)</v>
      </c>
      <c r="W82" s="97" t="str">
        <f t="shared" ca="1" si="18"/>
        <v>Кепка FREDRIKSON арт. 3125-676/76 (черный) {676/76}</v>
      </c>
      <c r="X82" s="18" t="str">
        <f t="shared" ca="1" si="19"/>
        <v>черный</v>
      </c>
      <c r="Y82" s="18" t="str">
        <f t="shared" ca="1" si="20"/>
        <v>черный</v>
      </c>
      <c r="Z82" s="109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0" t="str">
        <f ca="1"/>
        <v>95-089-09-62</v>
      </c>
      <c r="AB82" s="72" t="str">
        <f ca="1">VLOOKUP(C82,Группа!A:B,2,FALSE)</f>
        <v>Кепка</v>
      </c>
      <c r="AC82" s="94" t="str">
        <f ca="1">IFERROR(VLOOKUP(S82,Размеры!A:C,3,FALSE),"")</f>
        <v>62 XL/XXL</v>
      </c>
      <c r="AD82" s="94" t="str">
        <f ca="1">VLOOKUP(I82,ЦветПолный!A:B,2,FALSE)</f>
        <v>09</v>
      </c>
      <c r="AE82" s="94" t="str">
        <f ca="1">IFERROR(VLOOKUP(S82,Размеры!A:D,4,FALSE),"")</f>
        <v>62</v>
      </c>
      <c r="AF82" s="94">
        <f ca="1">SUMIF(Группа!A:A,C82,Группа!C:C)</f>
        <v>1</v>
      </c>
      <c r="AG82" s="94">
        <f ca="1">SUMIF(Группа!B:B,AB82,Группа!C:C)</f>
        <v>1</v>
      </c>
      <c r="AH82" s="94">
        <f ca="1">SUMIF(Формы!A:A,D82,Формы!B:B)</f>
        <v>1</v>
      </c>
      <c r="AI82" s="94">
        <f ca="1">IF(IFERROR(VLOOKUP(J82,Материал!D:D,1,0),0)&gt;0,1,SUMIF(Материал!A:A,K82,Материал!B:B))</f>
        <v>1</v>
      </c>
      <c r="AJ82" s="94">
        <f ca="1">SUMIF(Размеры!A:A,S82,Размеры!E:E)</f>
        <v>1</v>
      </c>
      <c r="AK82" s="94">
        <f ca="1">SUMIF(Сезон!A:A,F82,Сезон!B:B)</f>
        <v>1</v>
      </c>
      <c r="AL82" s="94">
        <f ca="1">VLOOKUP(I82,ЦветПолный!A:C,3,0)</f>
        <v>1</v>
      </c>
      <c r="AM82" s="94">
        <f ca="1">SUMIF(Цвет!A:A,Z82,Цвет!B:B)</f>
        <v>1</v>
      </c>
      <c r="AN82" s="94">
        <f ca="1">_xlfn.XLOOKUP(L82,Пол!A:A,Пол!B:B,0,0)</f>
        <v>1</v>
      </c>
      <c r="AO82" s="94">
        <f ca="1">SUMIF(Бренд!A:A,G82,Бренд!B:B)</f>
        <v>1</v>
      </c>
      <c r="AP82" s="137">
        <f ca="1">SUMIF(Страна!A:A,M82,Страна!B:B)</f>
        <v>1</v>
      </c>
      <c r="AQ82" s="150" t="str">
        <f t="shared" ca="1" si="21"/>
        <v>Кепка FREDRIKSON арт. 3125-676/76 (черный) {676/76}</v>
      </c>
      <c r="AR82" s="94">
        <f t="shared" ca="1" si="22"/>
        <v>1</v>
      </c>
      <c r="AS82" s="143">
        <f t="shared" ca="1" si="23"/>
        <v>1</v>
      </c>
      <c r="AT82" s="138" t="str">
        <f ca="1">IF(IFERROR(VLOOKUP(W82,Товары!A:B,2,FALSE),"")=A82,"Есть в 1С","ERR")</f>
        <v>ERR</v>
      </c>
      <c r="AU82" s="139" t="str">
        <f ca="1">IF(IFERROR(VLOOKUP(A82,Товары!B:B,1,FALSE),"")=A82,"Есть в 1С","ERR")</f>
        <v>ERR</v>
      </c>
      <c r="AV82" s="93" t="e">
        <f ca="1">VLOOKUP(W82,Товары!A:B,2,FALSE)</f>
        <v>#N/A</v>
      </c>
      <c r="AW82" s="91" t="e">
        <f ca="1">VLOOKUP(W82,Товары!A:B,1,FALSE)</f>
        <v>#N/A</v>
      </c>
    </row>
    <row r="83" spans="1:49" x14ac:dyDescent="0.25">
      <c r="A83" s="105" t="str">
        <f t="shared" ca="1" si="16"/>
        <v>95-089-09</v>
      </c>
      <c r="B83" s="78" t="str">
        <f ca="1">_xlfn.LET(_xlpm.CAPS,VLOOKUP(G83,Caps!A:B,2,0),_xlpm.Style,TRIM(_xlfn.XLOOKUP($A83,Строчный!$A:$A,Строчный!B:B,"ERR",0)),IF(_xlpm.CAPS=0,_xlpm.Style,UPPER(_xlpm.Style)))</f>
        <v>3125-676/76</v>
      </c>
      <c r="C83" s="78" t="str">
        <f ca="1">TRIM(PROPER(_xlfn.XLOOKUP($A83,Строчный!$A:$A,Строчный!C:C,"ERR",0)))</f>
        <v>Кепки</v>
      </c>
      <c r="D83" s="78" t="str">
        <f ca="1">_xlfn.LET(_xlpm.DATA,TRIM(_xlfn.XLOOKUP($A83,Строчный!$A:$A,Строчный!D:D,"ERR",0)),UPPER(MID(_xlpm.DATA,1,1))&amp;LOWER(MID(_xlpm.DATA,2,LEN(_xlpm.DATA)-1)))</f>
        <v>Кепка плоская</v>
      </c>
      <c r="E83" s="78" t="str">
        <f ca="1">PROPER(TRIM(_xlfn.XLOOKUP($A83,Строчный!$A:$A,Строчный!E:E,"ERR",0)))</f>
        <v>Fredrikson</v>
      </c>
      <c r="F83" s="78" t="str">
        <f ca="1">LOWER(TRIM(_xlfn.XLOOKUP($A83,Строчный!$A:$A,Строчный!F:F,"ERR",0)))</f>
        <v>всесезон</v>
      </c>
      <c r="G83" s="78" t="str">
        <f ca="1">UPPER(TRIM(_xlfn.XLOOKUP($A83,Строчный!$A:$A,Строчный!G:G,"ERR",0)))</f>
        <v>FREDRIKSON</v>
      </c>
      <c r="H83" s="78" t="str">
        <f ca="1">LOWER(TRIM(_xlfn.XLOOKUP($A83,Строчный!$A:$A,Строчный!H:H,"ERR",0)))</f>
        <v>676/76</v>
      </c>
      <c r="I83" s="78" t="str">
        <f ca="1">LOWER(TRIM(_xlfn.XLOOKUP($A83,Строчный!$A:$A,Строчный!I:I,"ERR",0)))</f>
        <v>черный</v>
      </c>
      <c r="J83" s="78" t="str">
        <f ca="1">SUBSTITUTE(LOWER(TRIM(_xlfn.XLOOKUP($A83,Строчный!$A:$A,Строчный!J:J,"ERR",0))),"подклад","Подклад")</f>
        <v>80% шерсть - 20% полиамид / Подклад: 100% вискоза</v>
      </c>
      <c r="K83" s="78" t="str">
        <f ca="1">LOWER(TRIM(_xlfn.XLOOKUP($A83,Строчный!$A:$A,Строчный!K:K,"ERR",0)))</f>
        <v>шерстяные</v>
      </c>
      <c r="L83" s="78" t="str">
        <f ca="1">PROPER(TRIM(_xlfn.XLOOKUP($A83,Строчный!$A:$A,Строчный!L:L,"ERR",0)))</f>
        <v>Унисекс</v>
      </c>
      <c r="M83" s="105" t="str">
        <f ca="1">PROPER(TRIM(_xlfn.XLOOKUP($A83,Строчный!$A:$A,Строчный!M:M,"ERR",0)))</f>
        <v>Россия</v>
      </c>
      <c r="N83" s="78" t="str">
        <f ca="1">UPPER(TRIM(_xlfn.XLOOKUP($A83,Строчный!$A:$A,Строчный!O:O,"ERR",0)))</f>
        <v/>
      </c>
      <c r="O83" s="99" t="str">
        <f ca="1">PROPER(TRIM(_xlfn.XLOOKUP($A83,Строчный!$A:$A,Строчный!P:P,"ERR",0)))</f>
        <v/>
      </c>
      <c r="P83" s="78" t="str">
        <f ca="1">PROPER(TRIM(_xlfn.XLOOKUP($A83,Строчный!$A:$A,Строчный!R:R,"ERR",0)))</f>
        <v/>
      </c>
      <c r="Q83" s="87">
        <f ca="1">VALUE(_xlfn.XLOOKUP($A83,Строчный!$A:$A,Строчный!N:N,"ERR",0))</f>
        <v>975.8</v>
      </c>
      <c r="R83" s="86" t="str">
        <f ca="1">_xlfn.XLOOKUP($G83,Фабрика!A:A,Фабрика!B:B,"ERR",0)</f>
        <v>ООО "ФРЭДРИКСОН" Россия 192029, С-Петербург, пр. Обуховской обороны, д.86, лит М</v>
      </c>
      <c r="S83" s="77" t="str">
        <f ca="1">_xlfn.XLOOKUP(RIGHT(AA83,2),Размеры!D:D,Размеры!A:A,"ERR",0)</f>
        <v>61</v>
      </c>
      <c r="T83" s="77">
        <f ca="1">VALUE(_xlfn.XLOOKUP($AA83,Строчный!$S:$S,Строчный!U:U,"ERR",0))</f>
        <v>3</v>
      </c>
      <c r="U83" s="14" t="s">
        <v>241</v>
      </c>
      <c r="V83" s="98" t="str">
        <f t="shared" ca="1" si="17"/>
        <v>Кепка FREDRIKSON арт. 3125-676/76 (черный)</v>
      </c>
      <c r="W83" s="97" t="str">
        <f t="shared" ca="1" si="18"/>
        <v>Кепка FREDRIKSON арт. 3125-676/76 (черный) {676/76}</v>
      </c>
      <c r="X83" s="18" t="str">
        <f t="shared" ca="1" si="19"/>
        <v>черный</v>
      </c>
      <c r="Y83" s="18" t="str">
        <f t="shared" ca="1" si="20"/>
        <v>черный</v>
      </c>
      <c r="Z83" s="109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0" t="str">
        <f ca="1"/>
        <v>95-089-09-61</v>
      </c>
      <c r="AB83" s="72" t="str">
        <f ca="1">VLOOKUP(C83,Группа!A:B,2,FALSE)</f>
        <v>Кепка</v>
      </c>
      <c r="AC83" s="94" t="str">
        <f ca="1">IFERROR(VLOOKUP(S83,Размеры!A:C,3,FALSE),"")</f>
        <v>61 XL</v>
      </c>
      <c r="AD83" s="94" t="str">
        <f ca="1">VLOOKUP(I83,ЦветПолный!A:B,2,FALSE)</f>
        <v>09</v>
      </c>
      <c r="AE83" s="94" t="str">
        <f ca="1">IFERROR(VLOOKUP(S83,Размеры!A:D,4,FALSE),"")</f>
        <v>61</v>
      </c>
      <c r="AF83" s="94">
        <f ca="1">SUMIF(Группа!A:A,C83,Группа!C:C)</f>
        <v>1</v>
      </c>
      <c r="AG83" s="94">
        <f ca="1">SUMIF(Группа!B:B,AB83,Группа!C:C)</f>
        <v>1</v>
      </c>
      <c r="AH83" s="94">
        <f ca="1">SUMIF(Формы!A:A,D83,Формы!B:B)</f>
        <v>1</v>
      </c>
      <c r="AI83" s="94">
        <f ca="1">IF(IFERROR(VLOOKUP(J83,Материал!D:D,1,0),0)&gt;0,1,SUMIF(Материал!A:A,K83,Материал!B:B))</f>
        <v>1</v>
      </c>
      <c r="AJ83" s="94">
        <f ca="1">SUMIF(Размеры!A:A,S83,Размеры!E:E)</f>
        <v>1</v>
      </c>
      <c r="AK83" s="94">
        <f ca="1">SUMIF(Сезон!A:A,F83,Сезон!B:B)</f>
        <v>1</v>
      </c>
      <c r="AL83" s="94">
        <f ca="1">VLOOKUP(I83,ЦветПолный!A:C,3,0)</f>
        <v>1</v>
      </c>
      <c r="AM83" s="94">
        <f ca="1">SUMIF(Цвет!A:A,Z83,Цвет!B:B)</f>
        <v>1</v>
      </c>
      <c r="AN83" s="94">
        <f ca="1">_xlfn.XLOOKUP(L83,Пол!A:A,Пол!B:B,0,0)</f>
        <v>1</v>
      </c>
      <c r="AO83" s="94">
        <f ca="1">SUMIF(Бренд!A:A,G83,Бренд!B:B)</f>
        <v>1</v>
      </c>
      <c r="AP83" s="137">
        <f ca="1">SUMIF(Страна!A:A,M83,Страна!B:B)</f>
        <v>1</v>
      </c>
      <c r="AQ83" s="150" t="str">
        <f t="shared" ca="1" si="21"/>
        <v>Кепка FREDRIKSON арт. 3125-676/76 (черный) {676/76}</v>
      </c>
      <c r="AR83" s="94">
        <f t="shared" ca="1" si="22"/>
        <v>1</v>
      </c>
      <c r="AS83" s="143">
        <f t="shared" ca="1" si="23"/>
        <v>1</v>
      </c>
      <c r="AT83" s="138" t="str">
        <f ca="1">IF(IFERROR(VLOOKUP(W83,Товары!A:B,2,FALSE),"")=A83,"Есть в 1С","ERR")</f>
        <v>ERR</v>
      </c>
      <c r="AU83" s="139" t="str">
        <f ca="1">IF(IFERROR(VLOOKUP(A83,Товары!B:B,1,FALSE),"")=A83,"Есть в 1С","ERR")</f>
        <v>ERR</v>
      </c>
      <c r="AV83" s="93" t="e">
        <f ca="1">VLOOKUP(W83,Товары!A:B,2,FALSE)</f>
        <v>#N/A</v>
      </c>
      <c r="AW83" s="91" t="e">
        <f ca="1">VLOOKUP(W83,Товары!A:B,1,FALSE)</f>
        <v>#N/A</v>
      </c>
    </row>
    <row r="84" spans="1:49" x14ac:dyDescent="0.25">
      <c r="A84" s="105" t="str">
        <f t="shared" ca="1" si="16"/>
        <v>95-089-09</v>
      </c>
      <c r="B84" s="78" t="str">
        <f ca="1">_xlfn.LET(_xlpm.CAPS,VLOOKUP(G84,Caps!A:B,2,0),_xlpm.Style,TRIM(_xlfn.XLOOKUP($A84,Строчный!$A:$A,Строчный!B:B,"ERR",0)),IF(_xlpm.CAPS=0,_xlpm.Style,UPPER(_xlpm.Style)))</f>
        <v>3125-676/76</v>
      </c>
      <c r="C84" s="78" t="str">
        <f ca="1">TRIM(PROPER(_xlfn.XLOOKUP($A84,Строчный!$A:$A,Строчный!C:C,"ERR",0)))</f>
        <v>Кепки</v>
      </c>
      <c r="D84" s="78" t="str">
        <f ca="1">_xlfn.LET(_xlpm.DATA,TRIM(_xlfn.XLOOKUP($A84,Строчный!$A:$A,Строчный!D:D,"ERR",0)),UPPER(MID(_xlpm.DATA,1,1))&amp;LOWER(MID(_xlpm.DATA,2,LEN(_xlpm.DATA)-1)))</f>
        <v>Кепка плоская</v>
      </c>
      <c r="E84" s="78" t="str">
        <f ca="1">PROPER(TRIM(_xlfn.XLOOKUP($A84,Строчный!$A:$A,Строчный!E:E,"ERR",0)))</f>
        <v>Fredrikson</v>
      </c>
      <c r="F84" s="78" t="str">
        <f ca="1">LOWER(TRIM(_xlfn.XLOOKUP($A84,Строчный!$A:$A,Строчный!F:F,"ERR",0)))</f>
        <v>всесезон</v>
      </c>
      <c r="G84" s="78" t="str">
        <f ca="1">UPPER(TRIM(_xlfn.XLOOKUP($A84,Строчный!$A:$A,Строчный!G:G,"ERR",0)))</f>
        <v>FREDRIKSON</v>
      </c>
      <c r="H84" s="78" t="str">
        <f ca="1">LOWER(TRIM(_xlfn.XLOOKUP($A84,Строчный!$A:$A,Строчный!H:H,"ERR",0)))</f>
        <v>676/76</v>
      </c>
      <c r="I84" s="78" t="str">
        <f ca="1">LOWER(TRIM(_xlfn.XLOOKUP($A84,Строчный!$A:$A,Строчный!I:I,"ERR",0)))</f>
        <v>черный</v>
      </c>
      <c r="J84" s="78" t="str">
        <f ca="1">SUBSTITUTE(LOWER(TRIM(_xlfn.XLOOKUP($A84,Строчный!$A:$A,Строчный!J:J,"ERR",0))),"подклад","Подклад")</f>
        <v>80% шерсть - 20% полиамид / Подклад: 100% вискоза</v>
      </c>
      <c r="K84" s="78" t="str">
        <f ca="1">LOWER(TRIM(_xlfn.XLOOKUP($A84,Строчный!$A:$A,Строчный!K:K,"ERR",0)))</f>
        <v>шерстяные</v>
      </c>
      <c r="L84" s="78" t="str">
        <f ca="1">PROPER(TRIM(_xlfn.XLOOKUP($A84,Строчный!$A:$A,Строчный!L:L,"ERR",0)))</f>
        <v>Унисекс</v>
      </c>
      <c r="M84" s="105" t="str">
        <f ca="1">PROPER(TRIM(_xlfn.XLOOKUP($A84,Строчный!$A:$A,Строчный!M:M,"ERR",0)))</f>
        <v>Россия</v>
      </c>
      <c r="N84" s="78" t="str">
        <f ca="1">UPPER(TRIM(_xlfn.XLOOKUP($A84,Строчный!$A:$A,Строчный!O:O,"ERR",0)))</f>
        <v/>
      </c>
      <c r="O84" s="99" t="str">
        <f ca="1">PROPER(TRIM(_xlfn.XLOOKUP($A84,Строчный!$A:$A,Строчный!P:P,"ERR",0)))</f>
        <v/>
      </c>
      <c r="P84" s="78" t="str">
        <f ca="1">PROPER(TRIM(_xlfn.XLOOKUP($A84,Строчный!$A:$A,Строчный!R:R,"ERR",0)))</f>
        <v/>
      </c>
      <c r="Q84" s="87">
        <f ca="1">VALUE(_xlfn.XLOOKUP($A84,Строчный!$A:$A,Строчный!N:N,"ERR",0))</f>
        <v>975.8</v>
      </c>
      <c r="R84" s="86" t="str">
        <f ca="1">_xlfn.XLOOKUP($G84,Фабрика!A:A,Фабрика!B:B,"ERR",0)</f>
        <v>ООО "ФРЭДРИКСОН" Россия 192029, С-Петербург, пр. Обуховской обороны, д.86, лит М</v>
      </c>
      <c r="S84" s="77" t="str">
        <f ca="1">_xlfn.XLOOKUP(RIGHT(AA84,2),Размеры!D:D,Размеры!A:A,"ERR",0)</f>
        <v>60</v>
      </c>
      <c r="T84" s="77">
        <f ca="1">VALUE(_xlfn.XLOOKUP($AA84,Строчный!$S:$S,Строчный!U:U,"ERR",0))</f>
        <v>4</v>
      </c>
      <c r="U84" s="14" t="s">
        <v>241</v>
      </c>
      <c r="V84" s="98" t="str">
        <f t="shared" ca="1" si="17"/>
        <v>Кепка FREDRIKSON арт. 3125-676/76 (черный)</v>
      </c>
      <c r="W84" s="97" t="str">
        <f t="shared" ca="1" si="18"/>
        <v>Кепка FREDRIKSON арт. 3125-676/76 (черный) {676/76}</v>
      </c>
      <c r="X84" s="18" t="str">
        <f t="shared" ca="1" si="19"/>
        <v>черный</v>
      </c>
      <c r="Y84" s="18" t="str">
        <f t="shared" ca="1" si="20"/>
        <v>черный</v>
      </c>
      <c r="Z84" s="109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0" t="str">
        <f ca="1"/>
        <v>95-089-09-60</v>
      </c>
      <c r="AB84" s="72" t="str">
        <f ca="1">VLOOKUP(C84,Группа!A:B,2,FALSE)</f>
        <v>Кепка</v>
      </c>
      <c r="AC84" s="94" t="str">
        <f ca="1">IFERROR(VLOOKUP(S84,Размеры!A:C,3,FALSE),"")</f>
        <v>60 L/XL</v>
      </c>
      <c r="AD84" s="94" t="str">
        <f ca="1">VLOOKUP(I84,ЦветПолный!A:B,2,FALSE)</f>
        <v>09</v>
      </c>
      <c r="AE84" s="94" t="str">
        <f ca="1">IFERROR(VLOOKUP(S84,Размеры!A:D,4,FALSE),"")</f>
        <v>60</v>
      </c>
      <c r="AF84" s="94">
        <f ca="1">SUMIF(Группа!A:A,C84,Группа!C:C)</f>
        <v>1</v>
      </c>
      <c r="AG84" s="94">
        <f ca="1">SUMIF(Группа!B:B,AB84,Группа!C:C)</f>
        <v>1</v>
      </c>
      <c r="AH84" s="94">
        <f ca="1">SUMIF(Формы!A:A,D84,Формы!B:B)</f>
        <v>1</v>
      </c>
      <c r="AI84" s="94">
        <f ca="1">IF(IFERROR(VLOOKUP(J84,Материал!D:D,1,0),0)&gt;0,1,SUMIF(Материал!A:A,K84,Материал!B:B))</f>
        <v>1</v>
      </c>
      <c r="AJ84" s="94">
        <f ca="1">SUMIF(Размеры!A:A,S84,Размеры!E:E)</f>
        <v>1</v>
      </c>
      <c r="AK84" s="94">
        <f ca="1">SUMIF(Сезон!A:A,F84,Сезон!B:B)</f>
        <v>1</v>
      </c>
      <c r="AL84" s="94">
        <f ca="1">VLOOKUP(I84,ЦветПолный!A:C,3,0)</f>
        <v>1</v>
      </c>
      <c r="AM84" s="94">
        <f ca="1">SUMIF(Цвет!A:A,Z84,Цвет!B:B)</f>
        <v>1</v>
      </c>
      <c r="AN84" s="94">
        <f ca="1">_xlfn.XLOOKUP(L84,Пол!A:A,Пол!B:B,0,0)</f>
        <v>1</v>
      </c>
      <c r="AO84" s="94">
        <f ca="1">SUMIF(Бренд!A:A,G84,Бренд!B:B)</f>
        <v>1</v>
      </c>
      <c r="AP84" s="137">
        <f ca="1">SUMIF(Страна!A:A,M84,Страна!B:B)</f>
        <v>1</v>
      </c>
      <c r="AQ84" s="150" t="str">
        <f t="shared" ca="1" si="21"/>
        <v>Кепка FREDRIKSON арт. 3125-676/76 (черный) {676/76}</v>
      </c>
      <c r="AR84" s="94">
        <f t="shared" ca="1" si="22"/>
        <v>1</v>
      </c>
      <c r="AS84" s="143">
        <f t="shared" ca="1" si="23"/>
        <v>1</v>
      </c>
      <c r="AT84" s="138" t="str">
        <f ca="1">IF(IFERROR(VLOOKUP(W84,Товары!A:B,2,FALSE),"")=A84,"Есть в 1С","ERR")</f>
        <v>ERR</v>
      </c>
      <c r="AU84" s="139" t="str">
        <f ca="1">IF(IFERROR(VLOOKUP(A84,Товары!B:B,1,FALSE),"")=A84,"Есть в 1С","ERR")</f>
        <v>ERR</v>
      </c>
      <c r="AV84" s="93" t="e">
        <f ca="1">VLOOKUP(W84,Товары!A:B,2,FALSE)</f>
        <v>#N/A</v>
      </c>
      <c r="AW84" s="91" t="e">
        <f ca="1">VLOOKUP(W84,Товары!A:B,1,FALSE)</f>
        <v>#N/A</v>
      </c>
    </row>
    <row r="85" spans="1:49" x14ac:dyDescent="0.25">
      <c r="A85" s="105" t="str">
        <f t="shared" ca="1" si="16"/>
        <v>95-089-09</v>
      </c>
      <c r="B85" s="78" t="str">
        <f ca="1">_xlfn.LET(_xlpm.CAPS,VLOOKUP(G85,Caps!A:B,2,0),_xlpm.Style,TRIM(_xlfn.XLOOKUP($A85,Строчный!$A:$A,Строчный!B:B,"ERR",0)),IF(_xlpm.CAPS=0,_xlpm.Style,UPPER(_xlpm.Style)))</f>
        <v>3125-676/76</v>
      </c>
      <c r="C85" s="78" t="str">
        <f ca="1">TRIM(PROPER(_xlfn.XLOOKUP($A85,Строчный!$A:$A,Строчный!C:C,"ERR",0)))</f>
        <v>Кепки</v>
      </c>
      <c r="D85" s="78" t="str">
        <f ca="1">_xlfn.LET(_xlpm.DATA,TRIM(_xlfn.XLOOKUP($A85,Строчный!$A:$A,Строчный!D:D,"ERR",0)),UPPER(MID(_xlpm.DATA,1,1))&amp;LOWER(MID(_xlpm.DATA,2,LEN(_xlpm.DATA)-1)))</f>
        <v>Кепка плоская</v>
      </c>
      <c r="E85" s="78" t="str">
        <f ca="1">PROPER(TRIM(_xlfn.XLOOKUP($A85,Строчный!$A:$A,Строчный!E:E,"ERR",0)))</f>
        <v>Fredrikson</v>
      </c>
      <c r="F85" s="78" t="str">
        <f ca="1">LOWER(TRIM(_xlfn.XLOOKUP($A85,Строчный!$A:$A,Строчный!F:F,"ERR",0)))</f>
        <v>всесезон</v>
      </c>
      <c r="G85" s="78" t="str">
        <f ca="1">UPPER(TRIM(_xlfn.XLOOKUP($A85,Строчный!$A:$A,Строчный!G:G,"ERR",0)))</f>
        <v>FREDRIKSON</v>
      </c>
      <c r="H85" s="78" t="str">
        <f ca="1">LOWER(TRIM(_xlfn.XLOOKUP($A85,Строчный!$A:$A,Строчный!H:H,"ERR",0)))</f>
        <v>676/76</v>
      </c>
      <c r="I85" s="78" t="str">
        <f ca="1">LOWER(TRIM(_xlfn.XLOOKUP($A85,Строчный!$A:$A,Строчный!I:I,"ERR",0)))</f>
        <v>черный</v>
      </c>
      <c r="J85" s="78" t="str">
        <f ca="1">SUBSTITUTE(LOWER(TRIM(_xlfn.XLOOKUP($A85,Строчный!$A:$A,Строчный!J:J,"ERR",0))),"подклад","Подклад")</f>
        <v>80% шерсть - 20% полиамид / Подклад: 100% вискоза</v>
      </c>
      <c r="K85" s="78" t="str">
        <f ca="1">LOWER(TRIM(_xlfn.XLOOKUP($A85,Строчный!$A:$A,Строчный!K:K,"ERR",0)))</f>
        <v>шерстяные</v>
      </c>
      <c r="L85" s="78" t="str">
        <f ca="1">PROPER(TRIM(_xlfn.XLOOKUP($A85,Строчный!$A:$A,Строчный!L:L,"ERR",0)))</f>
        <v>Унисекс</v>
      </c>
      <c r="M85" s="105" t="str">
        <f ca="1">PROPER(TRIM(_xlfn.XLOOKUP($A85,Строчный!$A:$A,Строчный!M:M,"ERR",0)))</f>
        <v>Россия</v>
      </c>
      <c r="N85" s="78" t="str">
        <f ca="1">UPPER(TRIM(_xlfn.XLOOKUP($A85,Строчный!$A:$A,Строчный!O:O,"ERR",0)))</f>
        <v/>
      </c>
      <c r="O85" s="99" t="str">
        <f ca="1">PROPER(TRIM(_xlfn.XLOOKUP($A85,Строчный!$A:$A,Строчный!P:P,"ERR",0)))</f>
        <v/>
      </c>
      <c r="P85" s="78" t="str">
        <f ca="1">PROPER(TRIM(_xlfn.XLOOKUP($A85,Строчный!$A:$A,Строчный!R:R,"ERR",0)))</f>
        <v/>
      </c>
      <c r="Q85" s="87">
        <f ca="1">VALUE(_xlfn.XLOOKUP($A85,Строчный!$A:$A,Строчный!N:N,"ERR",0))</f>
        <v>975.8</v>
      </c>
      <c r="R85" s="86" t="str">
        <f ca="1">_xlfn.XLOOKUP($G85,Фабрика!A:A,Фабрика!B:B,"ERR",0)</f>
        <v>ООО "ФРЭДРИКСОН" Россия 192029, С-Петербург, пр. Обуховской обороны, д.86, лит М</v>
      </c>
      <c r="S85" s="77" t="str">
        <f ca="1">_xlfn.XLOOKUP(RIGHT(AA85,2),Размеры!D:D,Размеры!A:A,"ERR",0)</f>
        <v>59</v>
      </c>
      <c r="T85" s="77">
        <f ca="1">VALUE(_xlfn.XLOOKUP($AA85,Строчный!$S:$S,Строчный!U:U,"ERR",0))</f>
        <v>6</v>
      </c>
      <c r="U85" s="14" t="s">
        <v>241</v>
      </c>
      <c r="V85" s="98" t="str">
        <f t="shared" ca="1" si="17"/>
        <v>Кепка FREDRIKSON арт. 3125-676/76 (черный)</v>
      </c>
      <c r="W85" s="97" t="str">
        <f t="shared" ca="1" si="18"/>
        <v>Кепка FREDRIKSON арт. 3125-676/76 (черный) {676/76}</v>
      </c>
      <c r="X85" s="18" t="str">
        <f t="shared" ca="1" si="19"/>
        <v>черный</v>
      </c>
      <c r="Y85" s="18" t="str">
        <f t="shared" ca="1" si="20"/>
        <v>черный</v>
      </c>
      <c r="Z85" s="109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0" t="str">
        <f ca="1"/>
        <v>95-089-09-59</v>
      </c>
      <c r="AB85" s="72" t="str">
        <f ca="1">VLOOKUP(C85,Группа!A:B,2,FALSE)</f>
        <v>Кепка</v>
      </c>
      <c r="AC85" s="94" t="str">
        <f ca="1">IFERROR(VLOOKUP(S85,Размеры!A:C,3,FALSE),"")</f>
        <v>59 L</v>
      </c>
      <c r="AD85" s="94" t="str">
        <f ca="1">VLOOKUP(I85,ЦветПолный!A:B,2,FALSE)</f>
        <v>09</v>
      </c>
      <c r="AE85" s="94" t="str">
        <f ca="1">IFERROR(VLOOKUP(S85,Размеры!A:D,4,FALSE),"")</f>
        <v>59</v>
      </c>
      <c r="AF85" s="94">
        <f ca="1">SUMIF(Группа!A:A,C85,Группа!C:C)</f>
        <v>1</v>
      </c>
      <c r="AG85" s="94">
        <f ca="1">SUMIF(Группа!B:B,AB85,Группа!C:C)</f>
        <v>1</v>
      </c>
      <c r="AH85" s="94">
        <f ca="1">SUMIF(Формы!A:A,D85,Формы!B:B)</f>
        <v>1</v>
      </c>
      <c r="AI85" s="94">
        <f ca="1">IF(IFERROR(VLOOKUP(J85,Материал!D:D,1,0),0)&gt;0,1,SUMIF(Материал!A:A,K85,Материал!B:B))</f>
        <v>1</v>
      </c>
      <c r="AJ85" s="94">
        <f ca="1">SUMIF(Размеры!A:A,S85,Размеры!E:E)</f>
        <v>1</v>
      </c>
      <c r="AK85" s="94">
        <f ca="1">SUMIF(Сезон!A:A,F85,Сезон!B:B)</f>
        <v>1</v>
      </c>
      <c r="AL85" s="94">
        <f ca="1">VLOOKUP(I85,ЦветПолный!A:C,3,0)</f>
        <v>1</v>
      </c>
      <c r="AM85" s="94">
        <f ca="1">SUMIF(Цвет!A:A,Z85,Цвет!B:B)</f>
        <v>1</v>
      </c>
      <c r="AN85" s="94">
        <f ca="1">_xlfn.XLOOKUP(L85,Пол!A:A,Пол!B:B,0,0)</f>
        <v>1</v>
      </c>
      <c r="AO85" s="94">
        <f ca="1">SUMIF(Бренд!A:A,G85,Бренд!B:B)</f>
        <v>1</v>
      </c>
      <c r="AP85" s="137">
        <f ca="1">SUMIF(Страна!A:A,M85,Страна!B:B)</f>
        <v>1</v>
      </c>
      <c r="AQ85" s="150" t="str">
        <f t="shared" ca="1" si="21"/>
        <v>Кепка FREDRIKSON арт. 3125-676/76 (черный) {676/76}</v>
      </c>
      <c r="AR85" s="94">
        <f t="shared" ca="1" si="22"/>
        <v>1</v>
      </c>
      <c r="AS85" s="143">
        <f t="shared" ca="1" si="23"/>
        <v>1</v>
      </c>
      <c r="AT85" s="138" t="str">
        <f ca="1">IF(IFERROR(VLOOKUP(W85,Товары!A:B,2,FALSE),"")=A85,"Есть в 1С","ERR")</f>
        <v>ERR</v>
      </c>
      <c r="AU85" s="139" t="str">
        <f ca="1">IF(IFERROR(VLOOKUP(A85,Товары!B:B,1,FALSE),"")=A85,"Есть в 1С","ERR")</f>
        <v>ERR</v>
      </c>
      <c r="AV85" s="93" t="e">
        <f ca="1">VLOOKUP(W85,Товары!A:B,2,FALSE)</f>
        <v>#N/A</v>
      </c>
      <c r="AW85" s="91" t="e">
        <f ca="1">VLOOKUP(W85,Товары!A:B,1,FALSE)</f>
        <v>#N/A</v>
      </c>
    </row>
    <row r="86" spans="1:49" x14ac:dyDescent="0.25">
      <c r="A86" s="105" t="str">
        <f t="shared" ca="1" si="16"/>
        <v>95-089-09</v>
      </c>
      <c r="B86" s="78" t="str">
        <f ca="1">_xlfn.LET(_xlpm.CAPS,VLOOKUP(G86,Caps!A:B,2,0),_xlpm.Style,TRIM(_xlfn.XLOOKUP($A86,Строчный!$A:$A,Строчный!B:B,"ERR",0)),IF(_xlpm.CAPS=0,_xlpm.Style,UPPER(_xlpm.Style)))</f>
        <v>3125-676/76</v>
      </c>
      <c r="C86" s="78" t="str">
        <f ca="1">TRIM(PROPER(_xlfn.XLOOKUP($A86,Строчный!$A:$A,Строчный!C:C,"ERR",0)))</f>
        <v>Кепки</v>
      </c>
      <c r="D86" s="78" t="str">
        <f ca="1">_xlfn.LET(_xlpm.DATA,TRIM(_xlfn.XLOOKUP($A86,Строчный!$A:$A,Строчный!D:D,"ERR",0)),UPPER(MID(_xlpm.DATA,1,1))&amp;LOWER(MID(_xlpm.DATA,2,LEN(_xlpm.DATA)-1)))</f>
        <v>Кепка плоская</v>
      </c>
      <c r="E86" s="78" t="str">
        <f ca="1">PROPER(TRIM(_xlfn.XLOOKUP($A86,Строчный!$A:$A,Строчный!E:E,"ERR",0)))</f>
        <v>Fredrikson</v>
      </c>
      <c r="F86" s="78" t="str">
        <f ca="1">LOWER(TRIM(_xlfn.XLOOKUP($A86,Строчный!$A:$A,Строчный!F:F,"ERR",0)))</f>
        <v>всесезон</v>
      </c>
      <c r="G86" s="78" t="str">
        <f ca="1">UPPER(TRIM(_xlfn.XLOOKUP($A86,Строчный!$A:$A,Строчный!G:G,"ERR",0)))</f>
        <v>FREDRIKSON</v>
      </c>
      <c r="H86" s="78" t="str">
        <f ca="1">LOWER(TRIM(_xlfn.XLOOKUP($A86,Строчный!$A:$A,Строчный!H:H,"ERR",0)))</f>
        <v>676/76</v>
      </c>
      <c r="I86" s="78" t="str">
        <f ca="1">LOWER(TRIM(_xlfn.XLOOKUP($A86,Строчный!$A:$A,Строчный!I:I,"ERR",0)))</f>
        <v>черный</v>
      </c>
      <c r="J86" s="78" t="str">
        <f ca="1">SUBSTITUTE(LOWER(TRIM(_xlfn.XLOOKUP($A86,Строчный!$A:$A,Строчный!J:J,"ERR",0))),"подклад","Подклад")</f>
        <v>80% шерсть - 20% полиамид / Подклад: 100% вискоза</v>
      </c>
      <c r="K86" s="78" t="str">
        <f ca="1">LOWER(TRIM(_xlfn.XLOOKUP($A86,Строчный!$A:$A,Строчный!K:K,"ERR",0)))</f>
        <v>шерстяные</v>
      </c>
      <c r="L86" s="78" t="str">
        <f ca="1">PROPER(TRIM(_xlfn.XLOOKUP($A86,Строчный!$A:$A,Строчный!L:L,"ERR",0)))</f>
        <v>Унисекс</v>
      </c>
      <c r="M86" s="105" t="str">
        <f ca="1">PROPER(TRIM(_xlfn.XLOOKUP($A86,Строчный!$A:$A,Строчный!M:M,"ERR",0)))</f>
        <v>Россия</v>
      </c>
      <c r="N86" s="78" t="str">
        <f ca="1">UPPER(TRIM(_xlfn.XLOOKUP($A86,Строчный!$A:$A,Строчный!O:O,"ERR",0)))</f>
        <v/>
      </c>
      <c r="O86" s="99" t="str">
        <f ca="1">PROPER(TRIM(_xlfn.XLOOKUP($A86,Строчный!$A:$A,Строчный!P:P,"ERR",0)))</f>
        <v/>
      </c>
      <c r="P86" s="78" t="str">
        <f ca="1">PROPER(TRIM(_xlfn.XLOOKUP($A86,Строчный!$A:$A,Строчный!R:R,"ERR",0)))</f>
        <v/>
      </c>
      <c r="Q86" s="87">
        <f ca="1">VALUE(_xlfn.XLOOKUP($A86,Строчный!$A:$A,Строчный!N:N,"ERR",0))</f>
        <v>975.8</v>
      </c>
      <c r="R86" s="86" t="str">
        <f ca="1">_xlfn.XLOOKUP($G86,Фабрика!A:A,Фабрика!B:B,"ERR",0)</f>
        <v>ООО "ФРЭДРИКСОН" Россия 192029, С-Петербург, пр. Обуховской обороны, д.86, лит М</v>
      </c>
      <c r="S86" s="77" t="str">
        <f ca="1">_xlfn.XLOOKUP(RIGHT(AA86,2),Размеры!D:D,Размеры!A:A,"ERR",0)</f>
        <v>58</v>
      </c>
      <c r="T86" s="77">
        <f ca="1">VALUE(_xlfn.XLOOKUP($AA86,Строчный!$S:$S,Строчный!U:U,"ERR",0))</f>
        <v>4</v>
      </c>
      <c r="U86" s="14" t="s">
        <v>241</v>
      </c>
      <c r="V86" s="98" t="str">
        <f t="shared" ca="1" si="17"/>
        <v>Кепка FREDRIKSON арт. 3125-676/76 (черный)</v>
      </c>
      <c r="W86" s="97" t="str">
        <f t="shared" ca="1" si="18"/>
        <v>Кепка FREDRIKSON арт. 3125-676/76 (черный) {676/76}</v>
      </c>
      <c r="X86" s="18" t="str">
        <f t="shared" ca="1" si="19"/>
        <v>черный</v>
      </c>
      <c r="Y86" s="18" t="str">
        <f t="shared" ca="1" si="20"/>
        <v>черный</v>
      </c>
      <c r="Z86" s="109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70" t="str">
        <f ca="1"/>
        <v>95-089-09-58</v>
      </c>
      <c r="AB86" s="72" t="str">
        <f ca="1">VLOOKUP(C86,Группа!A:B,2,FALSE)</f>
        <v>Кепка</v>
      </c>
      <c r="AC86" s="94" t="str">
        <f ca="1">IFERROR(VLOOKUP(S86,Размеры!A:C,3,FALSE),"")</f>
        <v>58 M/L</v>
      </c>
      <c r="AD86" s="94" t="str">
        <f ca="1">VLOOKUP(I86,ЦветПолный!A:B,2,FALSE)</f>
        <v>09</v>
      </c>
      <c r="AE86" s="94" t="str">
        <f ca="1">IFERROR(VLOOKUP(S86,Размеры!A:D,4,FALSE),"")</f>
        <v>58</v>
      </c>
      <c r="AF86" s="94">
        <f ca="1">SUMIF(Группа!A:A,C86,Группа!C:C)</f>
        <v>1</v>
      </c>
      <c r="AG86" s="94">
        <f ca="1">SUMIF(Группа!B:B,AB86,Группа!C:C)</f>
        <v>1</v>
      </c>
      <c r="AH86" s="94">
        <f ca="1">SUMIF(Формы!A:A,D86,Формы!B:B)</f>
        <v>1</v>
      </c>
      <c r="AI86" s="94">
        <f ca="1">IF(IFERROR(VLOOKUP(J86,Материал!D:D,1,0),0)&gt;0,1,SUMIF(Материал!A:A,K86,Материал!B:B))</f>
        <v>1</v>
      </c>
      <c r="AJ86" s="94">
        <f ca="1">SUMIF(Размеры!A:A,S86,Размеры!E:E)</f>
        <v>1</v>
      </c>
      <c r="AK86" s="94">
        <f ca="1">SUMIF(Сезон!A:A,F86,Сезон!B:B)</f>
        <v>1</v>
      </c>
      <c r="AL86" s="94">
        <f ca="1">VLOOKUP(I86,ЦветПолный!A:C,3,0)</f>
        <v>1</v>
      </c>
      <c r="AM86" s="94">
        <f ca="1">SUMIF(Цвет!A:A,Z86,Цвет!B:B)</f>
        <v>1</v>
      </c>
      <c r="AN86" s="94">
        <f ca="1">_xlfn.XLOOKUP(L86,Пол!A:A,Пол!B:B,0,0)</f>
        <v>1</v>
      </c>
      <c r="AO86" s="94">
        <f ca="1">SUMIF(Бренд!A:A,G86,Бренд!B:B)</f>
        <v>1</v>
      </c>
      <c r="AP86" s="137">
        <f ca="1">SUMIF(Страна!A:A,M86,Страна!B:B)</f>
        <v>1</v>
      </c>
      <c r="AQ86" s="150" t="str">
        <f t="shared" ca="1" si="21"/>
        <v>Кепка FREDRIKSON арт. 3125-676/76 (черный) {676/76}</v>
      </c>
      <c r="AR86" s="94">
        <f t="shared" ca="1" si="22"/>
        <v>1</v>
      </c>
      <c r="AS86" s="143">
        <f t="shared" ca="1" si="23"/>
        <v>1</v>
      </c>
      <c r="AT86" s="138" t="str">
        <f ca="1">IF(IFERROR(VLOOKUP(W86,Товары!A:B,2,FALSE),"")=A86,"Есть в 1С","ERR")</f>
        <v>ERR</v>
      </c>
      <c r="AU86" s="139" t="str">
        <f ca="1">IF(IFERROR(VLOOKUP(A86,Товары!B:B,1,FALSE),"")=A86,"Есть в 1С","ERR")</f>
        <v>ERR</v>
      </c>
      <c r="AV86" s="93" t="e">
        <f ca="1">VLOOKUP(W86,Товары!A:B,2,FALSE)</f>
        <v>#N/A</v>
      </c>
      <c r="AW86" s="91" t="e">
        <f ca="1">VLOOKUP(W86,Товары!A:B,1,FALSE)</f>
        <v>#N/A</v>
      </c>
    </row>
    <row r="87" spans="1:49" x14ac:dyDescent="0.25">
      <c r="A87" s="105" t="str">
        <f t="shared" ca="1" si="16"/>
        <v>95-089-09</v>
      </c>
      <c r="B87" s="78" t="str">
        <f ca="1">_xlfn.LET(_xlpm.CAPS,VLOOKUP(G87,Caps!A:B,2,0),_xlpm.Style,TRIM(_xlfn.XLOOKUP($A87,Строчный!$A:$A,Строчный!B:B,"ERR",0)),IF(_xlpm.CAPS=0,_xlpm.Style,UPPER(_xlpm.Style)))</f>
        <v>3125-676/76</v>
      </c>
      <c r="C87" s="78" t="str">
        <f ca="1">TRIM(PROPER(_xlfn.XLOOKUP($A87,Строчный!$A:$A,Строчный!C:C,"ERR",0)))</f>
        <v>Кепки</v>
      </c>
      <c r="D87" s="78" t="str">
        <f ca="1">_xlfn.LET(_xlpm.DATA,TRIM(_xlfn.XLOOKUP($A87,Строчный!$A:$A,Строчный!D:D,"ERR",0)),UPPER(MID(_xlpm.DATA,1,1))&amp;LOWER(MID(_xlpm.DATA,2,LEN(_xlpm.DATA)-1)))</f>
        <v>Кепка плоская</v>
      </c>
      <c r="E87" s="78" t="str">
        <f ca="1">PROPER(TRIM(_xlfn.XLOOKUP($A87,Строчный!$A:$A,Строчный!E:E,"ERR",0)))</f>
        <v>Fredrikson</v>
      </c>
      <c r="F87" s="78" t="str">
        <f ca="1">LOWER(TRIM(_xlfn.XLOOKUP($A87,Строчный!$A:$A,Строчный!F:F,"ERR",0)))</f>
        <v>всесезон</v>
      </c>
      <c r="G87" s="78" t="str">
        <f ca="1">UPPER(TRIM(_xlfn.XLOOKUP($A87,Строчный!$A:$A,Строчный!G:G,"ERR",0)))</f>
        <v>FREDRIKSON</v>
      </c>
      <c r="H87" s="78" t="str">
        <f ca="1">LOWER(TRIM(_xlfn.XLOOKUP($A87,Строчный!$A:$A,Строчный!H:H,"ERR",0)))</f>
        <v>676/76</v>
      </c>
      <c r="I87" s="78" t="str">
        <f ca="1">LOWER(TRIM(_xlfn.XLOOKUP($A87,Строчный!$A:$A,Строчный!I:I,"ERR",0)))</f>
        <v>черный</v>
      </c>
      <c r="J87" s="78" t="str">
        <f ca="1">SUBSTITUTE(LOWER(TRIM(_xlfn.XLOOKUP($A87,Строчный!$A:$A,Строчный!J:J,"ERR",0))),"подклад","Подклад")</f>
        <v>80% шерсть - 20% полиамид / Подклад: 100% вискоза</v>
      </c>
      <c r="K87" s="78" t="str">
        <f ca="1">LOWER(TRIM(_xlfn.XLOOKUP($A87,Строчный!$A:$A,Строчный!K:K,"ERR",0)))</f>
        <v>шерстяные</v>
      </c>
      <c r="L87" s="78" t="str">
        <f ca="1">PROPER(TRIM(_xlfn.XLOOKUP($A87,Строчный!$A:$A,Строчный!L:L,"ERR",0)))</f>
        <v>Унисекс</v>
      </c>
      <c r="M87" s="105" t="str">
        <f ca="1">PROPER(TRIM(_xlfn.XLOOKUP($A87,Строчный!$A:$A,Строчный!M:M,"ERR",0)))</f>
        <v>Россия</v>
      </c>
      <c r="N87" s="78" t="str">
        <f ca="1">UPPER(TRIM(_xlfn.XLOOKUP($A87,Строчный!$A:$A,Строчный!O:O,"ERR",0)))</f>
        <v/>
      </c>
      <c r="O87" s="99" t="str">
        <f ca="1">PROPER(TRIM(_xlfn.XLOOKUP($A87,Строчный!$A:$A,Строчный!P:P,"ERR",0)))</f>
        <v/>
      </c>
      <c r="P87" s="78" t="str">
        <f ca="1">PROPER(TRIM(_xlfn.XLOOKUP($A87,Строчный!$A:$A,Строчный!R:R,"ERR",0)))</f>
        <v/>
      </c>
      <c r="Q87" s="87">
        <f ca="1">VALUE(_xlfn.XLOOKUP($A87,Строчный!$A:$A,Строчный!N:N,"ERR",0))</f>
        <v>975.8</v>
      </c>
      <c r="R87" s="86" t="str">
        <f ca="1">_xlfn.XLOOKUP($G87,Фабрика!A:A,Фабрика!B:B,"ERR",0)</f>
        <v>ООО "ФРЭДРИКСОН" Россия 192029, С-Петербург, пр. Обуховской обороны, д.86, лит М</v>
      </c>
      <c r="S87" s="77" t="str">
        <f ca="1">_xlfn.XLOOKUP(RIGHT(AA87,2),Размеры!D:D,Размеры!A:A,"ERR",0)</f>
        <v>57</v>
      </c>
      <c r="T87" s="77">
        <f ca="1">VALUE(_xlfn.XLOOKUP($AA87,Строчный!$S:$S,Строчный!U:U,"ERR",0))</f>
        <v>3</v>
      </c>
      <c r="U87" s="14" t="s">
        <v>241</v>
      </c>
      <c r="V87" s="98" t="str">
        <f t="shared" ca="1" si="17"/>
        <v>Кепка FREDRIKSON арт. 3125-676/76 (черный)</v>
      </c>
      <c r="W87" s="97" t="str">
        <f t="shared" ca="1" si="18"/>
        <v>Кепка FREDRIKSON арт. 3125-676/76 (черный) {676/76}</v>
      </c>
      <c r="X87" s="18" t="str">
        <f t="shared" ca="1" si="19"/>
        <v>черный</v>
      </c>
      <c r="Y87" s="18" t="str">
        <f t="shared" ca="1" si="20"/>
        <v>черный</v>
      </c>
      <c r="Z87" s="109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0" t="str">
        <f ca="1"/>
        <v>95-089-09-57</v>
      </c>
      <c r="AB87" s="72" t="str">
        <f ca="1">VLOOKUP(C87,Группа!A:B,2,FALSE)</f>
        <v>Кепка</v>
      </c>
      <c r="AC87" s="94" t="str">
        <f ca="1">IFERROR(VLOOKUP(S87,Размеры!A:C,3,FALSE),"")</f>
        <v>57 M</v>
      </c>
      <c r="AD87" s="94" t="str">
        <f ca="1">VLOOKUP(I87,ЦветПолный!A:B,2,FALSE)</f>
        <v>09</v>
      </c>
      <c r="AE87" s="94" t="str">
        <f ca="1">IFERROR(VLOOKUP(S87,Размеры!A:D,4,FALSE),"")</f>
        <v>57</v>
      </c>
      <c r="AF87" s="94">
        <f ca="1">SUMIF(Группа!A:A,C87,Группа!C:C)</f>
        <v>1</v>
      </c>
      <c r="AG87" s="94">
        <f ca="1">SUMIF(Группа!B:B,AB87,Группа!C:C)</f>
        <v>1</v>
      </c>
      <c r="AH87" s="94">
        <f ca="1">SUMIF(Формы!A:A,D87,Формы!B:B)</f>
        <v>1</v>
      </c>
      <c r="AI87" s="94">
        <f ca="1">IF(IFERROR(VLOOKUP(J87,Материал!D:D,1,0),0)&gt;0,1,SUMIF(Материал!A:A,K87,Материал!B:B))</f>
        <v>1</v>
      </c>
      <c r="AJ87" s="94">
        <f ca="1">SUMIF(Размеры!A:A,S87,Размеры!E:E)</f>
        <v>1</v>
      </c>
      <c r="AK87" s="94">
        <f ca="1">SUMIF(Сезон!A:A,F87,Сезон!B:B)</f>
        <v>1</v>
      </c>
      <c r="AL87" s="94">
        <f ca="1">VLOOKUP(I87,ЦветПолный!A:C,3,0)</f>
        <v>1</v>
      </c>
      <c r="AM87" s="94">
        <f ca="1">SUMIF(Цвет!A:A,Z87,Цвет!B:B)</f>
        <v>1</v>
      </c>
      <c r="AN87" s="94">
        <f ca="1">_xlfn.XLOOKUP(L87,Пол!A:A,Пол!B:B,0,0)</f>
        <v>1</v>
      </c>
      <c r="AO87" s="94">
        <f ca="1">SUMIF(Бренд!A:A,G87,Бренд!B:B)</f>
        <v>1</v>
      </c>
      <c r="AP87" s="137">
        <f ca="1">SUMIF(Страна!A:A,M87,Страна!B:B)</f>
        <v>1</v>
      </c>
      <c r="AQ87" s="150" t="str">
        <f t="shared" ca="1" si="21"/>
        <v>Кепка FREDRIKSON арт. 3125-676/76 (черный) {676/76}</v>
      </c>
      <c r="AR87" s="94">
        <f t="shared" ca="1" si="22"/>
        <v>1</v>
      </c>
      <c r="AS87" s="143">
        <f t="shared" ca="1" si="23"/>
        <v>1</v>
      </c>
      <c r="AT87" s="138" t="str">
        <f ca="1">IF(IFERROR(VLOOKUP(W87,Товары!A:B,2,FALSE),"")=A87,"Есть в 1С","ERR")</f>
        <v>ERR</v>
      </c>
      <c r="AU87" s="139" t="str">
        <f ca="1">IF(IFERROR(VLOOKUP(A87,Товары!B:B,1,FALSE),"")=A87,"Есть в 1С","ERR")</f>
        <v>ERR</v>
      </c>
      <c r="AV87" s="93" t="e">
        <f ca="1">VLOOKUP(W87,Товары!A:B,2,FALSE)</f>
        <v>#N/A</v>
      </c>
      <c r="AW87" s="91" t="e">
        <f ca="1">VLOOKUP(W87,Товары!A:B,1,FALSE)</f>
        <v>#N/A</v>
      </c>
    </row>
    <row r="88" spans="1:49" x14ac:dyDescent="0.25">
      <c r="A88" s="105" t="str">
        <f t="shared" ca="1" si="16"/>
        <v>95-089-09</v>
      </c>
      <c r="B88" s="78" t="str">
        <f ca="1">_xlfn.LET(_xlpm.CAPS,VLOOKUP(G88,Caps!A:B,2,0),_xlpm.Style,TRIM(_xlfn.XLOOKUP($A88,Строчный!$A:$A,Строчный!B:B,"ERR",0)),IF(_xlpm.CAPS=0,_xlpm.Style,UPPER(_xlpm.Style)))</f>
        <v>3125-676/76</v>
      </c>
      <c r="C88" s="78" t="str">
        <f ca="1">TRIM(PROPER(_xlfn.XLOOKUP($A88,Строчный!$A:$A,Строчный!C:C,"ERR",0)))</f>
        <v>Кепки</v>
      </c>
      <c r="D88" s="78" t="str">
        <f ca="1">_xlfn.LET(_xlpm.DATA,TRIM(_xlfn.XLOOKUP($A88,Строчный!$A:$A,Строчный!D:D,"ERR",0)),UPPER(MID(_xlpm.DATA,1,1))&amp;LOWER(MID(_xlpm.DATA,2,LEN(_xlpm.DATA)-1)))</f>
        <v>Кепка плоская</v>
      </c>
      <c r="E88" s="78" t="str">
        <f ca="1">PROPER(TRIM(_xlfn.XLOOKUP($A88,Строчный!$A:$A,Строчный!E:E,"ERR",0)))</f>
        <v>Fredrikson</v>
      </c>
      <c r="F88" s="78" t="str">
        <f ca="1">LOWER(TRIM(_xlfn.XLOOKUP($A88,Строчный!$A:$A,Строчный!F:F,"ERR",0)))</f>
        <v>всесезон</v>
      </c>
      <c r="G88" s="78" t="str">
        <f ca="1">UPPER(TRIM(_xlfn.XLOOKUP($A88,Строчный!$A:$A,Строчный!G:G,"ERR",0)))</f>
        <v>FREDRIKSON</v>
      </c>
      <c r="H88" s="78" t="str">
        <f ca="1">LOWER(TRIM(_xlfn.XLOOKUP($A88,Строчный!$A:$A,Строчный!H:H,"ERR",0)))</f>
        <v>676/76</v>
      </c>
      <c r="I88" s="78" t="str">
        <f ca="1">LOWER(TRIM(_xlfn.XLOOKUP($A88,Строчный!$A:$A,Строчный!I:I,"ERR",0)))</f>
        <v>черный</v>
      </c>
      <c r="J88" s="78" t="str">
        <f ca="1">SUBSTITUTE(LOWER(TRIM(_xlfn.XLOOKUP($A88,Строчный!$A:$A,Строчный!J:J,"ERR",0))),"подклад","Подклад")</f>
        <v>80% шерсть - 20% полиамид / Подклад: 100% вискоза</v>
      </c>
      <c r="K88" s="78" t="str">
        <f ca="1">LOWER(TRIM(_xlfn.XLOOKUP($A88,Строчный!$A:$A,Строчный!K:K,"ERR",0)))</f>
        <v>шерстяные</v>
      </c>
      <c r="L88" s="78" t="str">
        <f ca="1">PROPER(TRIM(_xlfn.XLOOKUP($A88,Строчный!$A:$A,Строчный!L:L,"ERR",0)))</f>
        <v>Унисекс</v>
      </c>
      <c r="M88" s="105" t="str">
        <f ca="1">PROPER(TRIM(_xlfn.XLOOKUP($A88,Строчный!$A:$A,Строчный!M:M,"ERR",0)))</f>
        <v>Россия</v>
      </c>
      <c r="N88" s="78" t="str">
        <f ca="1">UPPER(TRIM(_xlfn.XLOOKUP($A88,Строчный!$A:$A,Строчный!O:O,"ERR",0)))</f>
        <v/>
      </c>
      <c r="O88" s="99" t="str">
        <f ca="1">PROPER(TRIM(_xlfn.XLOOKUP($A88,Строчный!$A:$A,Строчный!P:P,"ERR",0)))</f>
        <v/>
      </c>
      <c r="P88" s="78" t="str">
        <f ca="1">PROPER(TRIM(_xlfn.XLOOKUP($A88,Строчный!$A:$A,Строчный!R:R,"ERR",0)))</f>
        <v/>
      </c>
      <c r="Q88" s="87">
        <f ca="1">VALUE(_xlfn.XLOOKUP($A88,Строчный!$A:$A,Строчный!N:N,"ERR",0))</f>
        <v>975.8</v>
      </c>
      <c r="R88" s="86" t="str">
        <f ca="1">_xlfn.XLOOKUP($G88,Фабрика!A:A,Фабрика!B:B,"ERR",0)</f>
        <v>ООО "ФРЭДРИКСОН" Россия 192029, С-Петербург, пр. Обуховской обороны, д.86, лит М</v>
      </c>
      <c r="S88" s="77" t="str">
        <f ca="1">_xlfn.XLOOKUP(RIGHT(AA88,2),Размеры!D:D,Размеры!A:A,"ERR",0)</f>
        <v>56</v>
      </c>
      <c r="T88" s="77">
        <f ca="1">VALUE(_xlfn.XLOOKUP($AA88,Строчный!$S:$S,Строчный!U:U,"ERR",0))</f>
        <v>2</v>
      </c>
      <c r="U88" s="14" t="s">
        <v>241</v>
      </c>
      <c r="V88" s="98" t="str">
        <f t="shared" ca="1" si="17"/>
        <v>Кепка FREDRIKSON арт. 3125-676/76 (черный)</v>
      </c>
      <c r="W88" s="97" t="str">
        <f t="shared" ca="1" si="18"/>
        <v>Кепка FREDRIKSON арт. 3125-676/76 (черный) {676/76}</v>
      </c>
      <c r="X88" s="18" t="str">
        <f t="shared" ca="1" si="19"/>
        <v>черный</v>
      </c>
      <c r="Y88" s="18" t="str">
        <f t="shared" ca="1" si="20"/>
        <v>черный</v>
      </c>
      <c r="Z88" s="109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0" t="str">
        <f ca="1"/>
        <v>95-089-09-56</v>
      </c>
      <c r="AB88" s="72" t="str">
        <f ca="1">VLOOKUP(C88,Группа!A:B,2,FALSE)</f>
        <v>Кепка</v>
      </c>
      <c r="AC88" s="94" t="str">
        <f ca="1">IFERROR(VLOOKUP(S88,Размеры!A:C,3,FALSE),"")</f>
        <v>56 S/M</v>
      </c>
      <c r="AD88" s="94" t="str">
        <f ca="1">VLOOKUP(I88,ЦветПолный!A:B,2,FALSE)</f>
        <v>09</v>
      </c>
      <c r="AE88" s="94" t="str">
        <f ca="1">IFERROR(VLOOKUP(S88,Размеры!A:D,4,FALSE),"")</f>
        <v>56</v>
      </c>
      <c r="AF88" s="94">
        <f ca="1">SUMIF(Группа!A:A,C88,Группа!C:C)</f>
        <v>1</v>
      </c>
      <c r="AG88" s="94">
        <f ca="1">SUMIF(Группа!B:B,AB88,Группа!C:C)</f>
        <v>1</v>
      </c>
      <c r="AH88" s="94">
        <f ca="1">SUMIF(Формы!A:A,D88,Формы!B:B)</f>
        <v>1</v>
      </c>
      <c r="AI88" s="94">
        <f ca="1">IF(IFERROR(VLOOKUP(J88,Материал!D:D,1,0),0)&gt;0,1,SUMIF(Материал!A:A,K88,Материал!B:B))</f>
        <v>1</v>
      </c>
      <c r="AJ88" s="94">
        <f ca="1">SUMIF(Размеры!A:A,S88,Размеры!E:E)</f>
        <v>1</v>
      </c>
      <c r="AK88" s="94">
        <f ca="1">SUMIF(Сезон!A:A,F88,Сезон!B:B)</f>
        <v>1</v>
      </c>
      <c r="AL88" s="94">
        <f ca="1">VLOOKUP(I88,ЦветПолный!A:C,3,0)</f>
        <v>1</v>
      </c>
      <c r="AM88" s="94">
        <f ca="1">SUMIF(Цвет!A:A,Z88,Цвет!B:B)</f>
        <v>1</v>
      </c>
      <c r="AN88" s="94">
        <f ca="1">_xlfn.XLOOKUP(L88,Пол!A:A,Пол!B:B,0,0)</f>
        <v>1</v>
      </c>
      <c r="AO88" s="94">
        <f ca="1">SUMIF(Бренд!A:A,G88,Бренд!B:B)</f>
        <v>1</v>
      </c>
      <c r="AP88" s="137">
        <f ca="1">SUMIF(Страна!A:A,M88,Страна!B:B)</f>
        <v>1</v>
      </c>
      <c r="AQ88" s="150" t="str">
        <f t="shared" ca="1" si="21"/>
        <v>Кепка FREDRIKSON арт. 3125-676/76 (черный) {676/76}</v>
      </c>
      <c r="AR88" s="94">
        <f t="shared" ca="1" si="22"/>
        <v>1</v>
      </c>
      <c r="AS88" s="143">
        <f t="shared" ca="1" si="23"/>
        <v>1</v>
      </c>
      <c r="AT88" s="138" t="str">
        <f ca="1">IF(IFERROR(VLOOKUP(W88,Товары!A:B,2,FALSE),"")=A88,"Есть в 1С","ERR")</f>
        <v>ERR</v>
      </c>
      <c r="AU88" s="139" t="str">
        <f ca="1">IF(IFERROR(VLOOKUP(A88,Товары!B:B,1,FALSE),"")=A88,"Есть в 1С","ERR")</f>
        <v>ERR</v>
      </c>
      <c r="AV88" s="93" t="e">
        <f ca="1">VLOOKUP(W88,Товары!A:B,2,FALSE)</f>
        <v>#N/A</v>
      </c>
      <c r="AW88" s="91" t="e">
        <f ca="1">VLOOKUP(W88,Товары!A:B,1,FALSE)</f>
        <v>#N/A</v>
      </c>
    </row>
    <row r="89" spans="1:49" x14ac:dyDescent="0.25">
      <c r="A89" s="105" t="str">
        <f t="shared" ca="1" si="16"/>
        <v>95-088-72</v>
      </c>
      <c r="B89" s="78" t="str">
        <f ca="1">_xlfn.LET(_xlpm.CAPS,VLOOKUP(G89,Caps!A:B,2,0),_xlpm.Style,TRIM(_xlfn.XLOOKUP($A89,Строчный!$A:$A,Строчный!B:B,"ERR",0)),IF(_xlpm.CAPS=0,_xlpm.Style,UPPER(_xlpm.Style)))</f>
        <v>3125-667/70</v>
      </c>
      <c r="C89" s="78" t="str">
        <f ca="1">TRIM(PROPER(_xlfn.XLOOKUP($A89,Строчный!$A:$A,Строчный!C:C,"ERR",0)))</f>
        <v>Кепки</v>
      </c>
      <c r="D89" s="78" t="str">
        <f ca="1">_xlfn.LET(_xlpm.DATA,TRIM(_xlfn.XLOOKUP($A89,Строчный!$A:$A,Строчный!D:D,"ERR",0)),UPPER(MID(_xlpm.DATA,1,1))&amp;LOWER(MID(_xlpm.DATA,2,LEN(_xlpm.DATA)-1)))</f>
        <v>Кепка плоская</v>
      </c>
      <c r="E89" s="78" t="str">
        <f ca="1">PROPER(TRIM(_xlfn.XLOOKUP($A89,Строчный!$A:$A,Строчный!E:E,"ERR",0)))</f>
        <v>Fredrikson</v>
      </c>
      <c r="F89" s="78" t="str">
        <f ca="1">LOWER(TRIM(_xlfn.XLOOKUP($A89,Строчный!$A:$A,Строчный!F:F,"ERR",0)))</f>
        <v>всесезон</v>
      </c>
      <c r="G89" s="78" t="str">
        <f ca="1">UPPER(TRIM(_xlfn.XLOOKUP($A89,Строчный!$A:$A,Строчный!G:G,"ERR",0)))</f>
        <v>FREDRIKSON</v>
      </c>
      <c r="H89" s="78" t="str">
        <f ca="1">LOWER(TRIM(_xlfn.XLOOKUP($A89,Строчный!$A:$A,Строчный!H:H,"ERR",0)))</f>
        <v>667/70</v>
      </c>
      <c r="I89" s="78" t="str">
        <f ca="1">LOWER(TRIM(_xlfn.XLOOKUP($A89,Строчный!$A:$A,Строчный!I:I,"ERR",0)))</f>
        <v>черный / белый</v>
      </c>
      <c r="J89" s="78" t="str">
        <f ca="1">SUBSTITUTE(LOWER(TRIM(_xlfn.XLOOKUP($A89,Строчный!$A:$A,Строчный!J:J,"ERR",0))),"подклад","Подклад")</f>
        <v>80% шерсть - 20% полиамид / Подклад: 100% вискоза</v>
      </c>
      <c r="K89" s="78" t="str">
        <f ca="1">LOWER(TRIM(_xlfn.XLOOKUP($A89,Строчный!$A:$A,Строчный!K:K,"ERR",0)))</f>
        <v>шерстяные</v>
      </c>
      <c r="L89" s="78" t="str">
        <f ca="1">PROPER(TRIM(_xlfn.XLOOKUP($A89,Строчный!$A:$A,Строчный!L:L,"ERR",0)))</f>
        <v>Унисекс</v>
      </c>
      <c r="M89" s="105" t="str">
        <f ca="1">PROPER(TRIM(_xlfn.XLOOKUP($A89,Строчный!$A:$A,Строчный!M:M,"ERR",0)))</f>
        <v>Россия</v>
      </c>
      <c r="N89" s="78" t="str">
        <f ca="1">UPPER(TRIM(_xlfn.XLOOKUP($A89,Строчный!$A:$A,Строчный!O:O,"ERR",0)))</f>
        <v/>
      </c>
      <c r="O89" s="99" t="str">
        <f ca="1">PROPER(TRIM(_xlfn.XLOOKUP($A89,Строчный!$A:$A,Строчный!P:P,"ERR",0)))</f>
        <v/>
      </c>
      <c r="P89" s="78" t="str">
        <f ca="1">PROPER(TRIM(_xlfn.XLOOKUP($A89,Строчный!$A:$A,Строчный!R:R,"ERR",0)))</f>
        <v/>
      </c>
      <c r="Q89" s="87">
        <f ca="1">VALUE(_xlfn.XLOOKUP($A89,Строчный!$A:$A,Строчный!N:N,"ERR",0))</f>
        <v>975.8</v>
      </c>
      <c r="R89" s="86" t="str">
        <f ca="1">_xlfn.XLOOKUP($G89,Фабрика!A:A,Фабрика!B:B,"ERR",0)</f>
        <v>ООО "ФРЭДРИКСОН" Россия 192029, С-Петербург, пр. Обуховской обороны, д.86, лит М</v>
      </c>
      <c r="S89" s="77" t="str">
        <f ca="1">_xlfn.XLOOKUP(RIGHT(AA89,2),Размеры!D:D,Размеры!A:A,"ERR",0)</f>
        <v>62</v>
      </c>
      <c r="T89" s="77">
        <f ca="1">VALUE(_xlfn.XLOOKUP($AA89,Строчный!$S:$S,Строчный!U:U,"ERR",0))</f>
        <v>2</v>
      </c>
      <c r="U89" s="14" t="s">
        <v>241</v>
      </c>
      <c r="V89" s="98" t="str">
        <f t="shared" ca="1" si="17"/>
        <v>Кепка FREDRIKSON арт. 3125-667/70 (черный / белый)</v>
      </c>
      <c r="W89" s="97" t="str">
        <f t="shared" ca="1" si="18"/>
        <v>Кепка FREDRIKSON арт. 3125-667/70 (черный / белый) {667/70}</v>
      </c>
      <c r="X89" s="18" t="str">
        <f t="shared" ca="1" si="19"/>
        <v>черный</v>
      </c>
      <c r="Y89" s="18" t="str">
        <f t="shared" ca="1" si="20"/>
        <v>белый</v>
      </c>
      <c r="Z89" s="109" t="str">
        <f ca="1">_xlfn.LET(_xlpm.FormColors,_xlfn.XLOOKUP(A89,Строчный!A:A,Строчный!Q:Q,"",0),IF(_xlpm.FormColors=0,IFERROR(MID(I89,FIND("-",I89)+1,LEN(I89)),IFERROR(MID(I89,1,FIND("/",I89)-2),I89)),_xlpm.FormColors))</f>
        <v>черный</v>
      </c>
      <c r="AA89" s="70" t="str">
        <f ca="1"/>
        <v>95-088-72-62</v>
      </c>
      <c r="AB89" s="72" t="str">
        <f ca="1">VLOOKUP(C89,Группа!A:B,2,FALSE)</f>
        <v>Кепка</v>
      </c>
      <c r="AC89" s="94" t="str">
        <f ca="1">IFERROR(VLOOKUP(S89,Размеры!A:C,3,FALSE),"")</f>
        <v>62 XL/XXL</v>
      </c>
      <c r="AD89" s="94" t="str">
        <f ca="1">VLOOKUP(I89,ЦветПолный!A:B,2,FALSE)</f>
        <v>72</v>
      </c>
      <c r="AE89" s="94" t="str">
        <f ca="1">IFERROR(VLOOKUP(S89,Размеры!A:D,4,FALSE),"")</f>
        <v>62</v>
      </c>
      <c r="AF89" s="94">
        <f ca="1">SUMIF(Группа!A:A,C89,Группа!C:C)</f>
        <v>1</v>
      </c>
      <c r="AG89" s="94">
        <f ca="1">SUMIF(Группа!B:B,AB89,Группа!C:C)</f>
        <v>1</v>
      </c>
      <c r="AH89" s="94">
        <f ca="1">SUMIF(Формы!A:A,D89,Формы!B:B)</f>
        <v>1</v>
      </c>
      <c r="AI89" s="94">
        <f ca="1">IF(IFERROR(VLOOKUP(J89,Материал!D:D,1,0),0)&gt;0,1,SUMIF(Материал!A:A,K89,Материал!B:B))</f>
        <v>1</v>
      </c>
      <c r="AJ89" s="94">
        <f ca="1">SUMIF(Размеры!A:A,S89,Размеры!E:E)</f>
        <v>1</v>
      </c>
      <c r="AK89" s="94">
        <f ca="1">SUMIF(Сезон!A:A,F89,Сезон!B:B)</f>
        <v>1</v>
      </c>
      <c r="AL89" s="94">
        <f ca="1">VLOOKUP(I89,ЦветПолный!A:C,3,0)</f>
        <v>1</v>
      </c>
      <c r="AM89" s="94">
        <f ca="1">SUMIF(Цвет!A:A,Z89,Цвет!B:B)</f>
        <v>1</v>
      </c>
      <c r="AN89" s="94">
        <f ca="1">_xlfn.XLOOKUP(L89,Пол!A:A,Пол!B:B,0,0)</f>
        <v>1</v>
      </c>
      <c r="AO89" s="94">
        <f ca="1">SUMIF(Бренд!A:A,G89,Бренд!B:B)</f>
        <v>1</v>
      </c>
      <c r="AP89" s="137">
        <f ca="1">SUMIF(Страна!A:A,M89,Страна!B:B)</f>
        <v>1</v>
      </c>
      <c r="AQ89" s="150" t="str">
        <f t="shared" ca="1" si="21"/>
        <v>Кепка FREDRIKSON арт. 3125-667/70 (черный / белый) {667/70}</v>
      </c>
      <c r="AR89" s="94">
        <f t="shared" ca="1" si="22"/>
        <v>1</v>
      </c>
      <c r="AS89" s="143">
        <f t="shared" ca="1" si="23"/>
        <v>1</v>
      </c>
      <c r="AT89" s="138" t="str">
        <f ca="1">IF(IFERROR(VLOOKUP(W89,Товары!A:B,2,FALSE),"")=A89,"Есть в 1С","ERR")</f>
        <v>ERR</v>
      </c>
      <c r="AU89" s="139" t="str">
        <f ca="1">IF(IFERROR(VLOOKUP(A89,Товары!B:B,1,FALSE),"")=A89,"Есть в 1С","ERR")</f>
        <v>ERR</v>
      </c>
      <c r="AV89" s="93" t="e">
        <f ca="1">VLOOKUP(W89,Товары!A:B,2,FALSE)</f>
        <v>#N/A</v>
      </c>
      <c r="AW89" s="91" t="e">
        <f ca="1">VLOOKUP(W89,Товары!A:B,1,FALSE)</f>
        <v>#N/A</v>
      </c>
    </row>
    <row r="90" spans="1:49" x14ac:dyDescent="0.25">
      <c r="A90" s="105" t="str">
        <f t="shared" ca="1" si="16"/>
        <v>95-088-72</v>
      </c>
      <c r="B90" s="78" t="str">
        <f ca="1">_xlfn.LET(_xlpm.CAPS,VLOOKUP(G90,Caps!A:B,2,0),_xlpm.Style,TRIM(_xlfn.XLOOKUP($A90,Строчный!$A:$A,Строчный!B:B,"ERR",0)),IF(_xlpm.CAPS=0,_xlpm.Style,UPPER(_xlpm.Style)))</f>
        <v>3125-667/70</v>
      </c>
      <c r="C90" s="78" t="str">
        <f ca="1">TRIM(PROPER(_xlfn.XLOOKUP($A90,Строчный!$A:$A,Строчный!C:C,"ERR",0)))</f>
        <v>Кепки</v>
      </c>
      <c r="D90" s="78" t="str">
        <f ca="1">_xlfn.LET(_xlpm.DATA,TRIM(_xlfn.XLOOKUP($A90,Строчный!$A:$A,Строчный!D:D,"ERR",0)),UPPER(MID(_xlpm.DATA,1,1))&amp;LOWER(MID(_xlpm.DATA,2,LEN(_xlpm.DATA)-1)))</f>
        <v>Кепка плоская</v>
      </c>
      <c r="E90" s="78" t="str">
        <f ca="1">PROPER(TRIM(_xlfn.XLOOKUP($A90,Строчный!$A:$A,Строчный!E:E,"ERR",0)))</f>
        <v>Fredrikson</v>
      </c>
      <c r="F90" s="78" t="str">
        <f ca="1">LOWER(TRIM(_xlfn.XLOOKUP($A90,Строчный!$A:$A,Строчный!F:F,"ERR",0)))</f>
        <v>всесезон</v>
      </c>
      <c r="G90" s="78" t="str">
        <f ca="1">UPPER(TRIM(_xlfn.XLOOKUP($A90,Строчный!$A:$A,Строчный!G:G,"ERR",0)))</f>
        <v>FREDRIKSON</v>
      </c>
      <c r="H90" s="78" t="str">
        <f ca="1">LOWER(TRIM(_xlfn.XLOOKUP($A90,Строчный!$A:$A,Строчный!H:H,"ERR",0)))</f>
        <v>667/70</v>
      </c>
      <c r="I90" s="78" t="str">
        <f ca="1">LOWER(TRIM(_xlfn.XLOOKUP($A90,Строчный!$A:$A,Строчный!I:I,"ERR",0)))</f>
        <v>черный / белый</v>
      </c>
      <c r="J90" s="78" t="str">
        <f ca="1">SUBSTITUTE(LOWER(TRIM(_xlfn.XLOOKUP($A90,Строчный!$A:$A,Строчный!J:J,"ERR",0))),"подклад","Подклад")</f>
        <v>80% шерсть - 20% полиамид / Подклад: 100% вискоза</v>
      </c>
      <c r="K90" s="78" t="str">
        <f ca="1">LOWER(TRIM(_xlfn.XLOOKUP($A90,Строчный!$A:$A,Строчный!K:K,"ERR",0)))</f>
        <v>шерстяные</v>
      </c>
      <c r="L90" s="78" t="str">
        <f ca="1">PROPER(TRIM(_xlfn.XLOOKUP($A90,Строчный!$A:$A,Строчный!L:L,"ERR",0)))</f>
        <v>Унисекс</v>
      </c>
      <c r="M90" s="105" t="str">
        <f ca="1">PROPER(TRIM(_xlfn.XLOOKUP($A90,Строчный!$A:$A,Строчный!M:M,"ERR",0)))</f>
        <v>Россия</v>
      </c>
      <c r="N90" s="78" t="str">
        <f ca="1">UPPER(TRIM(_xlfn.XLOOKUP($A90,Строчный!$A:$A,Строчный!O:O,"ERR",0)))</f>
        <v/>
      </c>
      <c r="O90" s="99" t="str">
        <f ca="1">PROPER(TRIM(_xlfn.XLOOKUP($A90,Строчный!$A:$A,Строчный!P:P,"ERR",0)))</f>
        <v/>
      </c>
      <c r="P90" s="78" t="str">
        <f ca="1">PROPER(TRIM(_xlfn.XLOOKUP($A90,Строчный!$A:$A,Строчный!R:R,"ERR",0)))</f>
        <v/>
      </c>
      <c r="Q90" s="87">
        <f ca="1">VALUE(_xlfn.XLOOKUP($A90,Строчный!$A:$A,Строчный!N:N,"ERR",0))</f>
        <v>975.8</v>
      </c>
      <c r="R90" s="86" t="str">
        <f ca="1">_xlfn.XLOOKUP($G90,Фабрика!A:A,Фабрика!B:B,"ERR",0)</f>
        <v>ООО "ФРЭДРИКСОН" Россия 192029, С-Петербург, пр. Обуховской обороны, д.86, лит М</v>
      </c>
      <c r="S90" s="77" t="str">
        <f ca="1">_xlfn.XLOOKUP(RIGHT(AA90,2),Размеры!D:D,Размеры!A:A,"ERR",0)</f>
        <v>61</v>
      </c>
      <c r="T90" s="77">
        <f ca="1">VALUE(_xlfn.XLOOKUP($AA90,Строчный!$S:$S,Строчный!U:U,"ERR",0))</f>
        <v>3</v>
      </c>
      <c r="U90" s="14" t="s">
        <v>241</v>
      </c>
      <c r="V90" s="98" t="str">
        <f t="shared" ca="1" si="17"/>
        <v>Кепка FREDRIKSON арт. 3125-667/70 (черный / белый)</v>
      </c>
      <c r="W90" s="97" t="str">
        <f t="shared" ca="1" si="18"/>
        <v>Кепка FREDRIKSON арт. 3125-667/70 (черный / белый) {667/70}</v>
      </c>
      <c r="X90" s="18" t="str">
        <f t="shared" ca="1" si="19"/>
        <v>черный</v>
      </c>
      <c r="Y90" s="18" t="str">
        <f t="shared" ca="1" si="20"/>
        <v>белый</v>
      </c>
      <c r="Z90" s="109" t="str">
        <f ca="1">_xlfn.LET(_xlpm.FormColors,_xlfn.XLOOKUP(A90,Строчный!A:A,Строчный!Q:Q,"",0),IF(_xlpm.FormColors=0,IFERROR(MID(I90,FIND("-",I90)+1,LEN(I90)),IFERROR(MID(I90,1,FIND("/",I90)-2),I90)),_xlpm.FormColors))</f>
        <v>черный</v>
      </c>
      <c r="AA90" s="70" t="str">
        <f ca="1"/>
        <v>95-088-72-61</v>
      </c>
      <c r="AB90" s="72" t="str">
        <f ca="1">VLOOKUP(C90,Группа!A:B,2,FALSE)</f>
        <v>Кепка</v>
      </c>
      <c r="AC90" s="94" t="str">
        <f ca="1">IFERROR(VLOOKUP(S90,Размеры!A:C,3,FALSE),"")</f>
        <v>61 XL</v>
      </c>
      <c r="AD90" s="94" t="str">
        <f ca="1">VLOOKUP(I90,ЦветПолный!A:B,2,FALSE)</f>
        <v>72</v>
      </c>
      <c r="AE90" s="94" t="str">
        <f ca="1">IFERROR(VLOOKUP(S90,Размеры!A:D,4,FALSE),"")</f>
        <v>61</v>
      </c>
      <c r="AF90" s="94">
        <f ca="1">SUMIF(Группа!A:A,C90,Группа!C:C)</f>
        <v>1</v>
      </c>
      <c r="AG90" s="94">
        <f ca="1">SUMIF(Группа!B:B,AB90,Группа!C:C)</f>
        <v>1</v>
      </c>
      <c r="AH90" s="94">
        <f ca="1">SUMIF(Формы!A:A,D90,Формы!B:B)</f>
        <v>1</v>
      </c>
      <c r="AI90" s="94">
        <f ca="1">IF(IFERROR(VLOOKUP(J90,Материал!D:D,1,0),0)&gt;0,1,SUMIF(Материал!A:A,K90,Материал!B:B))</f>
        <v>1</v>
      </c>
      <c r="AJ90" s="94">
        <f ca="1">SUMIF(Размеры!A:A,S90,Размеры!E:E)</f>
        <v>1</v>
      </c>
      <c r="AK90" s="94">
        <f ca="1">SUMIF(Сезон!A:A,F90,Сезон!B:B)</f>
        <v>1</v>
      </c>
      <c r="AL90" s="94">
        <f ca="1">VLOOKUP(I90,ЦветПолный!A:C,3,0)</f>
        <v>1</v>
      </c>
      <c r="AM90" s="94">
        <f ca="1">SUMIF(Цвет!A:A,Z90,Цвет!B:B)</f>
        <v>1</v>
      </c>
      <c r="AN90" s="94">
        <f ca="1">_xlfn.XLOOKUP(L90,Пол!A:A,Пол!B:B,0,0)</f>
        <v>1</v>
      </c>
      <c r="AO90" s="94">
        <f ca="1">SUMIF(Бренд!A:A,G90,Бренд!B:B)</f>
        <v>1</v>
      </c>
      <c r="AP90" s="137">
        <f ca="1">SUMIF(Страна!A:A,M90,Страна!B:B)</f>
        <v>1</v>
      </c>
      <c r="AQ90" s="150" t="str">
        <f t="shared" ca="1" si="21"/>
        <v>Кепка FREDRIKSON арт. 3125-667/70 (черный / белый) {667/70}</v>
      </c>
      <c r="AR90" s="94">
        <f t="shared" ca="1" si="22"/>
        <v>1</v>
      </c>
      <c r="AS90" s="143">
        <f t="shared" ca="1" si="23"/>
        <v>1</v>
      </c>
      <c r="AT90" s="138" t="str">
        <f ca="1">IF(IFERROR(VLOOKUP(W90,Товары!A:B,2,FALSE),"")=A90,"Есть в 1С","ERR")</f>
        <v>ERR</v>
      </c>
      <c r="AU90" s="139" t="str">
        <f ca="1">IF(IFERROR(VLOOKUP(A90,Товары!B:B,1,FALSE),"")=A90,"Есть в 1С","ERR")</f>
        <v>ERR</v>
      </c>
      <c r="AV90" s="93" t="e">
        <f ca="1">VLOOKUP(W90,Товары!A:B,2,FALSE)</f>
        <v>#N/A</v>
      </c>
      <c r="AW90" s="91" t="e">
        <f ca="1">VLOOKUP(W90,Товары!A:B,1,FALSE)</f>
        <v>#N/A</v>
      </c>
    </row>
    <row r="91" spans="1:49" x14ac:dyDescent="0.25">
      <c r="A91" s="105" t="str">
        <f t="shared" ca="1" si="16"/>
        <v>95-088-72</v>
      </c>
      <c r="B91" s="78" t="str">
        <f ca="1">_xlfn.LET(_xlpm.CAPS,VLOOKUP(G91,Caps!A:B,2,0),_xlpm.Style,TRIM(_xlfn.XLOOKUP($A91,Строчный!$A:$A,Строчный!B:B,"ERR",0)),IF(_xlpm.CAPS=0,_xlpm.Style,UPPER(_xlpm.Style)))</f>
        <v>3125-667/70</v>
      </c>
      <c r="C91" s="78" t="str">
        <f ca="1">TRIM(PROPER(_xlfn.XLOOKUP($A91,Строчный!$A:$A,Строчный!C:C,"ERR",0)))</f>
        <v>Кепки</v>
      </c>
      <c r="D91" s="78" t="str">
        <f ca="1">_xlfn.LET(_xlpm.DATA,TRIM(_xlfn.XLOOKUP($A91,Строчный!$A:$A,Строчный!D:D,"ERR",0)),UPPER(MID(_xlpm.DATA,1,1))&amp;LOWER(MID(_xlpm.DATA,2,LEN(_xlpm.DATA)-1)))</f>
        <v>Кепка плоская</v>
      </c>
      <c r="E91" s="78" t="str">
        <f ca="1">PROPER(TRIM(_xlfn.XLOOKUP($A91,Строчный!$A:$A,Строчный!E:E,"ERR",0)))</f>
        <v>Fredrikson</v>
      </c>
      <c r="F91" s="78" t="str">
        <f ca="1">LOWER(TRIM(_xlfn.XLOOKUP($A91,Строчный!$A:$A,Строчный!F:F,"ERR",0)))</f>
        <v>всесезон</v>
      </c>
      <c r="G91" s="78" t="str">
        <f ca="1">UPPER(TRIM(_xlfn.XLOOKUP($A91,Строчный!$A:$A,Строчный!G:G,"ERR",0)))</f>
        <v>FREDRIKSON</v>
      </c>
      <c r="H91" s="78" t="str">
        <f ca="1">LOWER(TRIM(_xlfn.XLOOKUP($A91,Строчный!$A:$A,Строчный!H:H,"ERR",0)))</f>
        <v>667/70</v>
      </c>
      <c r="I91" s="78" t="str">
        <f ca="1">LOWER(TRIM(_xlfn.XLOOKUP($A91,Строчный!$A:$A,Строчный!I:I,"ERR",0)))</f>
        <v>черный / белый</v>
      </c>
      <c r="J91" s="78" t="str">
        <f ca="1">SUBSTITUTE(LOWER(TRIM(_xlfn.XLOOKUP($A91,Строчный!$A:$A,Строчный!J:J,"ERR",0))),"подклад","Подклад")</f>
        <v>80% шерсть - 20% полиамид / Подклад: 100% вискоза</v>
      </c>
      <c r="K91" s="78" t="str">
        <f ca="1">LOWER(TRIM(_xlfn.XLOOKUP($A91,Строчный!$A:$A,Строчный!K:K,"ERR",0)))</f>
        <v>шерстяные</v>
      </c>
      <c r="L91" s="78" t="str">
        <f ca="1">PROPER(TRIM(_xlfn.XLOOKUP($A91,Строчный!$A:$A,Строчный!L:L,"ERR",0)))</f>
        <v>Унисекс</v>
      </c>
      <c r="M91" s="105" t="str">
        <f ca="1">PROPER(TRIM(_xlfn.XLOOKUP($A91,Строчный!$A:$A,Строчный!M:M,"ERR",0)))</f>
        <v>Россия</v>
      </c>
      <c r="N91" s="78" t="str">
        <f ca="1">UPPER(TRIM(_xlfn.XLOOKUP($A91,Строчный!$A:$A,Строчный!O:O,"ERR",0)))</f>
        <v/>
      </c>
      <c r="O91" s="99" t="str">
        <f ca="1">PROPER(TRIM(_xlfn.XLOOKUP($A91,Строчный!$A:$A,Строчный!P:P,"ERR",0)))</f>
        <v/>
      </c>
      <c r="P91" s="78" t="str">
        <f ca="1">PROPER(TRIM(_xlfn.XLOOKUP($A91,Строчный!$A:$A,Строчный!R:R,"ERR",0)))</f>
        <v/>
      </c>
      <c r="Q91" s="87">
        <f ca="1">VALUE(_xlfn.XLOOKUP($A91,Строчный!$A:$A,Строчный!N:N,"ERR",0))</f>
        <v>975.8</v>
      </c>
      <c r="R91" s="86" t="str">
        <f ca="1">_xlfn.XLOOKUP($G91,Фабрика!A:A,Фабрика!B:B,"ERR",0)</f>
        <v>ООО "ФРЭДРИКСОН" Россия 192029, С-Петербург, пр. Обуховской обороны, д.86, лит М</v>
      </c>
      <c r="S91" s="77" t="str">
        <f ca="1">_xlfn.XLOOKUP(RIGHT(AA91,2),Размеры!D:D,Размеры!A:A,"ERR",0)</f>
        <v>60</v>
      </c>
      <c r="T91" s="77">
        <f ca="1">VALUE(_xlfn.XLOOKUP($AA91,Строчный!$S:$S,Строчный!U:U,"ERR",0))</f>
        <v>4</v>
      </c>
      <c r="U91" s="14" t="s">
        <v>241</v>
      </c>
      <c r="V91" s="98" t="str">
        <f t="shared" ca="1" si="17"/>
        <v>Кепка FREDRIKSON арт. 3125-667/70 (черный / белый)</v>
      </c>
      <c r="W91" s="97" t="str">
        <f t="shared" ca="1" si="18"/>
        <v>Кепка FREDRIKSON арт. 3125-667/70 (черный / белый) {667/70}</v>
      </c>
      <c r="X91" s="18" t="str">
        <f t="shared" ca="1" si="19"/>
        <v>черный</v>
      </c>
      <c r="Y91" s="18" t="str">
        <f t="shared" ca="1" si="20"/>
        <v>белый</v>
      </c>
      <c r="Z91" s="109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0" t="str">
        <f ca="1"/>
        <v>95-088-72-60</v>
      </c>
      <c r="AB91" s="72" t="str">
        <f ca="1">VLOOKUP(C91,Группа!A:B,2,FALSE)</f>
        <v>Кепка</v>
      </c>
      <c r="AC91" s="94" t="str">
        <f ca="1">IFERROR(VLOOKUP(S91,Размеры!A:C,3,FALSE),"")</f>
        <v>60 L/XL</v>
      </c>
      <c r="AD91" s="94" t="str">
        <f ca="1">VLOOKUP(I91,ЦветПолный!A:B,2,FALSE)</f>
        <v>72</v>
      </c>
      <c r="AE91" s="94" t="str">
        <f ca="1">IFERROR(VLOOKUP(S91,Размеры!A:D,4,FALSE),"")</f>
        <v>60</v>
      </c>
      <c r="AF91" s="94">
        <f ca="1">SUMIF(Группа!A:A,C91,Группа!C:C)</f>
        <v>1</v>
      </c>
      <c r="AG91" s="94">
        <f ca="1">SUMIF(Группа!B:B,AB91,Группа!C:C)</f>
        <v>1</v>
      </c>
      <c r="AH91" s="94">
        <f ca="1">SUMIF(Формы!A:A,D91,Формы!B:B)</f>
        <v>1</v>
      </c>
      <c r="AI91" s="94">
        <f ca="1">IF(IFERROR(VLOOKUP(J91,Материал!D:D,1,0),0)&gt;0,1,SUMIF(Материал!A:A,K91,Материал!B:B))</f>
        <v>1</v>
      </c>
      <c r="AJ91" s="94">
        <f ca="1">SUMIF(Размеры!A:A,S91,Размеры!E:E)</f>
        <v>1</v>
      </c>
      <c r="AK91" s="94">
        <f ca="1">SUMIF(Сезон!A:A,F91,Сезон!B:B)</f>
        <v>1</v>
      </c>
      <c r="AL91" s="94">
        <f ca="1">VLOOKUP(I91,ЦветПолный!A:C,3,0)</f>
        <v>1</v>
      </c>
      <c r="AM91" s="94">
        <f ca="1">SUMIF(Цвет!A:A,Z91,Цвет!B:B)</f>
        <v>1</v>
      </c>
      <c r="AN91" s="94">
        <f ca="1">_xlfn.XLOOKUP(L91,Пол!A:A,Пол!B:B,0,0)</f>
        <v>1</v>
      </c>
      <c r="AO91" s="94">
        <f ca="1">SUMIF(Бренд!A:A,G91,Бренд!B:B)</f>
        <v>1</v>
      </c>
      <c r="AP91" s="137">
        <f ca="1">SUMIF(Страна!A:A,M91,Страна!B:B)</f>
        <v>1</v>
      </c>
      <c r="AQ91" s="150" t="str">
        <f t="shared" ca="1" si="21"/>
        <v>Кепка FREDRIKSON арт. 3125-667/70 (черный / белый) {667/70}</v>
      </c>
      <c r="AR91" s="94">
        <f t="shared" ca="1" si="22"/>
        <v>1</v>
      </c>
      <c r="AS91" s="143">
        <f t="shared" ca="1" si="23"/>
        <v>1</v>
      </c>
      <c r="AT91" s="138" t="str">
        <f ca="1">IF(IFERROR(VLOOKUP(W91,Товары!A:B,2,FALSE),"")=A91,"Есть в 1С","ERR")</f>
        <v>ERR</v>
      </c>
      <c r="AU91" s="139" t="str">
        <f ca="1">IF(IFERROR(VLOOKUP(A91,Товары!B:B,1,FALSE),"")=A91,"Есть в 1С","ERR")</f>
        <v>ERR</v>
      </c>
      <c r="AV91" s="93" t="e">
        <f ca="1">VLOOKUP(W91,Товары!A:B,2,FALSE)</f>
        <v>#N/A</v>
      </c>
      <c r="AW91" s="91" t="e">
        <f ca="1">VLOOKUP(W91,Товары!A:B,1,FALSE)</f>
        <v>#N/A</v>
      </c>
    </row>
    <row r="92" spans="1:49" x14ac:dyDescent="0.25">
      <c r="A92" s="105" t="str">
        <f t="shared" ca="1" si="16"/>
        <v>95-088-72</v>
      </c>
      <c r="B92" s="78" t="str">
        <f ca="1">_xlfn.LET(_xlpm.CAPS,VLOOKUP(G92,Caps!A:B,2,0),_xlpm.Style,TRIM(_xlfn.XLOOKUP($A92,Строчный!$A:$A,Строчный!B:B,"ERR",0)),IF(_xlpm.CAPS=0,_xlpm.Style,UPPER(_xlpm.Style)))</f>
        <v>3125-667/70</v>
      </c>
      <c r="C92" s="78" t="str">
        <f ca="1">TRIM(PROPER(_xlfn.XLOOKUP($A92,Строчный!$A:$A,Строчный!C:C,"ERR",0)))</f>
        <v>Кепки</v>
      </c>
      <c r="D92" s="78" t="str">
        <f ca="1">_xlfn.LET(_xlpm.DATA,TRIM(_xlfn.XLOOKUP($A92,Строчный!$A:$A,Строчный!D:D,"ERR",0)),UPPER(MID(_xlpm.DATA,1,1))&amp;LOWER(MID(_xlpm.DATA,2,LEN(_xlpm.DATA)-1)))</f>
        <v>Кепка плоская</v>
      </c>
      <c r="E92" s="78" t="str">
        <f ca="1">PROPER(TRIM(_xlfn.XLOOKUP($A92,Строчный!$A:$A,Строчный!E:E,"ERR",0)))</f>
        <v>Fredrikson</v>
      </c>
      <c r="F92" s="78" t="str">
        <f ca="1">LOWER(TRIM(_xlfn.XLOOKUP($A92,Строчный!$A:$A,Строчный!F:F,"ERR",0)))</f>
        <v>всесезон</v>
      </c>
      <c r="G92" s="78" t="str">
        <f ca="1">UPPER(TRIM(_xlfn.XLOOKUP($A92,Строчный!$A:$A,Строчный!G:G,"ERR",0)))</f>
        <v>FREDRIKSON</v>
      </c>
      <c r="H92" s="78" t="str">
        <f ca="1">LOWER(TRIM(_xlfn.XLOOKUP($A92,Строчный!$A:$A,Строчный!H:H,"ERR",0)))</f>
        <v>667/70</v>
      </c>
      <c r="I92" s="78" t="str">
        <f ca="1">LOWER(TRIM(_xlfn.XLOOKUP($A92,Строчный!$A:$A,Строчный!I:I,"ERR",0)))</f>
        <v>черный / белый</v>
      </c>
      <c r="J92" s="78" t="str">
        <f ca="1">SUBSTITUTE(LOWER(TRIM(_xlfn.XLOOKUP($A92,Строчный!$A:$A,Строчный!J:J,"ERR",0))),"подклад","Подклад")</f>
        <v>80% шерсть - 20% полиамид / Подклад: 100% вискоза</v>
      </c>
      <c r="K92" s="78" t="str">
        <f ca="1">LOWER(TRIM(_xlfn.XLOOKUP($A92,Строчный!$A:$A,Строчный!K:K,"ERR",0)))</f>
        <v>шерстяные</v>
      </c>
      <c r="L92" s="78" t="str">
        <f ca="1">PROPER(TRIM(_xlfn.XLOOKUP($A92,Строчный!$A:$A,Строчный!L:L,"ERR",0)))</f>
        <v>Унисекс</v>
      </c>
      <c r="M92" s="105" t="str">
        <f ca="1">PROPER(TRIM(_xlfn.XLOOKUP($A92,Строчный!$A:$A,Строчный!M:M,"ERR",0)))</f>
        <v>Россия</v>
      </c>
      <c r="N92" s="78" t="str">
        <f ca="1">UPPER(TRIM(_xlfn.XLOOKUP($A92,Строчный!$A:$A,Строчный!O:O,"ERR",0)))</f>
        <v/>
      </c>
      <c r="O92" s="99" t="str">
        <f ca="1">PROPER(TRIM(_xlfn.XLOOKUP($A92,Строчный!$A:$A,Строчный!P:P,"ERR",0)))</f>
        <v/>
      </c>
      <c r="P92" s="78" t="str">
        <f ca="1">PROPER(TRIM(_xlfn.XLOOKUP($A92,Строчный!$A:$A,Строчный!R:R,"ERR",0)))</f>
        <v/>
      </c>
      <c r="Q92" s="87">
        <f ca="1">VALUE(_xlfn.XLOOKUP($A92,Строчный!$A:$A,Строчный!N:N,"ERR",0))</f>
        <v>975.8</v>
      </c>
      <c r="R92" s="86" t="str">
        <f ca="1">_xlfn.XLOOKUP($G92,Фабрика!A:A,Фабрика!B:B,"ERR",0)</f>
        <v>ООО "ФРЭДРИКСОН" Россия 192029, С-Петербург, пр. Обуховской обороны, д.86, лит М</v>
      </c>
      <c r="S92" s="77" t="str">
        <f ca="1">_xlfn.XLOOKUP(RIGHT(AA92,2),Размеры!D:D,Размеры!A:A,"ERR",0)</f>
        <v>59</v>
      </c>
      <c r="T92" s="77">
        <f ca="1">VALUE(_xlfn.XLOOKUP($AA92,Строчный!$S:$S,Строчный!U:U,"ERR",0))</f>
        <v>6</v>
      </c>
      <c r="U92" s="14" t="s">
        <v>241</v>
      </c>
      <c r="V92" s="98" t="str">
        <f t="shared" ca="1" si="17"/>
        <v>Кепка FREDRIKSON арт. 3125-667/70 (черный / белый)</v>
      </c>
      <c r="W92" s="97" t="str">
        <f t="shared" ca="1" si="18"/>
        <v>Кепка FREDRIKSON арт. 3125-667/70 (черный / белый) {667/70}</v>
      </c>
      <c r="X92" s="18" t="str">
        <f t="shared" ca="1" si="19"/>
        <v>черный</v>
      </c>
      <c r="Y92" s="18" t="str">
        <f t="shared" ca="1" si="20"/>
        <v>белый</v>
      </c>
      <c r="Z92" s="109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0" t="str">
        <f ca="1"/>
        <v>95-088-72-59</v>
      </c>
      <c r="AB92" s="72" t="str">
        <f ca="1">VLOOKUP(C92,Группа!A:B,2,FALSE)</f>
        <v>Кепка</v>
      </c>
      <c r="AC92" s="94" t="str">
        <f ca="1">IFERROR(VLOOKUP(S92,Размеры!A:C,3,FALSE),"")</f>
        <v>59 L</v>
      </c>
      <c r="AD92" s="94" t="str">
        <f ca="1">VLOOKUP(I92,ЦветПолный!A:B,2,FALSE)</f>
        <v>72</v>
      </c>
      <c r="AE92" s="94" t="str">
        <f ca="1">IFERROR(VLOOKUP(S92,Размеры!A:D,4,FALSE),"")</f>
        <v>59</v>
      </c>
      <c r="AF92" s="94">
        <f ca="1">SUMIF(Группа!A:A,C92,Группа!C:C)</f>
        <v>1</v>
      </c>
      <c r="AG92" s="94">
        <f ca="1">SUMIF(Группа!B:B,AB92,Группа!C:C)</f>
        <v>1</v>
      </c>
      <c r="AH92" s="94">
        <f ca="1">SUMIF(Формы!A:A,D92,Формы!B:B)</f>
        <v>1</v>
      </c>
      <c r="AI92" s="94">
        <f ca="1">IF(IFERROR(VLOOKUP(J92,Материал!D:D,1,0),0)&gt;0,1,SUMIF(Материал!A:A,K92,Материал!B:B))</f>
        <v>1</v>
      </c>
      <c r="AJ92" s="94">
        <f ca="1">SUMIF(Размеры!A:A,S92,Размеры!E:E)</f>
        <v>1</v>
      </c>
      <c r="AK92" s="94">
        <f ca="1">SUMIF(Сезон!A:A,F92,Сезон!B:B)</f>
        <v>1</v>
      </c>
      <c r="AL92" s="94">
        <f ca="1">VLOOKUP(I92,ЦветПолный!A:C,3,0)</f>
        <v>1</v>
      </c>
      <c r="AM92" s="94">
        <f ca="1">SUMIF(Цвет!A:A,Z92,Цвет!B:B)</f>
        <v>1</v>
      </c>
      <c r="AN92" s="94">
        <f ca="1">_xlfn.XLOOKUP(L92,Пол!A:A,Пол!B:B,0,0)</f>
        <v>1</v>
      </c>
      <c r="AO92" s="94">
        <f ca="1">SUMIF(Бренд!A:A,G92,Бренд!B:B)</f>
        <v>1</v>
      </c>
      <c r="AP92" s="137">
        <f ca="1">SUMIF(Страна!A:A,M92,Страна!B:B)</f>
        <v>1</v>
      </c>
      <c r="AQ92" s="150" t="str">
        <f t="shared" ca="1" si="21"/>
        <v>Кепка FREDRIKSON арт. 3125-667/70 (черный / белый) {667/70}</v>
      </c>
      <c r="AR92" s="94">
        <f t="shared" ca="1" si="22"/>
        <v>1</v>
      </c>
      <c r="AS92" s="143">
        <f t="shared" ca="1" si="23"/>
        <v>1</v>
      </c>
      <c r="AT92" s="138" t="str">
        <f ca="1">IF(IFERROR(VLOOKUP(W92,Товары!A:B,2,FALSE),"")=A92,"Есть в 1С","ERR")</f>
        <v>ERR</v>
      </c>
      <c r="AU92" s="139" t="str">
        <f ca="1">IF(IFERROR(VLOOKUP(A92,Товары!B:B,1,FALSE),"")=A92,"Есть в 1С","ERR")</f>
        <v>ERR</v>
      </c>
      <c r="AV92" s="93" t="e">
        <f ca="1">VLOOKUP(W92,Товары!A:B,2,FALSE)</f>
        <v>#N/A</v>
      </c>
      <c r="AW92" s="91" t="e">
        <f ca="1">VLOOKUP(W92,Товары!A:B,1,FALSE)</f>
        <v>#N/A</v>
      </c>
    </row>
    <row r="93" spans="1:49" x14ac:dyDescent="0.25">
      <c r="A93" s="105" t="str">
        <f t="shared" ca="1" si="16"/>
        <v>95-088-72</v>
      </c>
      <c r="B93" s="78" t="str">
        <f ca="1">_xlfn.LET(_xlpm.CAPS,VLOOKUP(G93,Caps!A:B,2,0),_xlpm.Style,TRIM(_xlfn.XLOOKUP($A93,Строчный!$A:$A,Строчный!B:B,"ERR",0)),IF(_xlpm.CAPS=0,_xlpm.Style,UPPER(_xlpm.Style)))</f>
        <v>3125-667/70</v>
      </c>
      <c r="C93" s="78" t="str">
        <f ca="1">TRIM(PROPER(_xlfn.XLOOKUP($A93,Строчный!$A:$A,Строчный!C:C,"ERR",0)))</f>
        <v>Кепки</v>
      </c>
      <c r="D93" s="78" t="str">
        <f ca="1">_xlfn.LET(_xlpm.DATA,TRIM(_xlfn.XLOOKUP($A93,Строчный!$A:$A,Строчный!D:D,"ERR",0)),UPPER(MID(_xlpm.DATA,1,1))&amp;LOWER(MID(_xlpm.DATA,2,LEN(_xlpm.DATA)-1)))</f>
        <v>Кепка плоская</v>
      </c>
      <c r="E93" s="78" t="str">
        <f ca="1">PROPER(TRIM(_xlfn.XLOOKUP($A93,Строчный!$A:$A,Строчный!E:E,"ERR",0)))</f>
        <v>Fredrikson</v>
      </c>
      <c r="F93" s="78" t="str">
        <f ca="1">LOWER(TRIM(_xlfn.XLOOKUP($A93,Строчный!$A:$A,Строчный!F:F,"ERR",0)))</f>
        <v>всесезон</v>
      </c>
      <c r="G93" s="78" t="str">
        <f ca="1">UPPER(TRIM(_xlfn.XLOOKUP($A93,Строчный!$A:$A,Строчный!G:G,"ERR",0)))</f>
        <v>FREDRIKSON</v>
      </c>
      <c r="H93" s="78" t="str">
        <f ca="1">LOWER(TRIM(_xlfn.XLOOKUP($A93,Строчный!$A:$A,Строчный!H:H,"ERR",0)))</f>
        <v>667/70</v>
      </c>
      <c r="I93" s="78" t="str">
        <f ca="1">LOWER(TRIM(_xlfn.XLOOKUP($A93,Строчный!$A:$A,Строчный!I:I,"ERR",0)))</f>
        <v>черный / белый</v>
      </c>
      <c r="J93" s="78" t="str">
        <f ca="1">SUBSTITUTE(LOWER(TRIM(_xlfn.XLOOKUP($A93,Строчный!$A:$A,Строчный!J:J,"ERR",0))),"подклад","Подклад")</f>
        <v>80% шерсть - 20% полиамид / Подклад: 100% вискоза</v>
      </c>
      <c r="K93" s="78" t="str">
        <f ca="1">LOWER(TRIM(_xlfn.XLOOKUP($A93,Строчный!$A:$A,Строчный!K:K,"ERR",0)))</f>
        <v>шерстяные</v>
      </c>
      <c r="L93" s="78" t="str">
        <f ca="1">PROPER(TRIM(_xlfn.XLOOKUP($A93,Строчный!$A:$A,Строчный!L:L,"ERR",0)))</f>
        <v>Унисекс</v>
      </c>
      <c r="M93" s="105" t="str">
        <f ca="1">PROPER(TRIM(_xlfn.XLOOKUP($A93,Строчный!$A:$A,Строчный!M:M,"ERR",0)))</f>
        <v>Россия</v>
      </c>
      <c r="N93" s="78" t="str">
        <f ca="1">UPPER(TRIM(_xlfn.XLOOKUP($A93,Строчный!$A:$A,Строчный!O:O,"ERR",0)))</f>
        <v/>
      </c>
      <c r="O93" s="99" t="str">
        <f ca="1">PROPER(TRIM(_xlfn.XLOOKUP($A93,Строчный!$A:$A,Строчный!P:P,"ERR",0)))</f>
        <v/>
      </c>
      <c r="P93" s="78" t="str">
        <f ca="1">PROPER(TRIM(_xlfn.XLOOKUP($A93,Строчный!$A:$A,Строчный!R:R,"ERR",0)))</f>
        <v/>
      </c>
      <c r="Q93" s="87">
        <f ca="1">VALUE(_xlfn.XLOOKUP($A93,Строчный!$A:$A,Строчный!N:N,"ERR",0))</f>
        <v>975.8</v>
      </c>
      <c r="R93" s="86" t="str">
        <f ca="1">_xlfn.XLOOKUP($G93,Фабрика!A:A,Фабрика!B:B,"ERR",0)</f>
        <v>ООО "ФРЭДРИКСОН" Россия 192029, С-Петербург, пр. Обуховской обороны, д.86, лит М</v>
      </c>
      <c r="S93" s="77" t="str">
        <f ca="1">_xlfn.XLOOKUP(RIGHT(AA93,2),Размеры!D:D,Размеры!A:A,"ERR",0)</f>
        <v>58</v>
      </c>
      <c r="T93" s="77">
        <f ca="1">VALUE(_xlfn.XLOOKUP($AA93,Строчный!$S:$S,Строчный!U:U,"ERR",0))</f>
        <v>4</v>
      </c>
      <c r="U93" s="14" t="s">
        <v>241</v>
      </c>
      <c r="V93" s="98" t="str">
        <f t="shared" ca="1" si="17"/>
        <v>Кепка FREDRIKSON арт. 3125-667/70 (черный / белый)</v>
      </c>
      <c r="W93" s="97" t="str">
        <f t="shared" ca="1" si="18"/>
        <v>Кепка FREDRIKSON арт. 3125-667/70 (черный / белый) {667/70}</v>
      </c>
      <c r="X93" s="18" t="str">
        <f t="shared" ca="1" si="19"/>
        <v>черный</v>
      </c>
      <c r="Y93" s="18" t="str">
        <f t="shared" ca="1" si="20"/>
        <v>белый</v>
      </c>
      <c r="Z93" s="109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0" t="str">
        <f ca="1"/>
        <v>95-088-72-58</v>
      </c>
      <c r="AB93" s="72" t="str">
        <f ca="1">VLOOKUP(C93,Группа!A:B,2,FALSE)</f>
        <v>Кепка</v>
      </c>
      <c r="AC93" s="94" t="str">
        <f ca="1">IFERROR(VLOOKUP(S93,Размеры!A:C,3,FALSE),"")</f>
        <v>58 M/L</v>
      </c>
      <c r="AD93" s="94" t="str">
        <f ca="1">VLOOKUP(I93,ЦветПолный!A:B,2,FALSE)</f>
        <v>72</v>
      </c>
      <c r="AE93" s="94" t="str">
        <f ca="1">IFERROR(VLOOKUP(S93,Размеры!A:D,4,FALSE),"")</f>
        <v>58</v>
      </c>
      <c r="AF93" s="94">
        <f ca="1">SUMIF(Группа!A:A,C93,Группа!C:C)</f>
        <v>1</v>
      </c>
      <c r="AG93" s="94">
        <f ca="1">SUMIF(Группа!B:B,AB93,Группа!C:C)</f>
        <v>1</v>
      </c>
      <c r="AH93" s="94">
        <f ca="1">SUMIF(Формы!A:A,D93,Формы!B:B)</f>
        <v>1</v>
      </c>
      <c r="AI93" s="94">
        <f ca="1">IF(IFERROR(VLOOKUP(J93,Материал!D:D,1,0),0)&gt;0,1,SUMIF(Материал!A:A,K93,Материал!B:B))</f>
        <v>1</v>
      </c>
      <c r="AJ93" s="94">
        <f ca="1">SUMIF(Размеры!A:A,S93,Размеры!E:E)</f>
        <v>1</v>
      </c>
      <c r="AK93" s="94">
        <f ca="1">SUMIF(Сезон!A:A,F93,Сезон!B:B)</f>
        <v>1</v>
      </c>
      <c r="AL93" s="94">
        <f ca="1">VLOOKUP(I93,ЦветПолный!A:C,3,0)</f>
        <v>1</v>
      </c>
      <c r="AM93" s="94">
        <f ca="1">SUMIF(Цвет!A:A,Z93,Цвет!B:B)</f>
        <v>1</v>
      </c>
      <c r="AN93" s="94">
        <f ca="1">_xlfn.XLOOKUP(L93,Пол!A:A,Пол!B:B,0,0)</f>
        <v>1</v>
      </c>
      <c r="AO93" s="94">
        <f ca="1">SUMIF(Бренд!A:A,G93,Бренд!B:B)</f>
        <v>1</v>
      </c>
      <c r="AP93" s="137">
        <f ca="1">SUMIF(Страна!A:A,M93,Страна!B:B)</f>
        <v>1</v>
      </c>
      <c r="AQ93" s="150" t="str">
        <f t="shared" ca="1" si="21"/>
        <v>Кепка FREDRIKSON арт. 3125-667/70 (черный / белый) {667/70}</v>
      </c>
      <c r="AR93" s="94">
        <f t="shared" ca="1" si="22"/>
        <v>1</v>
      </c>
      <c r="AS93" s="143">
        <f t="shared" ca="1" si="23"/>
        <v>1</v>
      </c>
      <c r="AT93" s="138" t="str">
        <f ca="1">IF(IFERROR(VLOOKUP(W93,Товары!A:B,2,FALSE),"")=A93,"Есть в 1С","ERR")</f>
        <v>ERR</v>
      </c>
      <c r="AU93" s="139" t="str">
        <f ca="1">IF(IFERROR(VLOOKUP(A93,Товары!B:B,1,FALSE),"")=A93,"Есть в 1С","ERR")</f>
        <v>ERR</v>
      </c>
      <c r="AV93" s="93" t="e">
        <f ca="1">VLOOKUP(W93,Товары!A:B,2,FALSE)</f>
        <v>#N/A</v>
      </c>
      <c r="AW93" s="91" t="e">
        <f ca="1">VLOOKUP(W93,Товары!A:B,1,FALSE)</f>
        <v>#N/A</v>
      </c>
    </row>
    <row r="94" spans="1:49" x14ac:dyDescent="0.25">
      <c r="A94" s="105" t="str">
        <f t="shared" ca="1" si="16"/>
        <v>95-088-72</v>
      </c>
      <c r="B94" s="78" t="str">
        <f ca="1">_xlfn.LET(_xlpm.CAPS,VLOOKUP(G94,Caps!A:B,2,0),_xlpm.Style,TRIM(_xlfn.XLOOKUP($A94,Строчный!$A:$A,Строчный!B:B,"ERR",0)),IF(_xlpm.CAPS=0,_xlpm.Style,UPPER(_xlpm.Style)))</f>
        <v>3125-667/70</v>
      </c>
      <c r="C94" s="78" t="str">
        <f ca="1">TRIM(PROPER(_xlfn.XLOOKUP($A94,Строчный!$A:$A,Строчный!C:C,"ERR",0)))</f>
        <v>Кепки</v>
      </c>
      <c r="D94" s="78" t="str">
        <f ca="1">_xlfn.LET(_xlpm.DATA,TRIM(_xlfn.XLOOKUP($A94,Строчный!$A:$A,Строчный!D:D,"ERR",0)),UPPER(MID(_xlpm.DATA,1,1))&amp;LOWER(MID(_xlpm.DATA,2,LEN(_xlpm.DATA)-1)))</f>
        <v>Кепка плоская</v>
      </c>
      <c r="E94" s="78" t="str">
        <f ca="1">PROPER(TRIM(_xlfn.XLOOKUP($A94,Строчный!$A:$A,Строчный!E:E,"ERR",0)))</f>
        <v>Fredrikson</v>
      </c>
      <c r="F94" s="78" t="str">
        <f ca="1">LOWER(TRIM(_xlfn.XLOOKUP($A94,Строчный!$A:$A,Строчный!F:F,"ERR",0)))</f>
        <v>всесезон</v>
      </c>
      <c r="G94" s="78" t="str">
        <f ca="1">UPPER(TRIM(_xlfn.XLOOKUP($A94,Строчный!$A:$A,Строчный!G:G,"ERR",0)))</f>
        <v>FREDRIKSON</v>
      </c>
      <c r="H94" s="78" t="str">
        <f ca="1">LOWER(TRIM(_xlfn.XLOOKUP($A94,Строчный!$A:$A,Строчный!H:H,"ERR",0)))</f>
        <v>667/70</v>
      </c>
      <c r="I94" s="78" t="str">
        <f ca="1">LOWER(TRIM(_xlfn.XLOOKUP($A94,Строчный!$A:$A,Строчный!I:I,"ERR",0)))</f>
        <v>черный / белый</v>
      </c>
      <c r="J94" s="78" t="str">
        <f ca="1">SUBSTITUTE(LOWER(TRIM(_xlfn.XLOOKUP($A94,Строчный!$A:$A,Строчный!J:J,"ERR",0))),"подклад","Подклад")</f>
        <v>80% шерсть - 20% полиамид / Подклад: 100% вискоза</v>
      </c>
      <c r="K94" s="78" t="str">
        <f ca="1">LOWER(TRIM(_xlfn.XLOOKUP($A94,Строчный!$A:$A,Строчный!K:K,"ERR",0)))</f>
        <v>шерстяные</v>
      </c>
      <c r="L94" s="78" t="str">
        <f ca="1">PROPER(TRIM(_xlfn.XLOOKUP($A94,Строчный!$A:$A,Строчный!L:L,"ERR",0)))</f>
        <v>Унисекс</v>
      </c>
      <c r="M94" s="105" t="str">
        <f ca="1">PROPER(TRIM(_xlfn.XLOOKUP($A94,Строчный!$A:$A,Строчный!M:M,"ERR",0)))</f>
        <v>Россия</v>
      </c>
      <c r="N94" s="78" t="str">
        <f ca="1">UPPER(TRIM(_xlfn.XLOOKUP($A94,Строчный!$A:$A,Строчный!O:O,"ERR",0)))</f>
        <v/>
      </c>
      <c r="O94" s="99" t="str">
        <f ca="1">PROPER(TRIM(_xlfn.XLOOKUP($A94,Строчный!$A:$A,Строчный!P:P,"ERR",0)))</f>
        <v/>
      </c>
      <c r="P94" s="78" t="str">
        <f ca="1">PROPER(TRIM(_xlfn.XLOOKUP($A94,Строчный!$A:$A,Строчный!R:R,"ERR",0)))</f>
        <v/>
      </c>
      <c r="Q94" s="87">
        <f ca="1">VALUE(_xlfn.XLOOKUP($A94,Строчный!$A:$A,Строчный!N:N,"ERR",0))</f>
        <v>975.8</v>
      </c>
      <c r="R94" s="86" t="str">
        <f ca="1">_xlfn.XLOOKUP($G94,Фабрика!A:A,Фабрика!B:B,"ERR",0)</f>
        <v>ООО "ФРЭДРИКСОН" Россия 192029, С-Петербург, пр. Обуховской обороны, д.86, лит М</v>
      </c>
      <c r="S94" s="77" t="str">
        <f ca="1">_xlfn.XLOOKUP(RIGHT(AA94,2),Размеры!D:D,Размеры!A:A,"ERR",0)</f>
        <v>57</v>
      </c>
      <c r="T94" s="77">
        <f ca="1">VALUE(_xlfn.XLOOKUP($AA94,Строчный!$S:$S,Строчный!U:U,"ERR",0))</f>
        <v>3</v>
      </c>
      <c r="U94" s="14" t="s">
        <v>241</v>
      </c>
      <c r="V94" s="98" t="str">
        <f t="shared" ca="1" si="17"/>
        <v>Кепка FREDRIKSON арт. 3125-667/70 (черный / белый)</v>
      </c>
      <c r="W94" s="97" t="str">
        <f t="shared" ca="1" si="18"/>
        <v>Кепка FREDRIKSON арт. 3125-667/70 (черный / белый) {667/70}</v>
      </c>
      <c r="X94" s="18" t="str">
        <f t="shared" ca="1" si="19"/>
        <v>черный</v>
      </c>
      <c r="Y94" s="18" t="str">
        <f t="shared" ca="1" si="20"/>
        <v>белый</v>
      </c>
      <c r="Z94" s="109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0" t="str">
        <f ca="1"/>
        <v>95-088-72-57</v>
      </c>
      <c r="AB94" s="72" t="str">
        <f ca="1">VLOOKUP(C94,Группа!A:B,2,FALSE)</f>
        <v>Кепка</v>
      </c>
      <c r="AC94" s="94" t="str">
        <f ca="1">IFERROR(VLOOKUP(S94,Размеры!A:C,3,FALSE),"")</f>
        <v>57 M</v>
      </c>
      <c r="AD94" s="94" t="str">
        <f ca="1">VLOOKUP(I94,ЦветПолный!A:B,2,FALSE)</f>
        <v>72</v>
      </c>
      <c r="AE94" s="94" t="str">
        <f ca="1">IFERROR(VLOOKUP(S94,Размеры!A:D,4,FALSE),"")</f>
        <v>57</v>
      </c>
      <c r="AF94" s="94">
        <f ca="1">SUMIF(Группа!A:A,C94,Группа!C:C)</f>
        <v>1</v>
      </c>
      <c r="AG94" s="94">
        <f ca="1">SUMIF(Группа!B:B,AB94,Группа!C:C)</f>
        <v>1</v>
      </c>
      <c r="AH94" s="94">
        <f ca="1">SUMIF(Формы!A:A,D94,Формы!B:B)</f>
        <v>1</v>
      </c>
      <c r="AI94" s="94">
        <f ca="1">IF(IFERROR(VLOOKUP(J94,Материал!D:D,1,0),0)&gt;0,1,SUMIF(Материал!A:A,K94,Материал!B:B))</f>
        <v>1</v>
      </c>
      <c r="AJ94" s="94">
        <f ca="1">SUMIF(Размеры!A:A,S94,Размеры!E:E)</f>
        <v>1</v>
      </c>
      <c r="AK94" s="94">
        <f ca="1">SUMIF(Сезон!A:A,F94,Сезон!B:B)</f>
        <v>1</v>
      </c>
      <c r="AL94" s="94">
        <f ca="1">VLOOKUP(I94,ЦветПолный!A:C,3,0)</f>
        <v>1</v>
      </c>
      <c r="AM94" s="94">
        <f ca="1">SUMIF(Цвет!A:A,Z94,Цвет!B:B)</f>
        <v>1</v>
      </c>
      <c r="AN94" s="94">
        <f ca="1">_xlfn.XLOOKUP(L94,Пол!A:A,Пол!B:B,0,0)</f>
        <v>1</v>
      </c>
      <c r="AO94" s="94">
        <f ca="1">SUMIF(Бренд!A:A,G94,Бренд!B:B)</f>
        <v>1</v>
      </c>
      <c r="AP94" s="137">
        <f ca="1">SUMIF(Страна!A:A,M94,Страна!B:B)</f>
        <v>1</v>
      </c>
      <c r="AQ94" s="150" t="str">
        <f t="shared" ca="1" si="21"/>
        <v>Кепка FREDRIKSON арт. 3125-667/70 (черный / белый) {667/70}</v>
      </c>
      <c r="AR94" s="94">
        <f t="shared" ca="1" si="22"/>
        <v>1</v>
      </c>
      <c r="AS94" s="143">
        <f t="shared" ca="1" si="23"/>
        <v>1</v>
      </c>
      <c r="AT94" s="138" t="str">
        <f ca="1">IF(IFERROR(VLOOKUP(W94,Товары!A:B,2,FALSE),"")=A94,"Есть в 1С","ERR")</f>
        <v>ERR</v>
      </c>
      <c r="AU94" s="139" t="str">
        <f ca="1">IF(IFERROR(VLOOKUP(A94,Товары!B:B,1,FALSE),"")=A94,"Есть в 1С","ERR")</f>
        <v>ERR</v>
      </c>
      <c r="AV94" s="93" t="e">
        <f ca="1">VLOOKUP(W94,Товары!A:B,2,FALSE)</f>
        <v>#N/A</v>
      </c>
      <c r="AW94" s="91" t="e">
        <f ca="1">VLOOKUP(W94,Товары!A:B,1,FALSE)</f>
        <v>#N/A</v>
      </c>
    </row>
    <row r="95" spans="1:49" x14ac:dyDescent="0.25">
      <c r="A95" s="105" t="str">
        <f t="shared" ca="1" si="16"/>
        <v>95-088-72</v>
      </c>
      <c r="B95" s="78" t="str">
        <f ca="1">_xlfn.LET(_xlpm.CAPS,VLOOKUP(G95,Caps!A:B,2,0),_xlpm.Style,TRIM(_xlfn.XLOOKUP($A95,Строчный!$A:$A,Строчный!B:B,"ERR",0)),IF(_xlpm.CAPS=0,_xlpm.Style,UPPER(_xlpm.Style)))</f>
        <v>3125-667/70</v>
      </c>
      <c r="C95" s="78" t="str">
        <f ca="1">TRIM(PROPER(_xlfn.XLOOKUP($A95,Строчный!$A:$A,Строчный!C:C,"ERR",0)))</f>
        <v>Кепки</v>
      </c>
      <c r="D95" s="78" t="str">
        <f ca="1">_xlfn.LET(_xlpm.DATA,TRIM(_xlfn.XLOOKUP($A95,Строчный!$A:$A,Строчный!D:D,"ERR",0)),UPPER(MID(_xlpm.DATA,1,1))&amp;LOWER(MID(_xlpm.DATA,2,LEN(_xlpm.DATA)-1)))</f>
        <v>Кепка плоская</v>
      </c>
      <c r="E95" s="78" t="str">
        <f ca="1">PROPER(TRIM(_xlfn.XLOOKUP($A95,Строчный!$A:$A,Строчный!E:E,"ERR",0)))</f>
        <v>Fredrikson</v>
      </c>
      <c r="F95" s="78" t="str">
        <f ca="1">LOWER(TRIM(_xlfn.XLOOKUP($A95,Строчный!$A:$A,Строчный!F:F,"ERR",0)))</f>
        <v>всесезон</v>
      </c>
      <c r="G95" s="78" t="str">
        <f ca="1">UPPER(TRIM(_xlfn.XLOOKUP($A95,Строчный!$A:$A,Строчный!G:G,"ERR",0)))</f>
        <v>FREDRIKSON</v>
      </c>
      <c r="H95" s="78" t="str">
        <f ca="1">LOWER(TRIM(_xlfn.XLOOKUP($A95,Строчный!$A:$A,Строчный!H:H,"ERR",0)))</f>
        <v>667/70</v>
      </c>
      <c r="I95" s="78" t="str">
        <f ca="1">LOWER(TRIM(_xlfn.XLOOKUP($A95,Строчный!$A:$A,Строчный!I:I,"ERR",0)))</f>
        <v>черный / белый</v>
      </c>
      <c r="J95" s="78" t="str">
        <f ca="1">SUBSTITUTE(LOWER(TRIM(_xlfn.XLOOKUP($A95,Строчный!$A:$A,Строчный!J:J,"ERR",0))),"подклад","Подклад")</f>
        <v>80% шерсть - 20% полиамид / Подклад: 100% вискоза</v>
      </c>
      <c r="K95" s="78" t="str">
        <f ca="1">LOWER(TRIM(_xlfn.XLOOKUP($A95,Строчный!$A:$A,Строчный!K:K,"ERR",0)))</f>
        <v>шерстяные</v>
      </c>
      <c r="L95" s="78" t="str">
        <f ca="1">PROPER(TRIM(_xlfn.XLOOKUP($A95,Строчный!$A:$A,Строчный!L:L,"ERR",0)))</f>
        <v>Унисекс</v>
      </c>
      <c r="M95" s="105" t="str">
        <f ca="1">PROPER(TRIM(_xlfn.XLOOKUP($A95,Строчный!$A:$A,Строчный!M:M,"ERR",0)))</f>
        <v>Россия</v>
      </c>
      <c r="N95" s="78" t="str">
        <f ca="1">UPPER(TRIM(_xlfn.XLOOKUP($A95,Строчный!$A:$A,Строчный!O:O,"ERR",0)))</f>
        <v/>
      </c>
      <c r="O95" s="99" t="str">
        <f ca="1">PROPER(TRIM(_xlfn.XLOOKUP($A95,Строчный!$A:$A,Строчный!P:P,"ERR",0)))</f>
        <v/>
      </c>
      <c r="P95" s="78" t="str">
        <f ca="1">PROPER(TRIM(_xlfn.XLOOKUP($A95,Строчный!$A:$A,Строчный!R:R,"ERR",0)))</f>
        <v/>
      </c>
      <c r="Q95" s="87">
        <f ca="1">VALUE(_xlfn.XLOOKUP($A95,Строчный!$A:$A,Строчный!N:N,"ERR",0))</f>
        <v>975.8</v>
      </c>
      <c r="R95" s="86" t="str">
        <f ca="1">_xlfn.XLOOKUP($G95,Фабрика!A:A,Фабрика!B:B,"ERR",0)</f>
        <v>ООО "ФРЭДРИКСОН" Россия 192029, С-Петербург, пр. Обуховской обороны, д.86, лит М</v>
      </c>
      <c r="S95" s="77" t="str">
        <f ca="1">_xlfn.XLOOKUP(RIGHT(AA95,2),Размеры!D:D,Размеры!A:A,"ERR",0)</f>
        <v>56</v>
      </c>
      <c r="T95" s="77">
        <f ca="1">VALUE(_xlfn.XLOOKUP($AA95,Строчный!$S:$S,Строчный!U:U,"ERR",0))</f>
        <v>2</v>
      </c>
      <c r="U95" s="14" t="s">
        <v>241</v>
      </c>
      <c r="V95" s="98" t="str">
        <f t="shared" ca="1" si="17"/>
        <v>Кепка FREDRIKSON арт. 3125-667/70 (черный / белый)</v>
      </c>
      <c r="W95" s="97" t="str">
        <f t="shared" ca="1" si="18"/>
        <v>Кепка FREDRIKSON арт. 3125-667/70 (черный / белый) {667/70}</v>
      </c>
      <c r="X95" s="18" t="str">
        <f t="shared" ca="1" si="19"/>
        <v>черный</v>
      </c>
      <c r="Y95" s="18" t="str">
        <f t="shared" ca="1" si="20"/>
        <v>белый</v>
      </c>
      <c r="Z95" s="109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0" t="str">
        <f ca="1"/>
        <v>95-088-72-56</v>
      </c>
      <c r="AB95" s="72" t="str">
        <f ca="1">VLOOKUP(C95,Группа!A:B,2,FALSE)</f>
        <v>Кепка</v>
      </c>
      <c r="AC95" s="94" t="str">
        <f ca="1">IFERROR(VLOOKUP(S95,Размеры!A:C,3,FALSE),"")</f>
        <v>56 S/M</v>
      </c>
      <c r="AD95" s="94" t="str">
        <f ca="1">VLOOKUP(I95,ЦветПолный!A:B,2,FALSE)</f>
        <v>72</v>
      </c>
      <c r="AE95" s="94" t="str">
        <f ca="1">IFERROR(VLOOKUP(S95,Размеры!A:D,4,FALSE),"")</f>
        <v>56</v>
      </c>
      <c r="AF95" s="94">
        <f ca="1">SUMIF(Группа!A:A,C95,Группа!C:C)</f>
        <v>1</v>
      </c>
      <c r="AG95" s="94">
        <f ca="1">SUMIF(Группа!B:B,AB95,Группа!C:C)</f>
        <v>1</v>
      </c>
      <c r="AH95" s="94">
        <f ca="1">SUMIF(Формы!A:A,D95,Формы!B:B)</f>
        <v>1</v>
      </c>
      <c r="AI95" s="94">
        <f ca="1">IF(IFERROR(VLOOKUP(J95,Материал!D:D,1,0),0)&gt;0,1,SUMIF(Материал!A:A,K95,Материал!B:B))</f>
        <v>1</v>
      </c>
      <c r="AJ95" s="94">
        <f ca="1">SUMIF(Размеры!A:A,S95,Размеры!E:E)</f>
        <v>1</v>
      </c>
      <c r="AK95" s="94">
        <f ca="1">SUMIF(Сезон!A:A,F95,Сезон!B:B)</f>
        <v>1</v>
      </c>
      <c r="AL95" s="94">
        <f ca="1">VLOOKUP(I95,ЦветПолный!A:C,3,0)</f>
        <v>1</v>
      </c>
      <c r="AM95" s="94">
        <f ca="1">SUMIF(Цвет!A:A,Z95,Цвет!B:B)</f>
        <v>1</v>
      </c>
      <c r="AN95" s="94">
        <f ca="1">_xlfn.XLOOKUP(L95,Пол!A:A,Пол!B:B,0,0)</f>
        <v>1</v>
      </c>
      <c r="AO95" s="94">
        <f ca="1">SUMIF(Бренд!A:A,G95,Бренд!B:B)</f>
        <v>1</v>
      </c>
      <c r="AP95" s="137">
        <f ca="1">SUMIF(Страна!A:A,M95,Страна!B:B)</f>
        <v>1</v>
      </c>
      <c r="AQ95" s="150" t="str">
        <f t="shared" ca="1" si="21"/>
        <v>Кепка FREDRIKSON арт. 3125-667/70 (черный / белый) {667/70}</v>
      </c>
      <c r="AR95" s="94">
        <f t="shared" ca="1" si="22"/>
        <v>1</v>
      </c>
      <c r="AS95" s="143">
        <f t="shared" ca="1" si="23"/>
        <v>1</v>
      </c>
      <c r="AT95" s="138" t="str">
        <f ca="1">IF(IFERROR(VLOOKUP(W95,Товары!A:B,2,FALSE),"")=A95,"Есть в 1С","ERR")</f>
        <v>ERR</v>
      </c>
      <c r="AU95" s="139" t="str">
        <f ca="1">IF(IFERROR(VLOOKUP(A95,Товары!B:B,1,FALSE),"")=A95,"Есть в 1С","ERR")</f>
        <v>ERR</v>
      </c>
      <c r="AV95" s="93" t="e">
        <f ca="1">VLOOKUP(W95,Товары!A:B,2,FALSE)</f>
        <v>#N/A</v>
      </c>
      <c r="AW95" s="91" t="e">
        <f ca="1">VLOOKUP(W95,Товары!A:B,1,FALSE)</f>
        <v>#N/A</v>
      </c>
    </row>
    <row r="96" spans="1:49" x14ac:dyDescent="0.25">
      <c r="A96" s="105" t="str">
        <f t="shared" ca="1" si="16"/>
        <v>95-087-09</v>
      </c>
      <c r="B96" s="78" t="str">
        <f ca="1">_xlfn.LET(_xlpm.CAPS,VLOOKUP(G96,Caps!A:B,2,0),_xlpm.Style,TRIM(_xlfn.XLOOKUP($A96,Строчный!$A:$A,Строчный!B:B,"ERR",0)),IF(_xlpm.CAPS=0,_xlpm.Style,UPPER(_xlpm.Style)))</f>
        <v>3125-620/21</v>
      </c>
      <c r="C96" s="78" t="str">
        <f ca="1">TRIM(PROPER(_xlfn.XLOOKUP($A96,Строчный!$A:$A,Строчный!C:C,"ERR",0)))</f>
        <v>Кепки</v>
      </c>
      <c r="D96" s="78" t="str">
        <f ca="1">_xlfn.LET(_xlpm.DATA,TRIM(_xlfn.XLOOKUP($A96,Строчный!$A:$A,Строчный!D:D,"ERR",0)),UPPER(MID(_xlpm.DATA,1,1))&amp;LOWER(MID(_xlpm.DATA,2,LEN(_xlpm.DATA)-1)))</f>
        <v>Кепка плоская</v>
      </c>
      <c r="E96" s="78" t="str">
        <f ca="1">PROPER(TRIM(_xlfn.XLOOKUP($A96,Строчный!$A:$A,Строчный!E:E,"ERR",0)))</f>
        <v>Fredrikson</v>
      </c>
      <c r="F96" s="78" t="str">
        <f ca="1">LOWER(TRIM(_xlfn.XLOOKUP($A96,Строчный!$A:$A,Строчный!F:F,"ERR",0)))</f>
        <v>всесезон</v>
      </c>
      <c r="G96" s="78" t="str">
        <f ca="1">UPPER(TRIM(_xlfn.XLOOKUP($A96,Строчный!$A:$A,Строчный!G:G,"ERR",0)))</f>
        <v>FREDRIKSON</v>
      </c>
      <c r="H96" s="78" t="str">
        <f ca="1">LOWER(TRIM(_xlfn.XLOOKUP($A96,Строчный!$A:$A,Строчный!H:H,"ERR",0)))</f>
        <v>620/21</v>
      </c>
      <c r="I96" s="78" t="str">
        <f ca="1">LOWER(TRIM(_xlfn.XLOOKUP($A96,Строчный!$A:$A,Строчный!I:I,"ERR",0)))</f>
        <v>черный</v>
      </c>
      <c r="J96" s="78" t="str">
        <f ca="1">SUBSTITUTE(LOWER(TRIM(_xlfn.XLOOKUP($A96,Строчный!$A:$A,Строчный!J:J,"ERR",0))),"подклад","Подклад")</f>
        <v>80% шерсть - 20% полиамид / Подклад: 100% вискоза</v>
      </c>
      <c r="K96" s="78" t="str">
        <f ca="1">LOWER(TRIM(_xlfn.XLOOKUP($A96,Строчный!$A:$A,Строчный!K:K,"ERR",0)))</f>
        <v>шерстяные</v>
      </c>
      <c r="L96" s="78" t="str">
        <f ca="1">PROPER(TRIM(_xlfn.XLOOKUP($A96,Строчный!$A:$A,Строчный!L:L,"ERR",0)))</f>
        <v>Унисекс</v>
      </c>
      <c r="M96" s="105" t="str">
        <f ca="1">PROPER(TRIM(_xlfn.XLOOKUP($A96,Строчный!$A:$A,Строчный!M:M,"ERR",0)))</f>
        <v>Россия</v>
      </c>
      <c r="N96" s="78" t="str">
        <f ca="1">UPPER(TRIM(_xlfn.XLOOKUP($A96,Строчный!$A:$A,Строчный!O:O,"ERR",0)))</f>
        <v/>
      </c>
      <c r="O96" s="99" t="str">
        <f ca="1">PROPER(TRIM(_xlfn.XLOOKUP($A96,Строчный!$A:$A,Строчный!P:P,"ERR",0)))</f>
        <v/>
      </c>
      <c r="P96" s="78" t="str">
        <f ca="1">PROPER(TRIM(_xlfn.XLOOKUP($A96,Строчный!$A:$A,Строчный!R:R,"ERR",0)))</f>
        <v/>
      </c>
      <c r="Q96" s="87">
        <f ca="1">VALUE(_xlfn.XLOOKUP($A96,Строчный!$A:$A,Строчный!N:N,"ERR",0))</f>
        <v>975.8</v>
      </c>
      <c r="R96" s="86" t="str">
        <f ca="1">_xlfn.XLOOKUP($G96,Фабрика!A:A,Фабрика!B:B,"ERR",0)</f>
        <v>ООО "ФРЭДРИКСОН" Россия 192029, С-Петербург, пр. Обуховской обороны, д.86, лит М</v>
      </c>
      <c r="S96" s="77" t="str">
        <f ca="1">_xlfn.XLOOKUP(RIGHT(AA96,2),Размеры!D:D,Размеры!A:A,"ERR",0)</f>
        <v>62</v>
      </c>
      <c r="T96" s="77">
        <f ca="1">VALUE(_xlfn.XLOOKUP($AA96,Строчный!$S:$S,Строчный!U:U,"ERR",0))</f>
        <v>1</v>
      </c>
      <c r="U96" s="14" t="s">
        <v>241</v>
      </c>
      <c r="V96" s="98" t="str">
        <f t="shared" ca="1" si="17"/>
        <v>Кепка FREDRIKSON арт. 3125-620/21 (черный)</v>
      </c>
      <c r="W96" s="97" t="str">
        <f t="shared" ca="1" si="18"/>
        <v>Кепка FREDRIKSON арт. 3125-620/21 (черный) {620/21}</v>
      </c>
      <c r="X96" s="18" t="str">
        <f t="shared" ca="1" si="19"/>
        <v>черный</v>
      </c>
      <c r="Y96" s="18" t="str">
        <f t="shared" ca="1" si="20"/>
        <v>черный</v>
      </c>
      <c r="Z96" s="109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0" t="str">
        <f ca="1"/>
        <v>95-087-09-62</v>
      </c>
      <c r="AB96" s="72" t="str">
        <f ca="1">VLOOKUP(C96,Группа!A:B,2,FALSE)</f>
        <v>Кепка</v>
      </c>
      <c r="AC96" s="94" t="str">
        <f ca="1">IFERROR(VLOOKUP(S96,Размеры!A:C,3,FALSE),"")</f>
        <v>62 XL/XXL</v>
      </c>
      <c r="AD96" s="94" t="str">
        <f ca="1">VLOOKUP(I96,ЦветПолный!A:B,2,FALSE)</f>
        <v>09</v>
      </c>
      <c r="AE96" s="94" t="str">
        <f ca="1">IFERROR(VLOOKUP(S96,Размеры!A:D,4,FALSE),"")</f>
        <v>62</v>
      </c>
      <c r="AF96" s="94">
        <f ca="1">SUMIF(Группа!A:A,C96,Группа!C:C)</f>
        <v>1</v>
      </c>
      <c r="AG96" s="94">
        <f ca="1">SUMIF(Группа!B:B,AB96,Группа!C:C)</f>
        <v>1</v>
      </c>
      <c r="AH96" s="94">
        <f ca="1">SUMIF(Формы!A:A,D96,Формы!B:B)</f>
        <v>1</v>
      </c>
      <c r="AI96" s="94">
        <f ca="1">IF(IFERROR(VLOOKUP(J96,Материал!D:D,1,0),0)&gt;0,1,SUMIF(Материал!A:A,K96,Материал!B:B))</f>
        <v>1</v>
      </c>
      <c r="AJ96" s="94">
        <f ca="1">SUMIF(Размеры!A:A,S96,Размеры!E:E)</f>
        <v>1</v>
      </c>
      <c r="AK96" s="94">
        <f ca="1">SUMIF(Сезон!A:A,F96,Сезон!B:B)</f>
        <v>1</v>
      </c>
      <c r="AL96" s="94">
        <f ca="1">VLOOKUP(I96,ЦветПолный!A:C,3,0)</f>
        <v>1</v>
      </c>
      <c r="AM96" s="94">
        <f ca="1">SUMIF(Цвет!A:A,Z96,Цвет!B:B)</f>
        <v>1</v>
      </c>
      <c r="AN96" s="94">
        <f ca="1">_xlfn.XLOOKUP(L96,Пол!A:A,Пол!B:B,0,0)</f>
        <v>1</v>
      </c>
      <c r="AO96" s="94">
        <f ca="1">SUMIF(Бренд!A:A,G96,Бренд!B:B)</f>
        <v>1</v>
      </c>
      <c r="AP96" s="137">
        <f ca="1">SUMIF(Страна!A:A,M96,Страна!B:B)</f>
        <v>1</v>
      </c>
      <c r="AQ96" s="150" t="str">
        <f t="shared" ca="1" si="21"/>
        <v>Кепка FREDRIKSON арт. 3125-620/21 (черный) {620/21}</v>
      </c>
      <c r="AR96" s="94">
        <f t="shared" ca="1" si="22"/>
        <v>1</v>
      </c>
      <c r="AS96" s="143">
        <f t="shared" ca="1" si="23"/>
        <v>1</v>
      </c>
      <c r="AT96" s="138" t="str">
        <f ca="1">IF(IFERROR(VLOOKUP(W96,Товары!A:B,2,FALSE),"")=A96,"Есть в 1С","ERR")</f>
        <v>ERR</v>
      </c>
      <c r="AU96" s="139" t="str">
        <f ca="1">IF(IFERROR(VLOOKUP(A96,Товары!B:B,1,FALSE),"")=A96,"Есть в 1С","ERR")</f>
        <v>ERR</v>
      </c>
      <c r="AV96" s="93" t="e">
        <f ca="1">VLOOKUP(W96,Товары!A:B,2,FALSE)</f>
        <v>#N/A</v>
      </c>
      <c r="AW96" s="91" t="e">
        <f ca="1">VLOOKUP(W96,Товары!A:B,1,FALSE)</f>
        <v>#N/A</v>
      </c>
    </row>
    <row r="97" spans="1:49" x14ac:dyDescent="0.25">
      <c r="A97" s="105" t="str">
        <f t="shared" ca="1" si="16"/>
        <v>95-087-09</v>
      </c>
      <c r="B97" s="78" t="str">
        <f ca="1">_xlfn.LET(_xlpm.CAPS,VLOOKUP(G97,Caps!A:B,2,0),_xlpm.Style,TRIM(_xlfn.XLOOKUP($A97,Строчный!$A:$A,Строчный!B:B,"ERR",0)),IF(_xlpm.CAPS=0,_xlpm.Style,UPPER(_xlpm.Style)))</f>
        <v>3125-620/21</v>
      </c>
      <c r="C97" s="78" t="str">
        <f ca="1">TRIM(PROPER(_xlfn.XLOOKUP($A97,Строчный!$A:$A,Строчный!C:C,"ERR",0)))</f>
        <v>Кепки</v>
      </c>
      <c r="D97" s="78" t="str">
        <f ca="1">_xlfn.LET(_xlpm.DATA,TRIM(_xlfn.XLOOKUP($A97,Строчный!$A:$A,Строчный!D:D,"ERR",0)),UPPER(MID(_xlpm.DATA,1,1))&amp;LOWER(MID(_xlpm.DATA,2,LEN(_xlpm.DATA)-1)))</f>
        <v>Кепка плоская</v>
      </c>
      <c r="E97" s="78" t="str">
        <f ca="1">PROPER(TRIM(_xlfn.XLOOKUP($A97,Строчный!$A:$A,Строчный!E:E,"ERR",0)))</f>
        <v>Fredrikson</v>
      </c>
      <c r="F97" s="78" t="str">
        <f ca="1">LOWER(TRIM(_xlfn.XLOOKUP($A97,Строчный!$A:$A,Строчный!F:F,"ERR",0)))</f>
        <v>всесезон</v>
      </c>
      <c r="G97" s="78" t="str">
        <f ca="1">UPPER(TRIM(_xlfn.XLOOKUP($A97,Строчный!$A:$A,Строчный!G:G,"ERR",0)))</f>
        <v>FREDRIKSON</v>
      </c>
      <c r="H97" s="78" t="str">
        <f ca="1">LOWER(TRIM(_xlfn.XLOOKUP($A97,Строчный!$A:$A,Строчный!H:H,"ERR",0)))</f>
        <v>620/21</v>
      </c>
      <c r="I97" s="78" t="str">
        <f ca="1">LOWER(TRIM(_xlfn.XLOOKUP($A97,Строчный!$A:$A,Строчный!I:I,"ERR",0)))</f>
        <v>черный</v>
      </c>
      <c r="J97" s="78" t="str">
        <f ca="1">SUBSTITUTE(LOWER(TRIM(_xlfn.XLOOKUP($A97,Строчный!$A:$A,Строчный!J:J,"ERR",0))),"подклад","Подклад")</f>
        <v>80% шерсть - 20% полиамид / Подклад: 100% вискоза</v>
      </c>
      <c r="K97" s="78" t="str">
        <f ca="1">LOWER(TRIM(_xlfn.XLOOKUP($A97,Строчный!$A:$A,Строчный!K:K,"ERR",0)))</f>
        <v>шерстяные</v>
      </c>
      <c r="L97" s="78" t="str">
        <f ca="1">PROPER(TRIM(_xlfn.XLOOKUP($A97,Строчный!$A:$A,Строчный!L:L,"ERR",0)))</f>
        <v>Унисекс</v>
      </c>
      <c r="M97" s="105" t="str">
        <f ca="1">PROPER(TRIM(_xlfn.XLOOKUP($A97,Строчный!$A:$A,Строчный!M:M,"ERR",0)))</f>
        <v>Россия</v>
      </c>
      <c r="N97" s="78" t="str">
        <f ca="1">UPPER(TRIM(_xlfn.XLOOKUP($A97,Строчный!$A:$A,Строчный!O:O,"ERR",0)))</f>
        <v/>
      </c>
      <c r="O97" s="99" t="str">
        <f ca="1">PROPER(TRIM(_xlfn.XLOOKUP($A97,Строчный!$A:$A,Строчный!P:P,"ERR",0)))</f>
        <v/>
      </c>
      <c r="P97" s="78" t="str">
        <f ca="1">PROPER(TRIM(_xlfn.XLOOKUP($A97,Строчный!$A:$A,Строчный!R:R,"ERR",0)))</f>
        <v/>
      </c>
      <c r="Q97" s="87">
        <f ca="1">VALUE(_xlfn.XLOOKUP($A97,Строчный!$A:$A,Строчный!N:N,"ERR",0))</f>
        <v>975.8</v>
      </c>
      <c r="R97" s="86" t="str">
        <f ca="1">_xlfn.XLOOKUP($G97,Фабрика!A:A,Фабрика!B:B,"ERR",0)</f>
        <v>ООО "ФРЭДРИКСОН" Россия 192029, С-Петербург, пр. Обуховской обороны, д.86, лит М</v>
      </c>
      <c r="S97" s="77" t="str">
        <f ca="1">_xlfn.XLOOKUP(RIGHT(AA97,2),Размеры!D:D,Размеры!A:A,"ERR",0)</f>
        <v>61</v>
      </c>
      <c r="T97" s="77">
        <f ca="1">VALUE(_xlfn.XLOOKUP($AA97,Строчный!$S:$S,Строчный!U:U,"ERR",0))</f>
        <v>2</v>
      </c>
      <c r="U97" s="14" t="s">
        <v>241</v>
      </c>
      <c r="V97" s="98" t="str">
        <f t="shared" ca="1" si="17"/>
        <v>Кепка FREDRIKSON арт. 3125-620/21 (черный)</v>
      </c>
      <c r="W97" s="97" t="str">
        <f t="shared" ca="1" si="18"/>
        <v>Кепка FREDRIKSON арт. 3125-620/21 (черный) {620/21}</v>
      </c>
      <c r="X97" s="18" t="str">
        <f t="shared" ca="1" si="19"/>
        <v>черный</v>
      </c>
      <c r="Y97" s="18" t="str">
        <f t="shared" ca="1" si="20"/>
        <v>черный</v>
      </c>
      <c r="Z97" s="109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0" t="str">
        <f ca="1"/>
        <v>95-087-09-61</v>
      </c>
      <c r="AB97" s="72" t="str">
        <f ca="1">VLOOKUP(C97,Группа!A:B,2,FALSE)</f>
        <v>Кепка</v>
      </c>
      <c r="AC97" s="94" t="str">
        <f ca="1">IFERROR(VLOOKUP(S97,Размеры!A:C,3,FALSE),"")</f>
        <v>61 XL</v>
      </c>
      <c r="AD97" s="94" t="str">
        <f ca="1">VLOOKUP(I97,ЦветПолный!A:B,2,FALSE)</f>
        <v>09</v>
      </c>
      <c r="AE97" s="94" t="str">
        <f ca="1">IFERROR(VLOOKUP(S97,Размеры!A:D,4,FALSE),"")</f>
        <v>61</v>
      </c>
      <c r="AF97" s="94">
        <f ca="1">SUMIF(Группа!A:A,C97,Группа!C:C)</f>
        <v>1</v>
      </c>
      <c r="AG97" s="94">
        <f ca="1">SUMIF(Группа!B:B,AB97,Группа!C:C)</f>
        <v>1</v>
      </c>
      <c r="AH97" s="94">
        <f ca="1">SUMIF(Формы!A:A,D97,Формы!B:B)</f>
        <v>1</v>
      </c>
      <c r="AI97" s="94">
        <f ca="1">IF(IFERROR(VLOOKUP(J97,Материал!D:D,1,0),0)&gt;0,1,SUMIF(Материал!A:A,K97,Материал!B:B))</f>
        <v>1</v>
      </c>
      <c r="AJ97" s="94">
        <f ca="1">SUMIF(Размеры!A:A,S97,Размеры!E:E)</f>
        <v>1</v>
      </c>
      <c r="AK97" s="94">
        <f ca="1">SUMIF(Сезон!A:A,F97,Сезон!B:B)</f>
        <v>1</v>
      </c>
      <c r="AL97" s="94">
        <f ca="1">VLOOKUP(I97,ЦветПолный!A:C,3,0)</f>
        <v>1</v>
      </c>
      <c r="AM97" s="94">
        <f ca="1">SUMIF(Цвет!A:A,Z97,Цвет!B:B)</f>
        <v>1</v>
      </c>
      <c r="AN97" s="94">
        <f ca="1">_xlfn.XLOOKUP(L97,Пол!A:A,Пол!B:B,0,0)</f>
        <v>1</v>
      </c>
      <c r="AO97" s="94">
        <f ca="1">SUMIF(Бренд!A:A,G97,Бренд!B:B)</f>
        <v>1</v>
      </c>
      <c r="AP97" s="137">
        <f ca="1">SUMIF(Страна!A:A,M97,Страна!B:B)</f>
        <v>1</v>
      </c>
      <c r="AQ97" s="150" t="str">
        <f t="shared" ca="1" si="21"/>
        <v>Кепка FREDRIKSON арт. 3125-620/21 (черный) {620/21}</v>
      </c>
      <c r="AR97" s="94">
        <f t="shared" ca="1" si="22"/>
        <v>1</v>
      </c>
      <c r="AS97" s="143">
        <f t="shared" ca="1" si="23"/>
        <v>1</v>
      </c>
      <c r="AT97" s="138" t="str">
        <f ca="1">IF(IFERROR(VLOOKUP(W97,Товары!A:B,2,FALSE),"")=A97,"Есть в 1С","ERR")</f>
        <v>ERR</v>
      </c>
      <c r="AU97" s="139" t="str">
        <f ca="1">IF(IFERROR(VLOOKUP(A97,Товары!B:B,1,FALSE),"")=A97,"Есть в 1С","ERR")</f>
        <v>ERR</v>
      </c>
      <c r="AV97" s="93" t="e">
        <f ca="1">VLOOKUP(W97,Товары!A:B,2,FALSE)</f>
        <v>#N/A</v>
      </c>
      <c r="AW97" s="91" t="e">
        <f ca="1">VLOOKUP(W97,Товары!A:B,1,FALSE)</f>
        <v>#N/A</v>
      </c>
    </row>
    <row r="98" spans="1:49" x14ac:dyDescent="0.25">
      <c r="A98" s="105" t="str">
        <f t="shared" ref="A98:A129" ca="1" si="24">LEFT(AA98,9)</f>
        <v>95-087-09</v>
      </c>
      <c r="B98" s="78" t="str">
        <f ca="1">_xlfn.LET(_xlpm.CAPS,VLOOKUP(G98,Caps!A:B,2,0),_xlpm.Style,TRIM(_xlfn.XLOOKUP($A98,Строчный!$A:$A,Строчный!B:B,"ERR",0)),IF(_xlpm.CAPS=0,_xlpm.Style,UPPER(_xlpm.Style)))</f>
        <v>3125-620/21</v>
      </c>
      <c r="C98" s="78" t="str">
        <f ca="1">TRIM(PROPER(_xlfn.XLOOKUP($A98,Строчный!$A:$A,Строчный!C:C,"ERR",0)))</f>
        <v>Кепки</v>
      </c>
      <c r="D98" s="78" t="str">
        <f ca="1">_xlfn.LET(_xlpm.DATA,TRIM(_xlfn.XLOOKUP($A98,Строчный!$A:$A,Строчный!D:D,"ERR",0)),UPPER(MID(_xlpm.DATA,1,1))&amp;LOWER(MID(_xlpm.DATA,2,LEN(_xlpm.DATA)-1)))</f>
        <v>Кепка плоская</v>
      </c>
      <c r="E98" s="78" t="str">
        <f ca="1">PROPER(TRIM(_xlfn.XLOOKUP($A98,Строчный!$A:$A,Строчный!E:E,"ERR",0)))</f>
        <v>Fredrikson</v>
      </c>
      <c r="F98" s="78" t="str">
        <f ca="1">LOWER(TRIM(_xlfn.XLOOKUP($A98,Строчный!$A:$A,Строчный!F:F,"ERR",0)))</f>
        <v>всесезон</v>
      </c>
      <c r="G98" s="78" t="str">
        <f ca="1">UPPER(TRIM(_xlfn.XLOOKUP($A98,Строчный!$A:$A,Строчный!G:G,"ERR",0)))</f>
        <v>FREDRIKSON</v>
      </c>
      <c r="H98" s="78" t="str">
        <f ca="1">LOWER(TRIM(_xlfn.XLOOKUP($A98,Строчный!$A:$A,Строчный!H:H,"ERR",0)))</f>
        <v>620/21</v>
      </c>
      <c r="I98" s="78" t="str">
        <f ca="1">LOWER(TRIM(_xlfn.XLOOKUP($A98,Строчный!$A:$A,Строчный!I:I,"ERR",0)))</f>
        <v>черный</v>
      </c>
      <c r="J98" s="78" t="str">
        <f ca="1">SUBSTITUTE(LOWER(TRIM(_xlfn.XLOOKUP($A98,Строчный!$A:$A,Строчный!J:J,"ERR",0))),"подклад","Подклад")</f>
        <v>80% шерсть - 20% полиамид / Подклад: 100% вискоза</v>
      </c>
      <c r="K98" s="78" t="str">
        <f ca="1">LOWER(TRIM(_xlfn.XLOOKUP($A98,Строчный!$A:$A,Строчный!K:K,"ERR",0)))</f>
        <v>шерстяные</v>
      </c>
      <c r="L98" s="78" t="str">
        <f ca="1">PROPER(TRIM(_xlfn.XLOOKUP($A98,Строчный!$A:$A,Строчный!L:L,"ERR",0)))</f>
        <v>Унисекс</v>
      </c>
      <c r="M98" s="105" t="str">
        <f ca="1">PROPER(TRIM(_xlfn.XLOOKUP($A98,Строчный!$A:$A,Строчный!M:M,"ERR",0)))</f>
        <v>Россия</v>
      </c>
      <c r="N98" s="78" t="str">
        <f ca="1">UPPER(TRIM(_xlfn.XLOOKUP($A98,Строчный!$A:$A,Строчный!O:O,"ERR",0)))</f>
        <v/>
      </c>
      <c r="O98" s="99" t="str">
        <f ca="1">PROPER(TRIM(_xlfn.XLOOKUP($A98,Строчный!$A:$A,Строчный!P:P,"ERR",0)))</f>
        <v/>
      </c>
      <c r="P98" s="78" t="str">
        <f ca="1">PROPER(TRIM(_xlfn.XLOOKUP($A98,Строчный!$A:$A,Строчный!R:R,"ERR",0)))</f>
        <v/>
      </c>
      <c r="Q98" s="87">
        <f ca="1">VALUE(_xlfn.XLOOKUP($A98,Строчный!$A:$A,Строчный!N:N,"ERR",0))</f>
        <v>975.8</v>
      </c>
      <c r="R98" s="86" t="str">
        <f ca="1">_xlfn.XLOOKUP($G98,Фабрика!A:A,Фабрика!B:B,"ERR",0)</f>
        <v>ООО "ФРЭДРИКСОН" Россия 192029, С-Петербург, пр. Обуховской обороны, д.86, лит М</v>
      </c>
      <c r="S98" s="77" t="str">
        <f ca="1">_xlfn.XLOOKUP(RIGHT(AA98,2),Размеры!D:D,Размеры!A:A,"ERR",0)</f>
        <v>60</v>
      </c>
      <c r="T98" s="77">
        <f ca="1">VALUE(_xlfn.XLOOKUP($AA98,Строчный!$S:$S,Строчный!U:U,"ERR",0))</f>
        <v>3</v>
      </c>
      <c r="U98" s="14" t="s">
        <v>241</v>
      </c>
      <c r="V98" s="98" t="str">
        <f t="shared" ref="V98:V129" ca="1" si="25">TRIM(CONCATENATE(AB98," ",G98," арт. ",B98," (",I98,")"))</f>
        <v>Кепка FREDRIKSON арт. 3125-620/21 (черный)</v>
      </c>
      <c r="W98" s="97" t="str">
        <f t="shared" ref="W98:W129" ca="1" si="26">TRIM(CONCATENATE(AB98," ",G98," арт. ",B98," (",I98,") {",H98,"}"))</f>
        <v>Кепка FREDRIKSON арт. 3125-620/21 (черный) {620/21}</v>
      </c>
      <c r="X98" s="18" t="str">
        <f t="shared" ref="X98:X129" ca="1" si="27">IFERROR(MID(I98,FIND("-",I98)+1,LEN(I98)),IFERROR(MID(I98,1,FIND("/",I98)-2),I98))</f>
        <v>черный</v>
      </c>
      <c r="Y98" s="18" t="str">
        <f t="shared" ref="Y98:Y129" ca="1" si="28">IFERROR(MID(I98,FIND("-",I98)+1,LEN(I98)),IFERROR(MID(I98,FIND("/",I98)+2,LEN(I98)),I98))</f>
        <v>черный</v>
      </c>
      <c r="Z98" s="109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0" t="str">
        <f ca="1"/>
        <v>95-087-09-60</v>
      </c>
      <c r="AB98" s="72" t="str">
        <f ca="1">VLOOKUP(C98,Группа!A:B,2,FALSE)</f>
        <v>Кепка</v>
      </c>
      <c r="AC98" s="94" t="str">
        <f ca="1">IFERROR(VLOOKUP(S98,Размеры!A:C,3,FALSE),"")</f>
        <v>60 L/XL</v>
      </c>
      <c r="AD98" s="94" t="str">
        <f ca="1">VLOOKUP(I98,ЦветПолный!A:B,2,FALSE)</f>
        <v>09</v>
      </c>
      <c r="AE98" s="94" t="str">
        <f ca="1">IFERROR(VLOOKUP(S98,Размеры!A:D,4,FALSE),"")</f>
        <v>60</v>
      </c>
      <c r="AF98" s="94">
        <f ca="1">SUMIF(Группа!A:A,C98,Группа!C:C)</f>
        <v>1</v>
      </c>
      <c r="AG98" s="94">
        <f ca="1">SUMIF(Группа!B:B,AB98,Группа!C:C)</f>
        <v>1</v>
      </c>
      <c r="AH98" s="94">
        <f ca="1">SUMIF(Формы!A:A,D98,Формы!B:B)</f>
        <v>1</v>
      </c>
      <c r="AI98" s="94">
        <f ca="1">IF(IFERROR(VLOOKUP(J98,Материал!D:D,1,0),0)&gt;0,1,SUMIF(Материал!A:A,K98,Материал!B:B))</f>
        <v>1</v>
      </c>
      <c r="AJ98" s="94">
        <f ca="1">SUMIF(Размеры!A:A,S98,Размеры!E:E)</f>
        <v>1</v>
      </c>
      <c r="AK98" s="94">
        <f ca="1">SUMIF(Сезон!A:A,F98,Сезон!B:B)</f>
        <v>1</v>
      </c>
      <c r="AL98" s="94">
        <f ca="1">VLOOKUP(I98,ЦветПолный!A:C,3,0)</f>
        <v>1</v>
      </c>
      <c r="AM98" s="94">
        <f ca="1">SUMIF(Цвет!A:A,Z98,Цвет!B:B)</f>
        <v>1</v>
      </c>
      <c r="AN98" s="94">
        <f ca="1">_xlfn.XLOOKUP(L98,Пол!A:A,Пол!B:B,0,0)</f>
        <v>1</v>
      </c>
      <c r="AO98" s="94">
        <f ca="1">SUMIF(Бренд!A:A,G98,Бренд!B:B)</f>
        <v>1</v>
      </c>
      <c r="AP98" s="137">
        <f ca="1">SUMIF(Страна!A:A,M98,Страна!B:B)</f>
        <v>1</v>
      </c>
      <c r="AQ98" s="150" t="str">
        <f t="shared" ref="AQ98:AQ129" ca="1" si="29">ВАЛИДАЦИЯНАЗВАНИЯ(W98)</f>
        <v>Кепка FREDRIKSON арт. 3125-620/21 (черный) {620/21}</v>
      </c>
      <c r="AR98" s="94">
        <f t="shared" ref="AR98:AR129" ca="1" si="30">INT(AQ98=W98)</f>
        <v>1</v>
      </c>
      <c r="AS98" s="143">
        <f t="shared" ref="AS98:AS129" ca="1" si="31">MIN(AF98:AR98,IF(AT98=AU98,1,0))</f>
        <v>1</v>
      </c>
      <c r="AT98" s="138" t="str">
        <f ca="1">IF(IFERROR(VLOOKUP(W98,Товары!A:B,2,FALSE),"")=A98,"Есть в 1С","ERR")</f>
        <v>ERR</v>
      </c>
      <c r="AU98" s="139" t="str">
        <f ca="1">IF(IFERROR(VLOOKUP(A98,Товары!B:B,1,FALSE),"")=A98,"Есть в 1С","ERR")</f>
        <v>ERR</v>
      </c>
      <c r="AV98" s="93" t="e">
        <f ca="1">VLOOKUP(W98,Товары!A:B,2,FALSE)</f>
        <v>#N/A</v>
      </c>
      <c r="AW98" s="91" t="e">
        <f ca="1">VLOOKUP(W98,Товары!A:B,1,FALSE)</f>
        <v>#N/A</v>
      </c>
    </row>
    <row r="99" spans="1:49" x14ac:dyDescent="0.25">
      <c r="A99" s="105" t="str">
        <f t="shared" ca="1" si="24"/>
        <v>95-087-09</v>
      </c>
      <c r="B99" s="78" t="str">
        <f ca="1">_xlfn.LET(_xlpm.CAPS,VLOOKUP(G99,Caps!A:B,2,0),_xlpm.Style,TRIM(_xlfn.XLOOKUP($A99,Строчный!$A:$A,Строчный!B:B,"ERR",0)),IF(_xlpm.CAPS=0,_xlpm.Style,UPPER(_xlpm.Style)))</f>
        <v>3125-620/21</v>
      </c>
      <c r="C99" s="78" t="str">
        <f ca="1">TRIM(PROPER(_xlfn.XLOOKUP($A99,Строчный!$A:$A,Строчный!C:C,"ERR",0)))</f>
        <v>Кепки</v>
      </c>
      <c r="D99" s="78" t="str">
        <f ca="1">_xlfn.LET(_xlpm.DATA,TRIM(_xlfn.XLOOKUP($A99,Строчный!$A:$A,Строчный!D:D,"ERR",0)),UPPER(MID(_xlpm.DATA,1,1))&amp;LOWER(MID(_xlpm.DATA,2,LEN(_xlpm.DATA)-1)))</f>
        <v>Кепка плоская</v>
      </c>
      <c r="E99" s="78" t="str">
        <f ca="1">PROPER(TRIM(_xlfn.XLOOKUP($A99,Строчный!$A:$A,Строчный!E:E,"ERR",0)))</f>
        <v>Fredrikson</v>
      </c>
      <c r="F99" s="78" t="str">
        <f ca="1">LOWER(TRIM(_xlfn.XLOOKUP($A99,Строчный!$A:$A,Строчный!F:F,"ERR",0)))</f>
        <v>всесезон</v>
      </c>
      <c r="G99" s="78" t="str">
        <f ca="1">UPPER(TRIM(_xlfn.XLOOKUP($A99,Строчный!$A:$A,Строчный!G:G,"ERR",0)))</f>
        <v>FREDRIKSON</v>
      </c>
      <c r="H99" s="78" t="str">
        <f ca="1">LOWER(TRIM(_xlfn.XLOOKUP($A99,Строчный!$A:$A,Строчный!H:H,"ERR",0)))</f>
        <v>620/21</v>
      </c>
      <c r="I99" s="78" t="str">
        <f ca="1">LOWER(TRIM(_xlfn.XLOOKUP($A99,Строчный!$A:$A,Строчный!I:I,"ERR",0)))</f>
        <v>черный</v>
      </c>
      <c r="J99" s="78" t="str">
        <f ca="1">SUBSTITUTE(LOWER(TRIM(_xlfn.XLOOKUP($A99,Строчный!$A:$A,Строчный!J:J,"ERR",0))),"подклад","Подклад")</f>
        <v>80% шерсть - 20% полиамид / Подклад: 100% вискоза</v>
      </c>
      <c r="K99" s="78" t="str">
        <f ca="1">LOWER(TRIM(_xlfn.XLOOKUP($A99,Строчный!$A:$A,Строчный!K:K,"ERR",0)))</f>
        <v>шерстяные</v>
      </c>
      <c r="L99" s="78" t="str">
        <f ca="1">PROPER(TRIM(_xlfn.XLOOKUP($A99,Строчный!$A:$A,Строчный!L:L,"ERR",0)))</f>
        <v>Унисекс</v>
      </c>
      <c r="M99" s="105" t="str">
        <f ca="1">PROPER(TRIM(_xlfn.XLOOKUP($A99,Строчный!$A:$A,Строчный!M:M,"ERR",0)))</f>
        <v>Россия</v>
      </c>
      <c r="N99" s="78" t="str">
        <f ca="1">UPPER(TRIM(_xlfn.XLOOKUP($A99,Строчный!$A:$A,Строчный!O:O,"ERR",0)))</f>
        <v/>
      </c>
      <c r="O99" s="99" t="str">
        <f ca="1">PROPER(TRIM(_xlfn.XLOOKUP($A99,Строчный!$A:$A,Строчный!P:P,"ERR",0)))</f>
        <v/>
      </c>
      <c r="P99" s="78" t="str">
        <f ca="1">PROPER(TRIM(_xlfn.XLOOKUP($A99,Строчный!$A:$A,Строчный!R:R,"ERR",0)))</f>
        <v/>
      </c>
      <c r="Q99" s="87">
        <f ca="1">VALUE(_xlfn.XLOOKUP($A99,Строчный!$A:$A,Строчный!N:N,"ERR",0))</f>
        <v>975.8</v>
      </c>
      <c r="R99" s="86" t="str">
        <f ca="1">_xlfn.XLOOKUP($G99,Фабрика!A:A,Фабрика!B:B,"ERR",0)</f>
        <v>ООО "ФРЭДРИКСОН" Россия 192029, С-Петербург, пр. Обуховской обороны, д.86, лит М</v>
      </c>
      <c r="S99" s="77" t="str">
        <f ca="1">_xlfn.XLOOKUP(RIGHT(AA99,2),Размеры!D:D,Размеры!A:A,"ERR",0)</f>
        <v>59</v>
      </c>
      <c r="T99" s="77">
        <f ca="1">VALUE(_xlfn.XLOOKUP($AA99,Строчный!$S:$S,Строчный!U:U,"ERR",0))</f>
        <v>4</v>
      </c>
      <c r="U99" s="14" t="s">
        <v>241</v>
      </c>
      <c r="V99" s="98" t="str">
        <f t="shared" ca="1" si="25"/>
        <v>Кепка FREDRIKSON арт. 3125-620/21 (черный)</v>
      </c>
      <c r="W99" s="97" t="str">
        <f t="shared" ca="1" si="26"/>
        <v>Кепка FREDRIKSON арт. 3125-620/21 (черный) {620/21}</v>
      </c>
      <c r="X99" s="18" t="str">
        <f t="shared" ca="1" si="27"/>
        <v>черный</v>
      </c>
      <c r="Y99" s="18" t="str">
        <f t="shared" ca="1" si="28"/>
        <v>черный</v>
      </c>
      <c r="Z99" s="109" t="str">
        <f ca="1">_xlfn.LET(_xlpm.FormColors,_xlfn.XLOOKUP(A99,Строчный!A:A,Строчный!Q:Q,"",0),IF(_xlpm.FormColors=0,IFERROR(MID(I99,FIND("-",I99)+1,LEN(I99)),IFERROR(MID(I99,1,FIND("/",I99)-2),I99)),_xlpm.FormColors))</f>
        <v>черный</v>
      </c>
      <c r="AA99" s="70" t="str">
        <f ca="1"/>
        <v>95-087-09-59</v>
      </c>
      <c r="AB99" s="72" t="str">
        <f ca="1">VLOOKUP(C99,Группа!A:B,2,FALSE)</f>
        <v>Кепка</v>
      </c>
      <c r="AC99" s="94" t="str">
        <f ca="1">IFERROR(VLOOKUP(S99,Размеры!A:C,3,FALSE),"")</f>
        <v>59 L</v>
      </c>
      <c r="AD99" s="94" t="str">
        <f ca="1">VLOOKUP(I99,ЦветПолный!A:B,2,FALSE)</f>
        <v>09</v>
      </c>
      <c r="AE99" s="94" t="str">
        <f ca="1">IFERROR(VLOOKUP(S99,Размеры!A:D,4,FALSE),"")</f>
        <v>59</v>
      </c>
      <c r="AF99" s="94">
        <f ca="1">SUMIF(Группа!A:A,C99,Группа!C:C)</f>
        <v>1</v>
      </c>
      <c r="AG99" s="94">
        <f ca="1">SUMIF(Группа!B:B,AB99,Группа!C:C)</f>
        <v>1</v>
      </c>
      <c r="AH99" s="94">
        <f ca="1">SUMIF(Формы!A:A,D99,Формы!B:B)</f>
        <v>1</v>
      </c>
      <c r="AI99" s="94">
        <f ca="1">IF(IFERROR(VLOOKUP(J99,Материал!D:D,1,0),0)&gt;0,1,SUMIF(Материал!A:A,K99,Материал!B:B))</f>
        <v>1</v>
      </c>
      <c r="AJ99" s="94">
        <f ca="1">SUMIF(Размеры!A:A,S99,Размеры!E:E)</f>
        <v>1</v>
      </c>
      <c r="AK99" s="94">
        <f ca="1">SUMIF(Сезон!A:A,F99,Сезон!B:B)</f>
        <v>1</v>
      </c>
      <c r="AL99" s="94">
        <f ca="1">VLOOKUP(I99,ЦветПолный!A:C,3,0)</f>
        <v>1</v>
      </c>
      <c r="AM99" s="94">
        <f ca="1">SUMIF(Цвет!A:A,Z99,Цвет!B:B)</f>
        <v>1</v>
      </c>
      <c r="AN99" s="94">
        <f ca="1">_xlfn.XLOOKUP(L99,Пол!A:A,Пол!B:B,0,0)</f>
        <v>1</v>
      </c>
      <c r="AO99" s="94">
        <f ca="1">SUMIF(Бренд!A:A,G99,Бренд!B:B)</f>
        <v>1</v>
      </c>
      <c r="AP99" s="137">
        <f ca="1">SUMIF(Страна!A:A,M99,Страна!B:B)</f>
        <v>1</v>
      </c>
      <c r="AQ99" s="150" t="str">
        <f t="shared" ca="1" si="29"/>
        <v>Кепка FREDRIKSON арт. 3125-620/21 (черный) {620/21}</v>
      </c>
      <c r="AR99" s="94">
        <f t="shared" ca="1" si="30"/>
        <v>1</v>
      </c>
      <c r="AS99" s="143">
        <f t="shared" ca="1" si="31"/>
        <v>1</v>
      </c>
      <c r="AT99" s="138" t="str">
        <f ca="1">IF(IFERROR(VLOOKUP(W99,Товары!A:B,2,FALSE),"")=A99,"Есть в 1С","ERR")</f>
        <v>ERR</v>
      </c>
      <c r="AU99" s="139" t="str">
        <f ca="1">IF(IFERROR(VLOOKUP(A99,Товары!B:B,1,FALSE),"")=A99,"Есть в 1С","ERR")</f>
        <v>ERR</v>
      </c>
      <c r="AV99" s="93" t="e">
        <f ca="1">VLOOKUP(W99,Товары!A:B,2,FALSE)</f>
        <v>#N/A</v>
      </c>
      <c r="AW99" s="91" t="e">
        <f ca="1">VLOOKUP(W99,Товары!A:B,1,FALSE)</f>
        <v>#N/A</v>
      </c>
    </row>
    <row r="100" spans="1:49" x14ac:dyDescent="0.25">
      <c r="A100" s="105" t="str">
        <f t="shared" ca="1" si="24"/>
        <v>95-087-09</v>
      </c>
      <c r="B100" s="78" t="str">
        <f ca="1">_xlfn.LET(_xlpm.CAPS,VLOOKUP(G100,Caps!A:B,2,0),_xlpm.Style,TRIM(_xlfn.XLOOKUP($A100,Строчный!$A:$A,Строчный!B:B,"ERR",0)),IF(_xlpm.CAPS=0,_xlpm.Style,UPPER(_xlpm.Style)))</f>
        <v>3125-620/21</v>
      </c>
      <c r="C100" s="78" t="str">
        <f ca="1">TRIM(PROPER(_xlfn.XLOOKUP($A100,Строчный!$A:$A,Строчный!C:C,"ERR",0)))</f>
        <v>Кепки</v>
      </c>
      <c r="D100" s="78" t="str">
        <f ca="1">_xlfn.LET(_xlpm.DATA,TRIM(_xlfn.XLOOKUP($A100,Строчный!$A:$A,Строчный!D:D,"ERR",0)),UPPER(MID(_xlpm.DATA,1,1))&amp;LOWER(MID(_xlpm.DATA,2,LEN(_xlpm.DATA)-1)))</f>
        <v>Кепка плоская</v>
      </c>
      <c r="E100" s="78" t="str">
        <f ca="1">PROPER(TRIM(_xlfn.XLOOKUP($A100,Строчный!$A:$A,Строчный!E:E,"ERR",0)))</f>
        <v>Fredrikson</v>
      </c>
      <c r="F100" s="78" t="str">
        <f ca="1">LOWER(TRIM(_xlfn.XLOOKUP($A100,Строчный!$A:$A,Строчный!F:F,"ERR",0)))</f>
        <v>всесезон</v>
      </c>
      <c r="G100" s="78" t="str">
        <f ca="1">UPPER(TRIM(_xlfn.XLOOKUP($A100,Строчный!$A:$A,Строчный!G:G,"ERR",0)))</f>
        <v>FREDRIKSON</v>
      </c>
      <c r="H100" s="78" t="str">
        <f ca="1">LOWER(TRIM(_xlfn.XLOOKUP($A100,Строчный!$A:$A,Строчный!H:H,"ERR",0)))</f>
        <v>620/21</v>
      </c>
      <c r="I100" s="78" t="str">
        <f ca="1">LOWER(TRIM(_xlfn.XLOOKUP($A100,Строчный!$A:$A,Строчный!I:I,"ERR",0)))</f>
        <v>черный</v>
      </c>
      <c r="J100" s="78" t="str">
        <f ca="1">SUBSTITUTE(LOWER(TRIM(_xlfn.XLOOKUP($A100,Строчный!$A:$A,Строчный!J:J,"ERR",0))),"подклад","Подклад")</f>
        <v>80% шерсть - 20% полиамид / Подклад: 100% вискоза</v>
      </c>
      <c r="K100" s="78" t="str">
        <f ca="1">LOWER(TRIM(_xlfn.XLOOKUP($A100,Строчный!$A:$A,Строчный!K:K,"ERR",0)))</f>
        <v>шерстяные</v>
      </c>
      <c r="L100" s="78" t="str">
        <f ca="1">PROPER(TRIM(_xlfn.XLOOKUP($A100,Строчный!$A:$A,Строчный!L:L,"ERR",0)))</f>
        <v>Унисекс</v>
      </c>
      <c r="M100" s="105" t="str">
        <f ca="1">PROPER(TRIM(_xlfn.XLOOKUP($A100,Строчный!$A:$A,Строчный!M:M,"ERR",0)))</f>
        <v>Россия</v>
      </c>
      <c r="N100" s="78" t="str">
        <f ca="1">UPPER(TRIM(_xlfn.XLOOKUP($A100,Строчный!$A:$A,Строчный!O:O,"ERR",0)))</f>
        <v/>
      </c>
      <c r="O100" s="99" t="str">
        <f ca="1">PROPER(TRIM(_xlfn.XLOOKUP($A100,Строчный!$A:$A,Строчный!P:P,"ERR",0)))</f>
        <v/>
      </c>
      <c r="P100" s="78" t="str">
        <f ca="1">PROPER(TRIM(_xlfn.XLOOKUP($A100,Строчный!$A:$A,Строчный!R:R,"ERR",0)))</f>
        <v/>
      </c>
      <c r="Q100" s="87">
        <f ca="1">VALUE(_xlfn.XLOOKUP($A100,Строчный!$A:$A,Строчный!N:N,"ERR",0))</f>
        <v>975.8</v>
      </c>
      <c r="R100" s="86" t="str">
        <f ca="1">_xlfn.XLOOKUP($G100,Фабрика!A:A,Фабрика!B:B,"ERR",0)</f>
        <v>ООО "ФРЭДРИКСОН" Россия 192029, С-Петербург, пр. Обуховской обороны, д.86, лит М</v>
      </c>
      <c r="S100" s="77" t="str">
        <f ca="1">_xlfn.XLOOKUP(RIGHT(AA100,2),Размеры!D:D,Размеры!A:A,"ERR",0)</f>
        <v>58</v>
      </c>
      <c r="T100" s="77">
        <f ca="1">VALUE(_xlfn.XLOOKUP($AA100,Строчный!$S:$S,Строчный!U:U,"ERR",0))</f>
        <v>3</v>
      </c>
      <c r="U100" s="14" t="s">
        <v>241</v>
      </c>
      <c r="V100" s="98" t="str">
        <f t="shared" ca="1" si="25"/>
        <v>Кепка FREDRIKSON арт. 3125-620/21 (черный)</v>
      </c>
      <c r="W100" s="97" t="str">
        <f t="shared" ca="1" si="26"/>
        <v>Кепка FREDRIKSON арт. 3125-620/21 (черный) {620/21}</v>
      </c>
      <c r="X100" s="18" t="str">
        <f t="shared" ca="1" si="27"/>
        <v>черный</v>
      </c>
      <c r="Y100" s="18" t="str">
        <f t="shared" ca="1" si="28"/>
        <v>черный</v>
      </c>
      <c r="Z100" s="109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0" t="str">
        <f ca="1"/>
        <v>95-087-09-58</v>
      </c>
      <c r="AB100" s="72" t="str">
        <f ca="1">VLOOKUP(C100,Группа!A:B,2,FALSE)</f>
        <v>Кепка</v>
      </c>
      <c r="AC100" s="94" t="str">
        <f ca="1">IFERROR(VLOOKUP(S100,Размеры!A:C,3,FALSE),"")</f>
        <v>58 M/L</v>
      </c>
      <c r="AD100" s="94" t="str">
        <f ca="1">VLOOKUP(I100,ЦветПолный!A:B,2,FALSE)</f>
        <v>09</v>
      </c>
      <c r="AE100" s="94" t="str">
        <f ca="1">IFERROR(VLOOKUP(S100,Размеры!A:D,4,FALSE),"")</f>
        <v>58</v>
      </c>
      <c r="AF100" s="94">
        <f ca="1">SUMIF(Группа!A:A,C100,Группа!C:C)</f>
        <v>1</v>
      </c>
      <c r="AG100" s="94">
        <f ca="1">SUMIF(Группа!B:B,AB100,Группа!C:C)</f>
        <v>1</v>
      </c>
      <c r="AH100" s="94">
        <f ca="1">SUMIF(Формы!A:A,D100,Формы!B:B)</f>
        <v>1</v>
      </c>
      <c r="AI100" s="94">
        <f ca="1">IF(IFERROR(VLOOKUP(J100,Материал!D:D,1,0),0)&gt;0,1,SUMIF(Материал!A:A,K100,Материал!B:B))</f>
        <v>1</v>
      </c>
      <c r="AJ100" s="94">
        <f ca="1">SUMIF(Размеры!A:A,S100,Размеры!E:E)</f>
        <v>1</v>
      </c>
      <c r="AK100" s="94">
        <f ca="1">SUMIF(Сезон!A:A,F100,Сезон!B:B)</f>
        <v>1</v>
      </c>
      <c r="AL100" s="94">
        <f ca="1">VLOOKUP(I100,ЦветПолный!A:C,3,0)</f>
        <v>1</v>
      </c>
      <c r="AM100" s="94">
        <f ca="1">SUMIF(Цвет!A:A,Z100,Цвет!B:B)</f>
        <v>1</v>
      </c>
      <c r="AN100" s="94">
        <f ca="1">_xlfn.XLOOKUP(L100,Пол!A:A,Пол!B:B,0,0)</f>
        <v>1</v>
      </c>
      <c r="AO100" s="94">
        <f ca="1">SUMIF(Бренд!A:A,G100,Бренд!B:B)</f>
        <v>1</v>
      </c>
      <c r="AP100" s="137">
        <f ca="1">SUMIF(Страна!A:A,M100,Страна!B:B)</f>
        <v>1</v>
      </c>
      <c r="AQ100" s="150" t="str">
        <f t="shared" ca="1" si="29"/>
        <v>Кепка FREDRIKSON арт. 3125-620/21 (черный) {620/21}</v>
      </c>
      <c r="AR100" s="94">
        <f t="shared" ca="1" si="30"/>
        <v>1</v>
      </c>
      <c r="AS100" s="143">
        <f t="shared" ca="1" si="31"/>
        <v>1</v>
      </c>
      <c r="AT100" s="138" t="str">
        <f ca="1">IF(IFERROR(VLOOKUP(W100,Товары!A:B,2,FALSE),"")=A100,"Есть в 1С","ERR")</f>
        <v>ERR</v>
      </c>
      <c r="AU100" s="139" t="str">
        <f ca="1">IF(IFERROR(VLOOKUP(A100,Товары!B:B,1,FALSE),"")=A100,"Есть в 1С","ERR")</f>
        <v>ERR</v>
      </c>
      <c r="AV100" s="93" t="e">
        <f ca="1">VLOOKUP(W100,Товары!A:B,2,FALSE)</f>
        <v>#N/A</v>
      </c>
      <c r="AW100" s="91" t="e">
        <f ca="1">VLOOKUP(W100,Товары!A:B,1,FALSE)</f>
        <v>#N/A</v>
      </c>
    </row>
    <row r="101" spans="1:49" x14ac:dyDescent="0.25">
      <c r="A101" s="105" t="str">
        <f t="shared" ca="1" si="24"/>
        <v>95-087-09</v>
      </c>
      <c r="B101" s="78" t="str">
        <f ca="1">_xlfn.LET(_xlpm.CAPS,VLOOKUP(G101,Caps!A:B,2,0),_xlpm.Style,TRIM(_xlfn.XLOOKUP($A101,Строчный!$A:$A,Строчный!B:B,"ERR",0)),IF(_xlpm.CAPS=0,_xlpm.Style,UPPER(_xlpm.Style)))</f>
        <v>3125-620/21</v>
      </c>
      <c r="C101" s="78" t="str">
        <f ca="1">TRIM(PROPER(_xlfn.XLOOKUP($A101,Строчный!$A:$A,Строчный!C:C,"ERR",0)))</f>
        <v>Кепки</v>
      </c>
      <c r="D101" s="78" t="str">
        <f ca="1">_xlfn.LET(_xlpm.DATA,TRIM(_xlfn.XLOOKUP($A101,Строчный!$A:$A,Строчный!D:D,"ERR",0)),UPPER(MID(_xlpm.DATA,1,1))&amp;LOWER(MID(_xlpm.DATA,2,LEN(_xlpm.DATA)-1)))</f>
        <v>Кепка плоская</v>
      </c>
      <c r="E101" s="78" t="str">
        <f ca="1">PROPER(TRIM(_xlfn.XLOOKUP($A101,Строчный!$A:$A,Строчный!E:E,"ERR",0)))</f>
        <v>Fredrikson</v>
      </c>
      <c r="F101" s="78" t="str">
        <f ca="1">LOWER(TRIM(_xlfn.XLOOKUP($A101,Строчный!$A:$A,Строчный!F:F,"ERR",0)))</f>
        <v>всесезон</v>
      </c>
      <c r="G101" s="78" t="str">
        <f ca="1">UPPER(TRIM(_xlfn.XLOOKUP($A101,Строчный!$A:$A,Строчный!G:G,"ERR",0)))</f>
        <v>FREDRIKSON</v>
      </c>
      <c r="H101" s="78" t="str">
        <f ca="1">LOWER(TRIM(_xlfn.XLOOKUP($A101,Строчный!$A:$A,Строчный!H:H,"ERR",0)))</f>
        <v>620/21</v>
      </c>
      <c r="I101" s="78" t="str">
        <f ca="1">LOWER(TRIM(_xlfn.XLOOKUP($A101,Строчный!$A:$A,Строчный!I:I,"ERR",0)))</f>
        <v>черный</v>
      </c>
      <c r="J101" s="78" t="str">
        <f ca="1">SUBSTITUTE(LOWER(TRIM(_xlfn.XLOOKUP($A101,Строчный!$A:$A,Строчный!J:J,"ERR",0))),"подклад","Подклад")</f>
        <v>80% шерсть - 20% полиамид / Подклад: 100% вискоза</v>
      </c>
      <c r="K101" s="78" t="str">
        <f ca="1">LOWER(TRIM(_xlfn.XLOOKUP($A101,Строчный!$A:$A,Строчный!K:K,"ERR",0)))</f>
        <v>шерстяные</v>
      </c>
      <c r="L101" s="78" t="str">
        <f ca="1">PROPER(TRIM(_xlfn.XLOOKUP($A101,Строчный!$A:$A,Строчный!L:L,"ERR",0)))</f>
        <v>Унисекс</v>
      </c>
      <c r="M101" s="105" t="str">
        <f ca="1">PROPER(TRIM(_xlfn.XLOOKUP($A101,Строчный!$A:$A,Строчный!M:M,"ERR",0)))</f>
        <v>Россия</v>
      </c>
      <c r="N101" s="78" t="str">
        <f ca="1">UPPER(TRIM(_xlfn.XLOOKUP($A101,Строчный!$A:$A,Строчный!O:O,"ERR",0)))</f>
        <v/>
      </c>
      <c r="O101" s="99" t="str">
        <f ca="1">PROPER(TRIM(_xlfn.XLOOKUP($A101,Строчный!$A:$A,Строчный!P:P,"ERR",0)))</f>
        <v/>
      </c>
      <c r="P101" s="78" t="str">
        <f ca="1">PROPER(TRIM(_xlfn.XLOOKUP($A101,Строчный!$A:$A,Строчный!R:R,"ERR",0)))</f>
        <v/>
      </c>
      <c r="Q101" s="87">
        <f ca="1">VALUE(_xlfn.XLOOKUP($A101,Строчный!$A:$A,Строчный!N:N,"ERR",0))</f>
        <v>975.8</v>
      </c>
      <c r="R101" s="86" t="str">
        <f ca="1">_xlfn.XLOOKUP($G101,Фабрика!A:A,Фабрика!B:B,"ERR",0)</f>
        <v>ООО "ФРЭДРИКСОН" Россия 192029, С-Петербург, пр. Обуховской обороны, д.86, лит М</v>
      </c>
      <c r="S101" s="77" t="str">
        <f ca="1">_xlfn.XLOOKUP(RIGHT(AA101,2),Размеры!D:D,Размеры!A:A,"ERR",0)</f>
        <v>57</v>
      </c>
      <c r="T101" s="77">
        <f ca="1">VALUE(_xlfn.XLOOKUP($AA101,Строчный!$S:$S,Строчный!U:U,"ERR",0))</f>
        <v>2</v>
      </c>
      <c r="U101" s="14" t="s">
        <v>241</v>
      </c>
      <c r="V101" s="98" t="str">
        <f t="shared" ca="1" si="25"/>
        <v>Кепка FREDRIKSON арт. 3125-620/21 (черный)</v>
      </c>
      <c r="W101" s="97" t="str">
        <f t="shared" ca="1" si="26"/>
        <v>Кепка FREDRIKSON арт. 3125-620/21 (черный) {620/21}</v>
      </c>
      <c r="X101" s="18" t="str">
        <f t="shared" ca="1" si="27"/>
        <v>черный</v>
      </c>
      <c r="Y101" s="18" t="str">
        <f t="shared" ca="1" si="28"/>
        <v>черный</v>
      </c>
      <c r="Z101" s="109" t="str">
        <f ca="1">_xlfn.LET(_xlpm.FormColors,_xlfn.XLOOKUP(A101,Строчный!A:A,Строчный!Q:Q,"",0),IF(_xlpm.FormColors=0,IFERROR(MID(I101,FIND("-",I101)+1,LEN(I101)),IFERROR(MID(I101,1,FIND("/",I101)-2),I101)),_xlpm.FormColors))</f>
        <v>черный</v>
      </c>
      <c r="AA101" s="70" t="str">
        <f ca="1"/>
        <v>95-087-09-57</v>
      </c>
      <c r="AB101" s="72" t="str">
        <f ca="1">VLOOKUP(C101,Группа!A:B,2,FALSE)</f>
        <v>Кепка</v>
      </c>
      <c r="AC101" s="94" t="str">
        <f ca="1">IFERROR(VLOOKUP(S101,Размеры!A:C,3,FALSE),"")</f>
        <v>57 M</v>
      </c>
      <c r="AD101" s="94" t="str">
        <f ca="1">VLOOKUP(I101,ЦветПолный!A:B,2,FALSE)</f>
        <v>09</v>
      </c>
      <c r="AE101" s="94" t="str">
        <f ca="1">IFERROR(VLOOKUP(S101,Размеры!A:D,4,FALSE),"")</f>
        <v>57</v>
      </c>
      <c r="AF101" s="94">
        <f ca="1">SUMIF(Группа!A:A,C101,Группа!C:C)</f>
        <v>1</v>
      </c>
      <c r="AG101" s="94">
        <f ca="1">SUMIF(Группа!B:B,AB101,Группа!C:C)</f>
        <v>1</v>
      </c>
      <c r="AH101" s="94">
        <f ca="1">SUMIF(Формы!A:A,D101,Формы!B:B)</f>
        <v>1</v>
      </c>
      <c r="AI101" s="94">
        <f ca="1">IF(IFERROR(VLOOKUP(J101,Материал!D:D,1,0),0)&gt;0,1,SUMIF(Материал!A:A,K101,Материал!B:B))</f>
        <v>1</v>
      </c>
      <c r="AJ101" s="94">
        <f ca="1">SUMIF(Размеры!A:A,S101,Размеры!E:E)</f>
        <v>1</v>
      </c>
      <c r="AK101" s="94">
        <f ca="1">SUMIF(Сезон!A:A,F101,Сезон!B:B)</f>
        <v>1</v>
      </c>
      <c r="AL101" s="94">
        <f ca="1">VLOOKUP(I101,ЦветПолный!A:C,3,0)</f>
        <v>1</v>
      </c>
      <c r="AM101" s="94">
        <f ca="1">SUMIF(Цвет!A:A,Z101,Цвет!B:B)</f>
        <v>1</v>
      </c>
      <c r="AN101" s="94">
        <f ca="1">_xlfn.XLOOKUP(L101,Пол!A:A,Пол!B:B,0,0)</f>
        <v>1</v>
      </c>
      <c r="AO101" s="94">
        <f ca="1">SUMIF(Бренд!A:A,G101,Бренд!B:B)</f>
        <v>1</v>
      </c>
      <c r="AP101" s="137">
        <f ca="1">SUMIF(Страна!A:A,M101,Страна!B:B)</f>
        <v>1</v>
      </c>
      <c r="AQ101" s="150" t="str">
        <f t="shared" ca="1" si="29"/>
        <v>Кепка FREDRIKSON арт. 3125-620/21 (черный) {620/21}</v>
      </c>
      <c r="AR101" s="94">
        <f t="shared" ca="1" si="30"/>
        <v>1</v>
      </c>
      <c r="AS101" s="143">
        <f t="shared" ca="1" si="31"/>
        <v>1</v>
      </c>
      <c r="AT101" s="138" t="str">
        <f ca="1">IF(IFERROR(VLOOKUP(W101,Товары!A:B,2,FALSE),"")=A101,"Есть в 1С","ERR")</f>
        <v>ERR</v>
      </c>
      <c r="AU101" s="139" t="str">
        <f ca="1">IF(IFERROR(VLOOKUP(A101,Товары!B:B,1,FALSE),"")=A101,"Есть в 1С","ERR")</f>
        <v>ERR</v>
      </c>
      <c r="AV101" s="93" t="e">
        <f ca="1">VLOOKUP(W101,Товары!A:B,2,FALSE)</f>
        <v>#N/A</v>
      </c>
      <c r="AW101" s="91" t="e">
        <f ca="1">VLOOKUP(W101,Товары!A:B,1,FALSE)</f>
        <v>#N/A</v>
      </c>
    </row>
    <row r="102" spans="1:49" x14ac:dyDescent="0.25">
      <c r="A102" s="105" t="str">
        <f t="shared" ca="1" si="24"/>
        <v>95-087-09</v>
      </c>
      <c r="B102" s="78" t="str">
        <f ca="1">_xlfn.LET(_xlpm.CAPS,VLOOKUP(G102,Caps!A:B,2,0),_xlpm.Style,TRIM(_xlfn.XLOOKUP($A102,Строчный!$A:$A,Строчный!B:B,"ERR",0)),IF(_xlpm.CAPS=0,_xlpm.Style,UPPER(_xlpm.Style)))</f>
        <v>3125-620/21</v>
      </c>
      <c r="C102" s="78" t="str">
        <f ca="1">TRIM(PROPER(_xlfn.XLOOKUP($A102,Строчный!$A:$A,Строчный!C:C,"ERR",0)))</f>
        <v>Кепки</v>
      </c>
      <c r="D102" s="78" t="str">
        <f ca="1">_xlfn.LET(_xlpm.DATA,TRIM(_xlfn.XLOOKUP($A102,Строчный!$A:$A,Строчный!D:D,"ERR",0)),UPPER(MID(_xlpm.DATA,1,1))&amp;LOWER(MID(_xlpm.DATA,2,LEN(_xlpm.DATA)-1)))</f>
        <v>Кепка плоская</v>
      </c>
      <c r="E102" s="78" t="str">
        <f ca="1">PROPER(TRIM(_xlfn.XLOOKUP($A102,Строчный!$A:$A,Строчный!E:E,"ERR",0)))</f>
        <v>Fredrikson</v>
      </c>
      <c r="F102" s="78" t="str">
        <f ca="1">LOWER(TRIM(_xlfn.XLOOKUP($A102,Строчный!$A:$A,Строчный!F:F,"ERR",0)))</f>
        <v>всесезон</v>
      </c>
      <c r="G102" s="78" t="str">
        <f ca="1">UPPER(TRIM(_xlfn.XLOOKUP($A102,Строчный!$A:$A,Строчный!G:G,"ERR",0)))</f>
        <v>FREDRIKSON</v>
      </c>
      <c r="H102" s="78" t="str">
        <f ca="1">LOWER(TRIM(_xlfn.XLOOKUP($A102,Строчный!$A:$A,Строчный!H:H,"ERR",0)))</f>
        <v>620/21</v>
      </c>
      <c r="I102" s="78" t="str">
        <f ca="1">LOWER(TRIM(_xlfn.XLOOKUP($A102,Строчный!$A:$A,Строчный!I:I,"ERR",0)))</f>
        <v>черный</v>
      </c>
      <c r="J102" s="78" t="str">
        <f ca="1">SUBSTITUTE(LOWER(TRIM(_xlfn.XLOOKUP($A102,Строчный!$A:$A,Строчный!J:J,"ERR",0))),"подклад","Подклад")</f>
        <v>80% шерсть - 20% полиамид / Подклад: 100% вискоза</v>
      </c>
      <c r="K102" s="78" t="str">
        <f ca="1">LOWER(TRIM(_xlfn.XLOOKUP($A102,Строчный!$A:$A,Строчный!K:K,"ERR",0)))</f>
        <v>шерстяные</v>
      </c>
      <c r="L102" s="78" t="str">
        <f ca="1">PROPER(TRIM(_xlfn.XLOOKUP($A102,Строчный!$A:$A,Строчный!L:L,"ERR",0)))</f>
        <v>Унисекс</v>
      </c>
      <c r="M102" s="105" t="str">
        <f ca="1">PROPER(TRIM(_xlfn.XLOOKUP($A102,Строчный!$A:$A,Строчный!M:M,"ERR",0)))</f>
        <v>Россия</v>
      </c>
      <c r="N102" s="78" t="str">
        <f ca="1">UPPER(TRIM(_xlfn.XLOOKUP($A102,Строчный!$A:$A,Строчный!O:O,"ERR",0)))</f>
        <v/>
      </c>
      <c r="O102" s="99" t="str">
        <f ca="1">PROPER(TRIM(_xlfn.XLOOKUP($A102,Строчный!$A:$A,Строчный!P:P,"ERR",0)))</f>
        <v/>
      </c>
      <c r="P102" s="78" t="str">
        <f ca="1">PROPER(TRIM(_xlfn.XLOOKUP($A102,Строчный!$A:$A,Строчный!R:R,"ERR",0)))</f>
        <v/>
      </c>
      <c r="Q102" s="87">
        <f ca="1">VALUE(_xlfn.XLOOKUP($A102,Строчный!$A:$A,Строчный!N:N,"ERR",0))</f>
        <v>975.8</v>
      </c>
      <c r="R102" s="86" t="str">
        <f ca="1">_xlfn.XLOOKUP($G102,Фабрика!A:A,Фабрика!B:B,"ERR",0)</f>
        <v>ООО "ФРЭДРИКСОН" Россия 192029, С-Петербург, пр. Обуховской обороны, д.86, лит М</v>
      </c>
      <c r="S102" s="77" t="str">
        <f ca="1">_xlfn.XLOOKUP(RIGHT(AA102,2),Размеры!D:D,Размеры!A:A,"ERR",0)</f>
        <v>56</v>
      </c>
      <c r="T102" s="77">
        <f ca="1">VALUE(_xlfn.XLOOKUP($AA102,Строчный!$S:$S,Строчный!U:U,"ERR",0))</f>
        <v>1</v>
      </c>
      <c r="U102" s="14" t="s">
        <v>241</v>
      </c>
      <c r="V102" s="98" t="str">
        <f t="shared" ca="1" si="25"/>
        <v>Кепка FREDRIKSON арт. 3125-620/21 (черный)</v>
      </c>
      <c r="W102" s="97" t="str">
        <f t="shared" ca="1" si="26"/>
        <v>Кепка FREDRIKSON арт. 3125-620/21 (черный) {620/21}</v>
      </c>
      <c r="X102" s="18" t="str">
        <f t="shared" ca="1" si="27"/>
        <v>черный</v>
      </c>
      <c r="Y102" s="18" t="str">
        <f t="shared" ca="1" si="28"/>
        <v>черный</v>
      </c>
      <c r="Z102" s="109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0" t="str">
        <f ca="1"/>
        <v>95-087-09-56</v>
      </c>
      <c r="AB102" s="72" t="str">
        <f ca="1">VLOOKUP(C102,Группа!A:B,2,FALSE)</f>
        <v>Кепка</v>
      </c>
      <c r="AC102" s="94" t="str">
        <f ca="1">IFERROR(VLOOKUP(S102,Размеры!A:C,3,FALSE),"")</f>
        <v>56 S/M</v>
      </c>
      <c r="AD102" s="94" t="str">
        <f ca="1">VLOOKUP(I102,ЦветПолный!A:B,2,FALSE)</f>
        <v>09</v>
      </c>
      <c r="AE102" s="94" t="str">
        <f ca="1">IFERROR(VLOOKUP(S102,Размеры!A:D,4,FALSE),"")</f>
        <v>56</v>
      </c>
      <c r="AF102" s="94">
        <f ca="1">SUMIF(Группа!A:A,C102,Группа!C:C)</f>
        <v>1</v>
      </c>
      <c r="AG102" s="94">
        <f ca="1">SUMIF(Группа!B:B,AB102,Группа!C:C)</f>
        <v>1</v>
      </c>
      <c r="AH102" s="94">
        <f ca="1">SUMIF(Формы!A:A,D102,Формы!B:B)</f>
        <v>1</v>
      </c>
      <c r="AI102" s="94">
        <f ca="1">IF(IFERROR(VLOOKUP(J102,Материал!D:D,1,0),0)&gt;0,1,SUMIF(Материал!A:A,K102,Материал!B:B))</f>
        <v>1</v>
      </c>
      <c r="AJ102" s="94">
        <f ca="1">SUMIF(Размеры!A:A,S102,Размеры!E:E)</f>
        <v>1</v>
      </c>
      <c r="AK102" s="94">
        <f ca="1">SUMIF(Сезон!A:A,F102,Сезон!B:B)</f>
        <v>1</v>
      </c>
      <c r="AL102" s="94">
        <f ca="1">VLOOKUP(I102,ЦветПолный!A:C,3,0)</f>
        <v>1</v>
      </c>
      <c r="AM102" s="94">
        <f ca="1">SUMIF(Цвет!A:A,Z102,Цвет!B:B)</f>
        <v>1</v>
      </c>
      <c r="AN102" s="94">
        <f ca="1">_xlfn.XLOOKUP(L102,Пол!A:A,Пол!B:B,0,0)</f>
        <v>1</v>
      </c>
      <c r="AO102" s="94">
        <f ca="1">SUMIF(Бренд!A:A,G102,Бренд!B:B)</f>
        <v>1</v>
      </c>
      <c r="AP102" s="137">
        <f ca="1">SUMIF(Страна!A:A,M102,Страна!B:B)</f>
        <v>1</v>
      </c>
      <c r="AQ102" s="150" t="str">
        <f t="shared" ca="1" si="29"/>
        <v>Кепка FREDRIKSON арт. 3125-620/21 (черный) {620/21}</v>
      </c>
      <c r="AR102" s="94">
        <f t="shared" ca="1" si="30"/>
        <v>1</v>
      </c>
      <c r="AS102" s="143">
        <f t="shared" ca="1" si="31"/>
        <v>1</v>
      </c>
      <c r="AT102" s="138" t="str">
        <f ca="1">IF(IFERROR(VLOOKUP(W102,Товары!A:B,2,FALSE),"")=A102,"Есть в 1С","ERR")</f>
        <v>ERR</v>
      </c>
      <c r="AU102" s="139" t="str">
        <f ca="1">IF(IFERROR(VLOOKUP(A102,Товары!B:B,1,FALSE),"")=A102,"Есть в 1С","ERR")</f>
        <v>ERR</v>
      </c>
      <c r="AV102" s="93" t="e">
        <f ca="1">VLOOKUP(W102,Товары!A:B,2,FALSE)</f>
        <v>#N/A</v>
      </c>
      <c r="AW102" s="91" t="e">
        <f ca="1">VLOOKUP(W102,Товары!A:B,1,FALSE)</f>
        <v>#N/A</v>
      </c>
    </row>
    <row r="103" spans="1:49" x14ac:dyDescent="0.25">
      <c r="A103" s="105" t="str">
        <f t="shared" ca="1" si="24"/>
        <v>95-086-06</v>
      </c>
      <c r="B103" s="78" t="str">
        <f ca="1">_xlfn.LET(_xlpm.CAPS,VLOOKUP(G103,Caps!A:B,2,0),_xlpm.Style,TRIM(_xlfn.XLOOKUP($A103,Строчный!$A:$A,Строчный!B:B,"ERR",0)),IF(_xlpm.CAPS=0,_xlpm.Style,UPPER(_xlpm.Style)))</f>
        <v>3125-618/28</v>
      </c>
      <c r="C103" s="78" t="str">
        <f ca="1">TRIM(PROPER(_xlfn.XLOOKUP($A103,Строчный!$A:$A,Строчный!C:C,"ERR",0)))</f>
        <v>Кепки</v>
      </c>
      <c r="D103" s="78" t="str">
        <f ca="1">_xlfn.LET(_xlpm.DATA,TRIM(_xlfn.XLOOKUP($A103,Строчный!$A:$A,Строчный!D:D,"ERR",0)),UPPER(MID(_xlpm.DATA,1,1))&amp;LOWER(MID(_xlpm.DATA,2,LEN(_xlpm.DATA)-1)))</f>
        <v>Кепка плоская</v>
      </c>
      <c r="E103" s="78" t="str">
        <f ca="1">PROPER(TRIM(_xlfn.XLOOKUP($A103,Строчный!$A:$A,Строчный!E:E,"ERR",0)))</f>
        <v>Fredrikson</v>
      </c>
      <c r="F103" s="78" t="str">
        <f ca="1">LOWER(TRIM(_xlfn.XLOOKUP($A103,Строчный!$A:$A,Строчный!F:F,"ERR",0)))</f>
        <v>всесезон</v>
      </c>
      <c r="G103" s="78" t="str">
        <f ca="1">UPPER(TRIM(_xlfn.XLOOKUP($A103,Строчный!$A:$A,Строчный!G:G,"ERR",0)))</f>
        <v>FREDRIKSON</v>
      </c>
      <c r="H103" s="78" t="str">
        <f ca="1">LOWER(TRIM(_xlfn.XLOOKUP($A103,Строчный!$A:$A,Строчный!H:H,"ERR",0)))</f>
        <v>618/28</v>
      </c>
      <c r="I103" s="78" t="str">
        <f ca="1">LOWER(TRIM(_xlfn.XLOOKUP($A103,Строчный!$A:$A,Строчный!I:I,"ERR",0)))</f>
        <v>синий</v>
      </c>
      <c r="J103" s="78" t="str">
        <f ca="1">SUBSTITUTE(LOWER(TRIM(_xlfn.XLOOKUP($A103,Строчный!$A:$A,Строчный!J:J,"ERR",0))),"подклад","Подклад")</f>
        <v>80% шерсть - 20% полиамид / Подклад: 100% вискоза</v>
      </c>
      <c r="K103" s="78" t="str">
        <f ca="1">LOWER(TRIM(_xlfn.XLOOKUP($A103,Строчный!$A:$A,Строчный!K:K,"ERR",0)))</f>
        <v>шерстяные</v>
      </c>
      <c r="L103" s="78" t="str">
        <f ca="1">PROPER(TRIM(_xlfn.XLOOKUP($A103,Строчный!$A:$A,Строчный!L:L,"ERR",0)))</f>
        <v>Унисекс</v>
      </c>
      <c r="M103" s="105" t="str">
        <f ca="1">PROPER(TRIM(_xlfn.XLOOKUP($A103,Строчный!$A:$A,Строчный!M:M,"ERR",0)))</f>
        <v>Россия</v>
      </c>
      <c r="N103" s="78" t="str">
        <f ca="1">UPPER(TRIM(_xlfn.XLOOKUP($A103,Строчный!$A:$A,Строчный!O:O,"ERR",0)))</f>
        <v/>
      </c>
      <c r="O103" s="99" t="str">
        <f ca="1">PROPER(TRIM(_xlfn.XLOOKUP($A103,Строчный!$A:$A,Строчный!P:P,"ERR",0)))</f>
        <v/>
      </c>
      <c r="P103" s="78" t="str">
        <f ca="1">PROPER(TRIM(_xlfn.XLOOKUP($A103,Строчный!$A:$A,Строчный!R:R,"ERR",0)))</f>
        <v/>
      </c>
      <c r="Q103" s="87">
        <f ca="1">VALUE(_xlfn.XLOOKUP($A103,Строчный!$A:$A,Строчный!N:N,"ERR",0))</f>
        <v>975.8</v>
      </c>
      <c r="R103" s="86" t="str">
        <f ca="1">_xlfn.XLOOKUP($G103,Фабрика!A:A,Фабрика!B:B,"ERR",0)</f>
        <v>ООО "ФРЭДРИКСОН" Россия 192029, С-Петербург, пр. Обуховской обороны, д.86, лит М</v>
      </c>
      <c r="S103" s="77" t="str">
        <f ca="1">_xlfn.XLOOKUP(RIGHT(AA103,2),Размеры!D:D,Размеры!A:A,"ERR",0)</f>
        <v>62</v>
      </c>
      <c r="T103" s="77">
        <f ca="1">VALUE(_xlfn.XLOOKUP($AA103,Строчный!$S:$S,Строчный!U:U,"ERR",0))</f>
        <v>2</v>
      </c>
      <c r="U103" s="14" t="s">
        <v>241</v>
      </c>
      <c r="V103" s="98" t="str">
        <f t="shared" ca="1" si="25"/>
        <v>Кепка FREDRIKSON арт. 3125-618/28 (синий)</v>
      </c>
      <c r="W103" s="97" t="str">
        <f t="shared" ca="1" si="26"/>
        <v>Кепка FREDRIKSON арт. 3125-618/28 (синий) {618/28}</v>
      </c>
      <c r="X103" s="18" t="str">
        <f t="shared" ca="1" si="27"/>
        <v>синий</v>
      </c>
      <c r="Y103" s="18" t="str">
        <f t="shared" ca="1" si="28"/>
        <v>синий</v>
      </c>
      <c r="Z103" s="109" t="str">
        <f ca="1">_xlfn.LET(_xlpm.FormColors,_xlfn.XLOOKUP(A103,Строчный!A:A,Строчный!Q:Q,"",0),IF(_xlpm.FormColors=0,IFERROR(MID(I103,FIND("-",I103)+1,LEN(I103)),IFERROR(MID(I103,1,FIND("/",I103)-2),I103)),_xlpm.FormColors))</f>
        <v>синий</v>
      </c>
      <c r="AA103" s="70" t="str">
        <f ca="1"/>
        <v>95-086-06-62</v>
      </c>
      <c r="AB103" s="72" t="str">
        <f ca="1">VLOOKUP(C103,Группа!A:B,2,FALSE)</f>
        <v>Кепка</v>
      </c>
      <c r="AC103" s="94" t="str">
        <f ca="1">IFERROR(VLOOKUP(S103,Размеры!A:C,3,FALSE),"")</f>
        <v>62 XL/XXL</v>
      </c>
      <c r="AD103" s="94" t="str">
        <f ca="1">VLOOKUP(I103,ЦветПолный!A:B,2,FALSE)</f>
        <v>06</v>
      </c>
      <c r="AE103" s="94" t="str">
        <f ca="1">IFERROR(VLOOKUP(S103,Размеры!A:D,4,FALSE),"")</f>
        <v>62</v>
      </c>
      <c r="AF103" s="94">
        <f ca="1">SUMIF(Группа!A:A,C103,Группа!C:C)</f>
        <v>1</v>
      </c>
      <c r="AG103" s="94">
        <f ca="1">SUMIF(Группа!B:B,AB103,Группа!C:C)</f>
        <v>1</v>
      </c>
      <c r="AH103" s="94">
        <f ca="1">SUMIF(Формы!A:A,D103,Формы!B:B)</f>
        <v>1</v>
      </c>
      <c r="AI103" s="94">
        <f ca="1">IF(IFERROR(VLOOKUP(J103,Материал!D:D,1,0),0)&gt;0,1,SUMIF(Материал!A:A,K103,Материал!B:B))</f>
        <v>1</v>
      </c>
      <c r="AJ103" s="94">
        <f ca="1">SUMIF(Размеры!A:A,S103,Размеры!E:E)</f>
        <v>1</v>
      </c>
      <c r="AK103" s="94">
        <f ca="1">SUMIF(Сезон!A:A,F103,Сезон!B:B)</f>
        <v>1</v>
      </c>
      <c r="AL103" s="94">
        <f ca="1">VLOOKUP(I103,ЦветПолный!A:C,3,0)</f>
        <v>1</v>
      </c>
      <c r="AM103" s="94">
        <f ca="1">SUMIF(Цвет!A:A,Z103,Цвет!B:B)</f>
        <v>1</v>
      </c>
      <c r="AN103" s="94">
        <f ca="1">_xlfn.XLOOKUP(L103,Пол!A:A,Пол!B:B,0,0)</f>
        <v>1</v>
      </c>
      <c r="AO103" s="94">
        <f ca="1">SUMIF(Бренд!A:A,G103,Бренд!B:B)</f>
        <v>1</v>
      </c>
      <c r="AP103" s="137">
        <f ca="1">SUMIF(Страна!A:A,M103,Страна!B:B)</f>
        <v>1</v>
      </c>
      <c r="AQ103" s="150" t="str">
        <f t="shared" ca="1" si="29"/>
        <v>Кепка FREDRIKSON арт. 3125-618/28 (синий) {618/28}</v>
      </c>
      <c r="AR103" s="94">
        <f t="shared" ca="1" si="30"/>
        <v>1</v>
      </c>
      <c r="AS103" s="143">
        <f t="shared" ca="1" si="31"/>
        <v>1</v>
      </c>
      <c r="AT103" s="138" t="str">
        <f ca="1">IF(IFERROR(VLOOKUP(W103,Товары!A:B,2,FALSE),"")=A103,"Есть в 1С","ERR")</f>
        <v>ERR</v>
      </c>
      <c r="AU103" s="139" t="str">
        <f ca="1">IF(IFERROR(VLOOKUP(A103,Товары!B:B,1,FALSE),"")=A103,"Есть в 1С","ERR")</f>
        <v>ERR</v>
      </c>
      <c r="AV103" s="93" t="e">
        <f ca="1">VLOOKUP(W103,Товары!A:B,2,FALSE)</f>
        <v>#N/A</v>
      </c>
      <c r="AW103" s="91" t="e">
        <f ca="1">VLOOKUP(W103,Товары!A:B,1,FALSE)</f>
        <v>#N/A</v>
      </c>
    </row>
    <row r="104" spans="1:49" x14ac:dyDescent="0.25">
      <c r="A104" s="105" t="str">
        <f t="shared" ca="1" si="24"/>
        <v>95-086-06</v>
      </c>
      <c r="B104" s="78" t="str">
        <f ca="1">_xlfn.LET(_xlpm.CAPS,VLOOKUP(G104,Caps!A:B,2,0),_xlpm.Style,TRIM(_xlfn.XLOOKUP($A104,Строчный!$A:$A,Строчный!B:B,"ERR",0)),IF(_xlpm.CAPS=0,_xlpm.Style,UPPER(_xlpm.Style)))</f>
        <v>3125-618/28</v>
      </c>
      <c r="C104" s="78" t="str">
        <f ca="1">TRIM(PROPER(_xlfn.XLOOKUP($A104,Строчный!$A:$A,Строчный!C:C,"ERR",0)))</f>
        <v>Кепки</v>
      </c>
      <c r="D104" s="78" t="str">
        <f ca="1">_xlfn.LET(_xlpm.DATA,TRIM(_xlfn.XLOOKUP($A104,Строчный!$A:$A,Строчный!D:D,"ERR",0)),UPPER(MID(_xlpm.DATA,1,1))&amp;LOWER(MID(_xlpm.DATA,2,LEN(_xlpm.DATA)-1)))</f>
        <v>Кепка плоская</v>
      </c>
      <c r="E104" s="78" t="str">
        <f ca="1">PROPER(TRIM(_xlfn.XLOOKUP($A104,Строчный!$A:$A,Строчный!E:E,"ERR",0)))</f>
        <v>Fredrikson</v>
      </c>
      <c r="F104" s="78" t="str">
        <f ca="1">LOWER(TRIM(_xlfn.XLOOKUP($A104,Строчный!$A:$A,Строчный!F:F,"ERR",0)))</f>
        <v>всесезон</v>
      </c>
      <c r="G104" s="78" t="str">
        <f ca="1">UPPER(TRIM(_xlfn.XLOOKUP($A104,Строчный!$A:$A,Строчный!G:G,"ERR",0)))</f>
        <v>FREDRIKSON</v>
      </c>
      <c r="H104" s="78" t="str">
        <f ca="1">LOWER(TRIM(_xlfn.XLOOKUP($A104,Строчный!$A:$A,Строчный!H:H,"ERR",0)))</f>
        <v>618/28</v>
      </c>
      <c r="I104" s="78" t="str">
        <f ca="1">LOWER(TRIM(_xlfn.XLOOKUP($A104,Строчный!$A:$A,Строчный!I:I,"ERR",0)))</f>
        <v>синий</v>
      </c>
      <c r="J104" s="78" t="str">
        <f ca="1">SUBSTITUTE(LOWER(TRIM(_xlfn.XLOOKUP($A104,Строчный!$A:$A,Строчный!J:J,"ERR",0))),"подклад","Подклад")</f>
        <v>80% шерсть - 20% полиамид / Подклад: 100% вискоза</v>
      </c>
      <c r="K104" s="78" t="str">
        <f ca="1">LOWER(TRIM(_xlfn.XLOOKUP($A104,Строчный!$A:$A,Строчный!K:K,"ERR",0)))</f>
        <v>шерстяные</v>
      </c>
      <c r="L104" s="78" t="str">
        <f ca="1">PROPER(TRIM(_xlfn.XLOOKUP($A104,Строчный!$A:$A,Строчный!L:L,"ERR",0)))</f>
        <v>Унисекс</v>
      </c>
      <c r="M104" s="105" t="str">
        <f ca="1">PROPER(TRIM(_xlfn.XLOOKUP($A104,Строчный!$A:$A,Строчный!M:M,"ERR",0)))</f>
        <v>Россия</v>
      </c>
      <c r="N104" s="78" t="str">
        <f ca="1">UPPER(TRIM(_xlfn.XLOOKUP($A104,Строчный!$A:$A,Строчный!O:O,"ERR",0)))</f>
        <v/>
      </c>
      <c r="O104" s="99" t="str">
        <f ca="1">PROPER(TRIM(_xlfn.XLOOKUP($A104,Строчный!$A:$A,Строчный!P:P,"ERR",0)))</f>
        <v/>
      </c>
      <c r="P104" s="78" t="str">
        <f ca="1">PROPER(TRIM(_xlfn.XLOOKUP($A104,Строчный!$A:$A,Строчный!R:R,"ERR",0)))</f>
        <v/>
      </c>
      <c r="Q104" s="87">
        <f ca="1">VALUE(_xlfn.XLOOKUP($A104,Строчный!$A:$A,Строчный!N:N,"ERR",0))</f>
        <v>975.8</v>
      </c>
      <c r="R104" s="86" t="str">
        <f ca="1">_xlfn.XLOOKUP($G104,Фабрика!A:A,Фабрика!B:B,"ERR",0)</f>
        <v>ООО "ФРЭДРИКСОН" Россия 192029, С-Петербург, пр. Обуховской обороны, д.86, лит М</v>
      </c>
      <c r="S104" s="77" t="str">
        <f ca="1">_xlfn.XLOOKUP(RIGHT(AA104,2),Размеры!D:D,Размеры!A:A,"ERR",0)</f>
        <v>61</v>
      </c>
      <c r="T104" s="77">
        <f ca="1">VALUE(_xlfn.XLOOKUP($AA104,Строчный!$S:$S,Строчный!U:U,"ERR",0))</f>
        <v>3</v>
      </c>
      <c r="U104" s="14" t="s">
        <v>241</v>
      </c>
      <c r="V104" s="98" t="str">
        <f t="shared" ca="1" si="25"/>
        <v>Кепка FREDRIKSON арт. 3125-618/28 (синий)</v>
      </c>
      <c r="W104" s="97" t="str">
        <f t="shared" ca="1" si="26"/>
        <v>Кепка FREDRIKSON арт. 3125-618/28 (синий) {618/28}</v>
      </c>
      <c r="X104" s="18" t="str">
        <f t="shared" ca="1" si="27"/>
        <v>синий</v>
      </c>
      <c r="Y104" s="18" t="str">
        <f t="shared" ca="1" si="28"/>
        <v>синий</v>
      </c>
      <c r="Z104" s="109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0" t="str">
        <f ca="1"/>
        <v>95-086-06-61</v>
      </c>
      <c r="AB104" s="72" t="str">
        <f ca="1">VLOOKUP(C104,Группа!A:B,2,FALSE)</f>
        <v>Кепка</v>
      </c>
      <c r="AC104" s="94" t="str">
        <f ca="1">IFERROR(VLOOKUP(S104,Размеры!A:C,3,FALSE),"")</f>
        <v>61 XL</v>
      </c>
      <c r="AD104" s="94" t="str">
        <f ca="1">VLOOKUP(I104,ЦветПолный!A:B,2,FALSE)</f>
        <v>06</v>
      </c>
      <c r="AE104" s="94" t="str">
        <f ca="1">IFERROR(VLOOKUP(S104,Размеры!A:D,4,FALSE),"")</f>
        <v>61</v>
      </c>
      <c r="AF104" s="94">
        <f ca="1">SUMIF(Группа!A:A,C104,Группа!C:C)</f>
        <v>1</v>
      </c>
      <c r="AG104" s="94">
        <f ca="1">SUMIF(Группа!B:B,AB104,Группа!C:C)</f>
        <v>1</v>
      </c>
      <c r="AH104" s="94">
        <f ca="1">SUMIF(Формы!A:A,D104,Формы!B:B)</f>
        <v>1</v>
      </c>
      <c r="AI104" s="94">
        <f ca="1">IF(IFERROR(VLOOKUP(J104,Материал!D:D,1,0),0)&gt;0,1,SUMIF(Материал!A:A,K104,Материал!B:B))</f>
        <v>1</v>
      </c>
      <c r="AJ104" s="94">
        <f ca="1">SUMIF(Размеры!A:A,S104,Размеры!E:E)</f>
        <v>1</v>
      </c>
      <c r="AK104" s="94">
        <f ca="1">SUMIF(Сезон!A:A,F104,Сезон!B:B)</f>
        <v>1</v>
      </c>
      <c r="AL104" s="94">
        <f ca="1">VLOOKUP(I104,ЦветПолный!A:C,3,0)</f>
        <v>1</v>
      </c>
      <c r="AM104" s="94">
        <f ca="1">SUMIF(Цвет!A:A,Z104,Цвет!B:B)</f>
        <v>1</v>
      </c>
      <c r="AN104" s="94">
        <f ca="1">_xlfn.XLOOKUP(L104,Пол!A:A,Пол!B:B,0,0)</f>
        <v>1</v>
      </c>
      <c r="AO104" s="94">
        <f ca="1">SUMIF(Бренд!A:A,G104,Бренд!B:B)</f>
        <v>1</v>
      </c>
      <c r="AP104" s="137">
        <f ca="1">SUMIF(Страна!A:A,M104,Страна!B:B)</f>
        <v>1</v>
      </c>
      <c r="AQ104" s="150" t="str">
        <f t="shared" ca="1" si="29"/>
        <v>Кепка FREDRIKSON арт. 3125-618/28 (синий) {618/28}</v>
      </c>
      <c r="AR104" s="94">
        <f t="shared" ca="1" si="30"/>
        <v>1</v>
      </c>
      <c r="AS104" s="143">
        <f t="shared" ca="1" si="31"/>
        <v>1</v>
      </c>
      <c r="AT104" s="138" t="str">
        <f ca="1">IF(IFERROR(VLOOKUP(W104,Товары!A:B,2,FALSE),"")=A104,"Есть в 1С","ERR")</f>
        <v>ERR</v>
      </c>
      <c r="AU104" s="139" t="str">
        <f ca="1">IF(IFERROR(VLOOKUP(A104,Товары!B:B,1,FALSE),"")=A104,"Есть в 1С","ERR")</f>
        <v>ERR</v>
      </c>
      <c r="AV104" s="93" t="e">
        <f ca="1">VLOOKUP(W104,Товары!A:B,2,FALSE)</f>
        <v>#N/A</v>
      </c>
      <c r="AW104" s="91" t="e">
        <f ca="1">VLOOKUP(W104,Товары!A:B,1,FALSE)</f>
        <v>#N/A</v>
      </c>
    </row>
    <row r="105" spans="1:49" x14ac:dyDescent="0.25">
      <c r="A105" s="105" t="str">
        <f t="shared" ca="1" si="24"/>
        <v>95-086-06</v>
      </c>
      <c r="B105" s="78" t="str">
        <f ca="1">_xlfn.LET(_xlpm.CAPS,VLOOKUP(G105,Caps!A:B,2,0),_xlpm.Style,TRIM(_xlfn.XLOOKUP($A105,Строчный!$A:$A,Строчный!B:B,"ERR",0)),IF(_xlpm.CAPS=0,_xlpm.Style,UPPER(_xlpm.Style)))</f>
        <v>3125-618/28</v>
      </c>
      <c r="C105" s="78" t="str">
        <f ca="1">TRIM(PROPER(_xlfn.XLOOKUP($A105,Строчный!$A:$A,Строчный!C:C,"ERR",0)))</f>
        <v>Кепки</v>
      </c>
      <c r="D105" s="78" t="str">
        <f ca="1">_xlfn.LET(_xlpm.DATA,TRIM(_xlfn.XLOOKUP($A105,Строчный!$A:$A,Строчный!D:D,"ERR",0)),UPPER(MID(_xlpm.DATA,1,1))&amp;LOWER(MID(_xlpm.DATA,2,LEN(_xlpm.DATA)-1)))</f>
        <v>Кепка плоская</v>
      </c>
      <c r="E105" s="78" t="str">
        <f ca="1">PROPER(TRIM(_xlfn.XLOOKUP($A105,Строчный!$A:$A,Строчный!E:E,"ERR",0)))</f>
        <v>Fredrikson</v>
      </c>
      <c r="F105" s="78" t="str">
        <f ca="1">LOWER(TRIM(_xlfn.XLOOKUP($A105,Строчный!$A:$A,Строчный!F:F,"ERR",0)))</f>
        <v>всесезон</v>
      </c>
      <c r="G105" s="78" t="str">
        <f ca="1">UPPER(TRIM(_xlfn.XLOOKUP($A105,Строчный!$A:$A,Строчный!G:G,"ERR",0)))</f>
        <v>FREDRIKSON</v>
      </c>
      <c r="H105" s="78" t="str">
        <f ca="1">LOWER(TRIM(_xlfn.XLOOKUP($A105,Строчный!$A:$A,Строчный!H:H,"ERR",0)))</f>
        <v>618/28</v>
      </c>
      <c r="I105" s="78" t="str">
        <f ca="1">LOWER(TRIM(_xlfn.XLOOKUP($A105,Строчный!$A:$A,Строчный!I:I,"ERR",0)))</f>
        <v>синий</v>
      </c>
      <c r="J105" s="78" t="str">
        <f ca="1">SUBSTITUTE(LOWER(TRIM(_xlfn.XLOOKUP($A105,Строчный!$A:$A,Строчный!J:J,"ERR",0))),"подклад","Подклад")</f>
        <v>80% шерсть - 20% полиамид / Подклад: 100% вискоза</v>
      </c>
      <c r="K105" s="78" t="str">
        <f ca="1">LOWER(TRIM(_xlfn.XLOOKUP($A105,Строчный!$A:$A,Строчный!K:K,"ERR",0)))</f>
        <v>шерстяные</v>
      </c>
      <c r="L105" s="78" t="str">
        <f ca="1">PROPER(TRIM(_xlfn.XLOOKUP($A105,Строчный!$A:$A,Строчный!L:L,"ERR",0)))</f>
        <v>Унисекс</v>
      </c>
      <c r="M105" s="105" t="str">
        <f ca="1">PROPER(TRIM(_xlfn.XLOOKUP($A105,Строчный!$A:$A,Строчный!M:M,"ERR",0)))</f>
        <v>Россия</v>
      </c>
      <c r="N105" s="78" t="str">
        <f ca="1">UPPER(TRIM(_xlfn.XLOOKUP($A105,Строчный!$A:$A,Строчный!O:O,"ERR",0)))</f>
        <v/>
      </c>
      <c r="O105" s="99" t="str">
        <f ca="1">PROPER(TRIM(_xlfn.XLOOKUP($A105,Строчный!$A:$A,Строчный!P:P,"ERR",0)))</f>
        <v/>
      </c>
      <c r="P105" s="78" t="str">
        <f ca="1">PROPER(TRIM(_xlfn.XLOOKUP($A105,Строчный!$A:$A,Строчный!R:R,"ERR",0)))</f>
        <v/>
      </c>
      <c r="Q105" s="87">
        <f ca="1">VALUE(_xlfn.XLOOKUP($A105,Строчный!$A:$A,Строчный!N:N,"ERR",0))</f>
        <v>975.8</v>
      </c>
      <c r="R105" s="86" t="str">
        <f ca="1">_xlfn.XLOOKUP($G105,Фабрика!A:A,Фабрика!B:B,"ERR",0)</f>
        <v>ООО "ФРЭДРИКСОН" Россия 192029, С-Петербург, пр. Обуховской обороны, д.86, лит М</v>
      </c>
      <c r="S105" s="77" t="str">
        <f ca="1">_xlfn.XLOOKUP(RIGHT(AA105,2),Размеры!D:D,Размеры!A:A,"ERR",0)</f>
        <v>60</v>
      </c>
      <c r="T105" s="77">
        <f ca="1">VALUE(_xlfn.XLOOKUP($AA105,Строчный!$S:$S,Строчный!U:U,"ERR",0))</f>
        <v>4</v>
      </c>
      <c r="U105" s="14" t="s">
        <v>241</v>
      </c>
      <c r="V105" s="98" t="str">
        <f t="shared" ca="1" si="25"/>
        <v>Кепка FREDRIKSON арт. 3125-618/28 (синий)</v>
      </c>
      <c r="W105" s="97" t="str">
        <f t="shared" ca="1" si="26"/>
        <v>Кепка FREDRIKSON арт. 3125-618/28 (синий) {618/28}</v>
      </c>
      <c r="X105" s="18" t="str">
        <f t="shared" ca="1" si="27"/>
        <v>синий</v>
      </c>
      <c r="Y105" s="18" t="str">
        <f t="shared" ca="1" si="28"/>
        <v>синий</v>
      </c>
      <c r="Z105" s="109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0" t="str">
        <f ca="1"/>
        <v>95-086-06-60</v>
      </c>
      <c r="AB105" s="72" t="str">
        <f ca="1">VLOOKUP(C105,Группа!A:B,2,FALSE)</f>
        <v>Кепка</v>
      </c>
      <c r="AC105" s="94" t="str">
        <f ca="1">IFERROR(VLOOKUP(S105,Размеры!A:C,3,FALSE),"")</f>
        <v>60 L/XL</v>
      </c>
      <c r="AD105" s="94" t="str">
        <f ca="1">VLOOKUP(I105,ЦветПолный!A:B,2,FALSE)</f>
        <v>06</v>
      </c>
      <c r="AE105" s="94" t="str">
        <f ca="1">IFERROR(VLOOKUP(S105,Размеры!A:D,4,FALSE),"")</f>
        <v>60</v>
      </c>
      <c r="AF105" s="94">
        <f ca="1">SUMIF(Группа!A:A,C105,Группа!C:C)</f>
        <v>1</v>
      </c>
      <c r="AG105" s="94">
        <f ca="1">SUMIF(Группа!B:B,AB105,Группа!C:C)</f>
        <v>1</v>
      </c>
      <c r="AH105" s="94">
        <f ca="1">SUMIF(Формы!A:A,D105,Формы!B:B)</f>
        <v>1</v>
      </c>
      <c r="AI105" s="94">
        <f ca="1">IF(IFERROR(VLOOKUP(J105,Материал!D:D,1,0),0)&gt;0,1,SUMIF(Материал!A:A,K105,Материал!B:B))</f>
        <v>1</v>
      </c>
      <c r="AJ105" s="94">
        <f ca="1">SUMIF(Размеры!A:A,S105,Размеры!E:E)</f>
        <v>1</v>
      </c>
      <c r="AK105" s="94">
        <f ca="1">SUMIF(Сезон!A:A,F105,Сезон!B:B)</f>
        <v>1</v>
      </c>
      <c r="AL105" s="94">
        <f ca="1">VLOOKUP(I105,ЦветПолный!A:C,3,0)</f>
        <v>1</v>
      </c>
      <c r="AM105" s="94">
        <f ca="1">SUMIF(Цвет!A:A,Z105,Цвет!B:B)</f>
        <v>1</v>
      </c>
      <c r="AN105" s="94">
        <f ca="1">_xlfn.XLOOKUP(L105,Пол!A:A,Пол!B:B,0,0)</f>
        <v>1</v>
      </c>
      <c r="AO105" s="94">
        <f ca="1">SUMIF(Бренд!A:A,G105,Бренд!B:B)</f>
        <v>1</v>
      </c>
      <c r="AP105" s="137">
        <f ca="1">SUMIF(Страна!A:A,M105,Страна!B:B)</f>
        <v>1</v>
      </c>
      <c r="AQ105" s="150" t="str">
        <f t="shared" ca="1" si="29"/>
        <v>Кепка FREDRIKSON арт. 3125-618/28 (синий) {618/28}</v>
      </c>
      <c r="AR105" s="94">
        <f t="shared" ca="1" si="30"/>
        <v>1</v>
      </c>
      <c r="AS105" s="143">
        <f t="shared" ca="1" si="31"/>
        <v>1</v>
      </c>
      <c r="AT105" s="138" t="str">
        <f ca="1">IF(IFERROR(VLOOKUP(W105,Товары!A:B,2,FALSE),"")=A105,"Есть в 1С","ERR")</f>
        <v>ERR</v>
      </c>
      <c r="AU105" s="139" t="str">
        <f ca="1">IF(IFERROR(VLOOKUP(A105,Товары!B:B,1,FALSE),"")=A105,"Есть в 1С","ERR")</f>
        <v>ERR</v>
      </c>
      <c r="AV105" s="93" t="e">
        <f ca="1">VLOOKUP(W105,Товары!A:B,2,FALSE)</f>
        <v>#N/A</v>
      </c>
      <c r="AW105" s="91" t="e">
        <f ca="1">VLOOKUP(W105,Товары!A:B,1,FALSE)</f>
        <v>#N/A</v>
      </c>
    </row>
    <row r="106" spans="1:49" x14ac:dyDescent="0.25">
      <c r="A106" s="105" t="str">
        <f t="shared" ca="1" si="24"/>
        <v>95-086-06</v>
      </c>
      <c r="B106" s="78" t="str">
        <f ca="1">_xlfn.LET(_xlpm.CAPS,VLOOKUP(G106,Caps!A:B,2,0),_xlpm.Style,TRIM(_xlfn.XLOOKUP($A106,Строчный!$A:$A,Строчный!B:B,"ERR",0)),IF(_xlpm.CAPS=0,_xlpm.Style,UPPER(_xlpm.Style)))</f>
        <v>3125-618/28</v>
      </c>
      <c r="C106" s="78" t="str">
        <f ca="1">TRIM(PROPER(_xlfn.XLOOKUP($A106,Строчный!$A:$A,Строчный!C:C,"ERR",0)))</f>
        <v>Кепки</v>
      </c>
      <c r="D106" s="78" t="str">
        <f ca="1">_xlfn.LET(_xlpm.DATA,TRIM(_xlfn.XLOOKUP($A106,Строчный!$A:$A,Строчный!D:D,"ERR",0)),UPPER(MID(_xlpm.DATA,1,1))&amp;LOWER(MID(_xlpm.DATA,2,LEN(_xlpm.DATA)-1)))</f>
        <v>Кепка плоская</v>
      </c>
      <c r="E106" s="78" t="str">
        <f ca="1">PROPER(TRIM(_xlfn.XLOOKUP($A106,Строчный!$A:$A,Строчный!E:E,"ERR",0)))</f>
        <v>Fredrikson</v>
      </c>
      <c r="F106" s="78" t="str">
        <f ca="1">LOWER(TRIM(_xlfn.XLOOKUP($A106,Строчный!$A:$A,Строчный!F:F,"ERR",0)))</f>
        <v>всесезон</v>
      </c>
      <c r="G106" s="78" t="str">
        <f ca="1">UPPER(TRIM(_xlfn.XLOOKUP($A106,Строчный!$A:$A,Строчный!G:G,"ERR",0)))</f>
        <v>FREDRIKSON</v>
      </c>
      <c r="H106" s="78" t="str">
        <f ca="1">LOWER(TRIM(_xlfn.XLOOKUP($A106,Строчный!$A:$A,Строчный!H:H,"ERR",0)))</f>
        <v>618/28</v>
      </c>
      <c r="I106" s="78" t="str">
        <f ca="1">LOWER(TRIM(_xlfn.XLOOKUP($A106,Строчный!$A:$A,Строчный!I:I,"ERR",0)))</f>
        <v>синий</v>
      </c>
      <c r="J106" s="78" t="str">
        <f ca="1">SUBSTITUTE(LOWER(TRIM(_xlfn.XLOOKUP($A106,Строчный!$A:$A,Строчный!J:J,"ERR",0))),"подклад","Подклад")</f>
        <v>80% шерсть - 20% полиамид / Подклад: 100% вискоза</v>
      </c>
      <c r="K106" s="78" t="str">
        <f ca="1">LOWER(TRIM(_xlfn.XLOOKUP($A106,Строчный!$A:$A,Строчный!K:K,"ERR",0)))</f>
        <v>шерстяные</v>
      </c>
      <c r="L106" s="78" t="str">
        <f ca="1">PROPER(TRIM(_xlfn.XLOOKUP($A106,Строчный!$A:$A,Строчный!L:L,"ERR",0)))</f>
        <v>Унисекс</v>
      </c>
      <c r="M106" s="105" t="str">
        <f ca="1">PROPER(TRIM(_xlfn.XLOOKUP($A106,Строчный!$A:$A,Строчный!M:M,"ERR",0)))</f>
        <v>Россия</v>
      </c>
      <c r="N106" s="78" t="str">
        <f ca="1">UPPER(TRIM(_xlfn.XLOOKUP($A106,Строчный!$A:$A,Строчный!O:O,"ERR",0)))</f>
        <v/>
      </c>
      <c r="O106" s="99" t="str">
        <f ca="1">PROPER(TRIM(_xlfn.XLOOKUP($A106,Строчный!$A:$A,Строчный!P:P,"ERR",0)))</f>
        <v/>
      </c>
      <c r="P106" s="78" t="str">
        <f ca="1">PROPER(TRIM(_xlfn.XLOOKUP($A106,Строчный!$A:$A,Строчный!R:R,"ERR",0)))</f>
        <v/>
      </c>
      <c r="Q106" s="87">
        <f ca="1">VALUE(_xlfn.XLOOKUP($A106,Строчный!$A:$A,Строчный!N:N,"ERR",0))</f>
        <v>975.8</v>
      </c>
      <c r="R106" s="86" t="str">
        <f ca="1">_xlfn.XLOOKUP($G106,Фабрика!A:A,Фабрика!B:B,"ERR",0)</f>
        <v>ООО "ФРЭДРИКСОН" Россия 192029, С-Петербург, пр. Обуховской обороны, д.86, лит М</v>
      </c>
      <c r="S106" s="77" t="str">
        <f ca="1">_xlfn.XLOOKUP(RIGHT(AA106,2),Размеры!D:D,Размеры!A:A,"ERR",0)</f>
        <v>59</v>
      </c>
      <c r="T106" s="77">
        <f ca="1">VALUE(_xlfn.XLOOKUP($AA106,Строчный!$S:$S,Строчный!U:U,"ERR",0))</f>
        <v>6</v>
      </c>
      <c r="U106" s="14" t="s">
        <v>241</v>
      </c>
      <c r="V106" s="98" t="str">
        <f t="shared" ca="1" si="25"/>
        <v>Кепка FREDRIKSON арт. 3125-618/28 (синий)</v>
      </c>
      <c r="W106" s="97" t="str">
        <f t="shared" ca="1" si="26"/>
        <v>Кепка FREDRIKSON арт. 3125-618/28 (синий) {618/28}</v>
      </c>
      <c r="X106" s="18" t="str">
        <f t="shared" ca="1" si="27"/>
        <v>синий</v>
      </c>
      <c r="Y106" s="18" t="str">
        <f t="shared" ca="1" si="28"/>
        <v>синий</v>
      </c>
      <c r="Z106" s="109" t="str">
        <f ca="1">_xlfn.LET(_xlpm.FormColors,_xlfn.XLOOKUP(A106,Строчный!A:A,Строчный!Q:Q,"",0),IF(_xlpm.FormColors=0,IFERROR(MID(I106,FIND("-",I106)+1,LEN(I106)),IFERROR(MID(I106,1,FIND("/",I106)-2),I106)),_xlpm.FormColors))</f>
        <v>синий</v>
      </c>
      <c r="AA106" s="70" t="str">
        <f ca="1"/>
        <v>95-086-06-59</v>
      </c>
      <c r="AB106" s="72" t="str">
        <f ca="1">VLOOKUP(C106,Группа!A:B,2,FALSE)</f>
        <v>Кепка</v>
      </c>
      <c r="AC106" s="94" t="str">
        <f ca="1">IFERROR(VLOOKUP(S106,Размеры!A:C,3,FALSE),"")</f>
        <v>59 L</v>
      </c>
      <c r="AD106" s="94" t="str">
        <f ca="1">VLOOKUP(I106,ЦветПолный!A:B,2,FALSE)</f>
        <v>06</v>
      </c>
      <c r="AE106" s="94" t="str">
        <f ca="1">IFERROR(VLOOKUP(S106,Размеры!A:D,4,FALSE),"")</f>
        <v>59</v>
      </c>
      <c r="AF106" s="94">
        <f ca="1">SUMIF(Группа!A:A,C106,Группа!C:C)</f>
        <v>1</v>
      </c>
      <c r="AG106" s="94">
        <f ca="1">SUMIF(Группа!B:B,AB106,Группа!C:C)</f>
        <v>1</v>
      </c>
      <c r="AH106" s="94">
        <f ca="1">SUMIF(Формы!A:A,D106,Формы!B:B)</f>
        <v>1</v>
      </c>
      <c r="AI106" s="94">
        <f ca="1">IF(IFERROR(VLOOKUP(J106,Материал!D:D,1,0),0)&gt;0,1,SUMIF(Материал!A:A,K106,Материал!B:B))</f>
        <v>1</v>
      </c>
      <c r="AJ106" s="94">
        <f ca="1">SUMIF(Размеры!A:A,S106,Размеры!E:E)</f>
        <v>1</v>
      </c>
      <c r="AK106" s="94">
        <f ca="1">SUMIF(Сезон!A:A,F106,Сезон!B:B)</f>
        <v>1</v>
      </c>
      <c r="AL106" s="94">
        <f ca="1">VLOOKUP(I106,ЦветПолный!A:C,3,0)</f>
        <v>1</v>
      </c>
      <c r="AM106" s="94">
        <f ca="1">SUMIF(Цвет!A:A,Z106,Цвет!B:B)</f>
        <v>1</v>
      </c>
      <c r="AN106" s="94">
        <f ca="1">_xlfn.XLOOKUP(L106,Пол!A:A,Пол!B:B,0,0)</f>
        <v>1</v>
      </c>
      <c r="AO106" s="94">
        <f ca="1">SUMIF(Бренд!A:A,G106,Бренд!B:B)</f>
        <v>1</v>
      </c>
      <c r="AP106" s="137">
        <f ca="1">SUMIF(Страна!A:A,M106,Страна!B:B)</f>
        <v>1</v>
      </c>
      <c r="AQ106" s="150" t="str">
        <f t="shared" ca="1" si="29"/>
        <v>Кепка FREDRIKSON арт. 3125-618/28 (синий) {618/28}</v>
      </c>
      <c r="AR106" s="94">
        <f t="shared" ca="1" si="30"/>
        <v>1</v>
      </c>
      <c r="AS106" s="143">
        <f t="shared" ca="1" si="31"/>
        <v>1</v>
      </c>
      <c r="AT106" s="138" t="str">
        <f ca="1">IF(IFERROR(VLOOKUP(W106,Товары!A:B,2,FALSE),"")=A106,"Есть в 1С","ERR")</f>
        <v>ERR</v>
      </c>
      <c r="AU106" s="139" t="str">
        <f ca="1">IF(IFERROR(VLOOKUP(A106,Товары!B:B,1,FALSE),"")=A106,"Есть в 1С","ERR")</f>
        <v>ERR</v>
      </c>
      <c r="AV106" s="93" t="e">
        <f ca="1">VLOOKUP(W106,Товары!A:B,2,FALSE)</f>
        <v>#N/A</v>
      </c>
      <c r="AW106" s="91" t="e">
        <f ca="1">VLOOKUP(W106,Товары!A:B,1,FALSE)</f>
        <v>#N/A</v>
      </c>
    </row>
    <row r="107" spans="1:49" x14ac:dyDescent="0.25">
      <c r="A107" s="105" t="str">
        <f t="shared" ca="1" si="24"/>
        <v>95-086-06</v>
      </c>
      <c r="B107" s="78" t="str">
        <f ca="1">_xlfn.LET(_xlpm.CAPS,VLOOKUP(G107,Caps!A:B,2,0),_xlpm.Style,TRIM(_xlfn.XLOOKUP($A107,Строчный!$A:$A,Строчный!B:B,"ERR",0)),IF(_xlpm.CAPS=0,_xlpm.Style,UPPER(_xlpm.Style)))</f>
        <v>3125-618/28</v>
      </c>
      <c r="C107" s="78" t="str">
        <f ca="1">TRIM(PROPER(_xlfn.XLOOKUP($A107,Строчный!$A:$A,Строчный!C:C,"ERR",0)))</f>
        <v>Кепки</v>
      </c>
      <c r="D107" s="78" t="str">
        <f ca="1">_xlfn.LET(_xlpm.DATA,TRIM(_xlfn.XLOOKUP($A107,Строчный!$A:$A,Строчный!D:D,"ERR",0)),UPPER(MID(_xlpm.DATA,1,1))&amp;LOWER(MID(_xlpm.DATA,2,LEN(_xlpm.DATA)-1)))</f>
        <v>Кепка плоская</v>
      </c>
      <c r="E107" s="78" t="str">
        <f ca="1">PROPER(TRIM(_xlfn.XLOOKUP($A107,Строчный!$A:$A,Строчный!E:E,"ERR",0)))</f>
        <v>Fredrikson</v>
      </c>
      <c r="F107" s="78" t="str">
        <f ca="1">LOWER(TRIM(_xlfn.XLOOKUP($A107,Строчный!$A:$A,Строчный!F:F,"ERR",0)))</f>
        <v>всесезон</v>
      </c>
      <c r="G107" s="78" t="str">
        <f ca="1">UPPER(TRIM(_xlfn.XLOOKUP($A107,Строчный!$A:$A,Строчный!G:G,"ERR",0)))</f>
        <v>FREDRIKSON</v>
      </c>
      <c r="H107" s="78" t="str">
        <f ca="1">LOWER(TRIM(_xlfn.XLOOKUP($A107,Строчный!$A:$A,Строчный!H:H,"ERR",0)))</f>
        <v>618/28</v>
      </c>
      <c r="I107" s="78" t="str">
        <f ca="1">LOWER(TRIM(_xlfn.XLOOKUP($A107,Строчный!$A:$A,Строчный!I:I,"ERR",0)))</f>
        <v>синий</v>
      </c>
      <c r="J107" s="78" t="str">
        <f ca="1">SUBSTITUTE(LOWER(TRIM(_xlfn.XLOOKUP($A107,Строчный!$A:$A,Строчный!J:J,"ERR",0))),"подклад","Подклад")</f>
        <v>80% шерсть - 20% полиамид / Подклад: 100% вискоза</v>
      </c>
      <c r="K107" s="78" t="str">
        <f ca="1">LOWER(TRIM(_xlfn.XLOOKUP($A107,Строчный!$A:$A,Строчный!K:K,"ERR",0)))</f>
        <v>шерстяные</v>
      </c>
      <c r="L107" s="78" t="str">
        <f ca="1">PROPER(TRIM(_xlfn.XLOOKUP($A107,Строчный!$A:$A,Строчный!L:L,"ERR",0)))</f>
        <v>Унисекс</v>
      </c>
      <c r="M107" s="105" t="str">
        <f ca="1">PROPER(TRIM(_xlfn.XLOOKUP($A107,Строчный!$A:$A,Строчный!M:M,"ERR",0)))</f>
        <v>Россия</v>
      </c>
      <c r="N107" s="78" t="str">
        <f ca="1">UPPER(TRIM(_xlfn.XLOOKUP($A107,Строчный!$A:$A,Строчный!O:O,"ERR",0)))</f>
        <v/>
      </c>
      <c r="O107" s="99" t="str">
        <f ca="1">PROPER(TRIM(_xlfn.XLOOKUP($A107,Строчный!$A:$A,Строчный!P:P,"ERR",0)))</f>
        <v/>
      </c>
      <c r="P107" s="78" t="str">
        <f ca="1">PROPER(TRIM(_xlfn.XLOOKUP($A107,Строчный!$A:$A,Строчный!R:R,"ERR",0)))</f>
        <v/>
      </c>
      <c r="Q107" s="87">
        <f ca="1">VALUE(_xlfn.XLOOKUP($A107,Строчный!$A:$A,Строчный!N:N,"ERR",0))</f>
        <v>975.8</v>
      </c>
      <c r="R107" s="86" t="str">
        <f ca="1">_xlfn.XLOOKUP($G107,Фабрика!A:A,Фабрика!B:B,"ERR",0)</f>
        <v>ООО "ФРЭДРИКСОН" Россия 192029, С-Петербург, пр. Обуховской обороны, д.86, лит М</v>
      </c>
      <c r="S107" s="77" t="str">
        <f ca="1">_xlfn.XLOOKUP(RIGHT(AA107,2),Размеры!D:D,Размеры!A:A,"ERR",0)</f>
        <v>58</v>
      </c>
      <c r="T107" s="77">
        <f ca="1">VALUE(_xlfn.XLOOKUP($AA107,Строчный!$S:$S,Строчный!U:U,"ERR",0))</f>
        <v>4</v>
      </c>
      <c r="U107" s="14" t="s">
        <v>241</v>
      </c>
      <c r="V107" s="98" t="str">
        <f t="shared" ca="1" si="25"/>
        <v>Кепка FREDRIKSON арт. 3125-618/28 (синий)</v>
      </c>
      <c r="W107" s="97" t="str">
        <f t="shared" ca="1" si="26"/>
        <v>Кепка FREDRIKSON арт. 3125-618/28 (синий) {618/28}</v>
      </c>
      <c r="X107" s="18" t="str">
        <f t="shared" ca="1" si="27"/>
        <v>синий</v>
      </c>
      <c r="Y107" s="18" t="str">
        <f t="shared" ca="1" si="28"/>
        <v>синий</v>
      </c>
      <c r="Z107" s="109" t="str">
        <f ca="1">_xlfn.LET(_xlpm.FormColors,_xlfn.XLOOKUP(A107,Строчный!A:A,Строчный!Q:Q,"",0),IF(_xlpm.FormColors=0,IFERROR(MID(I107,FIND("-",I107)+1,LEN(I107)),IFERROR(MID(I107,1,FIND("/",I107)-2),I107)),_xlpm.FormColors))</f>
        <v>синий</v>
      </c>
      <c r="AA107" s="70" t="str">
        <f ca="1"/>
        <v>95-086-06-58</v>
      </c>
      <c r="AB107" s="72" t="str">
        <f ca="1">VLOOKUP(C107,Группа!A:B,2,FALSE)</f>
        <v>Кепка</v>
      </c>
      <c r="AC107" s="94" t="str">
        <f ca="1">IFERROR(VLOOKUP(S107,Размеры!A:C,3,FALSE),"")</f>
        <v>58 M/L</v>
      </c>
      <c r="AD107" s="94" t="str">
        <f ca="1">VLOOKUP(I107,ЦветПолный!A:B,2,FALSE)</f>
        <v>06</v>
      </c>
      <c r="AE107" s="94" t="str">
        <f ca="1">IFERROR(VLOOKUP(S107,Размеры!A:D,4,FALSE),"")</f>
        <v>58</v>
      </c>
      <c r="AF107" s="94">
        <f ca="1">SUMIF(Группа!A:A,C107,Группа!C:C)</f>
        <v>1</v>
      </c>
      <c r="AG107" s="94">
        <f ca="1">SUMIF(Группа!B:B,AB107,Группа!C:C)</f>
        <v>1</v>
      </c>
      <c r="AH107" s="94">
        <f ca="1">SUMIF(Формы!A:A,D107,Формы!B:B)</f>
        <v>1</v>
      </c>
      <c r="AI107" s="94">
        <f ca="1">IF(IFERROR(VLOOKUP(J107,Материал!D:D,1,0),0)&gt;0,1,SUMIF(Материал!A:A,K107,Материал!B:B))</f>
        <v>1</v>
      </c>
      <c r="AJ107" s="94">
        <f ca="1">SUMIF(Размеры!A:A,S107,Размеры!E:E)</f>
        <v>1</v>
      </c>
      <c r="AK107" s="94">
        <f ca="1">SUMIF(Сезон!A:A,F107,Сезон!B:B)</f>
        <v>1</v>
      </c>
      <c r="AL107" s="94">
        <f ca="1">VLOOKUP(I107,ЦветПолный!A:C,3,0)</f>
        <v>1</v>
      </c>
      <c r="AM107" s="94">
        <f ca="1">SUMIF(Цвет!A:A,Z107,Цвет!B:B)</f>
        <v>1</v>
      </c>
      <c r="AN107" s="94">
        <f ca="1">_xlfn.XLOOKUP(L107,Пол!A:A,Пол!B:B,0,0)</f>
        <v>1</v>
      </c>
      <c r="AO107" s="94">
        <f ca="1">SUMIF(Бренд!A:A,G107,Бренд!B:B)</f>
        <v>1</v>
      </c>
      <c r="AP107" s="137">
        <f ca="1">SUMIF(Страна!A:A,M107,Страна!B:B)</f>
        <v>1</v>
      </c>
      <c r="AQ107" s="150" t="str">
        <f t="shared" ca="1" si="29"/>
        <v>Кепка FREDRIKSON арт. 3125-618/28 (синий) {618/28}</v>
      </c>
      <c r="AR107" s="94">
        <f t="shared" ca="1" si="30"/>
        <v>1</v>
      </c>
      <c r="AS107" s="143">
        <f t="shared" ca="1" si="31"/>
        <v>1</v>
      </c>
      <c r="AT107" s="138" t="str">
        <f ca="1">IF(IFERROR(VLOOKUP(W107,Товары!A:B,2,FALSE),"")=A107,"Есть в 1С","ERR")</f>
        <v>ERR</v>
      </c>
      <c r="AU107" s="139" t="str">
        <f ca="1">IF(IFERROR(VLOOKUP(A107,Товары!B:B,1,FALSE),"")=A107,"Есть в 1С","ERR")</f>
        <v>ERR</v>
      </c>
      <c r="AV107" s="93" t="e">
        <f ca="1">VLOOKUP(W107,Товары!A:B,2,FALSE)</f>
        <v>#N/A</v>
      </c>
      <c r="AW107" s="91" t="e">
        <f ca="1">VLOOKUP(W107,Товары!A:B,1,FALSE)</f>
        <v>#N/A</v>
      </c>
    </row>
    <row r="108" spans="1:49" x14ac:dyDescent="0.25">
      <c r="A108" s="105" t="str">
        <f t="shared" ca="1" si="24"/>
        <v>95-086-06</v>
      </c>
      <c r="B108" s="78" t="str">
        <f ca="1">_xlfn.LET(_xlpm.CAPS,VLOOKUP(G108,Caps!A:B,2,0),_xlpm.Style,TRIM(_xlfn.XLOOKUP($A108,Строчный!$A:$A,Строчный!B:B,"ERR",0)),IF(_xlpm.CAPS=0,_xlpm.Style,UPPER(_xlpm.Style)))</f>
        <v>3125-618/28</v>
      </c>
      <c r="C108" s="78" t="str">
        <f ca="1">TRIM(PROPER(_xlfn.XLOOKUP($A108,Строчный!$A:$A,Строчный!C:C,"ERR",0)))</f>
        <v>Кепки</v>
      </c>
      <c r="D108" s="78" t="str">
        <f ca="1">_xlfn.LET(_xlpm.DATA,TRIM(_xlfn.XLOOKUP($A108,Строчный!$A:$A,Строчный!D:D,"ERR",0)),UPPER(MID(_xlpm.DATA,1,1))&amp;LOWER(MID(_xlpm.DATA,2,LEN(_xlpm.DATA)-1)))</f>
        <v>Кепка плоская</v>
      </c>
      <c r="E108" s="78" t="str">
        <f ca="1">PROPER(TRIM(_xlfn.XLOOKUP($A108,Строчный!$A:$A,Строчный!E:E,"ERR",0)))</f>
        <v>Fredrikson</v>
      </c>
      <c r="F108" s="78" t="str">
        <f ca="1">LOWER(TRIM(_xlfn.XLOOKUP($A108,Строчный!$A:$A,Строчный!F:F,"ERR",0)))</f>
        <v>всесезон</v>
      </c>
      <c r="G108" s="78" t="str">
        <f ca="1">UPPER(TRIM(_xlfn.XLOOKUP($A108,Строчный!$A:$A,Строчный!G:G,"ERR",0)))</f>
        <v>FREDRIKSON</v>
      </c>
      <c r="H108" s="78" t="str">
        <f ca="1">LOWER(TRIM(_xlfn.XLOOKUP($A108,Строчный!$A:$A,Строчный!H:H,"ERR",0)))</f>
        <v>618/28</v>
      </c>
      <c r="I108" s="78" t="str">
        <f ca="1">LOWER(TRIM(_xlfn.XLOOKUP($A108,Строчный!$A:$A,Строчный!I:I,"ERR",0)))</f>
        <v>синий</v>
      </c>
      <c r="J108" s="78" t="str">
        <f ca="1">SUBSTITUTE(LOWER(TRIM(_xlfn.XLOOKUP($A108,Строчный!$A:$A,Строчный!J:J,"ERR",0))),"подклад","Подклад")</f>
        <v>80% шерсть - 20% полиамид / Подклад: 100% вискоза</v>
      </c>
      <c r="K108" s="78" t="str">
        <f ca="1">LOWER(TRIM(_xlfn.XLOOKUP($A108,Строчный!$A:$A,Строчный!K:K,"ERR",0)))</f>
        <v>шерстяные</v>
      </c>
      <c r="L108" s="78" t="str">
        <f ca="1">PROPER(TRIM(_xlfn.XLOOKUP($A108,Строчный!$A:$A,Строчный!L:L,"ERR",0)))</f>
        <v>Унисекс</v>
      </c>
      <c r="M108" s="105" t="str">
        <f ca="1">PROPER(TRIM(_xlfn.XLOOKUP($A108,Строчный!$A:$A,Строчный!M:M,"ERR",0)))</f>
        <v>Россия</v>
      </c>
      <c r="N108" s="78" t="str">
        <f ca="1">UPPER(TRIM(_xlfn.XLOOKUP($A108,Строчный!$A:$A,Строчный!O:O,"ERR",0)))</f>
        <v/>
      </c>
      <c r="O108" s="99" t="str">
        <f ca="1">PROPER(TRIM(_xlfn.XLOOKUP($A108,Строчный!$A:$A,Строчный!P:P,"ERR",0)))</f>
        <v/>
      </c>
      <c r="P108" s="78" t="str">
        <f ca="1">PROPER(TRIM(_xlfn.XLOOKUP($A108,Строчный!$A:$A,Строчный!R:R,"ERR",0)))</f>
        <v/>
      </c>
      <c r="Q108" s="87">
        <f ca="1">VALUE(_xlfn.XLOOKUP($A108,Строчный!$A:$A,Строчный!N:N,"ERR",0))</f>
        <v>975.8</v>
      </c>
      <c r="R108" s="86" t="str">
        <f ca="1">_xlfn.XLOOKUP($G108,Фабрика!A:A,Фабрика!B:B,"ERR",0)</f>
        <v>ООО "ФРЭДРИКСОН" Россия 192029, С-Петербург, пр. Обуховской обороны, д.86, лит М</v>
      </c>
      <c r="S108" s="77" t="str">
        <f ca="1">_xlfn.XLOOKUP(RIGHT(AA108,2),Размеры!D:D,Размеры!A:A,"ERR",0)</f>
        <v>57</v>
      </c>
      <c r="T108" s="77">
        <f ca="1">VALUE(_xlfn.XLOOKUP($AA108,Строчный!$S:$S,Строчный!U:U,"ERR",0))</f>
        <v>3</v>
      </c>
      <c r="U108" s="14" t="s">
        <v>241</v>
      </c>
      <c r="V108" s="98" t="str">
        <f t="shared" ca="1" si="25"/>
        <v>Кепка FREDRIKSON арт. 3125-618/28 (синий)</v>
      </c>
      <c r="W108" s="97" t="str">
        <f t="shared" ca="1" si="26"/>
        <v>Кепка FREDRIKSON арт. 3125-618/28 (синий) {618/28}</v>
      </c>
      <c r="X108" s="18" t="str">
        <f t="shared" ca="1" si="27"/>
        <v>синий</v>
      </c>
      <c r="Y108" s="18" t="str">
        <f t="shared" ca="1" si="28"/>
        <v>синий</v>
      </c>
      <c r="Z108" s="109" t="str">
        <f ca="1">_xlfn.LET(_xlpm.FormColors,_xlfn.XLOOKUP(A108,Строчный!A:A,Строчный!Q:Q,"",0),IF(_xlpm.FormColors=0,IFERROR(MID(I108,FIND("-",I108)+1,LEN(I108)),IFERROR(MID(I108,1,FIND("/",I108)-2),I108)),_xlpm.FormColors))</f>
        <v>синий</v>
      </c>
      <c r="AA108" s="70" t="str">
        <f ca="1"/>
        <v>95-086-06-57</v>
      </c>
      <c r="AB108" s="72" t="str">
        <f ca="1">VLOOKUP(C108,Группа!A:B,2,FALSE)</f>
        <v>Кепка</v>
      </c>
      <c r="AC108" s="94" t="str">
        <f ca="1">IFERROR(VLOOKUP(S108,Размеры!A:C,3,FALSE),"")</f>
        <v>57 M</v>
      </c>
      <c r="AD108" s="94" t="str">
        <f ca="1">VLOOKUP(I108,ЦветПолный!A:B,2,FALSE)</f>
        <v>06</v>
      </c>
      <c r="AE108" s="94" t="str">
        <f ca="1">IFERROR(VLOOKUP(S108,Размеры!A:D,4,FALSE),"")</f>
        <v>57</v>
      </c>
      <c r="AF108" s="94">
        <f ca="1">SUMIF(Группа!A:A,C108,Группа!C:C)</f>
        <v>1</v>
      </c>
      <c r="AG108" s="94">
        <f ca="1">SUMIF(Группа!B:B,AB108,Группа!C:C)</f>
        <v>1</v>
      </c>
      <c r="AH108" s="94">
        <f ca="1">SUMIF(Формы!A:A,D108,Формы!B:B)</f>
        <v>1</v>
      </c>
      <c r="AI108" s="94">
        <f ca="1">IF(IFERROR(VLOOKUP(J108,Материал!D:D,1,0),0)&gt;0,1,SUMIF(Материал!A:A,K108,Материал!B:B))</f>
        <v>1</v>
      </c>
      <c r="AJ108" s="94">
        <f ca="1">SUMIF(Размеры!A:A,S108,Размеры!E:E)</f>
        <v>1</v>
      </c>
      <c r="AK108" s="94">
        <f ca="1">SUMIF(Сезон!A:A,F108,Сезон!B:B)</f>
        <v>1</v>
      </c>
      <c r="AL108" s="94">
        <f ca="1">VLOOKUP(I108,ЦветПолный!A:C,3,0)</f>
        <v>1</v>
      </c>
      <c r="AM108" s="94">
        <f ca="1">SUMIF(Цвет!A:A,Z108,Цвет!B:B)</f>
        <v>1</v>
      </c>
      <c r="AN108" s="94">
        <f ca="1">_xlfn.XLOOKUP(L108,Пол!A:A,Пол!B:B,0,0)</f>
        <v>1</v>
      </c>
      <c r="AO108" s="94">
        <f ca="1">SUMIF(Бренд!A:A,G108,Бренд!B:B)</f>
        <v>1</v>
      </c>
      <c r="AP108" s="137">
        <f ca="1">SUMIF(Страна!A:A,M108,Страна!B:B)</f>
        <v>1</v>
      </c>
      <c r="AQ108" s="150" t="str">
        <f t="shared" ca="1" si="29"/>
        <v>Кепка FREDRIKSON арт. 3125-618/28 (синий) {618/28}</v>
      </c>
      <c r="AR108" s="94">
        <f t="shared" ca="1" si="30"/>
        <v>1</v>
      </c>
      <c r="AS108" s="143">
        <f t="shared" ca="1" si="31"/>
        <v>1</v>
      </c>
      <c r="AT108" s="138" t="str">
        <f ca="1">IF(IFERROR(VLOOKUP(W108,Товары!A:B,2,FALSE),"")=A108,"Есть в 1С","ERR")</f>
        <v>ERR</v>
      </c>
      <c r="AU108" s="139" t="str">
        <f ca="1">IF(IFERROR(VLOOKUP(A108,Товары!B:B,1,FALSE),"")=A108,"Есть в 1С","ERR")</f>
        <v>ERR</v>
      </c>
      <c r="AV108" s="93" t="e">
        <f ca="1">VLOOKUP(W108,Товары!A:B,2,FALSE)</f>
        <v>#N/A</v>
      </c>
      <c r="AW108" s="91" t="e">
        <f ca="1">VLOOKUP(W108,Товары!A:B,1,FALSE)</f>
        <v>#N/A</v>
      </c>
    </row>
    <row r="109" spans="1:49" x14ac:dyDescent="0.25">
      <c r="A109" s="105" t="str">
        <f t="shared" ca="1" si="24"/>
        <v>95-086-06</v>
      </c>
      <c r="B109" s="78" t="str">
        <f ca="1">_xlfn.LET(_xlpm.CAPS,VLOOKUP(G109,Caps!A:B,2,0),_xlpm.Style,TRIM(_xlfn.XLOOKUP($A109,Строчный!$A:$A,Строчный!B:B,"ERR",0)),IF(_xlpm.CAPS=0,_xlpm.Style,UPPER(_xlpm.Style)))</f>
        <v>3125-618/28</v>
      </c>
      <c r="C109" s="78" t="str">
        <f ca="1">TRIM(PROPER(_xlfn.XLOOKUP($A109,Строчный!$A:$A,Строчный!C:C,"ERR",0)))</f>
        <v>Кепки</v>
      </c>
      <c r="D109" s="78" t="str">
        <f ca="1">_xlfn.LET(_xlpm.DATA,TRIM(_xlfn.XLOOKUP($A109,Строчный!$A:$A,Строчный!D:D,"ERR",0)),UPPER(MID(_xlpm.DATA,1,1))&amp;LOWER(MID(_xlpm.DATA,2,LEN(_xlpm.DATA)-1)))</f>
        <v>Кепка плоская</v>
      </c>
      <c r="E109" s="78" t="str">
        <f ca="1">PROPER(TRIM(_xlfn.XLOOKUP($A109,Строчный!$A:$A,Строчный!E:E,"ERR",0)))</f>
        <v>Fredrikson</v>
      </c>
      <c r="F109" s="78" t="str">
        <f ca="1">LOWER(TRIM(_xlfn.XLOOKUP($A109,Строчный!$A:$A,Строчный!F:F,"ERR",0)))</f>
        <v>всесезон</v>
      </c>
      <c r="G109" s="78" t="str">
        <f ca="1">UPPER(TRIM(_xlfn.XLOOKUP($A109,Строчный!$A:$A,Строчный!G:G,"ERR",0)))</f>
        <v>FREDRIKSON</v>
      </c>
      <c r="H109" s="78" t="str">
        <f ca="1">LOWER(TRIM(_xlfn.XLOOKUP($A109,Строчный!$A:$A,Строчный!H:H,"ERR",0)))</f>
        <v>618/28</v>
      </c>
      <c r="I109" s="78" t="str">
        <f ca="1">LOWER(TRIM(_xlfn.XLOOKUP($A109,Строчный!$A:$A,Строчный!I:I,"ERR",0)))</f>
        <v>синий</v>
      </c>
      <c r="J109" s="78" t="str">
        <f ca="1">SUBSTITUTE(LOWER(TRIM(_xlfn.XLOOKUP($A109,Строчный!$A:$A,Строчный!J:J,"ERR",0))),"подклад","Подклад")</f>
        <v>80% шерсть - 20% полиамид / Подклад: 100% вискоза</v>
      </c>
      <c r="K109" s="78" t="str">
        <f ca="1">LOWER(TRIM(_xlfn.XLOOKUP($A109,Строчный!$A:$A,Строчный!K:K,"ERR",0)))</f>
        <v>шерстяные</v>
      </c>
      <c r="L109" s="78" t="str">
        <f ca="1">PROPER(TRIM(_xlfn.XLOOKUP($A109,Строчный!$A:$A,Строчный!L:L,"ERR",0)))</f>
        <v>Унисекс</v>
      </c>
      <c r="M109" s="105" t="str">
        <f ca="1">PROPER(TRIM(_xlfn.XLOOKUP($A109,Строчный!$A:$A,Строчный!M:M,"ERR",0)))</f>
        <v>Россия</v>
      </c>
      <c r="N109" s="78" t="str">
        <f ca="1">UPPER(TRIM(_xlfn.XLOOKUP($A109,Строчный!$A:$A,Строчный!O:O,"ERR",0)))</f>
        <v/>
      </c>
      <c r="O109" s="99" t="str">
        <f ca="1">PROPER(TRIM(_xlfn.XLOOKUP($A109,Строчный!$A:$A,Строчный!P:P,"ERR",0)))</f>
        <v/>
      </c>
      <c r="P109" s="78" t="str">
        <f ca="1">PROPER(TRIM(_xlfn.XLOOKUP($A109,Строчный!$A:$A,Строчный!R:R,"ERR",0)))</f>
        <v/>
      </c>
      <c r="Q109" s="87">
        <f ca="1">VALUE(_xlfn.XLOOKUP($A109,Строчный!$A:$A,Строчный!N:N,"ERR",0))</f>
        <v>975.8</v>
      </c>
      <c r="R109" s="86" t="str">
        <f ca="1">_xlfn.XLOOKUP($G109,Фабрика!A:A,Фабрика!B:B,"ERR",0)</f>
        <v>ООО "ФРЭДРИКСОН" Россия 192029, С-Петербург, пр. Обуховской обороны, д.86, лит М</v>
      </c>
      <c r="S109" s="77" t="str">
        <f ca="1">_xlfn.XLOOKUP(RIGHT(AA109,2),Размеры!D:D,Размеры!A:A,"ERR",0)</f>
        <v>56</v>
      </c>
      <c r="T109" s="77">
        <f ca="1">VALUE(_xlfn.XLOOKUP($AA109,Строчный!$S:$S,Строчный!U:U,"ERR",0))</f>
        <v>2</v>
      </c>
      <c r="U109" s="14" t="s">
        <v>241</v>
      </c>
      <c r="V109" s="98" t="str">
        <f t="shared" ca="1" si="25"/>
        <v>Кепка FREDRIKSON арт. 3125-618/28 (синий)</v>
      </c>
      <c r="W109" s="97" t="str">
        <f t="shared" ca="1" si="26"/>
        <v>Кепка FREDRIKSON арт. 3125-618/28 (синий) {618/28}</v>
      </c>
      <c r="X109" s="18" t="str">
        <f t="shared" ca="1" si="27"/>
        <v>синий</v>
      </c>
      <c r="Y109" s="18" t="str">
        <f t="shared" ca="1" si="28"/>
        <v>синий</v>
      </c>
      <c r="Z109" s="109" t="str">
        <f ca="1">_xlfn.LET(_xlpm.FormColors,_xlfn.XLOOKUP(A109,Строчный!A:A,Строчный!Q:Q,"",0),IF(_xlpm.FormColors=0,IFERROR(MID(I109,FIND("-",I109)+1,LEN(I109)),IFERROR(MID(I109,1,FIND("/",I109)-2),I109)),_xlpm.FormColors))</f>
        <v>синий</v>
      </c>
      <c r="AA109" s="70" t="str">
        <f ca="1"/>
        <v>95-086-06-56</v>
      </c>
      <c r="AB109" s="72" t="str">
        <f ca="1">VLOOKUP(C109,Группа!A:B,2,FALSE)</f>
        <v>Кепка</v>
      </c>
      <c r="AC109" s="94" t="str">
        <f ca="1">IFERROR(VLOOKUP(S109,Размеры!A:C,3,FALSE),"")</f>
        <v>56 S/M</v>
      </c>
      <c r="AD109" s="94" t="str">
        <f ca="1">VLOOKUP(I109,ЦветПолный!A:B,2,FALSE)</f>
        <v>06</v>
      </c>
      <c r="AE109" s="94" t="str">
        <f ca="1">IFERROR(VLOOKUP(S109,Размеры!A:D,4,FALSE),"")</f>
        <v>56</v>
      </c>
      <c r="AF109" s="94">
        <f ca="1">SUMIF(Группа!A:A,C109,Группа!C:C)</f>
        <v>1</v>
      </c>
      <c r="AG109" s="94">
        <f ca="1">SUMIF(Группа!B:B,AB109,Группа!C:C)</f>
        <v>1</v>
      </c>
      <c r="AH109" s="94">
        <f ca="1">SUMIF(Формы!A:A,D109,Формы!B:B)</f>
        <v>1</v>
      </c>
      <c r="AI109" s="94">
        <f ca="1">IF(IFERROR(VLOOKUP(J109,Материал!D:D,1,0),0)&gt;0,1,SUMIF(Материал!A:A,K109,Материал!B:B))</f>
        <v>1</v>
      </c>
      <c r="AJ109" s="94">
        <f ca="1">SUMIF(Размеры!A:A,S109,Размеры!E:E)</f>
        <v>1</v>
      </c>
      <c r="AK109" s="94">
        <f ca="1">SUMIF(Сезон!A:A,F109,Сезон!B:B)</f>
        <v>1</v>
      </c>
      <c r="AL109" s="94">
        <f ca="1">VLOOKUP(I109,ЦветПолный!A:C,3,0)</f>
        <v>1</v>
      </c>
      <c r="AM109" s="94">
        <f ca="1">SUMIF(Цвет!A:A,Z109,Цвет!B:B)</f>
        <v>1</v>
      </c>
      <c r="AN109" s="94">
        <f ca="1">_xlfn.XLOOKUP(L109,Пол!A:A,Пол!B:B,0,0)</f>
        <v>1</v>
      </c>
      <c r="AO109" s="94">
        <f ca="1">SUMIF(Бренд!A:A,G109,Бренд!B:B)</f>
        <v>1</v>
      </c>
      <c r="AP109" s="137">
        <f ca="1">SUMIF(Страна!A:A,M109,Страна!B:B)</f>
        <v>1</v>
      </c>
      <c r="AQ109" s="150" t="str">
        <f t="shared" ca="1" si="29"/>
        <v>Кепка FREDRIKSON арт. 3125-618/28 (синий) {618/28}</v>
      </c>
      <c r="AR109" s="94">
        <f t="shared" ca="1" si="30"/>
        <v>1</v>
      </c>
      <c r="AS109" s="143">
        <f t="shared" ca="1" si="31"/>
        <v>1</v>
      </c>
      <c r="AT109" s="138" t="str">
        <f ca="1">IF(IFERROR(VLOOKUP(W109,Товары!A:B,2,FALSE),"")=A109,"Есть в 1С","ERR")</f>
        <v>ERR</v>
      </c>
      <c r="AU109" s="139" t="str">
        <f ca="1">IF(IFERROR(VLOOKUP(A109,Товары!B:B,1,FALSE),"")=A109,"Есть в 1С","ERR")</f>
        <v>ERR</v>
      </c>
      <c r="AV109" s="93" t="e">
        <f ca="1">VLOOKUP(W109,Товары!A:B,2,FALSE)</f>
        <v>#N/A</v>
      </c>
      <c r="AW109" s="91" t="e">
        <f ca="1">VLOOKUP(W109,Товары!A:B,1,FALSE)</f>
        <v>#N/A</v>
      </c>
    </row>
    <row r="110" spans="1:49" x14ac:dyDescent="0.25">
      <c r="A110" s="105" t="str">
        <f t="shared" ca="1" si="24"/>
        <v>95-085-80</v>
      </c>
      <c r="B110" s="78" t="str">
        <f ca="1">_xlfn.LET(_xlpm.CAPS,VLOOKUP(G110,Caps!A:B,2,0),_xlpm.Style,TRIM(_xlfn.XLOOKUP($A110,Строчный!$A:$A,Строчный!B:B,"ERR",0)),IF(_xlpm.CAPS=0,_xlpm.Style,UPPER(_xlpm.Style)))</f>
        <v>3109-635/75</v>
      </c>
      <c r="C110" s="78" t="str">
        <f ca="1">TRIM(PROPER(_xlfn.XLOOKUP($A110,Строчный!$A:$A,Строчный!C:C,"ERR",0)))</f>
        <v>Кепки</v>
      </c>
      <c r="D110" s="78" t="str">
        <f ca="1">_xlfn.LET(_xlpm.DATA,TRIM(_xlfn.XLOOKUP($A110,Строчный!$A:$A,Строчный!D:D,"ERR",0)),UPPER(MID(_xlpm.DATA,1,1))&amp;LOWER(MID(_xlpm.DATA,2,LEN(_xlpm.DATA)-1)))</f>
        <v>Кепка восьмиклинка</v>
      </c>
      <c r="E110" s="78" t="str">
        <f ca="1">PROPER(TRIM(_xlfn.XLOOKUP($A110,Строчный!$A:$A,Строчный!E:E,"ERR",0)))</f>
        <v>Fredrikson</v>
      </c>
      <c r="F110" s="78" t="str">
        <f ca="1">LOWER(TRIM(_xlfn.XLOOKUP($A110,Строчный!$A:$A,Строчный!F:F,"ERR",0)))</f>
        <v>всесезон</v>
      </c>
      <c r="G110" s="78" t="str">
        <f ca="1">UPPER(TRIM(_xlfn.XLOOKUP($A110,Строчный!$A:$A,Строчный!G:G,"ERR",0)))</f>
        <v>FREDRIKSON</v>
      </c>
      <c r="H110" s="78" t="str">
        <f ca="1">LOWER(TRIM(_xlfn.XLOOKUP($A110,Строчный!$A:$A,Строчный!H:H,"ERR",0)))</f>
        <v>635/75</v>
      </c>
      <c r="I110" s="78" t="str">
        <f ca="1">LOWER(TRIM(_xlfn.XLOOKUP($A110,Строчный!$A:$A,Строчный!I:I,"ERR",0)))</f>
        <v>серый</v>
      </c>
      <c r="J110" s="78" t="str">
        <f ca="1">SUBSTITUTE(LOWER(TRIM(_xlfn.XLOOKUP($A110,Строчный!$A:$A,Строчный!J:J,"ERR",0))),"подклад","Подклад")</f>
        <v>80% шерсть - 20% полиамид / Подклад: 100% вискоза</v>
      </c>
      <c r="K110" s="78" t="str">
        <f ca="1">LOWER(TRIM(_xlfn.XLOOKUP($A110,Строчный!$A:$A,Строчный!K:K,"ERR",0)))</f>
        <v>шерстяные</v>
      </c>
      <c r="L110" s="78" t="str">
        <f ca="1">PROPER(TRIM(_xlfn.XLOOKUP($A110,Строчный!$A:$A,Строчный!L:L,"ERR",0)))</f>
        <v>Унисекс</v>
      </c>
      <c r="M110" s="105" t="str">
        <f ca="1">PROPER(TRIM(_xlfn.XLOOKUP($A110,Строчный!$A:$A,Строчный!M:M,"ERR",0)))</f>
        <v>Россия</v>
      </c>
      <c r="N110" s="78" t="str">
        <f ca="1">UPPER(TRIM(_xlfn.XLOOKUP($A110,Строчный!$A:$A,Строчный!O:O,"ERR",0)))</f>
        <v/>
      </c>
      <c r="O110" s="99" t="str">
        <f ca="1">PROPER(TRIM(_xlfn.XLOOKUP($A110,Строчный!$A:$A,Строчный!P:P,"ERR",0)))</f>
        <v/>
      </c>
      <c r="P110" s="78" t="str">
        <f ca="1">PROPER(TRIM(_xlfn.XLOOKUP($A110,Строчный!$A:$A,Строчный!R:R,"ERR",0)))</f>
        <v/>
      </c>
      <c r="Q110" s="87">
        <f ca="1">VALUE(_xlfn.XLOOKUP($A110,Строчный!$A:$A,Строчный!N:N,"ERR",0))</f>
        <v>975.8</v>
      </c>
      <c r="R110" s="86" t="str">
        <f ca="1">_xlfn.XLOOKUP($G110,Фабрика!A:A,Фабрика!B:B,"ERR",0)</f>
        <v>ООО "ФРЭДРИКСОН" Россия 192029, С-Петербург, пр. Обуховской обороны, д.86, лит М</v>
      </c>
      <c r="S110" s="77" t="str">
        <f ca="1">_xlfn.XLOOKUP(RIGHT(AA110,2),Размеры!D:D,Размеры!A:A,"ERR",0)</f>
        <v>62</v>
      </c>
      <c r="T110" s="77">
        <f ca="1">VALUE(_xlfn.XLOOKUP($AA110,Строчный!$S:$S,Строчный!U:U,"ERR",0))</f>
        <v>7</v>
      </c>
      <c r="U110" s="14" t="s">
        <v>241</v>
      </c>
      <c r="V110" s="98" t="str">
        <f t="shared" ca="1" si="25"/>
        <v>Кепка FREDRIKSON арт. 3109-635/75 (серый)</v>
      </c>
      <c r="W110" s="97" t="str">
        <f t="shared" ca="1" si="26"/>
        <v>Кепка FREDRIKSON арт. 3109-635/75 (серый) {635/75}</v>
      </c>
      <c r="X110" s="18" t="str">
        <f t="shared" ca="1" si="27"/>
        <v>серый</v>
      </c>
      <c r="Y110" s="18" t="str">
        <f t="shared" ca="1" si="28"/>
        <v>серый</v>
      </c>
      <c r="Z110" s="109" t="str">
        <f ca="1">_xlfn.LET(_xlpm.FormColors,_xlfn.XLOOKUP(A110,Строчный!A:A,Строчный!Q:Q,"",0),IF(_xlpm.FormColors=0,IFERROR(MID(I110,FIND("-",I110)+1,LEN(I110)),IFERROR(MID(I110,1,FIND("/",I110)-2),I110)),_xlpm.FormColors))</f>
        <v>серый</v>
      </c>
      <c r="AA110" s="70" t="str">
        <f ca="1"/>
        <v>95-085-80-62</v>
      </c>
      <c r="AB110" s="72" t="str">
        <f ca="1">VLOOKUP(C110,Группа!A:B,2,FALSE)</f>
        <v>Кепка</v>
      </c>
      <c r="AC110" s="94" t="str">
        <f ca="1">IFERROR(VLOOKUP(S110,Размеры!A:C,3,FALSE),"")</f>
        <v>62 XL/XXL</v>
      </c>
      <c r="AD110" s="94" t="str">
        <f ca="1">VLOOKUP(I110,ЦветПолный!A:B,2,FALSE)</f>
        <v>80</v>
      </c>
      <c r="AE110" s="94" t="str">
        <f ca="1">IFERROR(VLOOKUP(S110,Размеры!A:D,4,FALSE),"")</f>
        <v>62</v>
      </c>
      <c r="AF110" s="94">
        <f ca="1">SUMIF(Группа!A:A,C110,Группа!C:C)</f>
        <v>1</v>
      </c>
      <c r="AG110" s="94">
        <f ca="1">SUMIF(Группа!B:B,AB110,Группа!C:C)</f>
        <v>1</v>
      </c>
      <c r="AH110" s="94">
        <f ca="1">SUMIF(Формы!A:A,D110,Формы!B:B)</f>
        <v>1</v>
      </c>
      <c r="AI110" s="94">
        <f ca="1">IF(IFERROR(VLOOKUP(J110,Материал!D:D,1,0),0)&gt;0,1,SUMIF(Материал!A:A,K110,Материал!B:B))</f>
        <v>1</v>
      </c>
      <c r="AJ110" s="94">
        <f ca="1">SUMIF(Размеры!A:A,S110,Размеры!E:E)</f>
        <v>1</v>
      </c>
      <c r="AK110" s="94">
        <f ca="1">SUMIF(Сезон!A:A,F110,Сезон!B:B)</f>
        <v>1</v>
      </c>
      <c r="AL110" s="94">
        <f ca="1">VLOOKUP(I110,ЦветПолный!A:C,3,0)</f>
        <v>1</v>
      </c>
      <c r="AM110" s="94">
        <f ca="1">SUMIF(Цвет!A:A,Z110,Цвет!B:B)</f>
        <v>1</v>
      </c>
      <c r="AN110" s="94">
        <f ca="1">_xlfn.XLOOKUP(L110,Пол!A:A,Пол!B:B,0,0)</f>
        <v>1</v>
      </c>
      <c r="AO110" s="94">
        <f ca="1">SUMIF(Бренд!A:A,G110,Бренд!B:B)</f>
        <v>1</v>
      </c>
      <c r="AP110" s="137">
        <f ca="1">SUMIF(Страна!A:A,M110,Страна!B:B)</f>
        <v>1</v>
      </c>
      <c r="AQ110" s="150" t="str">
        <f t="shared" ca="1" si="29"/>
        <v>Кепка FREDRIKSON арт. 3109-635/75 (серый) {635/75}</v>
      </c>
      <c r="AR110" s="94">
        <f t="shared" ca="1" si="30"/>
        <v>1</v>
      </c>
      <c r="AS110" s="143">
        <f t="shared" ca="1" si="31"/>
        <v>1</v>
      </c>
      <c r="AT110" s="138" t="str">
        <f ca="1">IF(IFERROR(VLOOKUP(W110,Товары!A:B,2,FALSE),"")=A110,"Есть в 1С","ERR")</f>
        <v>ERR</v>
      </c>
      <c r="AU110" s="139" t="str">
        <f ca="1">IF(IFERROR(VLOOKUP(A110,Товары!B:B,1,FALSE),"")=A110,"Есть в 1С","ERR")</f>
        <v>ERR</v>
      </c>
      <c r="AV110" s="93" t="e">
        <f ca="1">VLOOKUP(W110,Товары!A:B,2,FALSE)</f>
        <v>#N/A</v>
      </c>
      <c r="AW110" s="91" t="e">
        <f ca="1">VLOOKUP(W110,Товары!A:B,1,FALSE)</f>
        <v>#N/A</v>
      </c>
    </row>
    <row r="111" spans="1:49" x14ac:dyDescent="0.25">
      <c r="A111" s="105" t="str">
        <f t="shared" ca="1" si="24"/>
        <v>95-085-80</v>
      </c>
      <c r="B111" s="78" t="str">
        <f ca="1">_xlfn.LET(_xlpm.CAPS,VLOOKUP(G111,Caps!A:B,2,0),_xlpm.Style,TRIM(_xlfn.XLOOKUP($A111,Строчный!$A:$A,Строчный!B:B,"ERR",0)),IF(_xlpm.CAPS=0,_xlpm.Style,UPPER(_xlpm.Style)))</f>
        <v>3109-635/75</v>
      </c>
      <c r="C111" s="78" t="str">
        <f ca="1">TRIM(PROPER(_xlfn.XLOOKUP($A111,Строчный!$A:$A,Строчный!C:C,"ERR",0)))</f>
        <v>Кепки</v>
      </c>
      <c r="D111" s="78" t="str">
        <f ca="1">_xlfn.LET(_xlpm.DATA,TRIM(_xlfn.XLOOKUP($A111,Строчный!$A:$A,Строчный!D:D,"ERR",0)),UPPER(MID(_xlpm.DATA,1,1))&amp;LOWER(MID(_xlpm.DATA,2,LEN(_xlpm.DATA)-1)))</f>
        <v>Кепка восьмиклинка</v>
      </c>
      <c r="E111" s="78" t="str">
        <f ca="1">PROPER(TRIM(_xlfn.XLOOKUP($A111,Строчный!$A:$A,Строчный!E:E,"ERR",0)))</f>
        <v>Fredrikson</v>
      </c>
      <c r="F111" s="78" t="str">
        <f ca="1">LOWER(TRIM(_xlfn.XLOOKUP($A111,Строчный!$A:$A,Строчный!F:F,"ERR",0)))</f>
        <v>всесезон</v>
      </c>
      <c r="G111" s="78" t="str">
        <f ca="1">UPPER(TRIM(_xlfn.XLOOKUP($A111,Строчный!$A:$A,Строчный!G:G,"ERR",0)))</f>
        <v>FREDRIKSON</v>
      </c>
      <c r="H111" s="78" t="str">
        <f ca="1">LOWER(TRIM(_xlfn.XLOOKUP($A111,Строчный!$A:$A,Строчный!H:H,"ERR",0)))</f>
        <v>635/75</v>
      </c>
      <c r="I111" s="78" t="str">
        <f ca="1">LOWER(TRIM(_xlfn.XLOOKUP($A111,Строчный!$A:$A,Строчный!I:I,"ERR",0)))</f>
        <v>серый</v>
      </c>
      <c r="J111" s="78" t="str">
        <f ca="1">SUBSTITUTE(LOWER(TRIM(_xlfn.XLOOKUP($A111,Строчный!$A:$A,Строчный!J:J,"ERR",0))),"подклад","Подклад")</f>
        <v>80% шерсть - 20% полиамид / Подклад: 100% вискоза</v>
      </c>
      <c r="K111" s="78" t="str">
        <f ca="1">LOWER(TRIM(_xlfn.XLOOKUP($A111,Строчный!$A:$A,Строчный!K:K,"ERR",0)))</f>
        <v>шерстяные</v>
      </c>
      <c r="L111" s="78" t="str">
        <f ca="1">PROPER(TRIM(_xlfn.XLOOKUP($A111,Строчный!$A:$A,Строчный!L:L,"ERR",0)))</f>
        <v>Унисекс</v>
      </c>
      <c r="M111" s="105" t="str">
        <f ca="1">PROPER(TRIM(_xlfn.XLOOKUP($A111,Строчный!$A:$A,Строчный!M:M,"ERR",0)))</f>
        <v>Россия</v>
      </c>
      <c r="N111" s="78" t="str">
        <f ca="1">UPPER(TRIM(_xlfn.XLOOKUP($A111,Строчный!$A:$A,Строчный!O:O,"ERR",0)))</f>
        <v/>
      </c>
      <c r="O111" s="99" t="str">
        <f ca="1">PROPER(TRIM(_xlfn.XLOOKUP($A111,Строчный!$A:$A,Строчный!P:P,"ERR",0)))</f>
        <v/>
      </c>
      <c r="P111" s="78" t="str">
        <f ca="1">PROPER(TRIM(_xlfn.XLOOKUP($A111,Строчный!$A:$A,Строчный!R:R,"ERR",0)))</f>
        <v/>
      </c>
      <c r="Q111" s="87">
        <f ca="1">VALUE(_xlfn.XLOOKUP($A111,Строчный!$A:$A,Строчный!N:N,"ERR",0))</f>
        <v>975.8</v>
      </c>
      <c r="R111" s="86" t="str">
        <f ca="1">_xlfn.XLOOKUP($G111,Фабрика!A:A,Фабрика!B:B,"ERR",0)</f>
        <v>ООО "ФРЭДРИКСОН" Россия 192029, С-Петербург, пр. Обуховской обороны, д.86, лит М</v>
      </c>
      <c r="S111" s="77" t="str">
        <f ca="1">_xlfn.XLOOKUP(RIGHT(AA111,2),Размеры!D:D,Размеры!A:A,"ERR",0)</f>
        <v>61</v>
      </c>
      <c r="T111" s="77">
        <f ca="1">VALUE(_xlfn.XLOOKUP($AA111,Строчный!$S:$S,Строчный!U:U,"ERR",0))</f>
        <v>14</v>
      </c>
      <c r="U111" s="14" t="s">
        <v>241</v>
      </c>
      <c r="V111" s="98" t="str">
        <f t="shared" ca="1" si="25"/>
        <v>Кепка FREDRIKSON арт. 3109-635/75 (серый)</v>
      </c>
      <c r="W111" s="97" t="str">
        <f t="shared" ca="1" si="26"/>
        <v>Кепка FREDRIKSON арт. 3109-635/75 (серый) {635/75}</v>
      </c>
      <c r="X111" s="18" t="str">
        <f t="shared" ca="1" si="27"/>
        <v>серый</v>
      </c>
      <c r="Y111" s="18" t="str">
        <f t="shared" ca="1" si="28"/>
        <v>серый</v>
      </c>
      <c r="Z111" s="109" t="str">
        <f ca="1">_xlfn.LET(_xlpm.FormColors,_xlfn.XLOOKUP(A111,Строчный!A:A,Строчный!Q:Q,"",0),IF(_xlpm.FormColors=0,IFERROR(MID(I111,FIND("-",I111)+1,LEN(I111)),IFERROR(MID(I111,1,FIND("/",I111)-2),I111)),_xlpm.FormColors))</f>
        <v>серый</v>
      </c>
      <c r="AA111" s="70" t="str">
        <f ca="1"/>
        <v>95-085-80-61</v>
      </c>
      <c r="AB111" s="72" t="str">
        <f ca="1">VLOOKUP(C111,Группа!A:B,2,FALSE)</f>
        <v>Кепка</v>
      </c>
      <c r="AC111" s="94" t="str">
        <f ca="1">IFERROR(VLOOKUP(S111,Размеры!A:C,3,FALSE),"")</f>
        <v>61 XL</v>
      </c>
      <c r="AD111" s="94" t="str">
        <f ca="1">VLOOKUP(I111,ЦветПолный!A:B,2,FALSE)</f>
        <v>80</v>
      </c>
      <c r="AE111" s="94" t="str">
        <f ca="1">IFERROR(VLOOKUP(S111,Размеры!A:D,4,FALSE),"")</f>
        <v>61</v>
      </c>
      <c r="AF111" s="94">
        <f ca="1">SUMIF(Группа!A:A,C111,Группа!C:C)</f>
        <v>1</v>
      </c>
      <c r="AG111" s="94">
        <f ca="1">SUMIF(Группа!B:B,AB111,Группа!C:C)</f>
        <v>1</v>
      </c>
      <c r="AH111" s="94">
        <f ca="1">SUMIF(Формы!A:A,D111,Формы!B:B)</f>
        <v>1</v>
      </c>
      <c r="AI111" s="94">
        <f ca="1">IF(IFERROR(VLOOKUP(J111,Материал!D:D,1,0),0)&gt;0,1,SUMIF(Материал!A:A,K111,Материал!B:B))</f>
        <v>1</v>
      </c>
      <c r="AJ111" s="94">
        <f ca="1">SUMIF(Размеры!A:A,S111,Размеры!E:E)</f>
        <v>1</v>
      </c>
      <c r="AK111" s="94">
        <f ca="1">SUMIF(Сезон!A:A,F111,Сезон!B:B)</f>
        <v>1</v>
      </c>
      <c r="AL111" s="94">
        <f ca="1">VLOOKUP(I111,ЦветПолный!A:C,3,0)</f>
        <v>1</v>
      </c>
      <c r="AM111" s="94">
        <f ca="1">SUMIF(Цвет!A:A,Z111,Цвет!B:B)</f>
        <v>1</v>
      </c>
      <c r="AN111" s="94">
        <f ca="1">_xlfn.XLOOKUP(L111,Пол!A:A,Пол!B:B,0,0)</f>
        <v>1</v>
      </c>
      <c r="AO111" s="94">
        <f ca="1">SUMIF(Бренд!A:A,G111,Бренд!B:B)</f>
        <v>1</v>
      </c>
      <c r="AP111" s="137">
        <f ca="1">SUMIF(Страна!A:A,M111,Страна!B:B)</f>
        <v>1</v>
      </c>
      <c r="AQ111" s="150" t="str">
        <f t="shared" ca="1" si="29"/>
        <v>Кепка FREDRIKSON арт. 3109-635/75 (серый) {635/75}</v>
      </c>
      <c r="AR111" s="94">
        <f t="shared" ca="1" si="30"/>
        <v>1</v>
      </c>
      <c r="AS111" s="143">
        <f t="shared" ca="1" si="31"/>
        <v>1</v>
      </c>
      <c r="AT111" s="138" t="str">
        <f ca="1">IF(IFERROR(VLOOKUP(W111,Товары!A:B,2,FALSE),"")=A111,"Есть в 1С","ERR")</f>
        <v>ERR</v>
      </c>
      <c r="AU111" s="139" t="str">
        <f ca="1">IF(IFERROR(VLOOKUP(A111,Товары!B:B,1,FALSE),"")=A111,"Есть в 1С","ERR")</f>
        <v>ERR</v>
      </c>
      <c r="AV111" s="93" t="e">
        <f ca="1">VLOOKUP(W111,Товары!A:B,2,FALSE)</f>
        <v>#N/A</v>
      </c>
      <c r="AW111" s="91" t="e">
        <f ca="1">VLOOKUP(W111,Товары!A:B,1,FALSE)</f>
        <v>#N/A</v>
      </c>
    </row>
    <row r="112" spans="1:49" x14ac:dyDescent="0.25">
      <c r="A112" s="105" t="str">
        <f t="shared" ca="1" si="24"/>
        <v>95-085-80</v>
      </c>
      <c r="B112" s="78" t="str">
        <f ca="1">_xlfn.LET(_xlpm.CAPS,VLOOKUP(G112,Caps!A:B,2,0),_xlpm.Style,TRIM(_xlfn.XLOOKUP($A112,Строчный!$A:$A,Строчный!B:B,"ERR",0)),IF(_xlpm.CAPS=0,_xlpm.Style,UPPER(_xlpm.Style)))</f>
        <v>3109-635/75</v>
      </c>
      <c r="C112" s="78" t="str">
        <f ca="1">TRIM(PROPER(_xlfn.XLOOKUP($A112,Строчный!$A:$A,Строчный!C:C,"ERR",0)))</f>
        <v>Кепки</v>
      </c>
      <c r="D112" s="78" t="str">
        <f ca="1">_xlfn.LET(_xlpm.DATA,TRIM(_xlfn.XLOOKUP($A112,Строчный!$A:$A,Строчный!D:D,"ERR",0)),UPPER(MID(_xlpm.DATA,1,1))&amp;LOWER(MID(_xlpm.DATA,2,LEN(_xlpm.DATA)-1)))</f>
        <v>Кепка восьмиклинка</v>
      </c>
      <c r="E112" s="78" t="str">
        <f ca="1">PROPER(TRIM(_xlfn.XLOOKUP($A112,Строчный!$A:$A,Строчный!E:E,"ERR",0)))</f>
        <v>Fredrikson</v>
      </c>
      <c r="F112" s="78" t="str">
        <f ca="1">LOWER(TRIM(_xlfn.XLOOKUP($A112,Строчный!$A:$A,Строчный!F:F,"ERR",0)))</f>
        <v>всесезон</v>
      </c>
      <c r="G112" s="78" t="str">
        <f ca="1">UPPER(TRIM(_xlfn.XLOOKUP($A112,Строчный!$A:$A,Строчный!G:G,"ERR",0)))</f>
        <v>FREDRIKSON</v>
      </c>
      <c r="H112" s="78" t="str">
        <f ca="1">LOWER(TRIM(_xlfn.XLOOKUP($A112,Строчный!$A:$A,Строчный!H:H,"ERR",0)))</f>
        <v>635/75</v>
      </c>
      <c r="I112" s="78" t="str">
        <f ca="1">LOWER(TRIM(_xlfn.XLOOKUP($A112,Строчный!$A:$A,Строчный!I:I,"ERR",0)))</f>
        <v>серый</v>
      </c>
      <c r="J112" s="78" t="str">
        <f ca="1">SUBSTITUTE(LOWER(TRIM(_xlfn.XLOOKUP($A112,Строчный!$A:$A,Строчный!J:J,"ERR",0))),"подклад","Подклад")</f>
        <v>80% шерсть - 20% полиамид / Подклад: 100% вискоза</v>
      </c>
      <c r="K112" s="78" t="str">
        <f ca="1">LOWER(TRIM(_xlfn.XLOOKUP($A112,Строчный!$A:$A,Строчный!K:K,"ERR",0)))</f>
        <v>шерстяные</v>
      </c>
      <c r="L112" s="78" t="str">
        <f ca="1">PROPER(TRIM(_xlfn.XLOOKUP($A112,Строчный!$A:$A,Строчный!L:L,"ERR",0)))</f>
        <v>Унисекс</v>
      </c>
      <c r="M112" s="105" t="str">
        <f ca="1">PROPER(TRIM(_xlfn.XLOOKUP($A112,Строчный!$A:$A,Строчный!M:M,"ERR",0)))</f>
        <v>Россия</v>
      </c>
      <c r="N112" s="78" t="str">
        <f ca="1">UPPER(TRIM(_xlfn.XLOOKUP($A112,Строчный!$A:$A,Строчный!O:O,"ERR",0)))</f>
        <v/>
      </c>
      <c r="O112" s="99" t="str">
        <f ca="1">PROPER(TRIM(_xlfn.XLOOKUP($A112,Строчный!$A:$A,Строчный!P:P,"ERR",0)))</f>
        <v/>
      </c>
      <c r="P112" s="78" t="str">
        <f ca="1">PROPER(TRIM(_xlfn.XLOOKUP($A112,Строчный!$A:$A,Строчный!R:R,"ERR",0)))</f>
        <v/>
      </c>
      <c r="Q112" s="87">
        <f ca="1">VALUE(_xlfn.XLOOKUP($A112,Строчный!$A:$A,Строчный!N:N,"ERR",0))</f>
        <v>975.8</v>
      </c>
      <c r="R112" s="86" t="str">
        <f ca="1">_xlfn.XLOOKUP($G112,Фабрика!A:A,Фабрика!B:B,"ERR",0)</f>
        <v>ООО "ФРЭДРИКСОН" Россия 192029, С-Петербург, пр. Обуховской обороны, д.86, лит М</v>
      </c>
      <c r="S112" s="77" t="str">
        <f ca="1">_xlfn.XLOOKUP(RIGHT(AA112,2),Размеры!D:D,Размеры!A:A,"ERR",0)</f>
        <v>60</v>
      </c>
      <c r="T112" s="77">
        <f ca="1">VALUE(_xlfn.XLOOKUP($AA112,Строчный!$S:$S,Строчный!U:U,"ERR",0))</f>
        <v>21</v>
      </c>
      <c r="U112" s="14" t="s">
        <v>241</v>
      </c>
      <c r="V112" s="98" t="str">
        <f t="shared" ca="1" si="25"/>
        <v>Кепка FREDRIKSON арт. 3109-635/75 (серый)</v>
      </c>
      <c r="W112" s="97" t="str">
        <f t="shared" ca="1" si="26"/>
        <v>Кепка FREDRIKSON арт. 3109-635/75 (серый) {635/75}</v>
      </c>
      <c r="X112" s="18" t="str">
        <f t="shared" ca="1" si="27"/>
        <v>серый</v>
      </c>
      <c r="Y112" s="18" t="str">
        <f t="shared" ca="1" si="28"/>
        <v>серый</v>
      </c>
      <c r="Z112" s="109" t="str">
        <f ca="1">_xlfn.LET(_xlpm.FormColors,_xlfn.XLOOKUP(A112,Строчный!A:A,Строчный!Q:Q,"",0),IF(_xlpm.FormColors=0,IFERROR(MID(I112,FIND("-",I112)+1,LEN(I112)),IFERROR(MID(I112,1,FIND("/",I112)-2),I112)),_xlpm.FormColors))</f>
        <v>серый</v>
      </c>
      <c r="AA112" s="70" t="str">
        <f ca="1"/>
        <v>95-085-80-60</v>
      </c>
      <c r="AB112" s="72" t="str">
        <f ca="1">VLOOKUP(C112,Группа!A:B,2,FALSE)</f>
        <v>Кепка</v>
      </c>
      <c r="AC112" s="94" t="str">
        <f ca="1">IFERROR(VLOOKUP(S112,Размеры!A:C,3,FALSE),"")</f>
        <v>60 L/XL</v>
      </c>
      <c r="AD112" s="94" t="str">
        <f ca="1">VLOOKUP(I112,ЦветПолный!A:B,2,FALSE)</f>
        <v>80</v>
      </c>
      <c r="AE112" s="94" t="str">
        <f ca="1">IFERROR(VLOOKUP(S112,Размеры!A:D,4,FALSE),"")</f>
        <v>60</v>
      </c>
      <c r="AF112" s="94">
        <f ca="1">SUMIF(Группа!A:A,C112,Группа!C:C)</f>
        <v>1</v>
      </c>
      <c r="AG112" s="94">
        <f ca="1">SUMIF(Группа!B:B,AB112,Группа!C:C)</f>
        <v>1</v>
      </c>
      <c r="AH112" s="94">
        <f ca="1">SUMIF(Формы!A:A,D112,Формы!B:B)</f>
        <v>1</v>
      </c>
      <c r="AI112" s="94">
        <f ca="1">IF(IFERROR(VLOOKUP(J112,Материал!D:D,1,0),0)&gt;0,1,SUMIF(Материал!A:A,K112,Материал!B:B))</f>
        <v>1</v>
      </c>
      <c r="AJ112" s="94">
        <f ca="1">SUMIF(Размеры!A:A,S112,Размеры!E:E)</f>
        <v>1</v>
      </c>
      <c r="AK112" s="94">
        <f ca="1">SUMIF(Сезон!A:A,F112,Сезон!B:B)</f>
        <v>1</v>
      </c>
      <c r="AL112" s="94">
        <f ca="1">VLOOKUP(I112,ЦветПолный!A:C,3,0)</f>
        <v>1</v>
      </c>
      <c r="AM112" s="94">
        <f ca="1">SUMIF(Цвет!A:A,Z112,Цвет!B:B)</f>
        <v>1</v>
      </c>
      <c r="AN112" s="94">
        <f ca="1">_xlfn.XLOOKUP(L112,Пол!A:A,Пол!B:B,0,0)</f>
        <v>1</v>
      </c>
      <c r="AO112" s="94">
        <f ca="1">SUMIF(Бренд!A:A,G112,Бренд!B:B)</f>
        <v>1</v>
      </c>
      <c r="AP112" s="137">
        <f ca="1">SUMIF(Страна!A:A,M112,Страна!B:B)</f>
        <v>1</v>
      </c>
      <c r="AQ112" s="150" t="str">
        <f t="shared" ca="1" si="29"/>
        <v>Кепка FREDRIKSON арт. 3109-635/75 (серый) {635/75}</v>
      </c>
      <c r="AR112" s="94">
        <f t="shared" ca="1" si="30"/>
        <v>1</v>
      </c>
      <c r="AS112" s="143">
        <f t="shared" ca="1" si="31"/>
        <v>1</v>
      </c>
      <c r="AT112" s="138" t="str">
        <f ca="1">IF(IFERROR(VLOOKUP(W112,Товары!A:B,2,FALSE),"")=A112,"Есть в 1С","ERR")</f>
        <v>ERR</v>
      </c>
      <c r="AU112" s="139" t="str">
        <f ca="1">IF(IFERROR(VLOOKUP(A112,Товары!B:B,1,FALSE),"")=A112,"Есть в 1С","ERR")</f>
        <v>ERR</v>
      </c>
      <c r="AV112" s="93" t="e">
        <f ca="1">VLOOKUP(W112,Товары!A:B,2,FALSE)</f>
        <v>#N/A</v>
      </c>
      <c r="AW112" s="91" t="e">
        <f ca="1">VLOOKUP(W112,Товары!A:B,1,FALSE)</f>
        <v>#N/A</v>
      </c>
    </row>
    <row r="113" spans="1:49" x14ac:dyDescent="0.25">
      <c r="A113" s="105" t="str">
        <f t="shared" ca="1" si="24"/>
        <v>95-085-80</v>
      </c>
      <c r="B113" s="78" t="str">
        <f ca="1">_xlfn.LET(_xlpm.CAPS,VLOOKUP(G113,Caps!A:B,2,0),_xlpm.Style,TRIM(_xlfn.XLOOKUP($A113,Строчный!$A:$A,Строчный!B:B,"ERR",0)),IF(_xlpm.CAPS=0,_xlpm.Style,UPPER(_xlpm.Style)))</f>
        <v>3109-635/75</v>
      </c>
      <c r="C113" s="78" t="str">
        <f ca="1">TRIM(PROPER(_xlfn.XLOOKUP($A113,Строчный!$A:$A,Строчный!C:C,"ERR",0)))</f>
        <v>Кепки</v>
      </c>
      <c r="D113" s="78" t="str">
        <f ca="1">_xlfn.LET(_xlpm.DATA,TRIM(_xlfn.XLOOKUP($A113,Строчный!$A:$A,Строчный!D:D,"ERR",0)),UPPER(MID(_xlpm.DATA,1,1))&amp;LOWER(MID(_xlpm.DATA,2,LEN(_xlpm.DATA)-1)))</f>
        <v>Кепка восьмиклинка</v>
      </c>
      <c r="E113" s="78" t="str">
        <f ca="1">PROPER(TRIM(_xlfn.XLOOKUP($A113,Строчный!$A:$A,Строчный!E:E,"ERR",0)))</f>
        <v>Fredrikson</v>
      </c>
      <c r="F113" s="78" t="str">
        <f ca="1">LOWER(TRIM(_xlfn.XLOOKUP($A113,Строчный!$A:$A,Строчный!F:F,"ERR",0)))</f>
        <v>всесезон</v>
      </c>
      <c r="G113" s="78" t="str">
        <f ca="1">UPPER(TRIM(_xlfn.XLOOKUP($A113,Строчный!$A:$A,Строчный!G:G,"ERR",0)))</f>
        <v>FREDRIKSON</v>
      </c>
      <c r="H113" s="78" t="str">
        <f ca="1">LOWER(TRIM(_xlfn.XLOOKUP($A113,Строчный!$A:$A,Строчный!H:H,"ERR",0)))</f>
        <v>635/75</v>
      </c>
      <c r="I113" s="78" t="str">
        <f ca="1">LOWER(TRIM(_xlfn.XLOOKUP($A113,Строчный!$A:$A,Строчный!I:I,"ERR",0)))</f>
        <v>серый</v>
      </c>
      <c r="J113" s="78" t="str">
        <f ca="1">SUBSTITUTE(LOWER(TRIM(_xlfn.XLOOKUP($A113,Строчный!$A:$A,Строчный!J:J,"ERR",0))),"подклад","Подклад")</f>
        <v>80% шерсть - 20% полиамид / Подклад: 100% вискоза</v>
      </c>
      <c r="K113" s="78" t="str">
        <f ca="1">LOWER(TRIM(_xlfn.XLOOKUP($A113,Строчный!$A:$A,Строчный!K:K,"ERR",0)))</f>
        <v>шерстяные</v>
      </c>
      <c r="L113" s="78" t="str">
        <f ca="1">PROPER(TRIM(_xlfn.XLOOKUP($A113,Строчный!$A:$A,Строчный!L:L,"ERR",0)))</f>
        <v>Унисекс</v>
      </c>
      <c r="M113" s="105" t="str">
        <f ca="1">PROPER(TRIM(_xlfn.XLOOKUP($A113,Строчный!$A:$A,Строчный!M:M,"ERR",0)))</f>
        <v>Россия</v>
      </c>
      <c r="N113" s="78" t="str">
        <f ca="1">UPPER(TRIM(_xlfn.XLOOKUP($A113,Строчный!$A:$A,Строчный!O:O,"ERR",0)))</f>
        <v/>
      </c>
      <c r="O113" s="99" t="str">
        <f ca="1">PROPER(TRIM(_xlfn.XLOOKUP($A113,Строчный!$A:$A,Строчный!P:P,"ERR",0)))</f>
        <v/>
      </c>
      <c r="P113" s="78" t="str">
        <f ca="1">PROPER(TRIM(_xlfn.XLOOKUP($A113,Строчный!$A:$A,Строчный!R:R,"ERR",0)))</f>
        <v/>
      </c>
      <c r="Q113" s="87">
        <f ca="1">VALUE(_xlfn.XLOOKUP($A113,Строчный!$A:$A,Строчный!N:N,"ERR",0))</f>
        <v>975.8</v>
      </c>
      <c r="R113" s="86" t="str">
        <f ca="1">_xlfn.XLOOKUP($G113,Фабрика!A:A,Фабрика!B:B,"ERR",0)</f>
        <v>ООО "ФРЭДРИКСОН" Россия 192029, С-Петербург, пр. Обуховской обороны, д.86, лит М</v>
      </c>
      <c r="S113" s="77" t="str">
        <f ca="1">_xlfn.XLOOKUP(RIGHT(AA113,2),Размеры!D:D,Размеры!A:A,"ERR",0)</f>
        <v>59</v>
      </c>
      <c r="T113" s="77">
        <f ca="1">VALUE(_xlfn.XLOOKUP($AA113,Строчный!$S:$S,Строчный!U:U,"ERR",0))</f>
        <v>28</v>
      </c>
      <c r="U113" s="14" t="s">
        <v>241</v>
      </c>
      <c r="V113" s="98" t="str">
        <f t="shared" ca="1" si="25"/>
        <v>Кепка FREDRIKSON арт. 3109-635/75 (серый)</v>
      </c>
      <c r="W113" s="97" t="str">
        <f t="shared" ca="1" si="26"/>
        <v>Кепка FREDRIKSON арт. 3109-635/75 (серый) {635/75}</v>
      </c>
      <c r="X113" s="18" t="str">
        <f t="shared" ca="1" si="27"/>
        <v>серый</v>
      </c>
      <c r="Y113" s="18" t="str">
        <f t="shared" ca="1" si="28"/>
        <v>серый</v>
      </c>
      <c r="Z113" s="109" t="str">
        <f ca="1">_xlfn.LET(_xlpm.FormColors,_xlfn.XLOOKUP(A113,Строчный!A:A,Строчный!Q:Q,"",0),IF(_xlpm.FormColors=0,IFERROR(MID(I113,FIND("-",I113)+1,LEN(I113)),IFERROR(MID(I113,1,FIND("/",I113)-2),I113)),_xlpm.FormColors))</f>
        <v>серый</v>
      </c>
      <c r="AA113" s="70" t="str">
        <f ca="1"/>
        <v>95-085-80-59</v>
      </c>
      <c r="AB113" s="72" t="str">
        <f ca="1">VLOOKUP(C113,Группа!A:B,2,FALSE)</f>
        <v>Кепка</v>
      </c>
      <c r="AC113" s="94" t="str">
        <f ca="1">IFERROR(VLOOKUP(S113,Размеры!A:C,3,FALSE),"")</f>
        <v>59 L</v>
      </c>
      <c r="AD113" s="94" t="str">
        <f ca="1">VLOOKUP(I113,ЦветПолный!A:B,2,FALSE)</f>
        <v>80</v>
      </c>
      <c r="AE113" s="94" t="str">
        <f ca="1">IFERROR(VLOOKUP(S113,Размеры!A:D,4,FALSE),"")</f>
        <v>59</v>
      </c>
      <c r="AF113" s="94">
        <f ca="1">SUMIF(Группа!A:A,C113,Группа!C:C)</f>
        <v>1</v>
      </c>
      <c r="AG113" s="94">
        <f ca="1">SUMIF(Группа!B:B,AB113,Группа!C:C)</f>
        <v>1</v>
      </c>
      <c r="AH113" s="94">
        <f ca="1">SUMIF(Формы!A:A,D113,Формы!B:B)</f>
        <v>1</v>
      </c>
      <c r="AI113" s="94">
        <f ca="1">IF(IFERROR(VLOOKUP(J113,Материал!D:D,1,0),0)&gt;0,1,SUMIF(Материал!A:A,K113,Материал!B:B))</f>
        <v>1</v>
      </c>
      <c r="AJ113" s="94">
        <f ca="1">SUMIF(Размеры!A:A,S113,Размеры!E:E)</f>
        <v>1</v>
      </c>
      <c r="AK113" s="94">
        <f ca="1">SUMIF(Сезон!A:A,F113,Сезон!B:B)</f>
        <v>1</v>
      </c>
      <c r="AL113" s="94">
        <f ca="1">VLOOKUP(I113,ЦветПолный!A:C,3,0)</f>
        <v>1</v>
      </c>
      <c r="AM113" s="94">
        <f ca="1">SUMIF(Цвет!A:A,Z113,Цвет!B:B)</f>
        <v>1</v>
      </c>
      <c r="AN113" s="94">
        <f ca="1">_xlfn.XLOOKUP(L113,Пол!A:A,Пол!B:B,0,0)</f>
        <v>1</v>
      </c>
      <c r="AO113" s="94">
        <f ca="1">SUMIF(Бренд!A:A,G113,Бренд!B:B)</f>
        <v>1</v>
      </c>
      <c r="AP113" s="137">
        <f ca="1">SUMIF(Страна!A:A,M113,Страна!B:B)</f>
        <v>1</v>
      </c>
      <c r="AQ113" s="150" t="str">
        <f t="shared" ca="1" si="29"/>
        <v>Кепка FREDRIKSON арт. 3109-635/75 (серый) {635/75}</v>
      </c>
      <c r="AR113" s="94">
        <f t="shared" ca="1" si="30"/>
        <v>1</v>
      </c>
      <c r="AS113" s="143">
        <f t="shared" ca="1" si="31"/>
        <v>1</v>
      </c>
      <c r="AT113" s="138" t="str">
        <f ca="1">IF(IFERROR(VLOOKUP(W113,Товары!A:B,2,FALSE),"")=A113,"Есть в 1С","ERR")</f>
        <v>ERR</v>
      </c>
      <c r="AU113" s="139" t="str">
        <f ca="1">IF(IFERROR(VLOOKUP(A113,Товары!B:B,1,FALSE),"")=A113,"Есть в 1С","ERR")</f>
        <v>ERR</v>
      </c>
      <c r="AV113" s="93" t="e">
        <f ca="1">VLOOKUP(W113,Товары!A:B,2,FALSE)</f>
        <v>#N/A</v>
      </c>
      <c r="AW113" s="91" t="e">
        <f ca="1">VLOOKUP(W113,Товары!A:B,1,FALSE)</f>
        <v>#N/A</v>
      </c>
    </row>
    <row r="114" spans="1:49" x14ac:dyDescent="0.25">
      <c r="A114" s="105" t="str">
        <f t="shared" ca="1" si="24"/>
        <v>95-085-80</v>
      </c>
      <c r="B114" s="78" t="str">
        <f ca="1">_xlfn.LET(_xlpm.CAPS,VLOOKUP(G114,Caps!A:B,2,0),_xlpm.Style,TRIM(_xlfn.XLOOKUP($A114,Строчный!$A:$A,Строчный!B:B,"ERR",0)),IF(_xlpm.CAPS=0,_xlpm.Style,UPPER(_xlpm.Style)))</f>
        <v>3109-635/75</v>
      </c>
      <c r="C114" s="78" t="str">
        <f ca="1">TRIM(PROPER(_xlfn.XLOOKUP($A114,Строчный!$A:$A,Строчный!C:C,"ERR",0)))</f>
        <v>Кепки</v>
      </c>
      <c r="D114" s="78" t="str">
        <f ca="1">_xlfn.LET(_xlpm.DATA,TRIM(_xlfn.XLOOKUP($A114,Строчный!$A:$A,Строчный!D:D,"ERR",0)),UPPER(MID(_xlpm.DATA,1,1))&amp;LOWER(MID(_xlpm.DATA,2,LEN(_xlpm.DATA)-1)))</f>
        <v>Кепка восьмиклинка</v>
      </c>
      <c r="E114" s="78" t="str">
        <f ca="1">PROPER(TRIM(_xlfn.XLOOKUP($A114,Строчный!$A:$A,Строчный!E:E,"ERR",0)))</f>
        <v>Fredrikson</v>
      </c>
      <c r="F114" s="78" t="str">
        <f ca="1">LOWER(TRIM(_xlfn.XLOOKUP($A114,Строчный!$A:$A,Строчный!F:F,"ERR",0)))</f>
        <v>всесезон</v>
      </c>
      <c r="G114" s="78" t="str">
        <f ca="1">UPPER(TRIM(_xlfn.XLOOKUP($A114,Строчный!$A:$A,Строчный!G:G,"ERR",0)))</f>
        <v>FREDRIKSON</v>
      </c>
      <c r="H114" s="78" t="str">
        <f ca="1">LOWER(TRIM(_xlfn.XLOOKUP($A114,Строчный!$A:$A,Строчный!H:H,"ERR",0)))</f>
        <v>635/75</v>
      </c>
      <c r="I114" s="78" t="str">
        <f ca="1">LOWER(TRIM(_xlfn.XLOOKUP($A114,Строчный!$A:$A,Строчный!I:I,"ERR",0)))</f>
        <v>серый</v>
      </c>
      <c r="J114" s="78" t="str">
        <f ca="1">SUBSTITUTE(LOWER(TRIM(_xlfn.XLOOKUP($A114,Строчный!$A:$A,Строчный!J:J,"ERR",0))),"подклад","Подклад")</f>
        <v>80% шерсть - 20% полиамид / Подклад: 100% вискоза</v>
      </c>
      <c r="K114" s="78" t="str">
        <f ca="1">LOWER(TRIM(_xlfn.XLOOKUP($A114,Строчный!$A:$A,Строчный!K:K,"ERR",0)))</f>
        <v>шерстяные</v>
      </c>
      <c r="L114" s="78" t="str">
        <f ca="1">PROPER(TRIM(_xlfn.XLOOKUP($A114,Строчный!$A:$A,Строчный!L:L,"ERR",0)))</f>
        <v>Унисекс</v>
      </c>
      <c r="M114" s="105" t="str">
        <f ca="1">PROPER(TRIM(_xlfn.XLOOKUP($A114,Строчный!$A:$A,Строчный!M:M,"ERR",0)))</f>
        <v>Россия</v>
      </c>
      <c r="N114" s="78" t="str">
        <f ca="1">UPPER(TRIM(_xlfn.XLOOKUP($A114,Строчный!$A:$A,Строчный!O:O,"ERR",0)))</f>
        <v/>
      </c>
      <c r="O114" s="99" t="str">
        <f ca="1">PROPER(TRIM(_xlfn.XLOOKUP($A114,Строчный!$A:$A,Строчный!P:P,"ERR",0)))</f>
        <v/>
      </c>
      <c r="P114" s="78" t="str">
        <f ca="1">PROPER(TRIM(_xlfn.XLOOKUP($A114,Строчный!$A:$A,Строчный!R:R,"ERR",0)))</f>
        <v/>
      </c>
      <c r="Q114" s="87">
        <f ca="1">VALUE(_xlfn.XLOOKUP($A114,Строчный!$A:$A,Строчный!N:N,"ERR",0))</f>
        <v>975.8</v>
      </c>
      <c r="R114" s="86" t="str">
        <f ca="1">_xlfn.XLOOKUP($G114,Фабрика!A:A,Фабрика!B:B,"ERR",0)</f>
        <v>ООО "ФРЭДРИКСОН" Россия 192029, С-Петербург, пр. Обуховской обороны, д.86, лит М</v>
      </c>
      <c r="S114" s="77" t="str">
        <f ca="1">_xlfn.XLOOKUP(RIGHT(AA114,2),Размеры!D:D,Размеры!A:A,"ERR",0)</f>
        <v>58</v>
      </c>
      <c r="T114" s="77">
        <f ca="1">VALUE(_xlfn.XLOOKUP($AA114,Строчный!$S:$S,Строчный!U:U,"ERR",0))</f>
        <v>21</v>
      </c>
      <c r="U114" s="14" t="s">
        <v>241</v>
      </c>
      <c r="V114" s="98" t="str">
        <f t="shared" ca="1" si="25"/>
        <v>Кепка FREDRIKSON арт. 3109-635/75 (серый)</v>
      </c>
      <c r="W114" s="97" t="str">
        <f t="shared" ca="1" si="26"/>
        <v>Кепка FREDRIKSON арт. 3109-635/75 (серый) {635/75}</v>
      </c>
      <c r="X114" s="18" t="str">
        <f t="shared" ca="1" si="27"/>
        <v>серый</v>
      </c>
      <c r="Y114" s="18" t="str">
        <f t="shared" ca="1" si="28"/>
        <v>серый</v>
      </c>
      <c r="Z114" s="109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0" t="str">
        <f ca="1"/>
        <v>95-085-80-58</v>
      </c>
      <c r="AB114" s="72" t="str">
        <f ca="1">VLOOKUP(C114,Группа!A:B,2,FALSE)</f>
        <v>Кепка</v>
      </c>
      <c r="AC114" s="94" t="str">
        <f ca="1">IFERROR(VLOOKUP(S114,Размеры!A:C,3,FALSE),"")</f>
        <v>58 M/L</v>
      </c>
      <c r="AD114" s="94" t="str">
        <f ca="1">VLOOKUP(I114,ЦветПолный!A:B,2,FALSE)</f>
        <v>80</v>
      </c>
      <c r="AE114" s="94" t="str">
        <f ca="1">IFERROR(VLOOKUP(S114,Размеры!A:D,4,FALSE),"")</f>
        <v>58</v>
      </c>
      <c r="AF114" s="94">
        <f ca="1">SUMIF(Группа!A:A,C114,Группа!C:C)</f>
        <v>1</v>
      </c>
      <c r="AG114" s="94">
        <f ca="1">SUMIF(Группа!B:B,AB114,Группа!C:C)</f>
        <v>1</v>
      </c>
      <c r="AH114" s="94">
        <f ca="1">SUMIF(Формы!A:A,D114,Формы!B:B)</f>
        <v>1</v>
      </c>
      <c r="AI114" s="94">
        <f ca="1">IF(IFERROR(VLOOKUP(J114,Материал!D:D,1,0),0)&gt;0,1,SUMIF(Материал!A:A,K114,Материал!B:B))</f>
        <v>1</v>
      </c>
      <c r="AJ114" s="94">
        <f ca="1">SUMIF(Размеры!A:A,S114,Размеры!E:E)</f>
        <v>1</v>
      </c>
      <c r="AK114" s="94">
        <f ca="1">SUMIF(Сезон!A:A,F114,Сезон!B:B)</f>
        <v>1</v>
      </c>
      <c r="AL114" s="94">
        <f ca="1">VLOOKUP(I114,ЦветПолный!A:C,3,0)</f>
        <v>1</v>
      </c>
      <c r="AM114" s="94">
        <f ca="1">SUMIF(Цвет!A:A,Z114,Цвет!B:B)</f>
        <v>1</v>
      </c>
      <c r="AN114" s="94">
        <f ca="1">_xlfn.XLOOKUP(L114,Пол!A:A,Пол!B:B,0,0)</f>
        <v>1</v>
      </c>
      <c r="AO114" s="94">
        <f ca="1">SUMIF(Бренд!A:A,G114,Бренд!B:B)</f>
        <v>1</v>
      </c>
      <c r="AP114" s="137">
        <f ca="1">SUMIF(Страна!A:A,M114,Страна!B:B)</f>
        <v>1</v>
      </c>
      <c r="AQ114" s="150" t="str">
        <f t="shared" ca="1" si="29"/>
        <v>Кепка FREDRIKSON арт. 3109-635/75 (серый) {635/75}</v>
      </c>
      <c r="AR114" s="94">
        <f t="shared" ca="1" si="30"/>
        <v>1</v>
      </c>
      <c r="AS114" s="143">
        <f t="shared" ca="1" si="31"/>
        <v>1</v>
      </c>
      <c r="AT114" s="138" t="str">
        <f ca="1">IF(IFERROR(VLOOKUP(W114,Товары!A:B,2,FALSE),"")=A114,"Есть в 1С","ERR")</f>
        <v>ERR</v>
      </c>
      <c r="AU114" s="139" t="str">
        <f ca="1">IF(IFERROR(VLOOKUP(A114,Товары!B:B,1,FALSE),"")=A114,"Есть в 1С","ERR")</f>
        <v>ERR</v>
      </c>
      <c r="AV114" s="93" t="e">
        <f ca="1">VLOOKUP(W114,Товары!A:B,2,FALSE)</f>
        <v>#N/A</v>
      </c>
      <c r="AW114" s="91" t="e">
        <f ca="1">VLOOKUP(W114,Товары!A:B,1,FALSE)</f>
        <v>#N/A</v>
      </c>
    </row>
    <row r="115" spans="1:49" x14ac:dyDescent="0.25">
      <c r="A115" s="105" t="str">
        <f t="shared" ca="1" si="24"/>
        <v>95-085-80</v>
      </c>
      <c r="B115" s="78" t="str">
        <f ca="1">_xlfn.LET(_xlpm.CAPS,VLOOKUP(G115,Caps!A:B,2,0),_xlpm.Style,TRIM(_xlfn.XLOOKUP($A115,Строчный!$A:$A,Строчный!B:B,"ERR",0)),IF(_xlpm.CAPS=0,_xlpm.Style,UPPER(_xlpm.Style)))</f>
        <v>3109-635/75</v>
      </c>
      <c r="C115" s="78" t="str">
        <f ca="1">TRIM(PROPER(_xlfn.XLOOKUP($A115,Строчный!$A:$A,Строчный!C:C,"ERR",0)))</f>
        <v>Кепки</v>
      </c>
      <c r="D115" s="78" t="str">
        <f ca="1">_xlfn.LET(_xlpm.DATA,TRIM(_xlfn.XLOOKUP($A115,Строчный!$A:$A,Строчный!D:D,"ERR",0)),UPPER(MID(_xlpm.DATA,1,1))&amp;LOWER(MID(_xlpm.DATA,2,LEN(_xlpm.DATA)-1)))</f>
        <v>Кепка восьмиклинка</v>
      </c>
      <c r="E115" s="78" t="str">
        <f ca="1">PROPER(TRIM(_xlfn.XLOOKUP($A115,Строчный!$A:$A,Строчный!E:E,"ERR",0)))</f>
        <v>Fredrikson</v>
      </c>
      <c r="F115" s="78" t="str">
        <f ca="1">LOWER(TRIM(_xlfn.XLOOKUP($A115,Строчный!$A:$A,Строчный!F:F,"ERR",0)))</f>
        <v>всесезон</v>
      </c>
      <c r="G115" s="78" t="str">
        <f ca="1">UPPER(TRIM(_xlfn.XLOOKUP($A115,Строчный!$A:$A,Строчный!G:G,"ERR",0)))</f>
        <v>FREDRIKSON</v>
      </c>
      <c r="H115" s="78" t="str">
        <f ca="1">LOWER(TRIM(_xlfn.XLOOKUP($A115,Строчный!$A:$A,Строчный!H:H,"ERR",0)))</f>
        <v>635/75</v>
      </c>
      <c r="I115" s="78" t="str">
        <f ca="1">LOWER(TRIM(_xlfn.XLOOKUP($A115,Строчный!$A:$A,Строчный!I:I,"ERR",0)))</f>
        <v>серый</v>
      </c>
      <c r="J115" s="78" t="str">
        <f ca="1">SUBSTITUTE(LOWER(TRIM(_xlfn.XLOOKUP($A115,Строчный!$A:$A,Строчный!J:J,"ERR",0))),"подклад","Подклад")</f>
        <v>80% шерсть - 20% полиамид / Подклад: 100% вискоза</v>
      </c>
      <c r="K115" s="78" t="str">
        <f ca="1">LOWER(TRIM(_xlfn.XLOOKUP($A115,Строчный!$A:$A,Строчный!K:K,"ERR",0)))</f>
        <v>шерстяные</v>
      </c>
      <c r="L115" s="78" t="str">
        <f ca="1">PROPER(TRIM(_xlfn.XLOOKUP($A115,Строчный!$A:$A,Строчный!L:L,"ERR",0)))</f>
        <v>Унисекс</v>
      </c>
      <c r="M115" s="105" t="str">
        <f ca="1">PROPER(TRIM(_xlfn.XLOOKUP($A115,Строчный!$A:$A,Строчный!M:M,"ERR",0)))</f>
        <v>Россия</v>
      </c>
      <c r="N115" s="78" t="str">
        <f ca="1">UPPER(TRIM(_xlfn.XLOOKUP($A115,Строчный!$A:$A,Строчный!O:O,"ERR",0)))</f>
        <v/>
      </c>
      <c r="O115" s="99" t="str">
        <f ca="1">PROPER(TRIM(_xlfn.XLOOKUP($A115,Строчный!$A:$A,Строчный!P:P,"ERR",0)))</f>
        <v/>
      </c>
      <c r="P115" s="78" t="str">
        <f ca="1">PROPER(TRIM(_xlfn.XLOOKUP($A115,Строчный!$A:$A,Строчный!R:R,"ERR",0)))</f>
        <v/>
      </c>
      <c r="Q115" s="87">
        <f ca="1">VALUE(_xlfn.XLOOKUP($A115,Строчный!$A:$A,Строчный!N:N,"ERR",0))</f>
        <v>975.8</v>
      </c>
      <c r="R115" s="86" t="str">
        <f ca="1">_xlfn.XLOOKUP($G115,Фабрика!A:A,Фабрика!B:B,"ERR",0)</f>
        <v>ООО "ФРЭДРИКСОН" Россия 192029, С-Петербург, пр. Обуховской обороны, д.86, лит М</v>
      </c>
      <c r="S115" s="77" t="str">
        <f ca="1">_xlfn.XLOOKUP(RIGHT(AA115,2),Размеры!D:D,Размеры!A:A,"ERR",0)</f>
        <v>57</v>
      </c>
      <c r="T115" s="77">
        <f ca="1">VALUE(_xlfn.XLOOKUP($AA115,Строчный!$S:$S,Строчный!U:U,"ERR",0))</f>
        <v>14</v>
      </c>
      <c r="U115" s="14" t="s">
        <v>241</v>
      </c>
      <c r="V115" s="98" t="str">
        <f t="shared" ca="1" si="25"/>
        <v>Кепка FREDRIKSON арт. 3109-635/75 (серый)</v>
      </c>
      <c r="W115" s="97" t="str">
        <f t="shared" ca="1" si="26"/>
        <v>Кепка FREDRIKSON арт. 3109-635/75 (серый) {635/75}</v>
      </c>
      <c r="X115" s="18" t="str">
        <f t="shared" ca="1" si="27"/>
        <v>серый</v>
      </c>
      <c r="Y115" s="18" t="str">
        <f t="shared" ca="1" si="28"/>
        <v>серый</v>
      </c>
      <c r="Z115" s="109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0" t="str">
        <f ca="1"/>
        <v>95-085-80-57</v>
      </c>
      <c r="AB115" s="72" t="str">
        <f ca="1">VLOOKUP(C115,Группа!A:B,2,FALSE)</f>
        <v>Кепка</v>
      </c>
      <c r="AC115" s="94" t="str">
        <f ca="1">IFERROR(VLOOKUP(S115,Размеры!A:C,3,FALSE),"")</f>
        <v>57 M</v>
      </c>
      <c r="AD115" s="94" t="str">
        <f ca="1">VLOOKUP(I115,ЦветПолный!A:B,2,FALSE)</f>
        <v>80</v>
      </c>
      <c r="AE115" s="94" t="str">
        <f ca="1">IFERROR(VLOOKUP(S115,Размеры!A:D,4,FALSE),"")</f>
        <v>57</v>
      </c>
      <c r="AF115" s="94">
        <f ca="1">SUMIF(Группа!A:A,C115,Группа!C:C)</f>
        <v>1</v>
      </c>
      <c r="AG115" s="94">
        <f ca="1">SUMIF(Группа!B:B,AB115,Группа!C:C)</f>
        <v>1</v>
      </c>
      <c r="AH115" s="94">
        <f ca="1">SUMIF(Формы!A:A,D115,Формы!B:B)</f>
        <v>1</v>
      </c>
      <c r="AI115" s="94">
        <f ca="1">IF(IFERROR(VLOOKUP(J115,Материал!D:D,1,0),0)&gt;0,1,SUMIF(Материал!A:A,K115,Материал!B:B))</f>
        <v>1</v>
      </c>
      <c r="AJ115" s="94">
        <f ca="1">SUMIF(Размеры!A:A,S115,Размеры!E:E)</f>
        <v>1</v>
      </c>
      <c r="AK115" s="94">
        <f ca="1">SUMIF(Сезон!A:A,F115,Сезон!B:B)</f>
        <v>1</v>
      </c>
      <c r="AL115" s="94">
        <f ca="1">VLOOKUP(I115,ЦветПолный!A:C,3,0)</f>
        <v>1</v>
      </c>
      <c r="AM115" s="94">
        <f ca="1">SUMIF(Цвет!A:A,Z115,Цвет!B:B)</f>
        <v>1</v>
      </c>
      <c r="AN115" s="94">
        <f ca="1">_xlfn.XLOOKUP(L115,Пол!A:A,Пол!B:B,0,0)</f>
        <v>1</v>
      </c>
      <c r="AO115" s="94">
        <f ca="1">SUMIF(Бренд!A:A,G115,Бренд!B:B)</f>
        <v>1</v>
      </c>
      <c r="AP115" s="137">
        <f ca="1">SUMIF(Страна!A:A,M115,Страна!B:B)</f>
        <v>1</v>
      </c>
      <c r="AQ115" s="150" t="str">
        <f t="shared" ca="1" si="29"/>
        <v>Кепка FREDRIKSON арт. 3109-635/75 (серый) {635/75}</v>
      </c>
      <c r="AR115" s="94">
        <f t="shared" ca="1" si="30"/>
        <v>1</v>
      </c>
      <c r="AS115" s="143">
        <f t="shared" ca="1" si="31"/>
        <v>1</v>
      </c>
      <c r="AT115" s="138" t="str">
        <f ca="1">IF(IFERROR(VLOOKUP(W115,Товары!A:B,2,FALSE),"")=A115,"Есть в 1С","ERR")</f>
        <v>ERR</v>
      </c>
      <c r="AU115" s="139" t="str">
        <f ca="1">IF(IFERROR(VLOOKUP(A115,Товары!B:B,1,FALSE),"")=A115,"Есть в 1С","ERR")</f>
        <v>ERR</v>
      </c>
      <c r="AV115" s="93" t="e">
        <f ca="1">VLOOKUP(W115,Товары!A:B,2,FALSE)</f>
        <v>#N/A</v>
      </c>
      <c r="AW115" s="91" t="e">
        <f ca="1">VLOOKUP(W115,Товары!A:B,1,FALSE)</f>
        <v>#N/A</v>
      </c>
    </row>
    <row r="116" spans="1:49" x14ac:dyDescent="0.25">
      <c r="A116" s="105" t="str">
        <f t="shared" ca="1" si="24"/>
        <v>95-085-80</v>
      </c>
      <c r="B116" s="78" t="str">
        <f ca="1">_xlfn.LET(_xlpm.CAPS,VLOOKUP(G116,Caps!A:B,2,0),_xlpm.Style,TRIM(_xlfn.XLOOKUP($A116,Строчный!$A:$A,Строчный!B:B,"ERR",0)),IF(_xlpm.CAPS=0,_xlpm.Style,UPPER(_xlpm.Style)))</f>
        <v>3109-635/75</v>
      </c>
      <c r="C116" s="78" t="str">
        <f ca="1">TRIM(PROPER(_xlfn.XLOOKUP($A116,Строчный!$A:$A,Строчный!C:C,"ERR",0)))</f>
        <v>Кепки</v>
      </c>
      <c r="D116" s="78" t="str">
        <f ca="1">_xlfn.LET(_xlpm.DATA,TRIM(_xlfn.XLOOKUP($A116,Строчный!$A:$A,Строчный!D:D,"ERR",0)),UPPER(MID(_xlpm.DATA,1,1))&amp;LOWER(MID(_xlpm.DATA,2,LEN(_xlpm.DATA)-1)))</f>
        <v>Кепка восьмиклинка</v>
      </c>
      <c r="E116" s="78" t="str">
        <f ca="1">PROPER(TRIM(_xlfn.XLOOKUP($A116,Строчный!$A:$A,Строчный!E:E,"ERR",0)))</f>
        <v>Fredrikson</v>
      </c>
      <c r="F116" s="78" t="str">
        <f ca="1">LOWER(TRIM(_xlfn.XLOOKUP($A116,Строчный!$A:$A,Строчный!F:F,"ERR",0)))</f>
        <v>всесезон</v>
      </c>
      <c r="G116" s="78" t="str">
        <f ca="1">UPPER(TRIM(_xlfn.XLOOKUP($A116,Строчный!$A:$A,Строчный!G:G,"ERR",0)))</f>
        <v>FREDRIKSON</v>
      </c>
      <c r="H116" s="78" t="str">
        <f ca="1">LOWER(TRIM(_xlfn.XLOOKUP($A116,Строчный!$A:$A,Строчный!H:H,"ERR",0)))</f>
        <v>635/75</v>
      </c>
      <c r="I116" s="78" t="str">
        <f ca="1">LOWER(TRIM(_xlfn.XLOOKUP($A116,Строчный!$A:$A,Строчный!I:I,"ERR",0)))</f>
        <v>серый</v>
      </c>
      <c r="J116" s="78" t="str">
        <f ca="1">SUBSTITUTE(LOWER(TRIM(_xlfn.XLOOKUP($A116,Строчный!$A:$A,Строчный!J:J,"ERR",0))),"подклад","Подклад")</f>
        <v>80% шерсть - 20% полиамид / Подклад: 100% вискоза</v>
      </c>
      <c r="K116" s="78" t="str">
        <f ca="1">LOWER(TRIM(_xlfn.XLOOKUP($A116,Строчный!$A:$A,Строчный!K:K,"ERR",0)))</f>
        <v>шерстяные</v>
      </c>
      <c r="L116" s="78" t="str">
        <f ca="1">PROPER(TRIM(_xlfn.XLOOKUP($A116,Строчный!$A:$A,Строчный!L:L,"ERR",0)))</f>
        <v>Унисекс</v>
      </c>
      <c r="M116" s="105" t="str">
        <f ca="1">PROPER(TRIM(_xlfn.XLOOKUP($A116,Строчный!$A:$A,Строчный!M:M,"ERR",0)))</f>
        <v>Россия</v>
      </c>
      <c r="N116" s="78" t="str">
        <f ca="1">UPPER(TRIM(_xlfn.XLOOKUP($A116,Строчный!$A:$A,Строчный!O:O,"ERR",0)))</f>
        <v/>
      </c>
      <c r="O116" s="99" t="str">
        <f ca="1">PROPER(TRIM(_xlfn.XLOOKUP($A116,Строчный!$A:$A,Строчный!P:P,"ERR",0)))</f>
        <v/>
      </c>
      <c r="P116" s="78" t="str">
        <f ca="1">PROPER(TRIM(_xlfn.XLOOKUP($A116,Строчный!$A:$A,Строчный!R:R,"ERR",0)))</f>
        <v/>
      </c>
      <c r="Q116" s="87">
        <f ca="1">VALUE(_xlfn.XLOOKUP($A116,Строчный!$A:$A,Строчный!N:N,"ERR",0))</f>
        <v>975.8</v>
      </c>
      <c r="R116" s="86" t="str">
        <f ca="1">_xlfn.XLOOKUP($G116,Фабрика!A:A,Фабрика!B:B,"ERR",0)</f>
        <v>ООО "ФРЭДРИКСОН" Россия 192029, С-Петербург, пр. Обуховской обороны, д.86, лит М</v>
      </c>
      <c r="S116" s="77" t="str">
        <f ca="1">_xlfn.XLOOKUP(RIGHT(AA116,2),Размеры!D:D,Размеры!A:A,"ERR",0)</f>
        <v>56</v>
      </c>
      <c r="T116" s="77">
        <f ca="1">VALUE(_xlfn.XLOOKUP($AA116,Строчный!$S:$S,Строчный!U:U,"ERR",0))</f>
        <v>7</v>
      </c>
      <c r="U116" s="14" t="s">
        <v>241</v>
      </c>
      <c r="V116" s="98" t="str">
        <f t="shared" ca="1" si="25"/>
        <v>Кепка FREDRIKSON арт. 3109-635/75 (серый)</v>
      </c>
      <c r="W116" s="97" t="str">
        <f t="shared" ca="1" si="26"/>
        <v>Кепка FREDRIKSON арт. 3109-635/75 (серый) {635/75}</v>
      </c>
      <c r="X116" s="18" t="str">
        <f t="shared" ca="1" si="27"/>
        <v>серый</v>
      </c>
      <c r="Y116" s="18" t="str">
        <f t="shared" ca="1" si="28"/>
        <v>серый</v>
      </c>
      <c r="Z116" s="109" t="str">
        <f ca="1">_xlfn.LET(_xlpm.FormColors,_xlfn.XLOOKUP(A116,Строчный!A:A,Строчный!Q:Q,"",0),IF(_xlpm.FormColors=0,IFERROR(MID(I116,FIND("-",I116)+1,LEN(I116)),IFERROR(MID(I116,1,FIND("/",I116)-2),I116)),_xlpm.FormColors))</f>
        <v>серый</v>
      </c>
      <c r="AA116" s="70" t="str">
        <f ca="1"/>
        <v>95-085-80-56</v>
      </c>
      <c r="AB116" s="72" t="str">
        <f ca="1">VLOOKUP(C116,Группа!A:B,2,FALSE)</f>
        <v>Кепка</v>
      </c>
      <c r="AC116" s="94" t="str">
        <f ca="1">IFERROR(VLOOKUP(S116,Размеры!A:C,3,FALSE),"")</f>
        <v>56 S/M</v>
      </c>
      <c r="AD116" s="94" t="str">
        <f ca="1">VLOOKUP(I116,ЦветПолный!A:B,2,FALSE)</f>
        <v>80</v>
      </c>
      <c r="AE116" s="94" t="str">
        <f ca="1">IFERROR(VLOOKUP(S116,Размеры!A:D,4,FALSE),"")</f>
        <v>56</v>
      </c>
      <c r="AF116" s="94">
        <f ca="1">SUMIF(Группа!A:A,C116,Группа!C:C)</f>
        <v>1</v>
      </c>
      <c r="AG116" s="94">
        <f ca="1">SUMIF(Группа!B:B,AB116,Группа!C:C)</f>
        <v>1</v>
      </c>
      <c r="AH116" s="94">
        <f ca="1">SUMIF(Формы!A:A,D116,Формы!B:B)</f>
        <v>1</v>
      </c>
      <c r="AI116" s="94">
        <f ca="1">IF(IFERROR(VLOOKUP(J116,Материал!D:D,1,0),0)&gt;0,1,SUMIF(Материал!A:A,K116,Материал!B:B))</f>
        <v>1</v>
      </c>
      <c r="AJ116" s="94">
        <f ca="1">SUMIF(Размеры!A:A,S116,Размеры!E:E)</f>
        <v>1</v>
      </c>
      <c r="AK116" s="94">
        <f ca="1">SUMIF(Сезон!A:A,F116,Сезон!B:B)</f>
        <v>1</v>
      </c>
      <c r="AL116" s="94">
        <f ca="1">VLOOKUP(I116,ЦветПолный!A:C,3,0)</f>
        <v>1</v>
      </c>
      <c r="AM116" s="94">
        <f ca="1">SUMIF(Цвет!A:A,Z116,Цвет!B:B)</f>
        <v>1</v>
      </c>
      <c r="AN116" s="94">
        <f ca="1">_xlfn.XLOOKUP(L116,Пол!A:A,Пол!B:B,0,0)</f>
        <v>1</v>
      </c>
      <c r="AO116" s="94">
        <f ca="1">SUMIF(Бренд!A:A,G116,Бренд!B:B)</f>
        <v>1</v>
      </c>
      <c r="AP116" s="137">
        <f ca="1">SUMIF(Страна!A:A,M116,Страна!B:B)</f>
        <v>1</v>
      </c>
      <c r="AQ116" s="150" t="str">
        <f t="shared" ca="1" si="29"/>
        <v>Кепка FREDRIKSON арт. 3109-635/75 (серый) {635/75}</v>
      </c>
      <c r="AR116" s="94">
        <f t="shared" ca="1" si="30"/>
        <v>1</v>
      </c>
      <c r="AS116" s="143">
        <f t="shared" ca="1" si="31"/>
        <v>1</v>
      </c>
      <c r="AT116" s="138" t="str">
        <f ca="1">IF(IFERROR(VLOOKUP(W116,Товары!A:B,2,FALSE),"")=A116,"Есть в 1С","ERR")</f>
        <v>ERR</v>
      </c>
      <c r="AU116" s="139" t="str">
        <f ca="1">IF(IFERROR(VLOOKUP(A116,Товары!B:B,1,FALSE),"")=A116,"Есть в 1С","ERR")</f>
        <v>ERR</v>
      </c>
      <c r="AV116" s="93" t="e">
        <f ca="1">VLOOKUP(W116,Товары!A:B,2,FALSE)</f>
        <v>#N/A</v>
      </c>
      <c r="AW116" s="91" t="e">
        <f ca="1">VLOOKUP(W116,Товары!A:B,1,FALSE)</f>
        <v>#N/A</v>
      </c>
    </row>
    <row r="117" spans="1:49" x14ac:dyDescent="0.25">
      <c r="A117" s="105" t="str">
        <f t="shared" ca="1" si="24"/>
        <v>95-084-09</v>
      </c>
      <c r="B117" s="78" t="str">
        <f ca="1">_xlfn.LET(_xlpm.CAPS,VLOOKUP(G117,Caps!A:B,2,0),_xlpm.Style,TRIM(_xlfn.XLOOKUP($A117,Строчный!$A:$A,Строчный!B:B,"ERR",0)),IF(_xlpm.CAPS=0,_xlpm.Style,UPPER(_xlpm.Style)))</f>
        <v>3101-676/76</v>
      </c>
      <c r="C117" s="78" t="str">
        <f ca="1">TRIM(PROPER(_xlfn.XLOOKUP($A117,Строчный!$A:$A,Строчный!C:C,"ERR",0)))</f>
        <v>Кепки</v>
      </c>
      <c r="D117" s="78" t="str">
        <f ca="1">_xlfn.LET(_xlpm.DATA,TRIM(_xlfn.XLOOKUP($A117,Строчный!$A:$A,Строчный!D:D,"ERR",0)),UPPER(MID(_xlpm.DATA,1,1))&amp;LOWER(MID(_xlpm.DATA,2,LEN(_xlpm.DATA)-1)))</f>
        <v>Кепка восьмиклинка</v>
      </c>
      <c r="E117" s="78" t="str">
        <f ca="1">PROPER(TRIM(_xlfn.XLOOKUP($A117,Строчный!$A:$A,Строчный!E:E,"ERR",0)))</f>
        <v>Fredrikson</v>
      </c>
      <c r="F117" s="78" t="str">
        <f ca="1">LOWER(TRIM(_xlfn.XLOOKUP($A117,Строчный!$A:$A,Строчный!F:F,"ERR",0)))</f>
        <v>всесезон</v>
      </c>
      <c r="G117" s="78" t="str">
        <f ca="1">UPPER(TRIM(_xlfn.XLOOKUP($A117,Строчный!$A:$A,Строчный!G:G,"ERR",0)))</f>
        <v>FREDRIKSON</v>
      </c>
      <c r="H117" s="78" t="str">
        <f ca="1">LOWER(TRIM(_xlfn.XLOOKUP($A117,Строчный!$A:$A,Строчный!H:H,"ERR",0)))</f>
        <v>676/76</v>
      </c>
      <c r="I117" s="78" t="str">
        <f ca="1">LOWER(TRIM(_xlfn.XLOOKUP($A117,Строчный!$A:$A,Строчный!I:I,"ERR",0)))</f>
        <v>черный</v>
      </c>
      <c r="J117" s="78" t="str">
        <f ca="1">SUBSTITUTE(LOWER(TRIM(_xlfn.XLOOKUP($A117,Строчный!$A:$A,Строчный!J:J,"ERR",0))),"подклад","Подклад")</f>
        <v>80% шерсть - 20% полиамид / Подклад: 100% вискоза</v>
      </c>
      <c r="K117" s="78" t="str">
        <f ca="1">LOWER(TRIM(_xlfn.XLOOKUP($A117,Строчный!$A:$A,Строчный!K:K,"ERR",0)))</f>
        <v>шерстяные</v>
      </c>
      <c r="L117" s="78" t="str">
        <f ca="1">PROPER(TRIM(_xlfn.XLOOKUP($A117,Строчный!$A:$A,Строчный!L:L,"ERR",0)))</f>
        <v>Унисекс</v>
      </c>
      <c r="M117" s="105" t="str">
        <f ca="1">PROPER(TRIM(_xlfn.XLOOKUP($A117,Строчный!$A:$A,Строчный!M:M,"ERR",0)))</f>
        <v>Россия</v>
      </c>
      <c r="N117" s="78" t="str">
        <f ca="1">UPPER(TRIM(_xlfn.XLOOKUP($A117,Строчный!$A:$A,Строчный!O:O,"ERR",0)))</f>
        <v/>
      </c>
      <c r="O117" s="99" t="str">
        <f ca="1">PROPER(TRIM(_xlfn.XLOOKUP($A117,Строчный!$A:$A,Строчный!P:P,"ERR",0)))</f>
        <v/>
      </c>
      <c r="P117" s="78" t="str">
        <f ca="1">PROPER(TRIM(_xlfn.XLOOKUP($A117,Строчный!$A:$A,Строчный!R:R,"ERR",0)))</f>
        <v/>
      </c>
      <c r="Q117" s="87">
        <f ca="1">VALUE(_xlfn.XLOOKUP($A117,Строчный!$A:$A,Строчный!N:N,"ERR",0))</f>
        <v>975.8</v>
      </c>
      <c r="R117" s="86" t="str">
        <f ca="1">_xlfn.XLOOKUP($G117,Фабрика!A:A,Фабрика!B:B,"ERR",0)</f>
        <v>ООО "ФРЭДРИКСОН" Россия 192029, С-Петербург, пр. Обуховской обороны, д.86, лит М</v>
      </c>
      <c r="S117" s="77" t="str">
        <f ca="1">_xlfn.XLOOKUP(RIGHT(AA117,2),Размеры!D:D,Размеры!A:A,"ERR",0)</f>
        <v>62</v>
      </c>
      <c r="T117" s="77">
        <f ca="1">VALUE(_xlfn.XLOOKUP($AA117,Строчный!$S:$S,Строчный!U:U,"ERR",0))</f>
        <v>5</v>
      </c>
      <c r="U117" s="14" t="s">
        <v>241</v>
      </c>
      <c r="V117" s="98" t="str">
        <f t="shared" ca="1" si="25"/>
        <v>Кепка FREDRIKSON арт. 3101-676/76 (черный)</v>
      </c>
      <c r="W117" s="97" t="str">
        <f t="shared" ca="1" si="26"/>
        <v>Кепка FREDRIKSON арт. 3101-676/76 (черный) {676/76}</v>
      </c>
      <c r="X117" s="18" t="str">
        <f t="shared" ca="1" si="27"/>
        <v>черный</v>
      </c>
      <c r="Y117" s="18" t="str">
        <f t="shared" ca="1" si="28"/>
        <v>черный</v>
      </c>
      <c r="Z117" s="109" t="str">
        <f ca="1">_xlfn.LET(_xlpm.FormColors,_xlfn.XLOOKUP(A117,Строчный!A:A,Строчный!Q:Q,"",0),IF(_xlpm.FormColors=0,IFERROR(MID(I117,FIND("-",I117)+1,LEN(I117)),IFERROR(MID(I117,1,FIND("/",I117)-2),I117)),_xlpm.FormColors))</f>
        <v>черный</v>
      </c>
      <c r="AA117" s="70" t="str">
        <f ca="1"/>
        <v>95-084-09-62</v>
      </c>
      <c r="AB117" s="72" t="str">
        <f ca="1">VLOOKUP(C117,Группа!A:B,2,FALSE)</f>
        <v>Кепка</v>
      </c>
      <c r="AC117" s="94" t="str">
        <f ca="1">IFERROR(VLOOKUP(S117,Размеры!A:C,3,FALSE),"")</f>
        <v>62 XL/XXL</v>
      </c>
      <c r="AD117" s="94" t="str">
        <f ca="1">VLOOKUP(I117,ЦветПолный!A:B,2,FALSE)</f>
        <v>09</v>
      </c>
      <c r="AE117" s="94" t="str">
        <f ca="1">IFERROR(VLOOKUP(S117,Размеры!A:D,4,FALSE),"")</f>
        <v>62</v>
      </c>
      <c r="AF117" s="94">
        <f ca="1">SUMIF(Группа!A:A,C117,Группа!C:C)</f>
        <v>1</v>
      </c>
      <c r="AG117" s="94">
        <f ca="1">SUMIF(Группа!B:B,AB117,Группа!C:C)</f>
        <v>1</v>
      </c>
      <c r="AH117" s="94">
        <f ca="1">SUMIF(Формы!A:A,D117,Формы!B:B)</f>
        <v>1</v>
      </c>
      <c r="AI117" s="94">
        <f ca="1">IF(IFERROR(VLOOKUP(J117,Материал!D:D,1,0),0)&gt;0,1,SUMIF(Материал!A:A,K117,Материал!B:B))</f>
        <v>1</v>
      </c>
      <c r="AJ117" s="94">
        <f ca="1">SUMIF(Размеры!A:A,S117,Размеры!E:E)</f>
        <v>1</v>
      </c>
      <c r="AK117" s="94">
        <f ca="1">SUMIF(Сезон!A:A,F117,Сезон!B:B)</f>
        <v>1</v>
      </c>
      <c r="AL117" s="94">
        <f ca="1">VLOOKUP(I117,ЦветПолный!A:C,3,0)</f>
        <v>1</v>
      </c>
      <c r="AM117" s="94">
        <f ca="1">SUMIF(Цвет!A:A,Z117,Цвет!B:B)</f>
        <v>1</v>
      </c>
      <c r="AN117" s="94">
        <f ca="1">_xlfn.XLOOKUP(L117,Пол!A:A,Пол!B:B,0,0)</f>
        <v>1</v>
      </c>
      <c r="AO117" s="94">
        <f ca="1">SUMIF(Бренд!A:A,G117,Бренд!B:B)</f>
        <v>1</v>
      </c>
      <c r="AP117" s="137">
        <f ca="1">SUMIF(Страна!A:A,M117,Страна!B:B)</f>
        <v>1</v>
      </c>
      <c r="AQ117" s="150" t="str">
        <f t="shared" ca="1" si="29"/>
        <v>Кепка FREDRIKSON арт. 3101-676/76 (черный) {676/76}</v>
      </c>
      <c r="AR117" s="94">
        <f t="shared" ca="1" si="30"/>
        <v>1</v>
      </c>
      <c r="AS117" s="143">
        <f t="shared" ca="1" si="31"/>
        <v>1</v>
      </c>
      <c r="AT117" s="138" t="str">
        <f ca="1">IF(IFERROR(VLOOKUP(W117,Товары!A:B,2,FALSE),"")=A117,"Есть в 1С","ERR")</f>
        <v>ERR</v>
      </c>
      <c r="AU117" s="139" t="str">
        <f ca="1">IF(IFERROR(VLOOKUP(A117,Товары!B:B,1,FALSE),"")=A117,"Есть в 1С","ERR")</f>
        <v>ERR</v>
      </c>
      <c r="AV117" s="93" t="e">
        <f ca="1">VLOOKUP(W117,Товары!A:B,2,FALSE)</f>
        <v>#N/A</v>
      </c>
      <c r="AW117" s="91" t="e">
        <f ca="1">VLOOKUP(W117,Товары!A:B,1,FALSE)</f>
        <v>#N/A</v>
      </c>
    </row>
    <row r="118" spans="1:49" x14ac:dyDescent="0.25">
      <c r="A118" s="105" t="str">
        <f t="shared" ca="1" si="24"/>
        <v>95-084-09</v>
      </c>
      <c r="B118" s="78" t="str">
        <f ca="1">_xlfn.LET(_xlpm.CAPS,VLOOKUP(G118,Caps!A:B,2,0),_xlpm.Style,TRIM(_xlfn.XLOOKUP($A118,Строчный!$A:$A,Строчный!B:B,"ERR",0)),IF(_xlpm.CAPS=0,_xlpm.Style,UPPER(_xlpm.Style)))</f>
        <v>3101-676/76</v>
      </c>
      <c r="C118" s="78" t="str">
        <f ca="1">TRIM(PROPER(_xlfn.XLOOKUP($A118,Строчный!$A:$A,Строчный!C:C,"ERR",0)))</f>
        <v>Кепки</v>
      </c>
      <c r="D118" s="78" t="str">
        <f ca="1">_xlfn.LET(_xlpm.DATA,TRIM(_xlfn.XLOOKUP($A118,Строчный!$A:$A,Строчный!D:D,"ERR",0)),UPPER(MID(_xlpm.DATA,1,1))&amp;LOWER(MID(_xlpm.DATA,2,LEN(_xlpm.DATA)-1)))</f>
        <v>Кепка восьмиклинка</v>
      </c>
      <c r="E118" s="78" t="str">
        <f ca="1">PROPER(TRIM(_xlfn.XLOOKUP($A118,Строчный!$A:$A,Строчный!E:E,"ERR",0)))</f>
        <v>Fredrikson</v>
      </c>
      <c r="F118" s="78" t="str">
        <f ca="1">LOWER(TRIM(_xlfn.XLOOKUP($A118,Строчный!$A:$A,Строчный!F:F,"ERR",0)))</f>
        <v>всесезон</v>
      </c>
      <c r="G118" s="78" t="str">
        <f ca="1">UPPER(TRIM(_xlfn.XLOOKUP($A118,Строчный!$A:$A,Строчный!G:G,"ERR",0)))</f>
        <v>FREDRIKSON</v>
      </c>
      <c r="H118" s="78" t="str">
        <f ca="1">LOWER(TRIM(_xlfn.XLOOKUP($A118,Строчный!$A:$A,Строчный!H:H,"ERR",0)))</f>
        <v>676/76</v>
      </c>
      <c r="I118" s="78" t="str">
        <f ca="1">LOWER(TRIM(_xlfn.XLOOKUP($A118,Строчный!$A:$A,Строчный!I:I,"ERR",0)))</f>
        <v>черный</v>
      </c>
      <c r="J118" s="78" t="str">
        <f ca="1">SUBSTITUTE(LOWER(TRIM(_xlfn.XLOOKUP($A118,Строчный!$A:$A,Строчный!J:J,"ERR",0))),"подклад","Подклад")</f>
        <v>80% шерсть - 20% полиамид / Подклад: 100% вискоза</v>
      </c>
      <c r="K118" s="78" t="str">
        <f ca="1">LOWER(TRIM(_xlfn.XLOOKUP($A118,Строчный!$A:$A,Строчный!K:K,"ERR",0)))</f>
        <v>шерстяные</v>
      </c>
      <c r="L118" s="78" t="str">
        <f ca="1">PROPER(TRIM(_xlfn.XLOOKUP($A118,Строчный!$A:$A,Строчный!L:L,"ERR",0)))</f>
        <v>Унисекс</v>
      </c>
      <c r="M118" s="105" t="str">
        <f ca="1">PROPER(TRIM(_xlfn.XLOOKUP($A118,Строчный!$A:$A,Строчный!M:M,"ERR",0)))</f>
        <v>Россия</v>
      </c>
      <c r="N118" s="78" t="str">
        <f ca="1">UPPER(TRIM(_xlfn.XLOOKUP($A118,Строчный!$A:$A,Строчный!O:O,"ERR",0)))</f>
        <v/>
      </c>
      <c r="O118" s="99" t="str">
        <f ca="1">PROPER(TRIM(_xlfn.XLOOKUP($A118,Строчный!$A:$A,Строчный!P:P,"ERR",0)))</f>
        <v/>
      </c>
      <c r="P118" s="78" t="str">
        <f ca="1">PROPER(TRIM(_xlfn.XLOOKUP($A118,Строчный!$A:$A,Строчный!R:R,"ERR",0)))</f>
        <v/>
      </c>
      <c r="Q118" s="87">
        <f ca="1">VALUE(_xlfn.XLOOKUP($A118,Строчный!$A:$A,Строчный!N:N,"ERR",0))</f>
        <v>975.8</v>
      </c>
      <c r="R118" s="86" t="str">
        <f ca="1">_xlfn.XLOOKUP($G118,Фабрика!A:A,Фабрика!B:B,"ERR",0)</f>
        <v>ООО "ФРЭДРИКСОН" Россия 192029, С-Петербург, пр. Обуховской обороны, д.86, лит М</v>
      </c>
      <c r="S118" s="77" t="str">
        <f ca="1">_xlfn.XLOOKUP(RIGHT(AA118,2),Размеры!D:D,Размеры!A:A,"ERR",0)</f>
        <v>61</v>
      </c>
      <c r="T118" s="77">
        <f ca="1">VALUE(_xlfn.XLOOKUP($AA118,Строчный!$S:$S,Строчный!U:U,"ERR",0))</f>
        <v>10</v>
      </c>
      <c r="U118" s="14" t="s">
        <v>241</v>
      </c>
      <c r="V118" s="98" t="str">
        <f t="shared" ca="1" si="25"/>
        <v>Кепка FREDRIKSON арт. 3101-676/76 (черный)</v>
      </c>
      <c r="W118" s="97" t="str">
        <f t="shared" ca="1" si="26"/>
        <v>Кепка FREDRIKSON арт. 3101-676/76 (черный) {676/76}</v>
      </c>
      <c r="X118" s="18" t="str">
        <f t="shared" ca="1" si="27"/>
        <v>черный</v>
      </c>
      <c r="Y118" s="18" t="str">
        <f t="shared" ca="1" si="28"/>
        <v>черный</v>
      </c>
      <c r="Z118" s="109" t="str">
        <f ca="1">_xlfn.LET(_xlpm.FormColors,_xlfn.XLOOKUP(A118,Строчный!A:A,Строчный!Q:Q,"",0),IF(_xlpm.FormColors=0,IFERROR(MID(I118,FIND("-",I118)+1,LEN(I118)),IFERROR(MID(I118,1,FIND("/",I118)-2),I118)),_xlpm.FormColors))</f>
        <v>черный</v>
      </c>
      <c r="AA118" s="70" t="str">
        <f ca="1"/>
        <v>95-084-09-61</v>
      </c>
      <c r="AB118" s="72" t="str">
        <f ca="1">VLOOKUP(C118,Группа!A:B,2,FALSE)</f>
        <v>Кепка</v>
      </c>
      <c r="AC118" s="94" t="str">
        <f ca="1">IFERROR(VLOOKUP(S118,Размеры!A:C,3,FALSE),"")</f>
        <v>61 XL</v>
      </c>
      <c r="AD118" s="94" t="str">
        <f ca="1">VLOOKUP(I118,ЦветПолный!A:B,2,FALSE)</f>
        <v>09</v>
      </c>
      <c r="AE118" s="94" t="str">
        <f ca="1">IFERROR(VLOOKUP(S118,Размеры!A:D,4,FALSE),"")</f>
        <v>61</v>
      </c>
      <c r="AF118" s="94">
        <f ca="1">SUMIF(Группа!A:A,C118,Группа!C:C)</f>
        <v>1</v>
      </c>
      <c r="AG118" s="94">
        <f ca="1">SUMIF(Группа!B:B,AB118,Группа!C:C)</f>
        <v>1</v>
      </c>
      <c r="AH118" s="94">
        <f ca="1">SUMIF(Формы!A:A,D118,Формы!B:B)</f>
        <v>1</v>
      </c>
      <c r="AI118" s="94">
        <f ca="1">IF(IFERROR(VLOOKUP(J118,Материал!D:D,1,0),0)&gt;0,1,SUMIF(Материал!A:A,K118,Материал!B:B))</f>
        <v>1</v>
      </c>
      <c r="AJ118" s="94">
        <f ca="1">SUMIF(Размеры!A:A,S118,Размеры!E:E)</f>
        <v>1</v>
      </c>
      <c r="AK118" s="94">
        <f ca="1">SUMIF(Сезон!A:A,F118,Сезон!B:B)</f>
        <v>1</v>
      </c>
      <c r="AL118" s="94">
        <f ca="1">VLOOKUP(I118,ЦветПолный!A:C,3,0)</f>
        <v>1</v>
      </c>
      <c r="AM118" s="94">
        <f ca="1">SUMIF(Цвет!A:A,Z118,Цвет!B:B)</f>
        <v>1</v>
      </c>
      <c r="AN118" s="94">
        <f ca="1">_xlfn.XLOOKUP(L118,Пол!A:A,Пол!B:B,0,0)</f>
        <v>1</v>
      </c>
      <c r="AO118" s="94">
        <f ca="1">SUMIF(Бренд!A:A,G118,Бренд!B:B)</f>
        <v>1</v>
      </c>
      <c r="AP118" s="137">
        <f ca="1">SUMIF(Страна!A:A,M118,Страна!B:B)</f>
        <v>1</v>
      </c>
      <c r="AQ118" s="150" t="str">
        <f t="shared" ca="1" si="29"/>
        <v>Кепка FREDRIKSON арт. 3101-676/76 (черный) {676/76}</v>
      </c>
      <c r="AR118" s="94">
        <f t="shared" ca="1" si="30"/>
        <v>1</v>
      </c>
      <c r="AS118" s="143">
        <f t="shared" ca="1" si="31"/>
        <v>1</v>
      </c>
      <c r="AT118" s="138" t="str">
        <f ca="1">IF(IFERROR(VLOOKUP(W118,Товары!A:B,2,FALSE),"")=A118,"Есть в 1С","ERR")</f>
        <v>ERR</v>
      </c>
      <c r="AU118" s="139" t="str">
        <f ca="1">IF(IFERROR(VLOOKUP(A118,Товары!B:B,1,FALSE),"")=A118,"Есть в 1С","ERR")</f>
        <v>ERR</v>
      </c>
      <c r="AV118" s="93" t="e">
        <f ca="1">VLOOKUP(W118,Товары!A:B,2,FALSE)</f>
        <v>#N/A</v>
      </c>
      <c r="AW118" s="91" t="e">
        <f ca="1">VLOOKUP(W118,Товары!A:B,1,FALSE)</f>
        <v>#N/A</v>
      </c>
    </row>
    <row r="119" spans="1:49" x14ac:dyDescent="0.25">
      <c r="A119" s="105" t="str">
        <f t="shared" ca="1" si="24"/>
        <v>95-084-09</v>
      </c>
      <c r="B119" s="78" t="str">
        <f ca="1">_xlfn.LET(_xlpm.CAPS,VLOOKUP(G119,Caps!A:B,2,0),_xlpm.Style,TRIM(_xlfn.XLOOKUP($A119,Строчный!$A:$A,Строчный!B:B,"ERR",0)),IF(_xlpm.CAPS=0,_xlpm.Style,UPPER(_xlpm.Style)))</f>
        <v>3101-676/76</v>
      </c>
      <c r="C119" s="78" t="str">
        <f ca="1">TRIM(PROPER(_xlfn.XLOOKUP($A119,Строчный!$A:$A,Строчный!C:C,"ERR",0)))</f>
        <v>Кепки</v>
      </c>
      <c r="D119" s="78" t="str">
        <f ca="1">_xlfn.LET(_xlpm.DATA,TRIM(_xlfn.XLOOKUP($A119,Строчный!$A:$A,Строчный!D:D,"ERR",0)),UPPER(MID(_xlpm.DATA,1,1))&amp;LOWER(MID(_xlpm.DATA,2,LEN(_xlpm.DATA)-1)))</f>
        <v>Кепка восьмиклинка</v>
      </c>
      <c r="E119" s="78" t="str">
        <f ca="1">PROPER(TRIM(_xlfn.XLOOKUP($A119,Строчный!$A:$A,Строчный!E:E,"ERR",0)))</f>
        <v>Fredrikson</v>
      </c>
      <c r="F119" s="78" t="str">
        <f ca="1">LOWER(TRIM(_xlfn.XLOOKUP($A119,Строчный!$A:$A,Строчный!F:F,"ERR",0)))</f>
        <v>всесезон</v>
      </c>
      <c r="G119" s="78" t="str">
        <f ca="1">UPPER(TRIM(_xlfn.XLOOKUP($A119,Строчный!$A:$A,Строчный!G:G,"ERR",0)))</f>
        <v>FREDRIKSON</v>
      </c>
      <c r="H119" s="78" t="str">
        <f ca="1">LOWER(TRIM(_xlfn.XLOOKUP($A119,Строчный!$A:$A,Строчный!H:H,"ERR",0)))</f>
        <v>676/76</v>
      </c>
      <c r="I119" s="78" t="str">
        <f ca="1">LOWER(TRIM(_xlfn.XLOOKUP($A119,Строчный!$A:$A,Строчный!I:I,"ERR",0)))</f>
        <v>черный</v>
      </c>
      <c r="J119" s="78" t="str">
        <f ca="1">SUBSTITUTE(LOWER(TRIM(_xlfn.XLOOKUP($A119,Строчный!$A:$A,Строчный!J:J,"ERR",0))),"подклад","Подклад")</f>
        <v>80% шерсть - 20% полиамид / Подклад: 100% вискоза</v>
      </c>
      <c r="K119" s="78" t="str">
        <f ca="1">LOWER(TRIM(_xlfn.XLOOKUP($A119,Строчный!$A:$A,Строчный!K:K,"ERR",0)))</f>
        <v>шерстяные</v>
      </c>
      <c r="L119" s="78" t="str">
        <f ca="1">PROPER(TRIM(_xlfn.XLOOKUP($A119,Строчный!$A:$A,Строчный!L:L,"ERR",0)))</f>
        <v>Унисекс</v>
      </c>
      <c r="M119" s="105" t="str">
        <f ca="1">PROPER(TRIM(_xlfn.XLOOKUP($A119,Строчный!$A:$A,Строчный!M:M,"ERR",0)))</f>
        <v>Россия</v>
      </c>
      <c r="N119" s="78" t="str">
        <f ca="1">UPPER(TRIM(_xlfn.XLOOKUP($A119,Строчный!$A:$A,Строчный!O:O,"ERR",0)))</f>
        <v/>
      </c>
      <c r="O119" s="99" t="str">
        <f ca="1">PROPER(TRIM(_xlfn.XLOOKUP($A119,Строчный!$A:$A,Строчный!P:P,"ERR",0)))</f>
        <v/>
      </c>
      <c r="P119" s="78" t="str">
        <f ca="1">PROPER(TRIM(_xlfn.XLOOKUP($A119,Строчный!$A:$A,Строчный!R:R,"ERR",0)))</f>
        <v/>
      </c>
      <c r="Q119" s="87">
        <f ca="1">VALUE(_xlfn.XLOOKUP($A119,Строчный!$A:$A,Строчный!N:N,"ERR",0))</f>
        <v>975.8</v>
      </c>
      <c r="R119" s="86" t="str">
        <f ca="1">_xlfn.XLOOKUP($G119,Фабрика!A:A,Фабрика!B:B,"ERR",0)</f>
        <v>ООО "ФРЭДРИКСОН" Россия 192029, С-Петербург, пр. Обуховской обороны, д.86, лит М</v>
      </c>
      <c r="S119" s="77" t="str">
        <f ca="1">_xlfn.XLOOKUP(RIGHT(AA119,2),Размеры!D:D,Размеры!A:A,"ERR",0)</f>
        <v>60</v>
      </c>
      <c r="T119" s="77">
        <f ca="1">VALUE(_xlfn.XLOOKUP($AA119,Строчный!$S:$S,Строчный!U:U,"ERR",0))</f>
        <v>15</v>
      </c>
      <c r="U119" s="14" t="s">
        <v>241</v>
      </c>
      <c r="V119" s="98" t="str">
        <f t="shared" ca="1" si="25"/>
        <v>Кепка FREDRIKSON арт. 3101-676/76 (черный)</v>
      </c>
      <c r="W119" s="97" t="str">
        <f t="shared" ca="1" si="26"/>
        <v>Кепка FREDRIKSON арт. 3101-676/76 (черный) {676/76}</v>
      </c>
      <c r="X119" s="18" t="str">
        <f t="shared" ca="1" si="27"/>
        <v>черный</v>
      </c>
      <c r="Y119" s="18" t="str">
        <f t="shared" ca="1" si="28"/>
        <v>черный</v>
      </c>
      <c r="Z119" s="109" t="str">
        <f ca="1">_xlfn.LET(_xlpm.FormColors,_xlfn.XLOOKUP(A119,Строчный!A:A,Строчный!Q:Q,"",0),IF(_xlpm.FormColors=0,IFERROR(MID(I119,FIND("-",I119)+1,LEN(I119)),IFERROR(MID(I119,1,FIND("/",I119)-2),I119)),_xlpm.FormColors))</f>
        <v>черный</v>
      </c>
      <c r="AA119" s="70" t="str">
        <f ca="1"/>
        <v>95-084-09-60</v>
      </c>
      <c r="AB119" s="72" t="str">
        <f ca="1">VLOOKUP(C119,Группа!A:B,2,FALSE)</f>
        <v>Кепка</v>
      </c>
      <c r="AC119" s="94" t="str">
        <f ca="1">IFERROR(VLOOKUP(S119,Размеры!A:C,3,FALSE),"")</f>
        <v>60 L/XL</v>
      </c>
      <c r="AD119" s="94" t="str">
        <f ca="1">VLOOKUP(I119,ЦветПолный!A:B,2,FALSE)</f>
        <v>09</v>
      </c>
      <c r="AE119" s="94" t="str">
        <f ca="1">IFERROR(VLOOKUP(S119,Размеры!A:D,4,FALSE),"")</f>
        <v>60</v>
      </c>
      <c r="AF119" s="94">
        <f ca="1">SUMIF(Группа!A:A,C119,Группа!C:C)</f>
        <v>1</v>
      </c>
      <c r="AG119" s="94">
        <f ca="1">SUMIF(Группа!B:B,AB119,Группа!C:C)</f>
        <v>1</v>
      </c>
      <c r="AH119" s="94">
        <f ca="1">SUMIF(Формы!A:A,D119,Формы!B:B)</f>
        <v>1</v>
      </c>
      <c r="AI119" s="94">
        <f ca="1">IF(IFERROR(VLOOKUP(J119,Материал!D:D,1,0),0)&gt;0,1,SUMIF(Материал!A:A,K119,Материал!B:B))</f>
        <v>1</v>
      </c>
      <c r="AJ119" s="94">
        <f ca="1">SUMIF(Размеры!A:A,S119,Размеры!E:E)</f>
        <v>1</v>
      </c>
      <c r="AK119" s="94">
        <f ca="1">SUMIF(Сезон!A:A,F119,Сезон!B:B)</f>
        <v>1</v>
      </c>
      <c r="AL119" s="94">
        <f ca="1">VLOOKUP(I119,ЦветПолный!A:C,3,0)</f>
        <v>1</v>
      </c>
      <c r="AM119" s="94">
        <f ca="1">SUMIF(Цвет!A:A,Z119,Цвет!B:B)</f>
        <v>1</v>
      </c>
      <c r="AN119" s="94">
        <f ca="1">_xlfn.XLOOKUP(L119,Пол!A:A,Пол!B:B,0,0)</f>
        <v>1</v>
      </c>
      <c r="AO119" s="94">
        <f ca="1">SUMIF(Бренд!A:A,G119,Бренд!B:B)</f>
        <v>1</v>
      </c>
      <c r="AP119" s="137">
        <f ca="1">SUMIF(Страна!A:A,M119,Страна!B:B)</f>
        <v>1</v>
      </c>
      <c r="AQ119" s="150" t="str">
        <f t="shared" ca="1" si="29"/>
        <v>Кепка FREDRIKSON арт. 3101-676/76 (черный) {676/76}</v>
      </c>
      <c r="AR119" s="94">
        <f t="shared" ca="1" si="30"/>
        <v>1</v>
      </c>
      <c r="AS119" s="143">
        <f t="shared" ca="1" si="31"/>
        <v>1</v>
      </c>
      <c r="AT119" s="138" t="str">
        <f ca="1">IF(IFERROR(VLOOKUP(W119,Товары!A:B,2,FALSE),"")=A119,"Есть в 1С","ERR")</f>
        <v>ERR</v>
      </c>
      <c r="AU119" s="139" t="str">
        <f ca="1">IF(IFERROR(VLOOKUP(A119,Товары!B:B,1,FALSE),"")=A119,"Есть в 1С","ERR")</f>
        <v>ERR</v>
      </c>
      <c r="AV119" s="93" t="e">
        <f ca="1">VLOOKUP(W119,Товары!A:B,2,FALSE)</f>
        <v>#N/A</v>
      </c>
      <c r="AW119" s="91" t="e">
        <f ca="1">VLOOKUP(W119,Товары!A:B,1,FALSE)</f>
        <v>#N/A</v>
      </c>
    </row>
    <row r="120" spans="1:49" x14ac:dyDescent="0.25">
      <c r="A120" s="105" t="str">
        <f t="shared" ca="1" si="24"/>
        <v>95-084-09</v>
      </c>
      <c r="B120" s="78" t="str">
        <f ca="1">_xlfn.LET(_xlpm.CAPS,VLOOKUP(G120,Caps!A:B,2,0),_xlpm.Style,TRIM(_xlfn.XLOOKUP($A120,Строчный!$A:$A,Строчный!B:B,"ERR",0)),IF(_xlpm.CAPS=0,_xlpm.Style,UPPER(_xlpm.Style)))</f>
        <v>3101-676/76</v>
      </c>
      <c r="C120" s="78" t="str">
        <f ca="1">TRIM(PROPER(_xlfn.XLOOKUP($A120,Строчный!$A:$A,Строчный!C:C,"ERR",0)))</f>
        <v>Кепки</v>
      </c>
      <c r="D120" s="78" t="str">
        <f ca="1">_xlfn.LET(_xlpm.DATA,TRIM(_xlfn.XLOOKUP($A120,Строчный!$A:$A,Строчный!D:D,"ERR",0)),UPPER(MID(_xlpm.DATA,1,1))&amp;LOWER(MID(_xlpm.DATA,2,LEN(_xlpm.DATA)-1)))</f>
        <v>Кепка восьмиклинка</v>
      </c>
      <c r="E120" s="78" t="str">
        <f ca="1">PROPER(TRIM(_xlfn.XLOOKUP($A120,Строчный!$A:$A,Строчный!E:E,"ERR",0)))</f>
        <v>Fredrikson</v>
      </c>
      <c r="F120" s="78" t="str">
        <f ca="1">LOWER(TRIM(_xlfn.XLOOKUP($A120,Строчный!$A:$A,Строчный!F:F,"ERR",0)))</f>
        <v>всесезон</v>
      </c>
      <c r="G120" s="78" t="str">
        <f ca="1">UPPER(TRIM(_xlfn.XLOOKUP($A120,Строчный!$A:$A,Строчный!G:G,"ERR",0)))</f>
        <v>FREDRIKSON</v>
      </c>
      <c r="H120" s="78" t="str">
        <f ca="1">LOWER(TRIM(_xlfn.XLOOKUP($A120,Строчный!$A:$A,Строчный!H:H,"ERR",0)))</f>
        <v>676/76</v>
      </c>
      <c r="I120" s="78" t="str">
        <f ca="1">LOWER(TRIM(_xlfn.XLOOKUP($A120,Строчный!$A:$A,Строчный!I:I,"ERR",0)))</f>
        <v>черный</v>
      </c>
      <c r="J120" s="78" t="str">
        <f ca="1">SUBSTITUTE(LOWER(TRIM(_xlfn.XLOOKUP($A120,Строчный!$A:$A,Строчный!J:J,"ERR",0))),"подклад","Подклад")</f>
        <v>80% шерсть - 20% полиамид / Подклад: 100% вискоза</v>
      </c>
      <c r="K120" s="78" t="str">
        <f ca="1">LOWER(TRIM(_xlfn.XLOOKUP($A120,Строчный!$A:$A,Строчный!K:K,"ERR",0)))</f>
        <v>шерстяные</v>
      </c>
      <c r="L120" s="78" t="str">
        <f ca="1">PROPER(TRIM(_xlfn.XLOOKUP($A120,Строчный!$A:$A,Строчный!L:L,"ERR",0)))</f>
        <v>Унисекс</v>
      </c>
      <c r="M120" s="105" t="str">
        <f ca="1">PROPER(TRIM(_xlfn.XLOOKUP($A120,Строчный!$A:$A,Строчный!M:M,"ERR",0)))</f>
        <v>Россия</v>
      </c>
      <c r="N120" s="78" t="str">
        <f ca="1">UPPER(TRIM(_xlfn.XLOOKUP($A120,Строчный!$A:$A,Строчный!O:O,"ERR",0)))</f>
        <v/>
      </c>
      <c r="O120" s="99" t="str">
        <f ca="1">PROPER(TRIM(_xlfn.XLOOKUP($A120,Строчный!$A:$A,Строчный!P:P,"ERR",0)))</f>
        <v/>
      </c>
      <c r="P120" s="78" t="str">
        <f ca="1">PROPER(TRIM(_xlfn.XLOOKUP($A120,Строчный!$A:$A,Строчный!R:R,"ERR",0)))</f>
        <v/>
      </c>
      <c r="Q120" s="87">
        <f ca="1">VALUE(_xlfn.XLOOKUP($A120,Строчный!$A:$A,Строчный!N:N,"ERR",0))</f>
        <v>975.8</v>
      </c>
      <c r="R120" s="86" t="str">
        <f ca="1">_xlfn.XLOOKUP($G120,Фабрика!A:A,Фабрика!B:B,"ERR",0)</f>
        <v>ООО "ФРЭДРИКСОН" Россия 192029, С-Петербург, пр. Обуховской обороны, д.86, лит М</v>
      </c>
      <c r="S120" s="77" t="str">
        <f ca="1">_xlfn.XLOOKUP(RIGHT(AA120,2),Размеры!D:D,Размеры!A:A,"ERR",0)</f>
        <v>59</v>
      </c>
      <c r="T120" s="77">
        <f ca="1">VALUE(_xlfn.XLOOKUP($AA120,Строчный!$S:$S,Строчный!U:U,"ERR",0))</f>
        <v>20</v>
      </c>
      <c r="U120" s="14" t="s">
        <v>241</v>
      </c>
      <c r="V120" s="98" t="str">
        <f t="shared" ca="1" si="25"/>
        <v>Кепка FREDRIKSON арт. 3101-676/76 (черный)</v>
      </c>
      <c r="W120" s="97" t="str">
        <f t="shared" ca="1" si="26"/>
        <v>Кепка FREDRIKSON арт. 3101-676/76 (черный) {676/76}</v>
      </c>
      <c r="X120" s="18" t="str">
        <f t="shared" ca="1" si="27"/>
        <v>черный</v>
      </c>
      <c r="Y120" s="18" t="str">
        <f t="shared" ca="1" si="28"/>
        <v>черный</v>
      </c>
      <c r="Z120" s="109" t="str">
        <f ca="1">_xlfn.LET(_xlpm.FormColors,_xlfn.XLOOKUP(A120,Строчный!A:A,Строчный!Q:Q,"",0),IF(_xlpm.FormColors=0,IFERROR(MID(I120,FIND("-",I120)+1,LEN(I120)),IFERROR(MID(I120,1,FIND("/",I120)-2),I120)),_xlpm.FormColors))</f>
        <v>черный</v>
      </c>
      <c r="AA120" s="70" t="str">
        <f ca="1"/>
        <v>95-084-09-59</v>
      </c>
      <c r="AB120" s="72" t="str">
        <f ca="1">VLOOKUP(C120,Группа!A:B,2,FALSE)</f>
        <v>Кепка</v>
      </c>
      <c r="AC120" s="94" t="str">
        <f ca="1">IFERROR(VLOOKUP(S120,Размеры!A:C,3,FALSE),"")</f>
        <v>59 L</v>
      </c>
      <c r="AD120" s="94" t="str">
        <f ca="1">VLOOKUP(I120,ЦветПолный!A:B,2,FALSE)</f>
        <v>09</v>
      </c>
      <c r="AE120" s="94" t="str">
        <f ca="1">IFERROR(VLOOKUP(S120,Размеры!A:D,4,FALSE),"")</f>
        <v>59</v>
      </c>
      <c r="AF120" s="94">
        <f ca="1">SUMIF(Группа!A:A,C120,Группа!C:C)</f>
        <v>1</v>
      </c>
      <c r="AG120" s="94">
        <f ca="1">SUMIF(Группа!B:B,AB120,Группа!C:C)</f>
        <v>1</v>
      </c>
      <c r="AH120" s="94">
        <f ca="1">SUMIF(Формы!A:A,D120,Формы!B:B)</f>
        <v>1</v>
      </c>
      <c r="AI120" s="94">
        <f ca="1">IF(IFERROR(VLOOKUP(J120,Материал!D:D,1,0),0)&gt;0,1,SUMIF(Материал!A:A,K120,Материал!B:B))</f>
        <v>1</v>
      </c>
      <c r="AJ120" s="94">
        <f ca="1">SUMIF(Размеры!A:A,S120,Размеры!E:E)</f>
        <v>1</v>
      </c>
      <c r="AK120" s="94">
        <f ca="1">SUMIF(Сезон!A:A,F120,Сезон!B:B)</f>
        <v>1</v>
      </c>
      <c r="AL120" s="94">
        <f ca="1">VLOOKUP(I120,ЦветПолный!A:C,3,0)</f>
        <v>1</v>
      </c>
      <c r="AM120" s="94">
        <f ca="1">SUMIF(Цвет!A:A,Z120,Цвет!B:B)</f>
        <v>1</v>
      </c>
      <c r="AN120" s="94">
        <f ca="1">_xlfn.XLOOKUP(L120,Пол!A:A,Пол!B:B,0,0)</f>
        <v>1</v>
      </c>
      <c r="AO120" s="94">
        <f ca="1">SUMIF(Бренд!A:A,G120,Бренд!B:B)</f>
        <v>1</v>
      </c>
      <c r="AP120" s="137">
        <f ca="1">SUMIF(Страна!A:A,M120,Страна!B:B)</f>
        <v>1</v>
      </c>
      <c r="AQ120" s="150" t="str">
        <f t="shared" ca="1" si="29"/>
        <v>Кепка FREDRIKSON арт. 3101-676/76 (черный) {676/76}</v>
      </c>
      <c r="AR120" s="94">
        <f t="shared" ca="1" si="30"/>
        <v>1</v>
      </c>
      <c r="AS120" s="143">
        <f t="shared" ca="1" si="31"/>
        <v>1</v>
      </c>
      <c r="AT120" s="138" t="str">
        <f ca="1">IF(IFERROR(VLOOKUP(W120,Товары!A:B,2,FALSE),"")=A120,"Есть в 1С","ERR")</f>
        <v>ERR</v>
      </c>
      <c r="AU120" s="139" t="str">
        <f ca="1">IF(IFERROR(VLOOKUP(A120,Товары!B:B,1,FALSE),"")=A120,"Есть в 1С","ERR")</f>
        <v>ERR</v>
      </c>
      <c r="AV120" s="93" t="e">
        <f ca="1">VLOOKUP(W120,Товары!A:B,2,FALSE)</f>
        <v>#N/A</v>
      </c>
      <c r="AW120" s="91" t="e">
        <f ca="1">VLOOKUP(W120,Товары!A:B,1,FALSE)</f>
        <v>#N/A</v>
      </c>
    </row>
    <row r="121" spans="1:49" x14ac:dyDescent="0.25">
      <c r="A121" s="105" t="str">
        <f t="shared" ca="1" si="24"/>
        <v>95-084-09</v>
      </c>
      <c r="B121" s="78" t="str">
        <f ca="1">_xlfn.LET(_xlpm.CAPS,VLOOKUP(G121,Caps!A:B,2,0),_xlpm.Style,TRIM(_xlfn.XLOOKUP($A121,Строчный!$A:$A,Строчный!B:B,"ERR",0)),IF(_xlpm.CAPS=0,_xlpm.Style,UPPER(_xlpm.Style)))</f>
        <v>3101-676/76</v>
      </c>
      <c r="C121" s="78" t="str">
        <f ca="1">TRIM(PROPER(_xlfn.XLOOKUP($A121,Строчный!$A:$A,Строчный!C:C,"ERR",0)))</f>
        <v>Кепки</v>
      </c>
      <c r="D121" s="78" t="str">
        <f ca="1">_xlfn.LET(_xlpm.DATA,TRIM(_xlfn.XLOOKUP($A121,Строчный!$A:$A,Строчный!D:D,"ERR",0)),UPPER(MID(_xlpm.DATA,1,1))&amp;LOWER(MID(_xlpm.DATA,2,LEN(_xlpm.DATA)-1)))</f>
        <v>Кепка восьмиклинка</v>
      </c>
      <c r="E121" s="78" t="str">
        <f ca="1">PROPER(TRIM(_xlfn.XLOOKUP($A121,Строчный!$A:$A,Строчный!E:E,"ERR",0)))</f>
        <v>Fredrikson</v>
      </c>
      <c r="F121" s="78" t="str">
        <f ca="1">LOWER(TRIM(_xlfn.XLOOKUP($A121,Строчный!$A:$A,Строчный!F:F,"ERR",0)))</f>
        <v>всесезон</v>
      </c>
      <c r="G121" s="78" t="str">
        <f ca="1">UPPER(TRIM(_xlfn.XLOOKUP($A121,Строчный!$A:$A,Строчный!G:G,"ERR",0)))</f>
        <v>FREDRIKSON</v>
      </c>
      <c r="H121" s="78" t="str">
        <f ca="1">LOWER(TRIM(_xlfn.XLOOKUP($A121,Строчный!$A:$A,Строчный!H:H,"ERR",0)))</f>
        <v>676/76</v>
      </c>
      <c r="I121" s="78" t="str">
        <f ca="1">LOWER(TRIM(_xlfn.XLOOKUP($A121,Строчный!$A:$A,Строчный!I:I,"ERR",0)))</f>
        <v>черный</v>
      </c>
      <c r="J121" s="78" t="str">
        <f ca="1">SUBSTITUTE(LOWER(TRIM(_xlfn.XLOOKUP($A121,Строчный!$A:$A,Строчный!J:J,"ERR",0))),"подклад","Подклад")</f>
        <v>80% шерсть - 20% полиамид / Подклад: 100% вискоза</v>
      </c>
      <c r="K121" s="78" t="str">
        <f ca="1">LOWER(TRIM(_xlfn.XLOOKUP($A121,Строчный!$A:$A,Строчный!K:K,"ERR",0)))</f>
        <v>шерстяные</v>
      </c>
      <c r="L121" s="78" t="str">
        <f ca="1">PROPER(TRIM(_xlfn.XLOOKUP($A121,Строчный!$A:$A,Строчный!L:L,"ERR",0)))</f>
        <v>Унисекс</v>
      </c>
      <c r="M121" s="105" t="str">
        <f ca="1">PROPER(TRIM(_xlfn.XLOOKUP($A121,Строчный!$A:$A,Строчный!M:M,"ERR",0)))</f>
        <v>Россия</v>
      </c>
      <c r="N121" s="78" t="str">
        <f ca="1">UPPER(TRIM(_xlfn.XLOOKUP($A121,Строчный!$A:$A,Строчный!O:O,"ERR",0)))</f>
        <v/>
      </c>
      <c r="O121" s="99" t="str">
        <f ca="1">PROPER(TRIM(_xlfn.XLOOKUP($A121,Строчный!$A:$A,Строчный!P:P,"ERR",0)))</f>
        <v/>
      </c>
      <c r="P121" s="78" t="str">
        <f ca="1">PROPER(TRIM(_xlfn.XLOOKUP($A121,Строчный!$A:$A,Строчный!R:R,"ERR",0)))</f>
        <v/>
      </c>
      <c r="Q121" s="87">
        <f ca="1">VALUE(_xlfn.XLOOKUP($A121,Строчный!$A:$A,Строчный!N:N,"ERR",0))</f>
        <v>975.8</v>
      </c>
      <c r="R121" s="86" t="str">
        <f ca="1">_xlfn.XLOOKUP($G121,Фабрика!A:A,Фабрика!B:B,"ERR",0)</f>
        <v>ООО "ФРЭДРИКСОН" Россия 192029, С-Петербург, пр. Обуховской обороны, д.86, лит М</v>
      </c>
      <c r="S121" s="77" t="str">
        <f ca="1">_xlfn.XLOOKUP(RIGHT(AA121,2),Размеры!D:D,Размеры!A:A,"ERR",0)</f>
        <v>58</v>
      </c>
      <c r="T121" s="77">
        <f ca="1">VALUE(_xlfn.XLOOKUP($AA121,Строчный!$S:$S,Строчный!U:U,"ERR",0))</f>
        <v>15</v>
      </c>
      <c r="U121" s="14" t="s">
        <v>241</v>
      </c>
      <c r="V121" s="98" t="str">
        <f t="shared" ca="1" si="25"/>
        <v>Кепка FREDRIKSON арт. 3101-676/76 (черный)</v>
      </c>
      <c r="W121" s="97" t="str">
        <f t="shared" ca="1" si="26"/>
        <v>Кепка FREDRIKSON арт. 3101-676/76 (черный) {676/76}</v>
      </c>
      <c r="X121" s="18" t="str">
        <f t="shared" ca="1" si="27"/>
        <v>черный</v>
      </c>
      <c r="Y121" s="18" t="str">
        <f t="shared" ca="1" si="28"/>
        <v>черный</v>
      </c>
      <c r="Z121" s="109" t="str">
        <f ca="1">_xlfn.LET(_xlpm.FormColors,_xlfn.XLOOKUP(A121,Строчный!A:A,Строчный!Q:Q,"",0),IF(_xlpm.FormColors=0,IFERROR(MID(I121,FIND("-",I121)+1,LEN(I121)),IFERROR(MID(I121,1,FIND("/",I121)-2),I121)),_xlpm.FormColors))</f>
        <v>черный</v>
      </c>
      <c r="AA121" s="70" t="str">
        <f ca="1"/>
        <v>95-084-09-58</v>
      </c>
      <c r="AB121" s="72" t="str">
        <f ca="1">VLOOKUP(C121,Группа!A:B,2,FALSE)</f>
        <v>Кепка</v>
      </c>
      <c r="AC121" s="94" t="str">
        <f ca="1">IFERROR(VLOOKUP(S121,Размеры!A:C,3,FALSE),"")</f>
        <v>58 M/L</v>
      </c>
      <c r="AD121" s="94" t="str">
        <f ca="1">VLOOKUP(I121,ЦветПолный!A:B,2,FALSE)</f>
        <v>09</v>
      </c>
      <c r="AE121" s="94" t="str">
        <f ca="1">IFERROR(VLOOKUP(S121,Размеры!A:D,4,FALSE),"")</f>
        <v>58</v>
      </c>
      <c r="AF121" s="94">
        <f ca="1">SUMIF(Группа!A:A,C121,Группа!C:C)</f>
        <v>1</v>
      </c>
      <c r="AG121" s="94">
        <f ca="1">SUMIF(Группа!B:B,AB121,Группа!C:C)</f>
        <v>1</v>
      </c>
      <c r="AH121" s="94">
        <f ca="1">SUMIF(Формы!A:A,D121,Формы!B:B)</f>
        <v>1</v>
      </c>
      <c r="AI121" s="94">
        <f ca="1">IF(IFERROR(VLOOKUP(J121,Материал!D:D,1,0),0)&gt;0,1,SUMIF(Материал!A:A,K121,Материал!B:B))</f>
        <v>1</v>
      </c>
      <c r="AJ121" s="94">
        <f ca="1">SUMIF(Размеры!A:A,S121,Размеры!E:E)</f>
        <v>1</v>
      </c>
      <c r="AK121" s="94">
        <f ca="1">SUMIF(Сезон!A:A,F121,Сезон!B:B)</f>
        <v>1</v>
      </c>
      <c r="AL121" s="94">
        <f ca="1">VLOOKUP(I121,ЦветПолный!A:C,3,0)</f>
        <v>1</v>
      </c>
      <c r="AM121" s="94">
        <f ca="1">SUMIF(Цвет!A:A,Z121,Цвет!B:B)</f>
        <v>1</v>
      </c>
      <c r="AN121" s="94">
        <f ca="1">_xlfn.XLOOKUP(L121,Пол!A:A,Пол!B:B,0,0)</f>
        <v>1</v>
      </c>
      <c r="AO121" s="94">
        <f ca="1">SUMIF(Бренд!A:A,G121,Бренд!B:B)</f>
        <v>1</v>
      </c>
      <c r="AP121" s="137">
        <f ca="1">SUMIF(Страна!A:A,M121,Страна!B:B)</f>
        <v>1</v>
      </c>
      <c r="AQ121" s="150" t="str">
        <f t="shared" ca="1" si="29"/>
        <v>Кепка FREDRIKSON арт. 3101-676/76 (черный) {676/76}</v>
      </c>
      <c r="AR121" s="94">
        <f t="shared" ca="1" si="30"/>
        <v>1</v>
      </c>
      <c r="AS121" s="143">
        <f t="shared" ca="1" si="31"/>
        <v>1</v>
      </c>
      <c r="AT121" s="138" t="str">
        <f ca="1">IF(IFERROR(VLOOKUP(W121,Товары!A:B,2,FALSE),"")=A121,"Есть в 1С","ERR")</f>
        <v>ERR</v>
      </c>
      <c r="AU121" s="139" t="str">
        <f ca="1">IF(IFERROR(VLOOKUP(A121,Товары!B:B,1,FALSE),"")=A121,"Есть в 1С","ERR")</f>
        <v>ERR</v>
      </c>
      <c r="AV121" s="93" t="e">
        <f ca="1">VLOOKUP(W121,Товары!A:B,2,FALSE)</f>
        <v>#N/A</v>
      </c>
      <c r="AW121" s="91" t="e">
        <f ca="1">VLOOKUP(W121,Товары!A:B,1,FALSE)</f>
        <v>#N/A</v>
      </c>
    </row>
    <row r="122" spans="1:49" x14ac:dyDescent="0.25">
      <c r="A122" s="105" t="str">
        <f t="shared" ca="1" si="24"/>
        <v>95-084-09</v>
      </c>
      <c r="B122" s="78" t="str">
        <f ca="1">_xlfn.LET(_xlpm.CAPS,VLOOKUP(G122,Caps!A:B,2,0),_xlpm.Style,TRIM(_xlfn.XLOOKUP($A122,Строчный!$A:$A,Строчный!B:B,"ERR",0)),IF(_xlpm.CAPS=0,_xlpm.Style,UPPER(_xlpm.Style)))</f>
        <v>3101-676/76</v>
      </c>
      <c r="C122" s="78" t="str">
        <f ca="1">TRIM(PROPER(_xlfn.XLOOKUP($A122,Строчный!$A:$A,Строчный!C:C,"ERR",0)))</f>
        <v>Кепки</v>
      </c>
      <c r="D122" s="78" t="str">
        <f ca="1">_xlfn.LET(_xlpm.DATA,TRIM(_xlfn.XLOOKUP($A122,Строчный!$A:$A,Строчный!D:D,"ERR",0)),UPPER(MID(_xlpm.DATA,1,1))&amp;LOWER(MID(_xlpm.DATA,2,LEN(_xlpm.DATA)-1)))</f>
        <v>Кепка восьмиклинка</v>
      </c>
      <c r="E122" s="78" t="str">
        <f ca="1">PROPER(TRIM(_xlfn.XLOOKUP($A122,Строчный!$A:$A,Строчный!E:E,"ERR",0)))</f>
        <v>Fredrikson</v>
      </c>
      <c r="F122" s="78" t="str">
        <f ca="1">LOWER(TRIM(_xlfn.XLOOKUP($A122,Строчный!$A:$A,Строчный!F:F,"ERR",0)))</f>
        <v>всесезон</v>
      </c>
      <c r="G122" s="78" t="str">
        <f ca="1">UPPER(TRIM(_xlfn.XLOOKUP($A122,Строчный!$A:$A,Строчный!G:G,"ERR",0)))</f>
        <v>FREDRIKSON</v>
      </c>
      <c r="H122" s="78" t="str">
        <f ca="1">LOWER(TRIM(_xlfn.XLOOKUP($A122,Строчный!$A:$A,Строчный!H:H,"ERR",0)))</f>
        <v>676/76</v>
      </c>
      <c r="I122" s="78" t="str">
        <f ca="1">LOWER(TRIM(_xlfn.XLOOKUP($A122,Строчный!$A:$A,Строчный!I:I,"ERR",0)))</f>
        <v>черный</v>
      </c>
      <c r="J122" s="78" t="str">
        <f ca="1">SUBSTITUTE(LOWER(TRIM(_xlfn.XLOOKUP($A122,Строчный!$A:$A,Строчный!J:J,"ERR",0))),"подклад","Подклад")</f>
        <v>80% шерсть - 20% полиамид / Подклад: 100% вискоза</v>
      </c>
      <c r="K122" s="78" t="str">
        <f ca="1">LOWER(TRIM(_xlfn.XLOOKUP($A122,Строчный!$A:$A,Строчный!K:K,"ERR",0)))</f>
        <v>шерстяные</v>
      </c>
      <c r="L122" s="78" t="str">
        <f ca="1">PROPER(TRIM(_xlfn.XLOOKUP($A122,Строчный!$A:$A,Строчный!L:L,"ERR",0)))</f>
        <v>Унисекс</v>
      </c>
      <c r="M122" s="105" t="str">
        <f ca="1">PROPER(TRIM(_xlfn.XLOOKUP($A122,Строчный!$A:$A,Строчный!M:M,"ERR",0)))</f>
        <v>Россия</v>
      </c>
      <c r="N122" s="78" t="str">
        <f ca="1">UPPER(TRIM(_xlfn.XLOOKUP($A122,Строчный!$A:$A,Строчный!O:O,"ERR",0)))</f>
        <v/>
      </c>
      <c r="O122" s="99" t="str">
        <f ca="1">PROPER(TRIM(_xlfn.XLOOKUP($A122,Строчный!$A:$A,Строчный!P:P,"ERR",0)))</f>
        <v/>
      </c>
      <c r="P122" s="78" t="str">
        <f ca="1">PROPER(TRIM(_xlfn.XLOOKUP($A122,Строчный!$A:$A,Строчный!R:R,"ERR",0)))</f>
        <v/>
      </c>
      <c r="Q122" s="87">
        <f ca="1">VALUE(_xlfn.XLOOKUP($A122,Строчный!$A:$A,Строчный!N:N,"ERR",0))</f>
        <v>975.8</v>
      </c>
      <c r="R122" s="86" t="str">
        <f ca="1">_xlfn.XLOOKUP($G122,Фабрика!A:A,Фабрика!B:B,"ERR",0)</f>
        <v>ООО "ФРЭДРИКСОН" Россия 192029, С-Петербург, пр. Обуховской обороны, д.86, лит М</v>
      </c>
      <c r="S122" s="77" t="str">
        <f ca="1">_xlfn.XLOOKUP(RIGHT(AA122,2),Размеры!D:D,Размеры!A:A,"ERR",0)</f>
        <v>57</v>
      </c>
      <c r="T122" s="77">
        <f ca="1">VALUE(_xlfn.XLOOKUP($AA122,Строчный!$S:$S,Строчный!U:U,"ERR",0))</f>
        <v>10</v>
      </c>
      <c r="U122" s="14" t="s">
        <v>241</v>
      </c>
      <c r="V122" s="98" t="str">
        <f t="shared" ca="1" si="25"/>
        <v>Кепка FREDRIKSON арт. 3101-676/76 (черный)</v>
      </c>
      <c r="W122" s="97" t="str">
        <f t="shared" ca="1" si="26"/>
        <v>Кепка FREDRIKSON арт. 3101-676/76 (черный) {676/76}</v>
      </c>
      <c r="X122" s="18" t="str">
        <f t="shared" ca="1" si="27"/>
        <v>черный</v>
      </c>
      <c r="Y122" s="18" t="str">
        <f t="shared" ca="1" si="28"/>
        <v>черный</v>
      </c>
      <c r="Z122" s="109" t="str">
        <f ca="1">_xlfn.LET(_xlpm.FormColors,_xlfn.XLOOKUP(A122,Строчный!A:A,Строчный!Q:Q,"",0),IF(_xlpm.FormColors=0,IFERROR(MID(I122,FIND("-",I122)+1,LEN(I122)),IFERROR(MID(I122,1,FIND("/",I122)-2),I122)),_xlpm.FormColors))</f>
        <v>черный</v>
      </c>
      <c r="AA122" s="70" t="str">
        <f ca="1"/>
        <v>95-084-09-57</v>
      </c>
      <c r="AB122" s="72" t="str">
        <f ca="1">VLOOKUP(C122,Группа!A:B,2,FALSE)</f>
        <v>Кепка</v>
      </c>
      <c r="AC122" s="94" t="str">
        <f ca="1">IFERROR(VLOOKUP(S122,Размеры!A:C,3,FALSE),"")</f>
        <v>57 M</v>
      </c>
      <c r="AD122" s="94" t="str">
        <f ca="1">VLOOKUP(I122,ЦветПолный!A:B,2,FALSE)</f>
        <v>09</v>
      </c>
      <c r="AE122" s="94" t="str">
        <f ca="1">IFERROR(VLOOKUP(S122,Размеры!A:D,4,FALSE),"")</f>
        <v>57</v>
      </c>
      <c r="AF122" s="94">
        <f ca="1">SUMIF(Группа!A:A,C122,Группа!C:C)</f>
        <v>1</v>
      </c>
      <c r="AG122" s="94">
        <f ca="1">SUMIF(Группа!B:B,AB122,Группа!C:C)</f>
        <v>1</v>
      </c>
      <c r="AH122" s="94">
        <f ca="1">SUMIF(Формы!A:A,D122,Формы!B:B)</f>
        <v>1</v>
      </c>
      <c r="AI122" s="94">
        <f ca="1">IF(IFERROR(VLOOKUP(J122,Материал!D:D,1,0),0)&gt;0,1,SUMIF(Материал!A:A,K122,Материал!B:B))</f>
        <v>1</v>
      </c>
      <c r="AJ122" s="94">
        <f ca="1">SUMIF(Размеры!A:A,S122,Размеры!E:E)</f>
        <v>1</v>
      </c>
      <c r="AK122" s="94">
        <f ca="1">SUMIF(Сезон!A:A,F122,Сезон!B:B)</f>
        <v>1</v>
      </c>
      <c r="AL122" s="94">
        <f ca="1">VLOOKUP(I122,ЦветПолный!A:C,3,0)</f>
        <v>1</v>
      </c>
      <c r="AM122" s="94">
        <f ca="1">SUMIF(Цвет!A:A,Z122,Цвет!B:B)</f>
        <v>1</v>
      </c>
      <c r="AN122" s="94">
        <f ca="1">_xlfn.XLOOKUP(L122,Пол!A:A,Пол!B:B,0,0)</f>
        <v>1</v>
      </c>
      <c r="AO122" s="94">
        <f ca="1">SUMIF(Бренд!A:A,G122,Бренд!B:B)</f>
        <v>1</v>
      </c>
      <c r="AP122" s="137">
        <f ca="1">SUMIF(Страна!A:A,M122,Страна!B:B)</f>
        <v>1</v>
      </c>
      <c r="AQ122" s="150" t="str">
        <f t="shared" ca="1" si="29"/>
        <v>Кепка FREDRIKSON арт. 3101-676/76 (черный) {676/76}</v>
      </c>
      <c r="AR122" s="94">
        <f t="shared" ca="1" si="30"/>
        <v>1</v>
      </c>
      <c r="AS122" s="143">
        <f t="shared" ca="1" si="31"/>
        <v>1</v>
      </c>
      <c r="AT122" s="138" t="str">
        <f ca="1">IF(IFERROR(VLOOKUP(W122,Товары!A:B,2,FALSE),"")=A122,"Есть в 1С","ERR")</f>
        <v>ERR</v>
      </c>
      <c r="AU122" s="139" t="str">
        <f ca="1">IF(IFERROR(VLOOKUP(A122,Товары!B:B,1,FALSE),"")=A122,"Есть в 1С","ERR")</f>
        <v>ERR</v>
      </c>
      <c r="AV122" s="93" t="e">
        <f ca="1">VLOOKUP(W122,Товары!A:B,2,FALSE)</f>
        <v>#N/A</v>
      </c>
      <c r="AW122" s="91" t="e">
        <f ca="1">VLOOKUP(W122,Товары!A:B,1,FALSE)</f>
        <v>#N/A</v>
      </c>
    </row>
    <row r="123" spans="1:49" x14ac:dyDescent="0.25">
      <c r="A123" s="105" t="str">
        <f t="shared" ca="1" si="24"/>
        <v>95-084-09</v>
      </c>
      <c r="B123" s="78" t="str">
        <f ca="1">_xlfn.LET(_xlpm.CAPS,VLOOKUP(G123,Caps!A:B,2,0),_xlpm.Style,TRIM(_xlfn.XLOOKUP($A123,Строчный!$A:$A,Строчный!B:B,"ERR",0)),IF(_xlpm.CAPS=0,_xlpm.Style,UPPER(_xlpm.Style)))</f>
        <v>3101-676/76</v>
      </c>
      <c r="C123" s="78" t="str">
        <f ca="1">TRIM(PROPER(_xlfn.XLOOKUP($A123,Строчный!$A:$A,Строчный!C:C,"ERR",0)))</f>
        <v>Кепки</v>
      </c>
      <c r="D123" s="78" t="str">
        <f ca="1">_xlfn.LET(_xlpm.DATA,TRIM(_xlfn.XLOOKUP($A123,Строчный!$A:$A,Строчный!D:D,"ERR",0)),UPPER(MID(_xlpm.DATA,1,1))&amp;LOWER(MID(_xlpm.DATA,2,LEN(_xlpm.DATA)-1)))</f>
        <v>Кепка восьмиклинка</v>
      </c>
      <c r="E123" s="78" t="str">
        <f ca="1">PROPER(TRIM(_xlfn.XLOOKUP($A123,Строчный!$A:$A,Строчный!E:E,"ERR",0)))</f>
        <v>Fredrikson</v>
      </c>
      <c r="F123" s="78" t="str">
        <f ca="1">LOWER(TRIM(_xlfn.XLOOKUP($A123,Строчный!$A:$A,Строчный!F:F,"ERR",0)))</f>
        <v>всесезон</v>
      </c>
      <c r="G123" s="78" t="str">
        <f ca="1">UPPER(TRIM(_xlfn.XLOOKUP($A123,Строчный!$A:$A,Строчный!G:G,"ERR",0)))</f>
        <v>FREDRIKSON</v>
      </c>
      <c r="H123" s="78" t="str">
        <f ca="1">LOWER(TRIM(_xlfn.XLOOKUP($A123,Строчный!$A:$A,Строчный!H:H,"ERR",0)))</f>
        <v>676/76</v>
      </c>
      <c r="I123" s="78" t="str">
        <f ca="1">LOWER(TRIM(_xlfn.XLOOKUP($A123,Строчный!$A:$A,Строчный!I:I,"ERR",0)))</f>
        <v>черный</v>
      </c>
      <c r="J123" s="78" t="str">
        <f ca="1">SUBSTITUTE(LOWER(TRIM(_xlfn.XLOOKUP($A123,Строчный!$A:$A,Строчный!J:J,"ERR",0))),"подклад","Подклад")</f>
        <v>80% шерсть - 20% полиамид / Подклад: 100% вискоза</v>
      </c>
      <c r="K123" s="78" t="str">
        <f ca="1">LOWER(TRIM(_xlfn.XLOOKUP($A123,Строчный!$A:$A,Строчный!K:K,"ERR",0)))</f>
        <v>шерстяные</v>
      </c>
      <c r="L123" s="78" t="str">
        <f ca="1">PROPER(TRIM(_xlfn.XLOOKUP($A123,Строчный!$A:$A,Строчный!L:L,"ERR",0)))</f>
        <v>Унисекс</v>
      </c>
      <c r="M123" s="105" t="str">
        <f ca="1">PROPER(TRIM(_xlfn.XLOOKUP($A123,Строчный!$A:$A,Строчный!M:M,"ERR",0)))</f>
        <v>Россия</v>
      </c>
      <c r="N123" s="78" t="str">
        <f ca="1">UPPER(TRIM(_xlfn.XLOOKUP($A123,Строчный!$A:$A,Строчный!O:O,"ERR",0)))</f>
        <v/>
      </c>
      <c r="O123" s="99" t="str">
        <f ca="1">PROPER(TRIM(_xlfn.XLOOKUP($A123,Строчный!$A:$A,Строчный!P:P,"ERR",0)))</f>
        <v/>
      </c>
      <c r="P123" s="78" t="str">
        <f ca="1">PROPER(TRIM(_xlfn.XLOOKUP($A123,Строчный!$A:$A,Строчный!R:R,"ERR",0)))</f>
        <v/>
      </c>
      <c r="Q123" s="87">
        <f ca="1">VALUE(_xlfn.XLOOKUP($A123,Строчный!$A:$A,Строчный!N:N,"ERR",0))</f>
        <v>975.8</v>
      </c>
      <c r="R123" s="86" t="str">
        <f ca="1">_xlfn.XLOOKUP($G123,Фабрика!A:A,Фабрика!B:B,"ERR",0)</f>
        <v>ООО "ФРЭДРИКСОН" Россия 192029, С-Петербург, пр. Обуховской обороны, д.86, лит М</v>
      </c>
      <c r="S123" s="77" t="str">
        <f ca="1">_xlfn.XLOOKUP(RIGHT(AA123,2),Размеры!D:D,Размеры!A:A,"ERR",0)</f>
        <v>56</v>
      </c>
      <c r="T123" s="77">
        <f ca="1">VALUE(_xlfn.XLOOKUP($AA123,Строчный!$S:$S,Строчный!U:U,"ERR",0))</f>
        <v>5</v>
      </c>
      <c r="U123" s="14" t="s">
        <v>241</v>
      </c>
      <c r="V123" s="98" t="str">
        <f t="shared" ca="1" si="25"/>
        <v>Кепка FREDRIKSON арт. 3101-676/76 (черный)</v>
      </c>
      <c r="W123" s="97" t="str">
        <f t="shared" ca="1" si="26"/>
        <v>Кепка FREDRIKSON арт. 3101-676/76 (черный) {676/76}</v>
      </c>
      <c r="X123" s="18" t="str">
        <f t="shared" ca="1" si="27"/>
        <v>черный</v>
      </c>
      <c r="Y123" s="18" t="str">
        <f t="shared" ca="1" si="28"/>
        <v>черный</v>
      </c>
      <c r="Z123" s="109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0" t="str">
        <f ca="1"/>
        <v>95-084-09-56</v>
      </c>
      <c r="AB123" s="72" t="str">
        <f ca="1">VLOOKUP(C123,Группа!A:B,2,FALSE)</f>
        <v>Кепка</v>
      </c>
      <c r="AC123" s="94" t="str">
        <f ca="1">IFERROR(VLOOKUP(S123,Размеры!A:C,3,FALSE),"")</f>
        <v>56 S/M</v>
      </c>
      <c r="AD123" s="94" t="str">
        <f ca="1">VLOOKUP(I123,ЦветПолный!A:B,2,FALSE)</f>
        <v>09</v>
      </c>
      <c r="AE123" s="94" t="str">
        <f ca="1">IFERROR(VLOOKUP(S123,Размеры!A:D,4,FALSE),"")</f>
        <v>56</v>
      </c>
      <c r="AF123" s="94">
        <f ca="1">SUMIF(Группа!A:A,C123,Группа!C:C)</f>
        <v>1</v>
      </c>
      <c r="AG123" s="94">
        <f ca="1">SUMIF(Группа!B:B,AB123,Группа!C:C)</f>
        <v>1</v>
      </c>
      <c r="AH123" s="94">
        <f ca="1">SUMIF(Формы!A:A,D123,Формы!B:B)</f>
        <v>1</v>
      </c>
      <c r="AI123" s="94">
        <f ca="1">IF(IFERROR(VLOOKUP(J123,Материал!D:D,1,0),0)&gt;0,1,SUMIF(Материал!A:A,K123,Материал!B:B))</f>
        <v>1</v>
      </c>
      <c r="AJ123" s="94">
        <f ca="1">SUMIF(Размеры!A:A,S123,Размеры!E:E)</f>
        <v>1</v>
      </c>
      <c r="AK123" s="94">
        <f ca="1">SUMIF(Сезон!A:A,F123,Сезон!B:B)</f>
        <v>1</v>
      </c>
      <c r="AL123" s="94">
        <f ca="1">VLOOKUP(I123,ЦветПолный!A:C,3,0)</f>
        <v>1</v>
      </c>
      <c r="AM123" s="94">
        <f ca="1">SUMIF(Цвет!A:A,Z123,Цвет!B:B)</f>
        <v>1</v>
      </c>
      <c r="AN123" s="94">
        <f ca="1">_xlfn.XLOOKUP(L123,Пол!A:A,Пол!B:B,0,0)</f>
        <v>1</v>
      </c>
      <c r="AO123" s="94">
        <f ca="1">SUMIF(Бренд!A:A,G123,Бренд!B:B)</f>
        <v>1</v>
      </c>
      <c r="AP123" s="137">
        <f ca="1">SUMIF(Страна!A:A,M123,Страна!B:B)</f>
        <v>1</v>
      </c>
      <c r="AQ123" s="150" t="str">
        <f t="shared" ca="1" si="29"/>
        <v>Кепка FREDRIKSON арт. 3101-676/76 (черный) {676/76}</v>
      </c>
      <c r="AR123" s="94">
        <f t="shared" ca="1" si="30"/>
        <v>1</v>
      </c>
      <c r="AS123" s="143">
        <f t="shared" ca="1" si="31"/>
        <v>1</v>
      </c>
      <c r="AT123" s="138" t="str">
        <f ca="1">IF(IFERROR(VLOOKUP(W123,Товары!A:B,2,FALSE),"")=A123,"Есть в 1С","ERR")</f>
        <v>ERR</v>
      </c>
      <c r="AU123" s="139" t="str">
        <f ca="1">IF(IFERROR(VLOOKUP(A123,Товары!B:B,1,FALSE),"")=A123,"Есть в 1С","ERR")</f>
        <v>ERR</v>
      </c>
      <c r="AV123" s="93" t="e">
        <f ca="1">VLOOKUP(W123,Товары!A:B,2,FALSE)</f>
        <v>#N/A</v>
      </c>
      <c r="AW123" s="91" t="e">
        <f ca="1">VLOOKUP(W123,Товары!A:B,1,FALSE)</f>
        <v>#N/A</v>
      </c>
    </row>
    <row r="124" spans="1:49" x14ac:dyDescent="0.25">
      <c r="A124" s="105" t="str">
        <f t="shared" ca="1" si="24"/>
        <v>95-083-72</v>
      </c>
      <c r="B124" s="78" t="str">
        <f ca="1">_xlfn.LET(_xlpm.CAPS,VLOOKUP(G124,Caps!A:B,2,0),_xlpm.Style,TRIM(_xlfn.XLOOKUP($A124,Строчный!$A:$A,Строчный!B:B,"ERR",0)),IF(_xlpm.CAPS=0,_xlpm.Style,UPPER(_xlpm.Style)))</f>
        <v>3101-667/70</v>
      </c>
      <c r="C124" s="78" t="str">
        <f ca="1">TRIM(PROPER(_xlfn.XLOOKUP($A124,Строчный!$A:$A,Строчный!C:C,"ERR",0)))</f>
        <v>Кепки</v>
      </c>
      <c r="D124" s="78" t="str">
        <f ca="1">_xlfn.LET(_xlpm.DATA,TRIM(_xlfn.XLOOKUP($A124,Строчный!$A:$A,Строчный!D:D,"ERR",0)),UPPER(MID(_xlpm.DATA,1,1))&amp;LOWER(MID(_xlpm.DATA,2,LEN(_xlpm.DATA)-1)))</f>
        <v>Кепка восьмиклинка</v>
      </c>
      <c r="E124" s="78" t="str">
        <f ca="1">PROPER(TRIM(_xlfn.XLOOKUP($A124,Строчный!$A:$A,Строчный!E:E,"ERR",0)))</f>
        <v>Fredrikson</v>
      </c>
      <c r="F124" s="78" t="str">
        <f ca="1">LOWER(TRIM(_xlfn.XLOOKUP($A124,Строчный!$A:$A,Строчный!F:F,"ERR",0)))</f>
        <v>всесезон</v>
      </c>
      <c r="G124" s="78" t="str">
        <f ca="1">UPPER(TRIM(_xlfn.XLOOKUP($A124,Строчный!$A:$A,Строчный!G:G,"ERR",0)))</f>
        <v>FREDRIKSON</v>
      </c>
      <c r="H124" s="78" t="str">
        <f ca="1">LOWER(TRIM(_xlfn.XLOOKUP($A124,Строчный!$A:$A,Строчный!H:H,"ERR",0)))</f>
        <v>667/70</v>
      </c>
      <c r="I124" s="78" t="str">
        <f ca="1">LOWER(TRIM(_xlfn.XLOOKUP($A124,Строчный!$A:$A,Строчный!I:I,"ERR",0)))</f>
        <v>черный / белый</v>
      </c>
      <c r="J124" s="78" t="str">
        <f ca="1">SUBSTITUTE(LOWER(TRIM(_xlfn.XLOOKUP($A124,Строчный!$A:$A,Строчный!J:J,"ERR",0))),"подклад","Подклад")</f>
        <v>80% шерсть - 20% полиамид / Подклад: 100% вискоза</v>
      </c>
      <c r="K124" s="78" t="str">
        <f ca="1">LOWER(TRIM(_xlfn.XLOOKUP($A124,Строчный!$A:$A,Строчный!K:K,"ERR",0)))</f>
        <v>шерстяные</v>
      </c>
      <c r="L124" s="78" t="str">
        <f ca="1">PROPER(TRIM(_xlfn.XLOOKUP($A124,Строчный!$A:$A,Строчный!L:L,"ERR",0)))</f>
        <v>Унисекс</v>
      </c>
      <c r="M124" s="105" t="str">
        <f ca="1">PROPER(TRIM(_xlfn.XLOOKUP($A124,Строчный!$A:$A,Строчный!M:M,"ERR",0)))</f>
        <v>Россия</v>
      </c>
      <c r="N124" s="78" t="str">
        <f ca="1">UPPER(TRIM(_xlfn.XLOOKUP($A124,Строчный!$A:$A,Строчный!O:O,"ERR",0)))</f>
        <v/>
      </c>
      <c r="O124" s="99" t="str">
        <f ca="1">PROPER(TRIM(_xlfn.XLOOKUP($A124,Строчный!$A:$A,Строчный!P:P,"ERR",0)))</f>
        <v/>
      </c>
      <c r="P124" s="78" t="str">
        <f ca="1">PROPER(TRIM(_xlfn.XLOOKUP($A124,Строчный!$A:$A,Строчный!R:R,"ERR",0)))</f>
        <v/>
      </c>
      <c r="Q124" s="87">
        <f ca="1">VALUE(_xlfn.XLOOKUP($A124,Строчный!$A:$A,Строчный!N:N,"ERR",0))</f>
        <v>975.8</v>
      </c>
      <c r="R124" s="86" t="str">
        <f ca="1">_xlfn.XLOOKUP($G124,Фабрика!A:A,Фабрика!B:B,"ERR",0)</f>
        <v>ООО "ФРЭДРИКСОН" Россия 192029, С-Петербург, пр. Обуховской обороны, д.86, лит М</v>
      </c>
      <c r="S124" s="77" t="str">
        <f ca="1">_xlfn.XLOOKUP(RIGHT(AA124,2),Размеры!D:D,Размеры!A:A,"ERR",0)</f>
        <v>62</v>
      </c>
      <c r="T124" s="77">
        <f ca="1">VALUE(_xlfn.XLOOKUP($AA124,Строчный!$S:$S,Строчный!U:U,"ERR",0))</f>
        <v>3</v>
      </c>
      <c r="U124" s="14" t="s">
        <v>241</v>
      </c>
      <c r="V124" s="98" t="str">
        <f t="shared" ca="1" si="25"/>
        <v>Кепка FREDRIKSON арт. 3101-667/70 (черный / белый)</v>
      </c>
      <c r="W124" s="97" t="str">
        <f t="shared" ca="1" si="26"/>
        <v>Кепка FREDRIKSON арт. 3101-667/70 (черный / белый) {667/70}</v>
      </c>
      <c r="X124" s="18" t="str">
        <f t="shared" ca="1" si="27"/>
        <v>черный</v>
      </c>
      <c r="Y124" s="18" t="str">
        <f t="shared" ca="1" si="28"/>
        <v>белый</v>
      </c>
      <c r="Z124" s="109" t="str">
        <f ca="1">_xlfn.LET(_xlpm.FormColors,_xlfn.XLOOKUP(A124,Строчный!A:A,Строчный!Q:Q,"",0),IF(_xlpm.FormColors=0,IFERROR(MID(I124,FIND("-",I124)+1,LEN(I124)),IFERROR(MID(I124,1,FIND("/",I124)-2),I124)),_xlpm.FormColors))</f>
        <v>черный</v>
      </c>
      <c r="AA124" s="70" t="str">
        <f ca="1"/>
        <v>95-083-72-62</v>
      </c>
      <c r="AB124" s="72" t="str">
        <f ca="1">VLOOKUP(C124,Группа!A:B,2,FALSE)</f>
        <v>Кепка</v>
      </c>
      <c r="AC124" s="94" t="str">
        <f ca="1">IFERROR(VLOOKUP(S124,Размеры!A:C,3,FALSE),"")</f>
        <v>62 XL/XXL</v>
      </c>
      <c r="AD124" s="94" t="str">
        <f ca="1">VLOOKUP(I124,ЦветПолный!A:B,2,FALSE)</f>
        <v>72</v>
      </c>
      <c r="AE124" s="94" t="str">
        <f ca="1">IFERROR(VLOOKUP(S124,Размеры!A:D,4,FALSE),"")</f>
        <v>62</v>
      </c>
      <c r="AF124" s="94">
        <f ca="1">SUMIF(Группа!A:A,C124,Группа!C:C)</f>
        <v>1</v>
      </c>
      <c r="AG124" s="94">
        <f ca="1">SUMIF(Группа!B:B,AB124,Группа!C:C)</f>
        <v>1</v>
      </c>
      <c r="AH124" s="94">
        <f ca="1">SUMIF(Формы!A:A,D124,Формы!B:B)</f>
        <v>1</v>
      </c>
      <c r="AI124" s="94">
        <f ca="1">IF(IFERROR(VLOOKUP(J124,Материал!D:D,1,0),0)&gt;0,1,SUMIF(Материал!A:A,K124,Материал!B:B))</f>
        <v>1</v>
      </c>
      <c r="AJ124" s="94">
        <f ca="1">SUMIF(Размеры!A:A,S124,Размеры!E:E)</f>
        <v>1</v>
      </c>
      <c r="AK124" s="94">
        <f ca="1">SUMIF(Сезон!A:A,F124,Сезон!B:B)</f>
        <v>1</v>
      </c>
      <c r="AL124" s="94">
        <f ca="1">VLOOKUP(I124,ЦветПолный!A:C,3,0)</f>
        <v>1</v>
      </c>
      <c r="AM124" s="94">
        <f ca="1">SUMIF(Цвет!A:A,Z124,Цвет!B:B)</f>
        <v>1</v>
      </c>
      <c r="AN124" s="94">
        <f ca="1">_xlfn.XLOOKUP(L124,Пол!A:A,Пол!B:B,0,0)</f>
        <v>1</v>
      </c>
      <c r="AO124" s="94">
        <f ca="1">SUMIF(Бренд!A:A,G124,Бренд!B:B)</f>
        <v>1</v>
      </c>
      <c r="AP124" s="137">
        <f ca="1">SUMIF(Страна!A:A,M124,Страна!B:B)</f>
        <v>1</v>
      </c>
      <c r="AQ124" s="150" t="str">
        <f t="shared" ca="1" si="29"/>
        <v>Кепка FREDRIKSON арт. 3101-667/70 (черный / белый) {667/70}</v>
      </c>
      <c r="AR124" s="94">
        <f t="shared" ca="1" si="30"/>
        <v>1</v>
      </c>
      <c r="AS124" s="143">
        <f t="shared" ca="1" si="31"/>
        <v>1</v>
      </c>
      <c r="AT124" s="138" t="str">
        <f ca="1">IF(IFERROR(VLOOKUP(W124,Товары!A:B,2,FALSE),"")=A124,"Есть в 1С","ERR")</f>
        <v>ERR</v>
      </c>
      <c r="AU124" s="139" t="str">
        <f ca="1">IF(IFERROR(VLOOKUP(A124,Товары!B:B,1,FALSE),"")=A124,"Есть в 1С","ERR")</f>
        <v>ERR</v>
      </c>
      <c r="AV124" s="93" t="e">
        <f ca="1">VLOOKUP(W124,Товары!A:B,2,FALSE)</f>
        <v>#N/A</v>
      </c>
      <c r="AW124" s="91" t="e">
        <f ca="1">VLOOKUP(W124,Товары!A:B,1,FALSE)</f>
        <v>#N/A</v>
      </c>
    </row>
    <row r="125" spans="1:49" x14ac:dyDescent="0.25">
      <c r="A125" s="105" t="str">
        <f t="shared" ca="1" si="24"/>
        <v>95-083-72</v>
      </c>
      <c r="B125" s="78" t="str">
        <f ca="1">_xlfn.LET(_xlpm.CAPS,VLOOKUP(G125,Caps!A:B,2,0),_xlpm.Style,TRIM(_xlfn.XLOOKUP($A125,Строчный!$A:$A,Строчный!B:B,"ERR",0)),IF(_xlpm.CAPS=0,_xlpm.Style,UPPER(_xlpm.Style)))</f>
        <v>3101-667/70</v>
      </c>
      <c r="C125" s="78" t="str">
        <f ca="1">TRIM(PROPER(_xlfn.XLOOKUP($A125,Строчный!$A:$A,Строчный!C:C,"ERR",0)))</f>
        <v>Кепки</v>
      </c>
      <c r="D125" s="78" t="str">
        <f ca="1">_xlfn.LET(_xlpm.DATA,TRIM(_xlfn.XLOOKUP($A125,Строчный!$A:$A,Строчный!D:D,"ERR",0)),UPPER(MID(_xlpm.DATA,1,1))&amp;LOWER(MID(_xlpm.DATA,2,LEN(_xlpm.DATA)-1)))</f>
        <v>Кепка восьмиклинка</v>
      </c>
      <c r="E125" s="78" t="str">
        <f ca="1">PROPER(TRIM(_xlfn.XLOOKUP($A125,Строчный!$A:$A,Строчный!E:E,"ERR",0)))</f>
        <v>Fredrikson</v>
      </c>
      <c r="F125" s="78" t="str">
        <f ca="1">LOWER(TRIM(_xlfn.XLOOKUP($A125,Строчный!$A:$A,Строчный!F:F,"ERR",0)))</f>
        <v>всесезон</v>
      </c>
      <c r="G125" s="78" t="str">
        <f ca="1">UPPER(TRIM(_xlfn.XLOOKUP($A125,Строчный!$A:$A,Строчный!G:G,"ERR",0)))</f>
        <v>FREDRIKSON</v>
      </c>
      <c r="H125" s="78" t="str">
        <f ca="1">LOWER(TRIM(_xlfn.XLOOKUP($A125,Строчный!$A:$A,Строчный!H:H,"ERR",0)))</f>
        <v>667/70</v>
      </c>
      <c r="I125" s="78" t="str">
        <f ca="1">LOWER(TRIM(_xlfn.XLOOKUP($A125,Строчный!$A:$A,Строчный!I:I,"ERR",0)))</f>
        <v>черный / белый</v>
      </c>
      <c r="J125" s="78" t="str">
        <f ca="1">SUBSTITUTE(LOWER(TRIM(_xlfn.XLOOKUP($A125,Строчный!$A:$A,Строчный!J:J,"ERR",0))),"подклад","Подклад")</f>
        <v>80% шерсть - 20% полиамид / Подклад: 100% вискоза</v>
      </c>
      <c r="K125" s="78" t="str">
        <f ca="1">LOWER(TRIM(_xlfn.XLOOKUP($A125,Строчный!$A:$A,Строчный!K:K,"ERR",0)))</f>
        <v>шерстяные</v>
      </c>
      <c r="L125" s="78" t="str">
        <f ca="1">PROPER(TRIM(_xlfn.XLOOKUP($A125,Строчный!$A:$A,Строчный!L:L,"ERR",0)))</f>
        <v>Унисекс</v>
      </c>
      <c r="M125" s="105" t="str">
        <f ca="1">PROPER(TRIM(_xlfn.XLOOKUP($A125,Строчный!$A:$A,Строчный!M:M,"ERR",0)))</f>
        <v>Россия</v>
      </c>
      <c r="N125" s="78" t="str">
        <f ca="1">UPPER(TRIM(_xlfn.XLOOKUP($A125,Строчный!$A:$A,Строчный!O:O,"ERR",0)))</f>
        <v/>
      </c>
      <c r="O125" s="99" t="str">
        <f ca="1">PROPER(TRIM(_xlfn.XLOOKUP($A125,Строчный!$A:$A,Строчный!P:P,"ERR",0)))</f>
        <v/>
      </c>
      <c r="P125" s="78" t="str">
        <f ca="1">PROPER(TRIM(_xlfn.XLOOKUP($A125,Строчный!$A:$A,Строчный!R:R,"ERR",0)))</f>
        <v/>
      </c>
      <c r="Q125" s="87">
        <f ca="1">VALUE(_xlfn.XLOOKUP($A125,Строчный!$A:$A,Строчный!N:N,"ERR",0))</f>
        <v>975.8</v>
      </c>
      <c r="R125" s="86" t="str">
        <f ca="1">_xlfn.XLOOKUP($G125,Фабрика!A:A,Фабрика!B:B,"ERR",0)</f>
        <v>ООО "ФРЭДРИКСОН" Россия 192029, С-Петербург, пр. Обуховской обороны, д.86, лит М</v>
      </c>
      <c r="S125" s="77" t="str">
        <f ca="1">_xlfn.XLOOKUP(RIGHT(AA125,2),Размеры!D:D,Размеры!A:A,"ERR",0)</f>
        <v>61</v>
      </c>
      <c r="T125" s="77">
        <f ca="1">VALUE(_xlfn.XLOOKUP($AA125,Строчный!$S:$S,Строчный!U:U,"ERR",0))</f>
        <v>6</v>
      </c>
      <c r="U125" s="14" t="s">
        <v>241</v>
      </c>
      <c r="V125" s="98" t="str">
        <f t="shared" ca="1" si="25"/>
        <v>Кепка FREDRIKSON арт. 3101-667/70 (черный / белый)</v>
      </c>
      <c r="W125" s="97" t="str">
        <f t="shared" ca="1" si="26"/>
        <v>Кепка FREDRIKSON арт. 3101-667/70 (черный / белый) {667/70}</v>
      </c>
      <c r="X125" s="18" t="str">
        <f t="shared" ca="1" si="27"/>
        <v>черный</v>
      </c>
      <c r="Y125" s="18" t="str">
        <f t="shared" ca="1" si="28"/>
        <v>белый</v>
      </c>
      <c r="Z125" s="109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0" t="str">
        <f ca="1"/>
        <v>95-083-72-61</v>
      </c>
      <c r="AB125" s="72" t="str">
        <f ca="1">VLOOKUP(C125,Группа!A:B,2,FALSE)</f>
        <v>Кепка</v>
      </c>
      <c r="AC125" s="94" t="str">
        <f ca="1">IFERROR(VLOOKUP(S125,Размеры!A:C,3,FALSE),"")</f>
        <v>61 XL</v>
      </c>
      <c r="AD125" s="94" t="str">
        <f ca="1">VLOOKUP(I125,ЦветПолный!A:B,2,FALSE)</f>
        <v>72</v>
      </c>
      <c r="AE125" s="94" t="str">
        <f ca="1">IFERROR(VLOOKUP(S125,Размеры!A:D,4,FALSE),"")</f>
        <v>61</v>
      </c>
      <c r="AF125" s="94">
        <f ca="1">SUMIF(Группа!A:A,C125,Группа!C:C)</f>
        <v>1</v>
      </c>
      <c r="AG125" s="94">
        <f ca="1">SUMIF(Группа!B:B,AB125,Группа!C:C)</f>
        <v>1</v>
      </c>
      <c r="AH125" s="94">
        <f ca="1">SUMIF(Формы!A:A,D125,Формы!B:B)</f>
        <v>1</v>
      </c>
      <c r="AI125" s="94">
        <f ca="1">IF(IFERROR(VLOOKUP(J125,Материал!D:D,1,0),0)&gt;0,1,SUMIF(Материал!A:A,K125,Материал!B:B))</f>
        <v>1</v>
      </c>
      <c r="AJ125" s="94">
        <f ca="1">SUMIF(Размеры!A:A,S125,Размеры!E:E)</f>
        <v>1</v>
      </c>
      <c r="AK125" s="94">
        <f ca="1">SUMIF(Сезон!A:A,F125,Сезон!B:B)</f>
        <v>1</v>
      </c>
      <c r="AL125" s="94">
        <f ca="1">VLOOKUP(I125,ЦветПолный!A:C,3,0)</f>
        <v>1</v>
      </c>
      <c r="AM125" s="94">
        <f ca="1">SUMIF(Цвет!A:A,Z125,Цвет!B:B)</f>
        <v>1</v>
      </c>
      <c r="AN125" s="94">
        <f ca="1">_xlfn.XLOOKUP(L125,Пол!A:A,Пол!B:B,0,0)</f>
        <v>1</v>
      </c>
      <c r="AO125" s="94">
        <f ca="1">SUMIF(Бренд!A:A,G125,Бренд!B:B)</f>
        <v>1</v>
      </c>
      <c r="AP125" s="137">
        <f ca="1">SUMIF(Страна!A:A,M125,Страна!B:B)</f>
        <v>1</v>
      </c>
      <c r="AQ125" s="150" t="str">
        <f t="shared" ca="1" si="29"/>
        <v>Кепка FREDRIKSON арт. 3101-667/70 (черный / белый) {667/70}</v>
      </c>
      <c r="AR125" s="94">
        <f t="shared" ca="1" si="30"/>
        <v>1</v>
      </c>
      <c r="AS125" s="143">
        <f t="shared" ca="1" si="31"/>
        <v>1</v>
      </c>
      <c r="AT125" s="138" t="str">
        <f ca="1">IF(IFERROR(VLOOKUP(W125,Товары!A:B,2,FALSE),"")=A125,"Есть в 1С","ERR")</f>
        <v>ERR</v>
      </c>
      <c r="AU125" s="139" t="str">
        <f ca="1">IF(IFERROR(VLOOKUP(A125,Товары!B:B,1,FALSE),"")=A125,"Есть в 1С","ERR")</f>
        <v>ERR</v>
      </c>
      <c r="AV125" s="93" t="e">
        <f ca="1">VLOOKUP(W125,Товары!A:B,2,FALSE)</f>
        <v>#N/A</v>
      </c>
      <c r="AW125" s="91" t="e">
        <f ca="1">VLOOKUP(W125,Товары!A:B,1,FALSE)</f>
        <v>#N/A</v>
      </c>
    </row>
    <row r="126" spans="1:49" x14ac:dyDescent="0.25">
      <c r="A126" s="105" t="str">
        <f t="shared" ca="1" si="24"/>
        <v>95-083-72</v>
      </c>
      <c r="B126" s="78" t="str">
        <f ca="1">_xlfn.LET(_xlpm.CAPS,VLOOKUP(G126,Caps!A:B,2,0),_xlpm.Style,TRIM(_xlfn.XLOOKUP($A126,Строчный!$A:$A,Строчный!B:B,"ERR",0)),IF(_xlpm.CAPS=0,_xlpm.Style,UPPER(_xlpm.Style)))</f>
        <v>3101-667/70</v>
      </c>
      <c r="C126" s="78" t="str">
        <f ca="1">TRIM(PROPER(_xlfn.XLOOKUP($A126,Строчный!$A:$A,Строчный!C:C,"ERR",0)))</f>
        <v>Кепки</v>
      </c>
      <c r="D126" s="78" t="str">
        <f ca="1">_xlfn.LET(_xlpm.DATA,TRIM(_xlfn.XLOOKUP($A126,Строчный!$A:$A,Строчный!D:D,"ERR",0)),UPPER(MID(_xlpm.DATA,1,1))&amp;LOWER(MID(_xlpm.DATA,2,LEN(_xlpm.DATA)-1)))</f>
        <v>Кепка восьмиклинка</v>
      </c>
      <c r="E126" s="78" t="str">
        <f ca="1">PROPER(TRIM(_xlfn.XLOOKUP($A126,Строчный!$A:$A,Строчный!E:E,"ERR",0)))</f>
        <v>Fredrikson</v>
      </c>
      <c r="F126" s="78" t="str">
        <f ca="1">LOWER(TRIM(_xlfn.XLOOKUP($A126,Строчный!$A:$A,Строчный!F:F,"ERR",0)))</f>
        <v>всесезон</v>
      </c>
      <c r="G126" s="78" t="str">
        <f ca="1">UPPER(TRIM(_xlfn.XLOOKUP($A126,Строчный!$A:$A,Строчный!G:G,"ERR",0)))</f>
        <v>FREDRIKSON</v>
      </c>
      <c r="H126" s="78" t="str">
        <f ca="1">LOWER(TRIM(_xlfn.XLOOKUP($A126,Строчный!$A:$A,Строчный!H:H,"ERR",0)))</f>
        <v>667/70</v>
      </c>
      <c r="I126" s="78" t="str">
        <f ca="1">LOWER(TRIM(_xlfn.XLOOKUP($A126,Строчный!$A:$A,Строчный!I:I,"ERR",0)))</f>
        <v>черный / белый</v>
      </c>
      <c r="J126" s="78" t="str">
        <f ca="1">SUBSTITUTE(LOWER(TRIM(_xlfn.XLOOKUP($A126,Строчный!$A:$A,Строчный!J:J,"ERR",0))),"подклад","Подклад")</f>
        <v>80% шерсть - 20% полиамид / Подклад: 100% вискоза</v>
      </c>
      <c r="K126" s="78" t="str">
        <f ca="1">LOWER(TRIM(_xlfn.XLOOKUP($A126,Строчный!$A:$A,Строчный!K:K,"ERR",0)))</f>
        <v>шерстяные</v>
      </c>
      <c r="L126" s="78" t="str">
        <f ca="1">PROPER(TRIM(_xlfn.XLOOKUP($A126,Строчный!$A:$A,Строчный!L:L,"ERR",0)))</f>
        <v>Унисекс</v>
      </c>
      <c r="M126" s="105" t="str">
        <f ca="1">PROPER(TRIM(_xlfn.XLOOKUP($A126,Строчный!$A:$A,Строчный!M:M,"ERR",0)))</f>
        <v>Россия</v>
      </c>
      <c r="N126" s="78" t="str">
        <f ca="1">UPPER(TRIM(_xlfn.XLOOKUP($A126,Строчный!$A:$A,Строчный!O:O,"ERR",0)))</f>
        <v/>
      </c>
      <c r="O126" s="99" t="str">
        <f ca="1">PROPER(TRIM(_xlfn.XLOOKUP($A126,Строчный!$A:$A,Строчный!P:P,"ERR",0)))</f>
        <v/>
      </c>
      <c r="P126" s="78" t="str">
        <f ca="1">PROPER(TRIM(_xlfn.XLOOKUP($A126,Строчный!$A:$A,Строчный!R:R,"ERR",0)))</f>
        <v/>
      </c>
      <c r="Q126" s="87">
        <f ca="1">VALUE(_xlfn.XLOOKUP($A126,Строчный!$A:$A,Строчный!N:N,"ERR",0))</f>
        <v>975.8</v>
      </c>
      <c r="R126" s="86" t="str">
        <f ca="1">_xlfn.XLOOKUP($G126,Фабрика!A:A,Фабрика!B:B,"ERR",0)</f>
        <v>ООО "ФРЭДРИКСОН" Россия 192029, С-Петербург, пр. Обуховской обороны, д.86, лит М</v>
      </c>
      <c r="S126" s="77" t="str">
        <f ca="1">_xlfn.XLOOKUP(RIGHT(AA126,2),Размеры!D:D,Размеры!A:A,"ERR",0)</f>
        <v>60</v>
      </c>
      <c r="T126" s="77">
        <f ca="1">VALUE(_xlfn.XLOOKUP($AA126,Строчный!$S:$S,Строчный!U:U,"ERR",0))</f>
        <v>9</v>
      </c>
      <c r="U126" s="14" t="s">
        <v>241</v>
      </c>
      <c r="V126" s="98" t="str">
        <f t="shared" ca="1" si="25"/>
        <v>Кепка FREDRIKSON арт. 3101-667/70 (черный / белый)</v>
      </c>
      <c r="W126" s="97" t="str">
        <f t="shared" ca="1" si="26"/>
        <v>Кепка FREDRIKSON арт. 3101-667/70 (черный / белый) {667/70}</v>
      </c>
      <c r="X126" s="18" t="str">
        <f t="shared" ca="1" si="27"/>
        <v>черный</v>
      </c>
      <c r="Y126" s="18" t="str">
        <f t="shared" ca="1" si="28"/>
        <v>белый</v>
      </c>
      <c r="Z126" s="109" t="str">
        <f ca="1">_xlfn.LET(_xlpm.FormColors,_xlfn.XLOOKUP(A126,Строчный!A:A,Строчный!Q:Q,"",0),IF(_xlpm.FormColors=0,IFERROR(MID(I126,FIND("-",I126)+1,LEN(I126)),IFERROR(MID(I126,1,FIND("/",I126)-2),I126)),_xlpm.FormColors))</f>
        <v>черный</v>
      </c>
      <c r="AA126" s="70" t="str">
        <f ca="1"/>
        <v>95-083-72-60</v>
      </c>
      <c r="AB126" s="72" t="str">
        <f ca="1">VLOOKUP(C126,Группа!A:B,2,FALSE)</f>
        <v>Кепка</v>
      </c>
      <c r="AC126" s="94" t="str">
        <f ca="1">IFERROR(VLOOKUP(S126,Размеры!A:C,3,FALSE),"")</f>
        <v>60 L/XL</v>
      </c>
      <c r="AD126" s="94" t="str">
        <f ca="1">VLOOKUP(I126,ЦветПолный!A:B,2,FALSE)</f>
        <v>72</v>
      </c>
      <c r="AE126" s="94" t="str">
        <f ca="1">IFERROR(VLOOKUP(S126,Размеры!A:D,4,FALSE),"")</f>
        <v>60</v>
      </c>
      <c r="AF126" s="94">
        <f ca="1">SUMIF(Группа!A:A,C126,Группа!C:C)</f>
        <v>1</v>
      </c>
      <c r="AG126" s="94">
        <f ca="1">SUMIF(Группа!B:B,AB126,Группа!C:C)</f>
        <v>1</v>
      </c>
      <c r="AH126" s="94">
        <f ca="1">SUMIF(Формы!A:A,D126,Формы!B:B)</f>
        <v>1</v>
      </c>
      <c r="AI126" s="94">
        <f ca="1">IF(IFERROR(VLOOKUP(J126,Материал!D:D,1,0),0)&gt;0,1,SUMIF(Материал!A:A,K126,Материал!B:B))</f>
        <v>1</v>
      </c>
      <c r="AJ126" s="94">
        <f ca="1">SUMIF(Размеры!A:A,S126,Размеры!E:E)</f>
        <v>1</v>
      </c>
      <c r="AK126" s="94">
        <f ca="1">SUMIF(Сезон!A:A,F126,Сезон!B:B)</f>
        <v>1</v>
      </c>
      <c r="AL126" s="94">
        <f ca="1">VLOOKUP(I126,ЦветПолный!A:C,3,0)</f>
        <v>1</v>
      </c>
      <c r="AM126" s="94">
        <f ca="1">SUMIF(Цвет!A:A,Z126,Цвет!B:B)</f>
        <v>1</v>
      </c>
      <c r="AN126" s="94">
        <f ca="1">_xlfn.XLOOKUP(L126,Пол!A:A,Пол!B:B,0,0)</f>
        <v>1</v>
      </c>
      <c r="AO126" s="94">
        <f ca="1">SUMIF(Бренд!A:A,G126,Бренд!B:B)</f>
        <v>1</v>
      </c>
      <c r="AP126" s="137">
        <f ca="1">SUMIF(Страна!A:A,M126,Страна!B:B)</f>
        <v>1</v>
      </c>
      <c r="AQ126" s="150" t="str">
        <f t="shared" ca="1" si="29"/>
        <v>Кепка FREDRIKSON арт. 3101-667/70 (черный / белый) {667/70}</v>
      </c>
      <c r="AR126" s="94">
        <f t="shared" ca="1" si="30"/>
        <v>1</v>
      </c>
      <c r="AS126" s="143">
        <f t="shared" ca="1" si="31"/>
        <v>1</v>
      </c>
      <c r="AT126" s="138" t="str">
        <f ca="1">IF(IFERROR(VLOOKUP(W126,Товары!A:B,2,FALSE),"")=A126,"Есть в 1С","ERR")</f>
        <v>ERR</v>
      </c>
      <c r="AU126" s="139" t="str">
        <f ca="1">IF(IFERROR(VLOOKUP(A126,Товары!B:B,1,FALSE),"")=A126,"Есть в 1С","ERR")</f>
        <v>ERR</v>
      </c>
      <c r="AV126" s="93" t="e">
        <f ca="1">VLOOKUP(W126,Товары!A:B,2,FALSE)</f>
        <v>#N/A</v>
      </c>
      <c r="AW126" s="91" t="e">
        <f ca="1">VLOOKUP(W126,Товары!A:B,1,FALSE)</f>
        <v>#N/A</v>
      </c>
    </row>
    <row r="127" spans="1:49" x14ac:dyDescent="0.25">
      <c r="A127" s="105" t="str">
        <f t="shared" ca="1" si="24"/>
        <v>95-083-72</v>
      </c>
      <c r="B127" s="78" t="str">
        <f ca="1">_xlfn.LET(_xlpm.CAPS,VLOOKUP(G127,Caps!A:B,2,0),_xlpm.Style,TRIM(_xlfn.XLOOKUP($A127,Строчный!$A:$A,Строчный!B:B,"ERR",0)),IF(_xlpm.CAPS=0,_xlpm.Style,UPPER(_xlpm.Style)))</f>
        <v>3101-667/70</v>
      </c>
      <c r="C127" s="78" t="str">
        <f ca="1">TRIM(PROPER(_xlfn.XLOOKUP($A127,Строчный!$A:$A,Строчный!C:C,"ERR",0)))</f>
        <v>Кепки</v>
      </c>
      <c r="D127" s="78" t="str">
        <f ca="1">_xlfn.LET(_xlpm.DATA,TRIM(_xlfn.XLOOKUP($A127,Строчный!$A:$A,Строчный!D:D,"ERR",0)),UPPER(MID(_xlpm.DATA,1,1))&amp;LOWER(MID(_xlpm.DATA,2,LEN(_xlpm.DATA)-1)))</f>
        <v>Кепка восьмиклинка</v>
      </c>
      <c r="E127" s="78" t="str">
        <f ca="1">PROPER(TRIM(_xlfn.XLOOKUP($A127,Строчный!$A:$A,Строчный!E:E,"ERR",0)))</f>
        <v>Fredrikson</v>
      </c>
      <c r="F127" s="78" t="str">
        <f ca="1">LOWER(TRIM(_xlfn.XLOOKUP($A127,Строчный!$A:$A,Строчный!F:F,"ERR",0)))</f>
        <v>всесезон</v>
      </c>
      <c r="G127" s="78" t="str">
        <f ca="1">UPPER(TRIM(_xlfn.XLOOKUP($A127,Строчный!$A:$A,Строчный!G:G,"ERR",0)))</f>
        <v>FREDRIKSON</v>
      </c>
      <c r="H127" s="78" t="str">
        <f ca="1">LOWER(TRIM(_xlfn.XLOOKUP($A127,Строчный!$A:$A,Строчный!H:H,"ERR",0)))</f>
        <v>667/70</v>
      </c>
      <c r="I127" s="78" t="str">
        <f ca="1">LOWER(TRIM(_xlfn.XLOOKUP($A127,Строчный!$A:$A,Строчный!I:I,"ERR",0)))</f>
        <v>черный / белый</v>
      </c>
      <c r="J127" s="78" t="str">
        <f ca="1">SUBSTITUTE(LOWER(TRIM(_xlfn.XLOOKUP($A127,Строчный!$A:$A,Строчный!J:J,"ERR",0))),"подклад","Подклад")</f>
        <v>80% шерсть - 20% полиамид / Подклад: 100% вискоза</v>
      </c>
      <c r="K127" s="78" t="str">
        <f ca="1">LOWER(TRIM(_xlfn.XLOOKUP($A127,Строчный!$A:$A,Строчный!K:K,"ERR",0)))</f>
        <v>шерстяные</v>
      </c>
      <c r="L127" s="78" t="str">
        <f ca="1">PROPER(TRIM(_xlfn.XLOOKUP($A127,Строчный!$A:$A,Строчный!L:L,"ERR",0)))</f>
        <v>Унисекс</v>
      </c>
      <c r="M127" s="105" t="str">
        <f ca="1">PROPER(TRIM(_xlfn.XLOOKUP($A127,Строчный!$A:$A,Строчный!M:M,"ERR",0)))</f>
        <v>Россия</v>
      </c>
      <c r="N127" s="78" t="str">
        <f ca="1">UPPER(TRIM(_xlfn.XLOOKUP($A127,Строчный!$A:$A,Строчный!O:O,"ERR",0)))</f>
        <v/>
      </c>
      <c r="O127" s="99" t="str">
        <f ca="1">PROPER(TRIM(_xlfn.XLOOKUP($A127,Строчный!$A:$A,Строчный!P:P,"ERR",0)))</f>
        <v/>
      </c>
      <c r="P127" s="78" t="str">
        <f ca="1">PROPER(TRIM(_xlfn.XLOOKUP($A127,Строчный!$A:$A,Строчный!R:R,"ERR",0)))</f>
        <v/>
      </c>
      <c r="Q127" s="87">
        <f ca="1">VALUE(_xlfn.XLOOKUP($A127,Строчный!$A:$A,Строчный!N:N,"ERR",0))</f>
        <v>975.8</v>
      </c>
      <c r="R127" s="86" t="str">
        <f ca="1">_xlfn.XLOOKUP($G127,Фабрика!A:A,Фабрика!B:B,"ERR",0)</f>
        <v>ООО "ФРЭДРИКСОН" Россия 192029, С-Петербург, пр. Обуховской обороны, д.86, лит М</v>
      </c>
      <c r="S127" s="77" t="str">
        <f ca="1">_xlfn.XLOOKUP(RIGHT(AA127,2),Размеры!D:D,Размеры!A:A,"ERR",0)</f>
        <v>59</v>
      </c>
      <c r="T127" s="77">
        <f ca="1">VALUE(_xlfn.XLOOKUP($AA127,Строчный!$S:$S,Строчный!U:U,"ERR",0))</f>
        <v>12</v>
      </c>
      <c r="U127" s="14" t="s">
        <v>241</v>
      </c>
      <c r="V127" s="98" t="str">
        <f t="shared" ca="1" si="25"/>
        <v>Кепка FREDRIKSON арт. 3101-667/70 (черный / белый)</v>
      </c>
      <c r="W127" s="97" t="str">
        <f t="shared" ca="1" si="26"/>
        <v>Кепка FREDRIKSON арт. 3101-667/70 (черный / белый) {667/70}</v>
      </c>
      <c r="X127" s="18" t="str">
        <f t="shared" ca="1" si="27"/>
        <v>черный</v>
      </c>
      <c r="Y127" s="18" t="str">
        <f t="shared" ca="1" si="28"/>
        <v>белый</v>
      </c>
      <c r="Z127" s="109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0" t="str">
        <f ca="1"/>
        <v>95-083-72-59</v>
      </c>
      <c r="AB127" s="72" t="str">
        <f ca="1">VLOOKUP(C127,Группа!A:B,2,FALSE)</f>
        <v>Кепка</v>
      </c>
      <c r="AC127" s="94" t="str">
        <f ca="1">IFERROR(VLOOKUP(S127,Размеры!A:C,3,FALSE),"")</f>
        <v>59 L</v>
      </c>
      <c r="AD127" s="94" t="str">
        <f ca="1">VLOOKUP(I127,ЦветПолный!A:B,2,FALSE)</f>
        <v>72</v>
      </c>
      <c r="AE127" s="94" t="str">
        <f ca="1">IFERROR(VLOOKUP(S127,Размеры!A:D,4,FALSE),"")</f>
        <v>59</v>
      </c>
      <c r="AF127" s="94">
        <f ca="1">SUMIF(Группа!A:A,C127,Группа!C:C)</f>
        <v>1</v>
      </c>
      <c r="AG127" s="94">
        <f ca="1">SUMIF(Группа!B:B,AB127,Группа!C:C)</f>
        <v>1</v>
      </c>
      <c r="AH127" s="94">
        <f ca="1">SUMIF(Формы!A:A,D127,Формы!B:B)</f>
        <v>1</v>
      </c>
      <c r="AI127" s="94">
        <f ca="1">IF(IFERROR(VLOOKUP(J127,Материал!D:D,1,0),0)&gt;0,1,SUMIF(Материал!A:A,K127,Материал!B:B))</f>
        <v>1</v>
      </c>
      <c r="AJ127" s="94">
        <f ca="1">SUMIF(Размеры!A:A,S127,Размеры!E:E)</f>
        <v>1</v>
      </c>
      <c r="AK127" s="94">
        <f ca="1">SUMIF(Сезон!A:A,F127,Сезон!B:B)</f>
        <v>1</v>
      </c>
      <c r="AL127" s="94">
        <f ca="1">VLOOKUP(I127,ЦветПолный!A:C,3,0)</f>
        <v>1</v>
      </c>
      <c r="AM127" s="94">
        <f ca="1">SUMIF(Цвет!A:A,Z127,Цвет!B:B)</f>
        <v>1</v>
      </c>
      <c r="AN127" s="94">
        <f ca="1">_xlfn.XLOOKUP(L127,Пол!A:A,Пол!B:B,0,0)</f>
        <v>1</v>
      </c>
      <c r="AO127" s="94">
        <f ca="1">SUMIF(Бренд!A:A,G127,Бренд!B:B)</f>
        <v>1</v>
      </c>
      <c r="AP127" s="137">
        <f ca="1">SUMIF(Страна!A:A,M127,Страна!B:B)</f>
        <v>1</v>
      </c>
      <c r="AQ127" s="150" t="str">
        <f t="shared" ca="1" si="29"/>
        <v>Кепка FREDRIKSON арт. 3101-667/70 (черный / белый) {667/70}</v>
      </c>
      <c r="AR127" s="94">
        <f t="shared" ca="1" si="30"/>
        <v>1</v>
      </c>
      <c r="AS127" s="143">
        <f t="shared" ca="1" si="31"/>
        <v>1</v>
      </c>
      <c r="AT127" s="138" t="str">
        <f ca="1">IF(IFERROR(VLOOKUP(W127,Товары!A:B,2,FALSE),"")=A127,"Есть в 1С","ERR")</f>
        <v>ERR</v>
      </c>
      <c r="AU127" s="139" t="str">
        <f ca="1">IF(IFERROR(VLOOKUP(A127,Товары!B:B,1,FALSE),"")=A127,"Есть в 1С","ERR")</f>
        <v>ERR</v>
      </c>
      <c r="AV127" s="93" t="e">
        <f ca="1">VLOOKUP(W127,Товары!A:B,2,FALSE)</f>
        <v>#N/A</v>
      </c>
      <c r="AW127" s="91" t="e">
        <f ca="1">VLOOKUP(W127,Товары!A:B,1,FALSE)</f>
        <v>#N/A</v>
      </c>
    </row>
    <row r="128" spans="1:49" x14ac:dyDescent="0.25">
      <c r="A128" s="105" t="str">
        <f t="shared" ca="1" si="24"/>
        <v>95-083-72</v>
      </c>
      <c r="B128" s="78" t="str">
        <f ca="1">_xlfn.LET(_xlpm.CAPS,VLOOKUP(G128,Caps!A:B,2,0),_xlpm.Style,TRIM(_xlfn.XLOOKUP($A128,Строчный!$A:$A,Строчный!B:B,"ERR",0)),IF(_xlpm.CAPS=0,_xlpm.Style,UPPER(_xlpm.Style)))</f>
        <v>3101-667/70</v>
      </c>
      <c r="C128" s="78" t="str">
        <f ca="1">TRIM(PROPER(_xlfn.XLOOKUP($A128,Строчный!$A:$A,Строчный!C:C,"ERR",0)))</f>
        <v>Кепки</v>
      </c>
      <c r="D128" s="78" t="str">
        <f ca="1">_xlfn.LET(_xlpm.DATA,TRIM(_xlfn.XLOOKUP($A128,Строчный!$A:$A,Строчный!D:D,"ERR",0)),UPPER(MID(_xlpm.DATA,1,1))&amp;LOWER(MID(_xlpm.DATA,2,LEN(_xlpm.DATA)-1)))</f>
        <v>Кепка восьмиклинка</v>
      </c>
      <c r="E128" s="78" t="str">
        <f ca="1">PROPER(TRIM(_xlfn.XLOOKUP($A128,Строчный!$A:$A,Строчный!E:E,"ERR",0)))</f>
        <v>Fredrikson</v>
      </c>
      <c r="F128" s="78" t="str">
        <f ca="1">LOWER(TRIM(_xlfn.XLOOKUP($A128,Строчный!$A:$A,Строчный!F:F,"ERR",0)))</f>
        <v>всесезон</v>
      </c>
      <c r="G128" s="78" t="str">
        <f ca="1">UPPER(TRIM(_xlfn.XLOOKUP($A128,Строчный!$A:$A,Строчный!G:G,"ERR",0)))</f>
        <v>FREDRIKSON</v>
      </c>
      <c r="H128" s="78" t="str">
        <f ca="1">LOWER(TRIM(_xlfn.XLOOKUP($A128,Строчный!$A:$A,Строчный!H:H,"ERR",0)))</f>
        <v>667/70</v>
      </c>
      <c r="I128" s="78" t="str">
        <f ca="1">LOWER(TRIM(_xlfn.XLOOKUP($A128,Строчный!$A:$A,Строчный!I:I,"ERR",0)))</f>
        <v>черный / белый</v>
      </c>
      <c r="J128" s="78" t="str">
        <f ca="1">SUBSTITUTE(LOWER(TRIM(_xlfn.XLOOKUP($A128,Строчный!$A:$A,Строчный!J:J,"ERR",0))),"подклад","Подклад")</f>
        <v>80% шерсть - 20% полиамид / Подклад: 100% вискоза</v>
      </c>
      <c r="K128" s="78" t="str">
        <f ca="1">LOWER(TRIM(_xlfn.XLOOKUP($A128,Строчный!$A:$A,Строчный!K:K,"ERR",0)))</f>
        <v>шерстяные</v>
      </c>
      <c r="L128" s="78" t="str">
        <f ca="1">PROPER(TRIM(_xlfn.XLOOKUP($A128,Строчный!$A:$A,Строчный!L:L,"ERR",0)))</f>
        <v>Унисекс</v>
      </c>
      <c r="M128" s="105" t="str">
        <f ca="1">PROPER(TRIM(_xlfn.XLOOKUP($A128,Строчный!$A:$A,Строчный!M:M,"ERR",0)))</f>
        <v>Россия</v>
      </c>
      <c r="N128" s="78" t="str">
        <f ca="1">UPPER(TRIM(_xlfn.XLOOKUP($A128,Строчный!$A:$A,Строчный!O:O,"ERR",0)))</f>
        <v/>
      </c>
      <c r="O128" s="99" t="str">
        <f ca="1">PROPER(TRIM(_xlfn.XLOOKUP($A128,Строчный!$A:$A,Строчный!P:P,"ERR",0)))</f>
        <v/>
      </c>
      <c r="P128" s="78" t="str">
        <f ca="1">PROPER(TRIM(_xlfn.XLOOKUP($A128,Строчный!$A:$A,Строчный!R:R,"ERR",0)))</f>
        <v/>
      </c>
      <c r="Q128" s="87">
        <f ca="1">VALUE(_xlfn.XLOOKUP($A128,Строчный!$A:$A,Строчный!N:N,"ERR",0))</f>
        <v>975.8</v>
      </c>
      <c r="R128" s="86" t="str">
        <f ca="1">_xlfn.XLOOKUP($G128,Фабрика!A:A,Фабрика!B:B,"ERR",0)</f>
        <v>ООО "ФРЭДРИКСОН" Россия 192029, С-Петербург, пр. Обуховской обороны, д.86, лит М</v>
      </c>
      <c r="S128" s="77" t="str">
        <f ca="1">_xlfn.XLOOKUP(RIGHT(AA128,2),Размеры!D:D,Размеры!A:A,"ERR",0)</f>
        <v>58</v>
      </c>
      <c r="T128" s="77">
        <f ca="1">VALUE(_xlfn.XLOOKUP($AA128,Строчный!$S:$S,Строчный!U:U,"ERR",0))</f>
        <v>9</v>
      </c>
      <c r="U128" s="14" t="s">
        <v>241</v>
      </c>
      <c r="V128" s="98" t="str">
        <f t="shared" ca="1" si="25"/>
        <v>Кепка FREDRIKSON арт. 3101-667/70 (черный / белый)</v>
      </c>
      <c r="W128" s="97" t="str">
        <f t="shared" ca="1" si="26"/>
        <v>Кепка FREDRIKSON арт. 3101-667/70 (черный / белый) {667/70}</v>
      </c>
      <c r="X128" s="18" t="str">
        <f t="shared" ca="1" si="27"/>
        <v>черный</v>
      </c>
      <c r="Y128" s="18" t="str">
        <f t="shared" ca="1" si="28"/>
        <v>белый</v>
      </c>
      <c r="Z128" s="109" t="str">
        <f ca="1">_xlfn.LET(_xlpm.FormColors,_xlfn.XLOOKUP(A128,Строчный!A:A,Строчный!Q:Q,"",0),IF(_xlpm.FormColors=0,IFERROR(MID(I128,FIND("-",I128)+1,LEN(I128)),IFERROR(MID(I128,1,FIND("/",I128)-2),I128)),_xlpm.FormColors))</f>
        <v>черный</v>
      </c>
      <c r="AA128" s="70" t="str">
        <f ca="1"/>
        <v>95-083-72-58</v>
      </c>
      <c r="AB128" s="72" t="str">
        <f ca="1">VLOOKUP(C128,Группа!A:B,2,FALSE)</f>
        <v>Кепка</v>
      </c>
      <c r="AC128" s="94" t="str">
        <f ca="1">IFERROR(VLOOKUP(S128,Размеры!A:C,3,FALSE),"")</f>
        <v>58 M/L</v>
      </c>
      <c r="AD128" s="94" t="str">
        <f ca="1">VLOOKUP(I128,ЦветПолный!A:B,2,FALSE)</f>
        <v>72</v>
      </c>
      <c r="AE128" s="94" t="str">
        <f ca="1">IFERROR(VLOOKUP(S128,Размеры!A:D,4,FALSE),"")</f>
        <v>58</v>
      </c>
      <c r="AF128" s="94">
        <f ca="1">SUMIF(Группа!A:A,C128,Группа!C:C)</f>
        <v>1</v>
      </c>
      <c r="AG128" s="94">
        <f ca="1">SUMIF(Группа!B:B,AB128,Группа!C:C)</f>
        <v>1</v>
      </c>
      <c r="AH128" s="94">
        <f ca="1">SUMIF(Формы!A:A,D128,Формы!B:B)</f>
        <v>1</v>
      </c>
      <c r="AI128" s="94">
        <f ca="1">IF(IFERROR(VLOOKUP(J128,Материал!D:D,1,0),0)&gt;0,1,SUMIF(Материал!A:A,K128,Материал!B:B))</f>
        <v>1</v>
      </c>
      <c r="AJ128" s="94">
        <f ca="1">SUMIF(Размеры!A:A,S128,Размеры!E:E)</f>
        <v>1</v>
      </c>
      <c r="AK128" s="94">
        <f ca="1">SUMIF(Сезон!A:A,F128,Сезон!B:B)</f>
        <v>1</v>
      </c>
      <c r="AL128" s="94">
        <f ca="1">VLOOKUP(I128,ЦветПолный!A:C,3,0)</f>
        <v>1</v>
      </c>
      <c r="AM128" s="94">
        <f ca="1">SUMIF(Цвет!A:A,Z128,Цвет!B:B)</f>
        <v>1</v>
      </c>
      <c r="AN128" s="94">
        <f ca="1">_xlfn.XLOOKUP(L128,Пол!A:A,Пол!B:B,0,0)</f>
        <v>1</v>
      </c>
      <c r="AO128" s="94">
        <f ca="1">SUMIF(Бренд!A:A,G128,Бренд!B:B)</f>
        <v>1</v>
      </c>
      <c r="AP128" s="137">
        <f ca="1">SUMIF(Страна!A:A,M128,Страна!B:B)</f>
        <v>1</v>
      </c>
      <c r="AQ128" s="150" t="str">
        <f t="shared" ca="1" si="29"/>
        <v>Кепка FREDRIKSON арт. 3101-667/70 (черный / белый) {667/70}</v>
      </c>
      <c r="AR128" s="94">
        <f t="shared" ca="1" si="30"/>
        <v>1</v>
      </c>
      <c r="AS128" s="143">
        <f t="shared" ca="1" si="31"/>
        <v>1</v>
      </c>
      <c r="AT128" s="138" t="str">
        <f ca="1">IF(IFERROR(VLOOKUP(W128,Товары!A:B,2,FALSE),"")=A128,"Есть в 1С","ERR")</f>
        <v>ERR</v>
      </c>
      <c r="AU128" s="139" t="str">
        <f ca="1">IF(IFERROR(VLOOKUP(A128,Товары!B:B,1,FALSE),"")=A128,"Есть в 1С","ERR")</f>
        <v>ERR</v>
      </c>
      <c r="AV128" s="93" t="e">
        <f ca="1">VLOOKUP(W128,Товары!A:B,2,FALSE)</f>
        <v>#N/A</v>
      </c>
      <c r="AW128" s="91" t="e">
        <f ca="1">VLOOKUP(W128,Товары!A:B,1,FALSE)</f>
        <v>#N/A</v>
      </c>
    </row>
    <row r="129" spans="1:49" x14ac:dyDescent="0.25">
      <c r="A129" s="105" t="str">
        <f t="shared" ca="1" si="24"/>
        <v>95-083-72</v>
      </c>
      <c r="B129" s="78" t="str">
        <f ca="1">_xlfn.LET(_xlpm.CAPS,VLOOKUP(G129,Caps!A:B,2,0),_xlpm.Style,TRIM(_xlfn.XLOOKUP($A129,Строчный!$A:$A,Строчный!B:B,"ERR",0)),IF(_xlpm.CAPS=0,_xlpm.Style,UPPER(_xlpm.Style)))</f>
        <v>3101-667/70</v>
      </c>
      <c r="C129" s="78" t="str">
        <f ca="1">TRIM(PROPER(_xlfn.XLOOKUP($A129,Строчный!$A:$A,Строчный!C:C,"ERR",0)))</f>
        <v>Кепки</v>
      </c>
      <c r="D129" s="78" t="str">
        <f ca="1">_xlfn.LET(_xlpm.DATA,TRIM(_xlfn.XLOOKUP($A129,Строчный!$A:$A,Строчный!D:D,"ERR",0)),UPPER(MID(_xlpm.DATA,1,1))&amp;LOWER(MID(_xlpm.DATA,2,LEN(_xlpm.DATA)-1)))</f>
        <v>Кепка восьмиклинка</v>
      </c>
      <c r="E129" s="78" t="str">
        <f ca="1">PROPER(TRIM(_xlfn.XLOOKUP($A129,Строчный!$A:$A,Строчный!E:E,"ERR",0)))</f>
        <v>Fredrikson</v>
      </c>
      <c r="F129" s="78" t="str">
        <f ca="1">LOWER(TRIM(_xlfn.XLOOKUP($A129,Строчный!$A:$A,Строчный!F:F,"ERR",0)))</f>
        <v>всесезон</v>
      </c>
      <c r="G129" s="78" t="str">
        <f ca="1">UPPER(TRIM(_xlfn.XLOOKUP($A129,Строчный!$A:$A,Строчный!G:G,"ERR",0)))</f>
        <v>FREDRIKSON</v>
      </c>
      <c r="H129" s="78" t="str">
        <f ca="1">LOWER(TRIM(_xlfn.XLOOKUP($A129,Строчный!$A:$A,Строчный!H:H,"ERR",0)))</f>
        <v>667/70</v>
      </c>
      <c r="I129" s="78" t="str">
        <f ca="1">LOWER(TRIM(_xlfn.XLOOKUP($A129,Строчный!$A:$A,Строчный!I:I,"ERR",0)))</f>
        <v>черный / белый</v>
      </c>
      <c r="J129" s="78" t="str">
        <f ca="1">SUBSTITUTE(LOWER(TRIM(_xlfn.XLOOKUP($A129,Строчный!$A:$A,Строчный!J:J,"ERR",0))),"подклад","Подклад")</f>
        <v>80% шерсть - 20% полиамид / Подклад: 100% вискоза</v>
      </c>
      <c r="K129" s="78" t="str">
        <f ca="1">LOWER(TRIM(_xlfn.XLOOKUP($A129,Строчный!$A:$A,Строчный!K:K,"ERR",0)))</f>
        <v>шерстяные</v>
      </c>
      <c r="L129" s="78" t="str">
        <f ca="1">PROPER(TRIM(_xlfn.XLOOKUP($A129,Строчный!$A:$A,Строчный!L:L,"ERR",0)))</f>
        <v>Унисекс</v>
      </c>
      <c r="M129" s="105" t="str">
        <f ca="1">PROPER(TRIM(_xlfn.XLOOKUP($A129,Строчный!$A:$A,Строчный!M:M,"ERR",0)))</f>
        <v>Россия</v>
      </c>
      <c r="N129" s="78" t="str">
        <f ca="1">UPPER(TRIM(_xlfn.XLOOKUP($A129,Строчный!$A:$A,Строчный!O:O,"ERR",0)))</f>
        <v/>
      </c>
      <c r="O129" s="99" t="str">
        <f ca="1">PROPER(TRIM(_xlfn.XLOOKUP($A129,Строчный!$A:$A,Строчный!P:P,"ERR",0)))</f>
        <v/>
      </c>
      <c r="P129" s="78" t="str">
        <f ca="1">PROPER(TRIM(_xlfn.XLOOKUP($A129,Строчный!$A:$A,Строчный!R:R,"ERR",0)))</f>
        <v/>
      </c>
      <c r="Q129" s="87">
        <f ca="1">VALUE(_xlfn.XLOOKUP($A129,Строчный!$A:$A,Строчный!N:N,"ERR",0))</f>
        <v>975.8</v>
      </c>
      <c r="R129" s="86" t="str">
        <f ca="1">_xlfn.XLOOKUP($G129,Фабрика!A:A,Фабрика!B:B,"ERR",0)</f>
        <v>ООО "ФРЭДРИКСОН" Россия 192029, С-Петербург, пр. Обуховской обороны, д.86, лит М</v>
      </c>
      <c r="S129" s="77" t="str">
        <f ca="1">_xlfn.XLOOKUP(RIGHT(AA129,2),Размеры!D:D,Размеры!A:A,"ERR",0)</f>
        <v>57</v>
      </c>
      <c r="T129" s="77">
        <f ca="1">VALUE(_xlfn.XLOOKUP($AA129,Строчный!$S:$S,Строчный!U:U,"ERR",0))</f>
        <v>6</v>
      </c>
      <c r="U129" s="14" t="s">
        <v>241</v>
      </c>
      <c r="V129" s="98" t="str">
        <f t="shared" ca="1" si="25"/>
        <v>Кепка FREDRIKSON арт. 3101-667/70 (черный / белый)</v>
      </c>
      <c r="W129" s="97" t="str">
        <f t="shared" ca="1" si="26"/>
        <v>Кепка FREDRIKSON арт. 3101-667/70 (черный / белый) {667/70}</v>
      </c>
      <c r="X129" s="18" t="str">
        <f t="shared" ca="1" si="27"/>
        <v>черный</v>
      </c>
      <c r="Y129" s="18" t="str">
        <f t="shared" ca="1" si="28"/>
        <v>белый</v>
      </c>
      <c r="Z129" s="109" t="str">
        <f ca="1">_xlfn.LET(_xlpm.FormColors,_xlfn.XLOOKUP(A129,Строчный!A:A,Строчный!Q:Q,"",0),IF(_xlpm.FormColors=0,IFERROR(MID(I129,FIND("-",I129)+1,LEN(I129)),IFERROR(MID(I129,1,FIND("/",I129)-2),I129)),_xlpm.FormColors))</f>
        <v>черный</v>
      </c>
      <c r="AA129" s="70" t="str">
        <f ca="1"/>
        <v>95-083-72-57</v>
      </c>
      <c r="AB129" s="72" t="str">
        <f ca="1">VLOOKUP(C129,Группа!A:B,2,FALSE)</f>
        <v>Кепка</v>
      </c>
      <c r="AC129" s="94" t="str">
        <f ca="1">IFERROR(VLOOKUP(S129,Размеры!A:C,3,FALSE),"")</f>
        <v>57 M</v>
      </c>
      <c r="AD129" s="94" t="str">
        <f ca="1">VLOOKUP(I129,ЦветПолный!A:B,2,FALSE)</f>
        <v>72</v>
      </c>
      <c r="AE129" s="94" t="str">
        <f ca="1">IFERROR(VLOOKUP(S129,Размеры!A:D,4,FALSE),"")</f>
        <v>57</v>
      </c>
      <c r="AF129" s="94">
        <f ca="1">SUMIF(Группа!A:A,C129,Группа!C:C)</f>
        <v>1</v>
      </c>
      <c r="AG129" s="94">
        <f ca="1">SUMIF(Группа!B:B,AB129,Группа!C:C)</f>
        <v>1</v>
      </c>
      <c r="AH129" s="94">
        <f ca="1">SUMIF(Формы!A:A,D129,Формы!B:B)</f>
        <v>1</v>
      </c>
      <c r="AI129" s="94">
        <f ca="1">IF(IFERROR(VLOOKUP(J129,Материал!D:D,1,0),0)&gt;0,1,SUMIF(Материал!A:A,K129,Материал!B:B))</f>
        <v>1</v>
      </c>
      <c r="AJ129" s="94">
        <f ca="1">SUMIF(Размеры!A:A,S129,Размеры!E:E)</f>
        <v>1</v>
      </c>
      <c r="AK129" s="94">
        <f ca="1">SUMIF(Сезон!A:A,F129,Сезон!B:B)</f>
        <v>1</v>
      </c>
      <c r="AL129" s="94">
        <f ca="1">VLOOKUP(I129,ЦветПолный!A:C,3,0)</f>
        <v>1</v>
      </c>
      <c r="AM129" s="94">
        <f ca="1">SUMIF(Цвет!A:A,Z129,Цвет!B:B)</f>
        <v>1</v>
      </c>
      <c r="AN129" s="94">
        <f ca="1">_xlfn.XLOOKUP(L129,Пол!A:A,Пол!B:B,0,0)</f>
        <v>1</v>
      </c>
      <c r="AO129" s="94">
        <f ca="1">SUMIF(Бренд!A:A,G129,Бренд!B:B)</f>
        <v>1</v>
      </c>
      <c r="AP129" s="137">
        <f ca="1">SUMIF(Страна!A:A,M129,Страна!B:B)</f>
        <v>1</v>
      </c>
      <c r="AQ129" s="150" t="str">
        <f t="shared" ca="1" si="29"/>
        <v>Кепка FREDRIKSON арт. 3101-667/70 (черный / белый) {667/70}</v>
      </c>
      <c r="AR129" s="94">
        <f t="shared" ca="1" si="30"/>
        <v>1</v>
      </c>
      <c r="AS129" s="143">
        <f t="shared" ca="1" si="31"/>
        <v>1</v>
      </c>
      <c r="AT129" s="138" t="str">
        <f ca="1">IF(IFERROR(VLOOKUP(W129,Товары!A:B,2,FALSE),"")=A129,"Есть в 1С","ERR")</f>
        <v>ERR</v>
      </c>
      <c r="AU129" s="139" t="str">
        <f ca="1">IF(IFERROR(VLOOKUP(A129,Товары!B:B,1,FALSE),"")=A129,"Есть в 1С","ERR")</f>
        <v>ERR</v>
      </c>
      <c r="AV129" s="93" t="e">
        <f ca="1">VLOOKUP(W129,Товары!A:B,2,FALSE)</f>
        <v>#N/A</v>
      </c>
      <c r="AW129" s="91" t="e">
        <f ca="1">VLOOKUP(W129,Товары!A:B,1,FALSE)</f>
        <v>#N/A</v>
      </c>
    </row>
    <row r="130" spans="1:49" x14ac:dyDescent="0.25">
      <c r="A130" s="105" t="str">
        <f t="shared" ref="A130:A149" ca="1" si="32">LEFT(AA130,9)</f>
        <v>95-083-72</v>
      </c>
      <c r="B130" s="78" t="str">
        <f ca="1">_xlfn.LET(_xlpm.CAPS,VLOOKUP(G130,Caps!A:B,2,0),_xlpm.Style,TRIM(_xlfn.XLOOKUP($A130,Строчный!$A:$A,Строчный!B:B,"ERR",0)),IF(_xlpm.CAPS=0,_xlpm.Style,UPPER(_xlpm.Style)))</f>
        <v>3101-667/70</v>
      </c>
      <c r="C130" s="78" t="str">
        <f ca="1">TRIM(PROPER(_xlfn.XLOOKUP($A130,Строчный!$A:$A,Строчный!C:C,"ERR",0)))</f>
        <v>Кепки</v>
      </c>
      <c r="D130" s="78" t="str">
        <f ca="1">_xlfn.LET(_xlpm.DATA,TRIM(_xlfn.XLOOKUP($A130,Строчный!$A:$A,Строчный!D:D,"ERR",0)),UPPER(MID(_xlpm.DATA,1,1))&amp;LOWER(MID(_xlpm.DATA,2,LEN(_xlpm.DATA)-1)))</f>
        <v>Кепка восьмиклинка</v>
      </c>
      <c r="E130" s="78" t="str">
        <f ca="1">PROPER(TRIM(_xlfn.XLOOKUP($A130,Строчный!$A:$A,Строчный!E:E,"ERR",0)))</f>
        <v>Fredrikson</v>
      </c>
      <c r="F130" s="78" t="str">
        <f ca="1">LOWER(TRIM(_xlfn.XLOOKUP($A130,Строчный!$A:$A,Строчный!F:F,"ERR",0)))</f>
        <v>всесезон</v>
      </c>
      <c r="G130" s="78" t="str">
        <f ca="1">UPPER(TRIM(_xlfn.XLOOKUP($A130,Строчный!$A:$A,Строчный!G:G,"ERR",0)))</f>
        <v>FREDRIKSON</v>
      </c>
      <c r="H130" s="78" t="str">
        <f ca="1">LOWER(TRIM(_xlfn.XLOOKUP($A130,Строчный!$A:$A,Строчный!H:H,"ERR",0)))</f>
        <v>667/70</v>
      </c>
      <c r="I130" s="78" t="str">
        <f ca="1">LOWER(TRIM(_xlfn.XLOOKUP($A130,Строчный!$A:$A,Строчный!I:I,"ERR",0)))</f>
        <v>черный / белый</v>
      </c>
      <c r="J130" s="78" t="str">
        <f ca="1">SUBSTITUTE(LOWER(TRIM(_xlfn.XLOOKUP($A130,Строчный!$A:$A,Строчный!J:J,"ERR",0))),"подклад","Подклад")</f>
        <v>80% шерсть - 20% полиамид / Подклад: 100% вискоза</v>
      </c>
      <c r="K130" s="78" t="str">
        <f ca="1">LOWER(TRIM(_xlfn.XLOOKUP($A130,Строчный!$A:$A,Строчный!K:K,"ERR",0)))</f>
        <v>шерстяные</v>
      </c>
      <c r="L130" s="78" t="str">
        <f ca="1">PROPER(TRIM(_xlfn.XLOOKUP($A130,Строчный!$A:$A,Строчный!L:L,"ERR",0)))</f>
        <v>Унисекс</v>
      </c>
      <c r="M130" s="105" t="str">
        <f ca="1">PROPER(TRIM(_xlfn.XLOOKUP($A130,Строчный!$A:$A,Строчный!M:M,"ERR",0)))</f>
        <v>Россия</v>
      </c>
      <c r="N130" s="78" t="str">
        <f ca="1">UPPER(TRIM(_xlfn.XLOOKUP($A130,Строчный!$A:$A,Строчный!O:O,"ERR",0)))</f>
        <v/>
      </c>
      <c r="O130" s="99" t="str">
        <f ca="1">PROPER(TRIM(_xlfn.XLOOKUP($A130,Строчный!$A:$A,Строчный!P:P,"ERR",0)))</f>
        <v/>
      </c>
      <c r="P130" s="78" t="str">
        <f ca="1">PROPER(TRIM(_xlfn.XLOOKUP($A130,Строчный!$A:$A,Строчный!R:R,"ERR",0)))</f>
        <v/>
      </c>
      <c r="Q130" s="87">
        <f ca="1">VALUE(_xlfn.XLOOKUP($A130,Строчный!$A:$A,Строчный!N:N,"ERR",0))</f>
        <v>975.8</v>
      </c>
      <c r="R130" s="86" t="str">
        <f ca="1">_xlfn.XLOOKUP($G130,Фабрика!A:A,Фабрика!B:B,"ERR",0)</f>
        <v>ООО "ФРЭДРИКСОН" Россия 192029, С-Петербург, пр. Обуховской обороны, д.86, лит М</v>
      </c>
      <c r="S130" s="77" t="str">
        <f ca="1">_xlfn.XLOOKUP(RIGHT(AA130,2),Размеры!D:D,Размеры!A:A,"ERR",0)</f>
        <v>56</v>
      </c>
      <c r="T130" s="77">
        <f ca="1">VALUE(_xlfn.XLOOKUP($AA130,Строчный!$S:$S,Строчный!U:U,"ERR",0))</f>
        <v>3</v>
      </c>
      <c r="U130" s="14" t="s">
        <v>241</v>
      </c>
      <c r="V130" s="98" t="str">
        <f t="shared" ref="V130:V149" ca="1" si="33">TRIM(CONCATENATE(AB130," ",G130," арт. ",B130," (",I130,")"))</f>
        <v>Кепка FREDRIKSON арт. 3101-667/70 (черный / белый)</v>
      </c>
      <c r="W130" s="97" t="str">
        <f t="shared" ref="W130:W149" ca="1" si="34">TRIM(CONCATENATE(AB130," ",G130," арт. ",B130," (",I130,") {",H130,"}"))</f>
        <v>Кепка FREDRIKSON арт. 3101-667/70 (черный / белый) {667/70}</v>
      </c>
      <c r="X130" s="18" t="str">
        <f t="shared" ref="X130:X149" ca="1" si="35">IFERROR(MID(I130,FIND("-",I130)+1,LEN(I130)),IFERROR(MID(I130,1,FIND("/",I130)-2),I130))</f>
        <v>черный</v>
      </c>
      <c r="Y130" s="18" t="str">
        <f t="shared" ref="Y130:Y149" ca="1" si="36">IFERROR(MID(I130,FIND("-",I130)+1,LEN(I130)),IFERROR(MID(I130,FIND("/",I130)+2,LEN(I130)),I130))</f>
        <v>белый</v>
      </c>
      <c r="Z130" s="109" t="str">
        <f ca="1">_xlfn.LET(_xlpm.FormColors,_xlfn.XLOOKUP(A130,Строчный!A:A,Строчный!Q:Q,"",0),IF(_xlpm.FormColors=0,IFERROR(MID(I130,FIND("-",I130)+1,LEN(I130)),IFERROR(MID(I130,1,FIND("/",I130)-2),I130)),_xlpm.FormColors))</f>
        <v>черный</v>
      </c>
      <c r="AA130" s="70" t="str">
        <f ca="1"/>
        <v>95-083-72-56</v>
      </c>
      <c r="AB130" s="72" t="str">
        <f ca="1">VLOOKUP(C130,Группа!A:B,2,FALSE)</f>
        <v>Кепка</v>
      </c>
      <c r="AC130" s="94" t="str">
        <f ca="1">IFERROR(VLOOKUP(S130,Размеры!A:C,3,FALSE),"")</f>
        <v>56 S/M</v>
      </c>
      <c r="AD130" s="94" t="str">
        <f ca="1">VLOOKUP(I130,ЦветПолный!A:B,2,FALSE)</f>
        <v>72</v>
      </c>
      <c r="AE130" s="94" t="str">
        <f ca="1">IFERROR(VLOOKUP(S130,Размеры!A:D,4,FALSE),"")</f>
        <v>56</v>
      </c>
      <c r="AF130" s="94">
        <f ca="1">SUMIF(Группа!A:A,C130,Группа!C:C)</f>
        <v>1</v>
      </c>
      <c r="AG130" s="94">
        <f ca="1">SUMIF(Группа!B:B,AB130,Группа!C:C)</f>
        <v>1</v>
      </c>
      <c r="AH130" s="94">
        <f ca="1">SUMIF(Формы!A:A,D130,Формы!B:B)</f>
        <v>1</v>
      </c>
      <c r="AI130" s="94">
        <f ca="1">IF(IFERROR(VLOOKUP(J130,Материал!D:D,1,0),0)&gt;0,1,SUMIF(Материал!A:A,K130,Материал!B:B))</f>
        <v>1</v>
      </c>
      <c r="AJ130" s="94">
        <f ca="1">SUMIF(Размеры!A:A,S130,Размеры!E:E)</f>
        <v>1</v>
      </c>
      <c r="AK130" s="94">
        <f ca="1">SUMIF(Сезон!A:A,F130,Сезон!B:B)</f>
        <v>1</v>
      </c>
      <c r="AL130" s="94">
        <f ca="1">VLOOKUP(I130,ЦветПолный!A:C,3,0)</f>
        <v>1</v>
      </c>
      <c r="AM130" s="94">
        <f ca="1">SUMIF(Цвет!A:A,Z130,Цвет!B:B)</f>
        <v>1</v>
      </c>
      <c r="AN130" s="94">
        <f ca="1">_xlfn.XLOOKUP(L130,Пол!A:A,Пол!B:B,0,0)</f>
        <v>1</v>
      </c>
      <c r="AO130" s="94">
        <f ca="1">SUMIF(Бренд!A:A,G130,Бренд!B:B)</f>
        <v>1</v>
      </c>
      <c r="AP130" s="137">
        <f ca="1">SUMIF(Страна!A:A,M130,Страна!B:B)</f>
        <v>1</v>
      </c>
      <c r="AQ130" s="150" t="str">
        <f t="shared" ref="AQ130:AQ149" ca="1" si="37">ВАЛИДАЦИЯНАЗВАНИЯ(W130)</f>
        <v>Кепка FREDRIKSON арт. 3101-667/70 (черный / белый) {667/70}</v>
      </c>
      <c r="AR130" s="94">
        <f t="shared" ref="AR130:AR161" ca="1" si="38">INT(AQ130=W130)</f>
        <v>1</v>
      </c>
      <c r="AS130" s="143">
        <f t="shared" ref="AS130:AS161" ca="1" si="39">MIN(AF130:AR130,IF(AT130=AU130,1,0))</f>
        <v>1</v>
      </c>
      <c r="AT130" s="138" t="str">
        <f ca="1">IF(IFERROR(VLOOKUP(W130,Товары!A:B,2,FALSE),"")=A130,"Есть в 1С","ERR")</f>
        <v>ERR</v>
      </c>
      <c r="AU130" s="139" t="str">
        <f ca="1">IF(IFERROR(VLOOKUP(A130,Товары!B:B,1,FALSE),"")=A130,"Есть в 1С","ERR")</f>
        <v>ERR</v>
      </c>
      <c r="AV130" s="93" t="e">
        <f ca="1">VLOOKUP(W130,Товары!A:B,2,FALSE)</f>
        <v>#N/A</v>
      </c>
      <c r="AW130" s="91" t="e">
        <f ca="1">VLOOKUP(W130,Товары!A:B,1,FALSE)</f>
        <v>#N/A</v>
      </c>
    </row>
    <row r="131" spans="1:49" x14ac:dyDescent="0.25">
      <c r="A131" s="105" t="str">
        <f t="shared" ca="1" si="32"/>
        <v>95-082-72</v>
      </c>
      <c r="B131" s="78" t="str">
        <f ca="1">_xlfn.LET(_xlpm.CAPS,VLOOKUP(G131,Caps!A:B,2,0),_xlpm.Style,TRIM(_xlfn.XLOOKUP($A131,Строчный!$A:$A,Строчный!B:B,"ERR",0)),IF(_xlpm.CAPS=0,_xlpm.Style,UPPER(_xlpm.Style)))</f>
        <v>3035-667/70</v>
      </c>
      <c r="C131" s="78" t="str">
        <f ca="1">TRIM(PROPER(_xlfn.XLOOKUP($A131,Строчный!$A:$A,Строчный!C:C,"ERR",0)))</f>
        <v>Кепки</v>
      </c>
      <c r="D131" s="78" t="str">
        <f ca="1">_xlfn.LET(_xlpm.DATA,TRIM(_xlfn.XLOOKUP($A131,Строчный!$A:$A,Строчный!D:D,"ERR",0)),UPPER(MID(_xlpm.DATA,1,1))&amp;LOWER(MID(_xlpm.DATA,2,LEN(_xlpm.DATA)-1)))</f>
        <v>Кепка восьмиклинка</v>
      </c>
      <c r="E131" s="78" t="str">
        <f ca="1">PROPER(TRIM(_xlfn.XLOOKUP($A131,Строчный!$A:$A,Строчный!E:E,"ERR",0)))</f>
        <v>Fredrikson</v>
      </c>
      <c r="F131" s="78" t="str">
        <f ca="1">LOWER(TRIM(_xlfn.XLOOKUP($A131,Строчный!$A:$A,Строчный!F:F,"ERR",0)))</f>
        <v>всесезон</v>
      </c>
      <c r="G131" s="78" t="str">
        <f ca="1">UPPER(TRIM(_xlfn.XLOOKUP($A131,Строчный!$A:$A,Строчный!G:G,"ERR",0)))</f>
        <v>FREDRIKSON</v>
      </c>
      <c r="H131" s="78" t="str">
        <f ca="1">LOWER(TRIM(_xlfn.XLOOKUP($A131,Строчный!$A:$A,Строчный!H:H,"ERR",0)))</f>
        <v>667/70</v>
      </c>
      <c r="I131" s="78" t="str">
        <f ca="1">LOWER(TRIM(_xlfn.XLOOKUP($A131,Строчный!$A:$A,Строчный!I:I,"ERR",0)))</f>
        <v>черный / белый</v>
      </c>
      <c r="J131" s="78" t="str">
        <f ca="1">SUBSTITUTE(LOWER(TRIM(_xlfn.XLOOKUP($A131,Строчный!$A:$A,Строчный!J:J,"ERR",0))),"подклад","Подклад")</f>
        <v>80% шерсть - 20% полиамид / Подклад: 100% вискоза</v>
      </c>
      <c r="K131" s="78" t="str">
        <f ca="1">LOWER(TRIM(_xlfn.XLOOKUP($A131,Строчный!$A:$A,Строчный!K:K,"ERR",0)))</f>
        <v>шерстяные</v>
      </c>
      <c r="L131" s="78" t="str">
        <f ca="1">PROPER(TRIM(_xlfn.XLOOKUP($A131,Строчный!$A:$A,Строчный!L:L,"ERR",0)))</f>
        <v>Унисекс</v>
      </c>
      <c r="M131" s="105" t="str">
        <f ca="1">PROPER(TRIM(_xlfn.XLOOKUP($A131,Строчный!$A:$A,Строчный!M:M,"ERR",0)))</f>
        <v>Россия</v>
      </c>
      <c r="N131" s="78" t="str">
        <f ca="1">UPPER(TRIM(_xlfn.XLOOKUP($A131,Строчный!$A:$A,Строчный!O:O,"ERR",0)))</f>
        <v/>
      </c>
      <c r="O131" s="99" t="str">
        <f ca="1">PROPER(TRIM(_xlfn.XLOOKUP($A131,Строчный!$A:$A,Строчный!P:P,"ERR",0)))</f>
        <v/>
      </c>
      <c r="P131" s="78" t="str">
        <f ca="1">PROPER(TRIM(_xlfn.XLOOKUP($A131,Строчный!$A:$A,Строчный!R:R,"ERR",0)))</f>
        <v/>
      </c>
      <c r="Q131" s="87">
        <f ca="1">VALUE(_xlfn.XLOOKUP($A131,Строчный!$A:$A,Строчный!N:N,"ERR",0))</f>
        <v>975.8</v>
      </c>
      <c r="R131" s="86" t="str">
        <f ca="1">_xlfn.XLOOKUP($G131,Фабрика!A:A,Фабрика!B:B,"ERR",0)</f>
        <v>ООО "ФРЭДРИКСОН" Россия 192029, С-Петербург, пр. Обуховской обороны, д.86, лит М</v>
      </c>
      <c r="S131" s="77" t="str">
        <f ca="1">_xlfn.XLOOKUP(RIGHT(AA131,2),Размеры!D:D,Размеры!A:A,"ERR",0)</f>
        <v>61</v>
      </c>
      <c r="T131" s="77">
        <f ca="1">VALUE(_xlfn.XLOOKUP($AA131,Строчный!$S:$S,Строчный!U:U,"ERR",0))</f>
        <v>1</v>
      </c>
      <c r="U131" s="14" t="s">
        <v>241</v>
      </c>
      <c r="V131" s="98" t="str">
        <f t="shared" ca="1" si="33"/>
        <v>Кепка FREDRIKSON арт. 3035-667/70 (черный / белый)</v>
      </c>
      <c r="W131" s="97" t="str">
        <f t="shared" ca="1" si="34"/>
        <v>Кепка FREDRIKSON арт. 3035-667/70 (черный / белый) {667/70}</v>
      </c>
      <c r="X131" s="18" t="str">
        <f t="shared" ca="1" si="35"/>
        <v>черный</v>
      </c>
      <c r="Y131" s="18" t="str">
        <f t="shared" ca="1" si="36"/>
        <v>белый</v>
      </c>
      <c r="Z131" s="109" t="str">
        <f ca="1">_xlfn.LET(_xlpm.FormColors,_xlfn.XLOOKUP(A131,Строчный!A:A,Строчный!Q:Q,"",0),IF(_xlpm.FormColors=0,IFERROR(MID(I131,FIND("-",I131)+1,LEN(I131)),IFERROR(MID(I131,1,FIND("/",I131)-2),I131)),_xlpm.FormColors))</f>
        <v>черный</v>
      </c>
      <c r="AA131" s="70" t="str">
        <f ca="1"/>
        <v>95-082-72-61</v>
      </c>
      <c r="AB131" s="72" t="str">
        <f ca="1">VLOOKUP(C131,Группа!A:B,2,FALSE)</f>
        <v>Кепка</v>
      </c>
      <c r="AC131" s="94" t="str">
        <f ca="1">IFERROR(VLOOKUP(S131,Размеры!A:C,3,FALSE),"")</f>
        <v>61 XL</v>
      </c>
      <c r="AD131" s="94" t="str">
        <f ca="1">VLOOKUP(I131,ЦветПолный!A:B,2,FALSE)</f>
        <v>72</v>
      </c>
      <c r="AE131" s="94" t="str">
        <f ca="1">IFERROR(VLOOKUP(S131,Размеры!A:D,4,FALSE),"")</f>
        <v>61</v>
      </c>
      <c r="AF131" s="94">
        <f ca="1">SUMIF(Группа!A:A,C131,Группа!C:C)</f>
        <v>1</v>
      </c>
      <c r="AG131" s="94">
        <f ca="1">SUMIF(Группа!B:B,AB131,Группа!C:C)</f>
        <v>1</v>
      </c>
      <c r="AH131" s="94">
        <f ca="1">SUMIF(Формы!A:A,D131,Формы!B:B)</f>
        <v>1</v>
      </c>
      <c r="AI131" s="94">
        <f ca="1">IF(IFERROR(VLOOKUP(J131,Материал!D:D,1,0),0)&gt;0,1,SUMIF(Материал!A:A,K131,Материал!B:B))</f>
        <v>1</v>
      </c>
      <c r="AJ131" s="94">
        <f ca="1">SUMIF(Размеры!A:A,S131,Размеры!E:E)</f>
        <v>1</v>
      </c>
      <c r="AK131" s="94">
        <f ca="1">SUMIF(Сезон!A:A,F131,Сезон!B:B)</f>
        <v>1</v>
      </c>
      <c r="AL131" s="94">
        <f ca="1">VLOOKUP(I131,ЦветПолный!A:C,3,0)</f>
        <v>1</v>
      </c>
      <c r="AM131" s="94">
        <f ca="1">SUMIF(Цвет!A:A,Z131,Цвет!B:B)</f>
        <v>1</v>
      </c>
      <c r="AN131" s="94">
        <f ca="1">_xlfn.XLOOKUP(L131,Пол!A:A,Пол!B:B,0,0)</f>
        <v>1</v>
      </c>
      <c r="AO131" s="94">
        <f ca="1">SUMIF(Бренд!A:A,G131,Бренд!B:B)</f>
        <v>1</v>
      </c>
      <c r="AP131" s="137">
        <f ca="1">SUMIF(Страна!A:A,M131,Страна!B:B)</f>
        <v>1</v>
      </c>
      <c r="AQ131" s="150" t="str">
        <f t="shared" ca="1" si="37"/>
        <v>Кепка FREDRIKSON арт. 3035-667/70 (черный / белый) {667/70}</v>
      </c>
      <c r="AR131" s="94">
        <f t="shared" ca="1" si="38"/>
        <v>1</v>
      </c>
      <c r="AS131" s="143">
        <f t="shared" ca="1" si="39"/>
        <v>1</v>
      </c>
      <c r="AT131" s="138" t="str">
        <f ca="1">IF(IFERROR(VLOOKUP(W131,Товары!A:B,2,FALSE),"")=A131,"Есть в 1С","ERR")</f>
        <v>ERR</v>
      </c>
      <c r="AU131" s="139" t="str">
        <f ca="1">IF(IFERROR(VLOOKUP(A131,Товары!B:B,1,FALSE),"")=A131,"Есть в 1С","ERR")</f>
        <v>ERR</v>
      </c>
      <c r="AV131" s="93" t="e">
        <f ca="1">VLOOKUP(W131,Товары!A:B,2,FALSE)</f>
        <v>#N/A</v>
      </c>
      <c r="AW131" s="91" t="e">
        <f ca="1">VLOOKUP(W131,Товары!A:B,1,FALSE)</f>
        <v>#N/A</v>
      </c>
    </row>
    <row r="132" spans="1:49" x14ac:dyDescent="0.25">
      <c r="A132" s="105" t="str">
        <f t="shared" ca="1" si="32"/>
        <v>95-082-72</v>
      </c>
      <c r="B132" s="78" t="str">
        <f ca="1">_xlfn.LET(_xlpm.CAPS,VLOOKUP(G132,Caps!A:B,2,0),_xlpm.Style,TRIM(_xlfn.XLOOKUP($A132,Строчный!$A:$A,Строчный!B:B,"ERR",0)),IF(_xlpm.CAPS=0,_xlpm.Style,UPPER(_xlpm.Style)))</f>
        <v>3035-667/70</v>
      </c>
      <c r="C132" s="78" t="str">
        <f ca="1">TRIM(PROPER(_xlfn.XLOOKUP($A132,Строчный!$A:$A,Строчный!C:C,"ERR",0)))</f>
        <v>Кепки</v>
      </c>
      <c r="D132" s="78" t="str">
        <f ca="1">_xlfn.LET(_xlpm.DATA,TRIM(_xlfn.XLOOKUP($A132,Строчный!$A:$A,Строчный!D:D,"ERR",0)),UPPER(MID(_xlpm.DATA,1,1))&amp;LOWER(MID(_xlpm.DATA,2,LEN(_xlpm.DATA)-1)))</f>
        <v>Кепка восьмиклинка</v>
      </c>
      <c r="E132" s="78" t="str">
        <f ca="1">PROPER(TRIM(_xlfn.XLOOKUP($A132,Строчный!$A:$A,Строчный!E:E,"ERR",0)))</f>
        <v>Fredrikson</v>
      </c>
      <c r="F132" s="78" t="str">
        <f ca="1">LOWER(TRIM(_xlfn.XLOOKUP($A132,Строчный!$A:$A,Строчный!F:F,"ERR",0)))</f>
        <v>всесезон</v>
      </c>
      <c r="G132" s="78" t="str">
        <f ca="1">UPPER(TRIM(_xlfn.XLOOKUP($A132,Строчный!$A:$A,Строчный!G:G,"ERR",0)))</f>
        <v>FREDRIKSON</v>
      </c>
      <c r="H132" s="78" t="str">
        <f ca="1">LOWER(TRIM(_xlfn.XLOOKUP($A132,Строчный!$A:$A,Строчный!H:H,"ERR",0)))</f>
        <v>667/70</v>
      </c>
      <c r="I132" s="78" t="str">
        <f ca="1">LOWER(TRIM(_xlfn.XLOOKUP($A132,Строчный!$A:$A,Строчный!I:I,"ERR",0)))</f>
        <v>черный / белый</v>
      </c>
      <c r="J132" s="78" t="str">
        <f ca="1">SUBSTITUTE(LOWER(TRIM(_xlfn.XLOOKUP($A132,Строчный!$A:$A,Строчный!J:J,"ERR",0))),"подклад","Подклад")</f>
        <v>80% шерсть - 20% полиамид / Подклад: 100% вискоза</v>
      </c>
      <c r="K132" s="78" t="str">
        <f ca="1">LOWER(TRIM(_xlfn.XLOOKUP($A132,Строчный!$A:$A,Строчный!K:K,"ERR",0)))</f>
        <v>шерстяные</v>
      </c>
      <c r="L132" s="78" t="str">
        <f ca="1">PROPER(TRIM(_xlfn.XLOOKUP($A132,Строчный!$A:$A,Строчный!L:L,"ERR",0)))</f>
        <v>Унисекс</v>
      </c>
      <c r="M132" s="105" t="str">
        <f ca="1">PROPER(TRIM(_xlfn.XLOOKUP($A132,Строчный!$A:$A,Строчный!M:M,"ERR",0)))</f>
        <v>Россия</v>
      </c>
      <c r="N132" s="78" t="str">
        <f ca="1">UPPER(TRIM(_xlfn.XLOOKUP($A132,Строчный!$A:$A,Строчный!O:O,"ERR",0)))</f>
        <v/>
      </c>
      <c r="O132" s="99" t="str">
        <f ca="1">PROPER(TRIM(_xlfn.XLOOKUP($A132,Строчный!$A:$A,Строчный!P:P,"ERR",0)))</f>
        <v/>
      </c>
      <c r="P132" s="78" t="str">
        <f ca="1">PROPER(TRIM(_xlfn.XLOOKUP($A132,Строчный!$A:$A,Строчный!R:R,"ERR",0)))</f>
        <v/>
      </c>
      <c r="Q132" s="87">
        <f ca="1">VALUE(_xlfn.XLOOKUP($A132,Строчный!$A:$A,Строчный!N:N,"ERR",0))</f>
        <v>975.8</v>
      </c>
      <c r="R132" s="86" t="str">
        <f ca="1">_xlfn.XLOOKUP($G132,Фабрика!A:A,Фабрика!B:B,"ERR",0)</f>
        <v>ООО "ФРЭДРИКСОН" Россия 192029, С-Петербург, пр. Обуховской обороны, д.86, лит М</v>
      </c>
      <c r="S132" s="77" t="str">
        <f ca="1">_xlfn.XLOOKUP(RIGHT(AA132,2),Размеры!D:D,Размеры!A:A,"ERR",0)</f>
        <v>60</v>
      </c>
      <c r="T132" s="77">
        <f ca="1">VALUE(_xlfn.XLOOKUP($AA132,Строчный!$S:$S,Строчный!U:U,"ERR",0))</f>
        <v>2</v>
      </c>
      <c r="U132" s="14" t="s">
        <v>241</v>
      </c>
      <c r="V132" s="98" t="str">
        <f t="shared" ca="1" si="33"/>
        <v>Кепка FREDRIKSON арт. 3035-667/70 (черный / белый)</v>
      </c>
      <c r="W132" s="97" t="str">
        <f t="shared" ca="1" si="34"/>
        <v>Кепка FREDRIKSON арт. 3035-667/70 (черный / белый) {667/70}</v>
      </c>
      <c r="X132" s="18" t="str">
        <f t="shared" ca="1" si="35"/>
        <v>черный</v>
      </c>
      <c r="Y132" s="18" t="str">
        <f t="shared" ca="1" si="36"/>
        <v>белый</v>
      </c>
      <c r="Z132" s="109" t="str">
        <f ca="1">_xlfn.LET(_xlpm.FormColors,_xlfn.XLOOKUP(A132,Строчный!A:A,Строчный!Q:Q,"",0),IF(_xlpm.FormColors=0,IFERROR(MID(I132,FIND("-",I132)+1,LEN(I132)),IFERROR(MID(I132,1,FIND("/",I132)-2),I132)),_xlpm.FormColors))</f>
        <v>черный</v>
      </c>
      <c r="AA132" s="70" t="str">
        <f ca="1"/>
        <v>95-082-72-60</v>
      </c>
      <c r="AB132" s="72" t="str">
        <f ca="1">VLOOKUP(C132,Группа!A:B,2,FALSE)</f>
        <v>Кепка</v>
      </c>
      <c r="AC132" s="94" t="str">
        <f ca="1">IFERROR(VLOOKUP(S132,Размеры!A:C,3,FALSE),"")</f>
        <v>60 L/XL</v>
      </c>
      <c r="AD132" s="94" t="str">
        <f ca="1">VLOOKUP(I132,ЦветПолный!A:B,2,FALSE)</f>
        <v>72</v>
      </c>
      <c r="AE132" s="94" t="str">
        <f ca="1">IFERROR(VLOOKUP(S132,Размеры!A:D,4,FALSE),"")</f>
        <v>60</v>
      </c>
      <c r="AF132" s="94">
        <f ca="1">SUMIF(Группа!A:A,C132,Группа!C:C)</f>
        <v>1</v>
      </c>
      <c r="AG132" s="94">
        <f ca="1">SUMIF(Группа!B:B,AB132,Группа!C:C)</f>
        <v>1</v>
      </c>
      <c r="AH132" s="94">
        <f ca="1">SUMIF(Формы!A:A,D132,Формы!B:B)</f>
        <v>1</v>
      </c>
      <c r="AI132" s="94">
        <f ca="1">IF(IFERROR(VLOOKUP(J132,Материал!D:D,1,0),0)&gt;0,1,SUMIF(Материал!A:A,K132,Материал!B:B))</f>
        <v>1</v>
      </c>
      <c r="AJ132" s="94">
        <f ca="1">SUMIF(Размеры!A:A,S132,Размеры!E:E)</f>
        <v>1</v>
      </c>
      <c r="AK132" s="94">
        <f ca="1">SUMIF(Сезон!A:A,F132,Сезон!B:B)</f>
        <v>1</v>
      </c>
      <c r="AL132" s="94">
        <f ca="1">VLOOKUP(I132,ЦветПолный!A:C,3,0)</f>
        <v>1</v>
      </c>
      <c r="AM132" s="94">
        <f ca="1">SUMIF(Цвет!A:A,Z132,Цвет!B:B)</f>
        <v>1</v>
      </c>
      <c r="AN132" s="94">
        <f ca="1">_xlfn.XLOOKUP(L132,Пол!A:A,Пол!B:B,0,0)</f>
        <v>1</v>
      </c>
      <c r="AO132" s="94">
        <f ca="1">SUMIF(Бренд!A:A,G132,Бренд!B:B)</f>
        <v>1</v>
      </c>
      <c r="AP132" s="137">
        <f ca="1">SUMIF(Страна!A:A,M132,Страна!B:B)</f>
        <v>1</v>
      </c>
      <c r="AQ132" s="150" t="str">
        <f t="shared" ca="1" si="37"/>
        <v>Кепка FREDRIKSON арт. 3035-667/70 (черный / белый) {667/70}</v>
      </c>
      <c r="AR132" s="94">
        <f t="shared" ca="1" si="38"/>
        <v>1</v>
      </c>
      <c r="AS132" s="143">
        <f t="shared" ca="1" si="39"/>
        <v>1</v>
      </c>
      <c r="AT132" s="138" t="str">
        <f ca="1">IF(IFERROR(VLOOKUP(W132,Товары!A:B,2,FALSE),"")=A132,"Есть в 1С","ERR")</f>
        <v>ERR</v>
      </c>
      <c r="AU132" s="139" t="str">
        <f ca="1">IF(IFERROR(VLOOKUP(A132,Товары!B:B,1,FALSE),"")=A132,"Есть в 1С","ERR")</f>
        <v>ERR</v>
      </c>
      <c r="AV132" s="93" t="e">
        <f ca="1">VLOOKUP(W132,Товары!A:B,2,FALSE)</f>
        <v>#N/A</v>
      </c>
      <c r="AW132" s="91" t="e">
        <f ca="1">VLOOKUP(W132,Товары!A:B,1,FALSE)</f>
        <v>#N/A</v>
      </c>
    </row>
    <row r="133" spans="1:49" x14ac:dyDescent="0.25">
      <c r="A133" s="105" t="str">
        <f t="shared" ca="1" si="32"/>
        <v>95-082-72</v>
      </c>
      <c r="B133" s="78" t="str">
        <f ca="1">_xlfn.LET(_xlpm.CAPS,VLOOKUP(G133,Caps!A:B,2,0),_xlpm.Style,TRIM(_xlfn.XLOOKUP($A133,Строчный!$A:$A,Строчный!B:B,"ERR",0)),IF(_xlpm.CAPS=0,_xlpm.Style,UPPER(_xlpm.Style)))</f>
        <v>3035-667/70</v>
      </c>
      <c r="C133" s="78" t="str">
        <f ca="1">TRIM(PROPER(_xlfn.XLOOKUP($A133,Строчный!$A:$A,Строчный!C:C,"ERR",0)))</f>
        <v>Кепки</v>
      </c>
      <c r="D133" s="78" t="str">
        <f ca="1">_xlfn.LET(_xlpm.DATA,TRIM(_xlfn.XLOOKUP($A133,Строчный!$A:$A,Строчный!D:D,"ERR",0)),UPPER(MID(_xlpm.DATA,1,1))&amp;LOWER(MID(_xlpm.DATA,2,LEN(_xlpm.DATA)-1)))</f>
        <v>Кепка восьмиклинка</v>
      </c>
      <c r="E133" s="78" t="str">
        <f ca="1">PROPER(TRIM(_xlfn.XLOOKUP($A133,Строчный!$A:$A,Строчный!E:E,"ERR",0)))</f>
        <v>Fredrikson</v>
      </c>
      <c r="F133" s="78" t="str">
        <f ca="1">LOWER(TRIM(_xlfn.XLOOKUP($A133,Строчный!$A:$A,Строчный!F:F,"ERR",0)))</f>
        <v>всесезон</v>
      </c>
      <c r="G133" s="78" t="str">
        <f ca="1">UPPER(TRIM(_xlfn.XLOOKUP($A133,Строчный!$A:$A,Строчный!G:G,"ERR",0)))</f>
        <v>FREDRIKSON</v>
      </c>
      <c r="H133" s="78" t="str">
        <f ca="1">LOWER(TRIM(_xlfn.XLOOKUP($A133,Строчный!$A:$A,Строчный!H:H,"ERR",0)))</f>
        <v>667/70</v>
      </c>
      <c r="I133" s="78" t="str">
        <f ca="1">LOWER(TRIM(_xlfn.XLOOKUP($A133,Строчный!$A:$A,Строчный!I:I,"ERR",0)))</f>
        <v>черный / белый</v>
      </c>
      <c r="J133" s="78" t="str">
        <f ca="1">SUBSTITUTE(LOWER(TRIM(_xlfn.XLOOKUP($A133,Строчный!$A:$A,Строчный!J:J,"ERR",0))),"подклад","Подклад")</f>
        <v>80% шерсть - 20% полиамид / Подклад: 100% вискоза</v>
      </c>
      <c r="K133" s="78" t="str">
        <f ca="1">LOWER(TRIM(_xlfn.XLOOKUP($A133,Строчный!$A:$A,Строчный!K:K,"ERR",0)))</f>
        <v>шерстяные</v>
      </c>
      <c r="L133" s="78" t="str">
        <f ca="1">PROPER(TRIM(_xlfn.XLOOKUP($A133,Строчный!$A:$A,Строчный!L:L,"ERR",0)))</f>
        <v>Унисекс</v>
      </c>
      <c r="M133" s="105" t="str">
        <f ca="1">PROPER(TRIM(_xlfn.XLOOKUP($A133,Строчный!$A:$A,Строчный!M:M,"ERR",0)))</f>
        <v>Россия</v>
      </c>
      <c r="N133" s="78" t="str">
        <f ca="1">UPPER(TRIM(_xlfn.XLOOKUP($A133,Строчный!$A:$A,Строчный!O:O,"ERR",0)))</f>
        <v/>
      </c>
      <c r="O133" s="99" t="str">
        <f ca="1">PROPER(TRIM(_xlfn.XLOOKUP($A133,Строчный!$A:$A,Строчный!P:P,"ERR",0)))</f>
        <v/>
      </c>
      <c r="P133" s="78" t="str">
        <f ca="1">PROPER(TRIM(_xlfn.XLOOKUP($A133,Строчный!$A:$A,Строчный!R:R,"ERR",0)))</f>
        <v/>
      </c>
      <c r="Q133" s="87">
        <f ca="1">VALUE(_xlfn.XLOOKUP($A133,Строчный!$A:$A,Строчный!N:N,"ERR",0))</f>
        <v>975.8</v>
      </c>
      <c r="R133" s="86" t="str">
        <f ca="1">_xlfn.XLOOKUP($G133,Фабрика!A:A,Фабрика!B:B,"ERR",0)</f>
        <v>ООО "ФРЭДРИКСОН" Россия 192029, С-Петербург, пр. Обуховской обороны, д.86, лит М</v>
      </c>
      <c r="S133" s="77" t="str">
        <f ca="1">_xlfn.XLOOKUP(RIGHT(AA133,2),Размеры!D:D,Размеры!A:A,"ERR",0)</f>
        <v>59</v>
      </c>
      <c r="T133" s="77">
        <f ca="1">VALUE(_xlfn.XLOOKUP($AA133,Строчный!$S:$S,Строчный!U:U,"ERR",0))</f>
        <v>3</v>
      </c>
      <c r="U133" s="14" t="s">
        <v>241</v>
      </c>
      <c r="V133" s="98" t="str">
        <f t="shared" ca="1" si="33"/>
        <v>Кепка FREDRIKSON арт. 3035-667/70 (черный / белый)</v>
      </c>
      <c r="W133" s="97" t="str">
        <f t="shared" ca="1" si="34"/>
        <v>Кепка FREDRIKSON арт. 3035-667/70 (черный / белый) {667/70}</v>
      </c>
      <c r="X133" s="18" t="str">
        <f t="shared" ca="1" si="35"/>
        <v>черный</v>
      </c>
      <c r="Y133" s="18" t="str">
        <f t="shared" ca="1" si="36"/>
        <v>белый</v>
      </c>
      <c r="Z133" s="109" t="str">
        <f ca="1">_xlfn.LET(_xlpm.FormColors,_xlfn.XLOOKUP(A133,Строчный!A:A,Строчный!Q:Q,"",0),IF(_xlpm.FormColors=0,IFERROR(MID(I133,FIND("-",I133)+1,LEN(I133)),IFERROR(MID(I133,1,FIND("/",I133)-2),I133)),_xlpm.FormColors))</f>
        <v>черный</v>
      </c>
      <c r="AA133" s="70" t="str">
        <f ca="1"/>
        <v>95-082-72-59</v>
      </c>
      <c r="AB133" s="72" t="str">
        <f ca="1">VLOOKUP(C133,Группа!A:B,2,FALSE)</f>
        <v>Кепка</v>
      </c>
      <c r="AC133" s="94" t="str">
        <f ca="1">IFERROR(VLOOKUP(S133,Размеры!A:C,3,FALSE),"")</f>
        <v>59 L</v>
      </c>
      <c r="AD133" s="94" t="str">
        <f ca="1">VLOOKUP(I133,ЦветПолный!A:B,2,FALSE)</f>
        <v>72</v>
      </c>
      <c r="AE133" s="94" t="str">
        <f ca="1">IFERROR(VLOOKUP(S133,Размеры!A:D,4,FALSE),"")</f>
        <v>59</v>
      </c>
      <c r="AF133" s="94">
        <f ca="1">SUMIF(Группа!A:A,C133,Группа!C:C)</f>
        <v>1</v>
      </c>
      <c r="AG133" s="94">
        <f ca="1">SUMIF(Группа!B:B,AB133,Группа!C:C)</f>
        <v>1</v>
      </c>
      <c r="AH133" s="94">
        <f ca="1">SUMIF(Формы!A:A,D133,Формы!B:B)</f>
        <v>1</v>
      </c>
      <c r="AI133" s="94">
        <f ca="1">IF(IFERROR(VLOOKUP(J133,Материал!D:D,1,0),0)&gt;0,1,SUMIF(Материал!A:A,K133,Материал!B:B))</f>
        <v>1</v>
      </c>
      <c r="AJ133" s="94">
        <f ca="1">SUMIF(Размеры!A:A,S133,Размеры!E:E)</f>
        <v>1</v>
      </c>
      <c r="AK133" s="94">
        <f ca="1">SUMIF(Сезон!A:A,F133,Сезон!B:B)</f>
        <v>1</v>
      </c>
      <c r="AL133" s="94">
        <f ca="1">VLOOKUP(I133,ЦветПолный!A:C,3,0)</f>
        <v>1</v>
      </c>
      <c r="AM133" s="94">
        <f ca="1">SUMIF(Цвет!A:A,Z133,Цвет!B:B)</f>
        <v>1</v>
      </c>
      <c r="AN133" s="94">
        <f ca="1">_xlfn.XLOOKUP(L133,Пол!A:A,Пол!B:B,0,0)</f>
        <v>1</v>
      </c>
      <c r="AO133" s="94">
        <f ca="1">SUMIF(Бренд!A:A,G133,Бренд!B:B)</f>
        <v>1</v>
      </c>
      <c r="AP133" s="137">
        <f ca="1">SUMIF(Страна!A:A,M133,Страна!B:B)</f>
        <v>1</v>
      </c>
      <c r="AQ133" s="150" t="str">
        <f t="shared" ca="1" si="37"/>
        <v>Кепка FREDRIKSON арт. 3035-667/70 (черный / белый) {667/70}</v>
      </c>
      <c r="AR133" s="94">
        <f t="shared" ca="1" si="38"/>
        <v>1</v>
      </c>
      <c r="AS133" s="143">
        <f t="shared" ca="1" si="39"/>
        <v>1</v>
      </c>
      <c r="AT133" s="138" t="str">
        <f ca="1">IF(IFERROR(VLOOKUP(W133,Товары!A:B,2,FALSE),"")=A133,"Есть в 1С","ERR")</f>
        <v>ERR</v>
      </c>
      <c r="AU133" s="139" t="str">
        <f ca="1">IF(IFERROR(VLOOKUP(A133,Товары!B:B,1,FALSE),"")=A133,"Есть в 1С","ERR")</f>
        <v>ERR</v>
      </c>
      <c r="AV133" s="93" t="e">
        <f ca="1">VLOOKUP(W133,Товары!A:B,2,FALSE)</f>
        <v>#N/A</v>
      </c>
      <c r="AW133" s="91" t="e">
        <f ca="1">VLOOKUP(W133,Товары!A:B,1,FALSE)</f>
        <v>#N/A</v>
      </c>
    </row>
    <row r="134" spans="1:49" x14ac:dyDescent="0.25">
      <c r="A134" s="105" t="str">
        <f t="shared" ca="1" si="32"/>
        <v>95-082-72</v>
      </c>
      <c r="B134" s="78" t="str">
        <f ca="1">_xlfn.LET(_xlpm.CAPS,VLOOKUP(G134,Caps!A:B,2,0),_xlpm.Style,TRIM(_xlfn.XLOOKUP($A134,Строчный!$A:$A,Строчный!B:B,"ERR",0)),IF(_xlpm.CAPS=0,_xlpm.Style,UPPER(_xlpm.Style)))</f>
        <v>3035-667/70</v>
      </c>
      <c r="C134" s="78" t="str">
        <f ca="1">TRIM(PROPER(_xlfn.XLOOKUP($A134,Строчный!$A:$A,Строчный!C:C,"ERR",0)))</f>
        <v>Кепки</v>
      </c>
      <c r="D134" s="78" t="str">
        <f ca="1">_xlfn.LET(_xlpm.DATA,TRIM(_xlfn.XLOOKUP($A134,Строчный!$A:$A,Строчный!D:D,"ERR",0)),UPPER(MID(_xlpm.DATA,1,1))&amp;LOWER(MID(_xlpm.DATA,2,LEN(_xlpm.DATA)-1)))</f>
        <v>Кепка восьмиклинка</v>
      </c>
      <c r="E134" s="78" t="str">
        <f ca="1">PROPER(TRIM(_xlfn.XLOOKUP($A134,Строчный!$A:$A,Строчный!E:E,"ERR",0)))</f>
        <v>Fredrikson</v>
      </c>
      <c r="F134" s="78" t="str">
        <f ca="1">LOWER(TRIM(_xlfn.XLOOKUP($A134,Строчный!$A:$A,Строчный!F:F,"ERR",0)))</f>
        <v>всесезон</v>
      </c>
      <c r="G134" s="78" t="str">
        <f ca="1">UPPER(TRIM(_xlfn.XLOOKUP($A134,Строчный!$A:$A,Строчный!G:G,"ERR",0)))</f>
        <v>FREDRIKSON</v>
      </c>
      <c r="H134" s="78" t="str">
        <f ca="1">LOWER(TRIM(_xlfn.XLOOKUP($A134,Строчный!$A:$A,Строчный!H:H,"ERR",0)))</f>
        <v>667/70</v>
      </c>
      <c r="I134" s="78" t="str">
        <f ca="1">LOWER(TRIM(_xlfn.XLOOKUP($A134,Строчный!$A:$A,Строчный!I:I,"ERR",0)))</f>
        <v>черный / белый</v>
      </c>
      <c r="J134" s="78" t="str">
        <f ca="1">SUBSTITUTE(LOWER(TRIM(_xlfn.XLOOKUP($A134,Строчный!$A:$A,Строчный!J:J,"ERR",0))),"подклад","Подклад")</f>
        <v>80% шерсть - 20% полиамид / Подклад: 100% вискоза</v>
      </c>
      <c r="K134" s="78" t="str">
        <f ca="1">LOWER(TRIM(_xlfn.XLOOKUP($A134,Строчный!$A:$A,Строчный!K:K,"ERR",0)))</f>
        <v>шерстяные</v>
      </c>
      <c r="L134" s="78" t="str">
        <f ca="1">PROPER(TRIM(_xlfn.XLOOKUP($A134,Строчный!$A:$A,Строчный!L:L,"ERR",0)))</f>
        <v>Унисекс</v>
      </c>
      <c r="M134" s="105" t="str">
        <f ca="1">PROPER(TRIM(_xlfn.XLOOKUP($A134,Строчный!$A:$A,Строчный!M:M,"ERR",0)))</f>
        <v>Россия</v>
      </c>
      <c r="N134" s="78" t="str">
        <f ca="1">UPPER(TRIM(_xlfn.XLOOKUP($A134,Строчный!$A:$A,Строчный!O:O,"ERR",0)))</f>
        <v/>
      </c>
      <c r="O134" s="99" t="str">
        <f ca="1">PROPER(TRIM(_xlfn.XLOOKUP($A134,Строчный!$A:$A,Строчный!P:P,"ERR",0)))</f>
        <v/>
      </c>
      <c r="P134" s="78" t="str">
        <f ca="1">PROPER(TRIM(_xlfn.XLOOKUP($A134,Строчный!$A:$A,Строчный!R:R,"ERR",0)))</f>
        <v/>
      </c>
      <c r="Q134" s="87">
        <f ca="1">VALUE(_xlfn.XLOOKUP($A134,Строчный!$A:$A,Строчный!N:N,"ERR",0))</f>
        <v>975.8</v>
      </c>
      <c r="R134" s="86" t="str">
        <f ca="1">_xlfn.XLOOKUP($G134,Фабрика!A:A,Фабрика!B:B,"ERR",0)</f>
        <v>ООО "ФРЭДРИКСОН" Россия 192029, С-Петербург, пр. Обуховской обороны, д.86, лит М</v>
      </c>
      <c r="S134" s="77" t="str">
        <f ca="1">_xlfn.XLOOKUP(RIGHT(AA134,2),Размеры!D:D,Размеры!A:A,"ERR",0)</f>
        <v>58</v>
      </c>
      <c r="T134" s="77">
        <f ca="1">VALUE(_xlfn.XLOOKUP($AA134,Строчный!$S:$S,Строчный!U:U,"ERR",0))</f>
        <v>2</v>
      </c>
      <c r="U134" s="14" t="s">
        <v>241</v>
      </c>
      <c r="V134" s="98" t="str">
        <f t="shared" ca="1" si="33"/>
        <v>Кепка FREDRIKSON арт. 3035-667/70 (черный / белый)</v>
      </c>
      <c r="W134" s="97" t="str">
        <f t="shared" ca="1" si="34"/>
        <v>Кепка FREDRIKSON арт. 3035-667/70 (черный / белый) {667/70}</v>
      </c>
      <c r="X134" s="18" t="str">
        <f t="shared" ca="1" si="35"/>
        <v>черный</v>
      </c>
      <c r="Y134" s="18" t="str">
        <f t="shared" ca="1" si="36"/>
        <v>белый</v>
      </c>
      <c r="Z134" s="109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0" t="str">
        <f ca="1"/>
        <v>95-082-72-58</v>
      </c>
      <c r="AB134" s="72" t="str">
        <f ca="1">VLOOKUP(C134,Группа!A:B,2,FALSE)</f>
        <v>Кепка</v>
      </c>
      <c r="AC134" s="94" t="str">
        <f ca="1">IFERROR(VLOOKUP(S134,Размеры!A:C,3,FALSE),"")</f>
        <v>58 M/L</v>
      </c>
      <c r="AD134" s="94" t="str">
        <f ca="1">VLOOKUP(I134,ЦветПолный!A:B,2,FALSE)</f>
        <v>72</v>
      </c>
      <c r="AE134" s="94" t="str">
        <f ca="1">IFERROR(VLOOKUP(S134,Размеры!A:D,4,FALSE),"")</f>
        <v>58</v>
      </c>
      <c r="AF134" s="94">
        <f ca="1">SUMIF(Группа!A:A,C134,Группа!C:C)</f>
        <v>1</v>
      </c>
      <c r="AG134" s="94">
        <f ca="1">SUMIF(Группа!B:B,AB134,Группа!C:C)</f>
        <v>1</v>
      </c>
      <c r="AH134" s="94">
        <f ca="1">SUMIF(Формы!A:A,D134,Формы!B:B)</f>
        <v>1</v>
      </c>
      <c r="AI134" s="94">
        <f ca="1">IF(IFERROR(VLOOKUP(J134,Материал!D:D,1,0),0)&gt;0,1,SUMIF(Материал!A:A,K134,Материал!B:B))</f>
        <v>1</v>
      </c>
      <c r="AJ134" s="94">
        <f ca="1">SUMIF(Размеры!A:A,S134,Размеры!E:E)</f>
        <v>1</v>
      </c>
      <c r="AK134" s="94">
        <f ca="1">SUMIF(Сезон!A:A,F134,Сезон!B:B)</f>
        <v>1</v>
      </c>
      <c r="AL134" s="94">
        <f ca="1">VLOOKUP(I134,ЦветПолный!A:C,3,0)</f>
        <v>1</v>
      </c>
      <c r="AM134" s="94">
        <f ca="1">SUMIF(Цвет!A:A,Z134,Цвет!B:B)</f>
        <v>1</v>
      </c>
      <c r="AN134" s="94">
        <f ca="1">_xlfn.XLOOKUP(L134,Пол!A:A,Пол!B:B,0,0)</f>
        <v>1</v>
      </c>
      <c r="AO134" s="94">
        <f ca="1">SUMIF(Бренд!A:A,G134,Бренд!B:B)</f>
        <v>1</v>
      </c>
      <c r="AP134" s="137">
        <f ca="1">SUMIF(Страна!A:A,M134,Страна!B:B)</f>
        <v>1</v>
      </c>
      <c r="AQ134" s="150" t="str">
        <f t="shared" ca="1" si="37"/>
        <v>Кепка FREDRIKSON арт. 3035-667/70 (черный / белый) {667/70}</v>
      </c>
      <c r="AR134" s="94">
        <f t="shared" ca="1" si="38"/>
        <v>1</v>
      </c>
      <c r="AS134" s="143">
        <f t="shared" ca="1" si="39"/>
        <v>1</v>
      </c>
      <c r="AT134" s="138" t="str">
        <f ca="1">IF(IFERROR(VLOOKUP(W134,Товары!A:B,2,FALSE),"")=A134,"Есть в 1С","ERR")</f>
        <v>ERR</v>
      </c>
      <c r="AU134" s="139" t="str">
        <f ca="1">IF(IFERROR(VLOOKUP(A134,Товары!B:B,1,FALSE),"")=A134,"Есть в 1С","ERR")</f>
        <v>ERR</v>
      </c>
      <c r="AV134" s="93" t="e">
        <f ca="1">VLOOKUP(W134,Товары!A:B,2,FALSE)</f>
        <v>#N/A</v>
      </c>
      <c r="AW134" s="91" t="e">
        <f ca="1">VLOOKUP(W134,Товары!A:B,1,FALSE)</f>
        <v>#N/A</v>
      </c>
    </row>
    <row r="135" spans="1:49" x14ac:dyDescent="0.25">
      <c r="A135" s="105" t="str">
        <f t="shared" ca="1" si="32"/>
        <v>95-082-72</v>
      </c>
      <c r="B135" s="78" t="str">
        <f ca="1">_xlfn.LET(_xlpm.CAPS,VLOOKUP(G135,Caps!A:B,2,0),_xlpm.Style,TRIM(_xlfn.XLOOKUP($A135,Строчный!$A:$A,Строчный!B:B,"ERR",0)),IF(_xlpm.CAPS=0,_xlpm.Style,UPPER(_xlpm.Style)))</f>
        <v>3035-667/70</v>
      </c>
      <c r="C135" s="78" t="str">
        <f ca="1">TRIM(PROPER(_xlfn.XLOOKUP($A135,Строчный!$A:$A,Строчный!C:C,"ERR",0)))</f>
        <v>Кепки</v>
      </c>
      <c r="D135" s="78" t="str">
        <f ca="1">_xlfn.LET(_xlpm.DATA,TRIM(_xlfn.XLOOKUP($A135,Строчный!$A:$A,Строчный!D:D,"ERR",0)),UPPER(MID(_xlpm.DATA,1,1))&amp;LOWER(MID(_xlpm.DATA,2,LEN(_xlpm.DATA)-1)))</f>
        <v>Кепка восьмиклинка</v>
      </c>
      <c r="E135" s="78" t="str">
        <f ca="1">PROPER(TRIM(_xlfn.XLOOKUP($A135,Строчный!$A:$A,Строчный!E:E,"ERR",0)))</f>
        <v>Fredrikson</v>
      </c>
      <c r="F135" s="78" t="str">
        <f ca="1">LOWER(TRIM(_xlfn.XLOOKUP($A135,Строчный!$A:$A,Строчный!F:F,"ERR",0)))</f>
        <v>всесезон</v>
      </c>
      <c r="G135" s="78" t="str">
        <f ca="1">UPPER(TRIM(_xlfn.XLOOKUP($A135,Строчный!$A:$A,Строчный!G:G,"ERR",0)))</f>
        <v>FREDRIKSON</v>
      </c>
      <c r="H135" s="78" t="str">
        <f ca="1">LOWER(TRIM(_xlfn.XLOOKUP($A135,Строчный!$A:$A,Строчный!H:H,"ERR",0)))</f>
        <v>667/70</v>
      </c>
      <c r="I135" s="78" t="str">
        <f ca="1">LOWER(TRIM(_xlfn.XLOOKUP($A135,Строчный!$A:$A,Строчный!I:I,"ERR",0)))</f>
        <v>черный / белый</v>
      </c>
      <c r="J135" s="78" t="str">
        <f ca="1">SUBSTITUTE(LOWER(TRIM(_xlfn.XLOOKUP($A135,Строчный!$A:$A,Строчный!J:J,"ERR",0))),"подклад","Подклад")</f>
        <v>80% шерсть - 20% полиамид / Подклад: 100% вискоза</v>
      </c>
      <c r="K135" s="78" t="str">
        <f ca="1">LOWER(TRIM(_xlfn.XLOOKUP($A135,Строчный!$A:$A,Строчный!K:K,"ERR",0)))</f>
        <v>шерстяные</v>
      </c>
      <c r="L135" s="78" t="str">
        <f ca="1">PROPER(TRIM(_xlfn.XLOOKUP($A135,Строчный!$A:$A,Строчный!L:L,"ERR",0)))</f>
        <v>Унисекс</v>
      </c>
      <c r="M135" s="105" t="str">
        <f ca="1">PROPER(TRIM(_xlfn.XLOOKUP($A135,Строчный!$A:$A,Строчный!M:M,"ERR",0)))</f>
        <v>Россия</v>
      </c>
      <c r="N135" s="78" t="str">
        <f ca="1">UPPER(TRIM(_xlfn.XLOOKUP($A135,Строчный!$A:$A,Строчный!O:O,"ERR",0)))</f>
        <v/>
      </c>
      <c r="O135" s="99" t="str">
        <f ca="1">PROPER(TRIM(_xlfn.XLOOKUP($A135,Строчный!$A:$A,Строчный!P:P,"ERR",0)))</f>
        <v/>
      </c>
      <c r="P135" s="78" t="str">
        <f ca="1">PROPER(TRIM(_xlfn.XLOOKUP($A135,Строчный!$A:$A,Строчный!R:R,"ERR",0)))</f>
        <v/>
      </c>
      <c r="Q135" s="87">
        <f ca="1">VALUE(_xlfn.XLOOKUP($A135,Строчный!$A:$A,Строчный!N:N,"ERR",0))</f>
        <v>975.8</v>
      </c>
      <c r="R135" s="86" t="str">
        <f ca="1">_xlfn.XLOOKUP($G135,Фабрика!A:A,Фабрика!B:B,"ERR",0)</f>
        <v>ООО "ФРЭДРИКСОН" Россия 192029, С-Петербург, пр. Обуховской обороны, д.86, лит М</v>
      </c>
      <c r="S135" s="77" t="str">
        <f ca="1">_xlfn.XLOOKUP(RIGHT(AA135,2),Размеры!D:D,Размеры!A:A,"ERR",0)</f>
        <v>57</v>
      </c>
      <c r="T135" s="77">
        <f ca="1">VALUE(_xlfn.XLOOKUP($AA135,Строчный!$S:$S,Строчный!U:U,"ERR",0))</f>
        <v>1</v>
      </c>
      <c r="U135" s="14" t="s">
        <v>241</v>
      </c>
      <c r="V135" s="98" t="str">
        <f t="shared" ca="1" si="33"/>
        <v>Кепка FREDRIKSON арт. 3035-667/70 (черный / белый)</v>
      </c>
      <c r="W135" s="97" t="str">
        <f t="shared" ca="1" si="34"/>
        <v>Кепка FREDRIKSON арт. 3035-667/70 (черный / белый) {667/70}</v>
      </c>
      <c r="X135" s="18" t="str">
        <f t="shared" ca="1" si="35"/>
        <v>черный</v>
      </c>
      <c r="Y135" s="18" t="str">
        <f t="shared" ca="1" si="36"/>
        <v>белый</v>
      </c>
      <c r="Z135" s="109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AA135" s="70" t="str">
        <f ca="1"/>
        <v>95-082-72-57</v>
      </c>
      <c r="AB135" s="72" t="str">
        <f ca="1">VLOOKUP(C135,Группа!A:B,2,FALSE)</f>
        <v>Кепка</v>
      </c>
      <c r="AC135" s="94" t="str">
        <f ca="1">IFERROR(VLOOKUP(S135,Размеры!A:C,3,FALSE),"")</f>
        <v>57 M</v>
      </c>
      <c r="AD135" s="94" t="str">
        <f ca="1">VLOOKUP(I135,ЦветПолный!A:B,2,FALSE)</f>
        <v>72</v>
      </c>
      <c r="AE135" s="94" t="str">
        <f ca="1">IFERROR(VLOOKUP(S135,Размеры!A:D,4,FALSE),"")</f>
        <v>57</v>
      </c>
      <c r="AF135" s="94">
        <f ca="1">SUMIF(Группа!A:A,C135,Группа!C:C)</f>
        <v>1</v>
      </c>
      <c r="AG135" s="94">
        <f ca="1">SUMIF(Группа!B:B,AB135,Группа!C:C)</f>
        <v>1</v>
      </c>
      <c r="AH135" s="94">
        <f ca="1">SUMIF(Формы!A:A,D135,Формы!B:B)</f>
        <v>1</v>
      </c>
      <c r="AI135" s="94">
        <f ca="1">IF(IFERROR(VLOOKUP(J135,Материал!D:D,1,0),0)&gt;0,1,SUMIF(Материал!A:A,K135,Материал!B:B))</f>
        <v>1</v>
      </c>
      <c r="AJ135" s="94">
        <f ca="1">SUMIF(Размеры!A:A,S135,Размеры!E:E)</f>
        <v>1</v>
      </c>
      <c r="AK135" s="94">
        <f ca="1">SUMIF(Сезон!A:A,F135,Сезон!B:B)</f>
        <v>1</v>
      </c>
      <c r="AL135" s="94">
        <f ca="1">VLOOKUP(I135,ЦветПолный!A:C,3,0)</f>
        <v>1</v>
      </c>
      <c r="AM135" s="94">
        <f ca="1">SUMIF(Цвет!A:A,Z135,Цвет!B:B)</f>
        <v>1</v>
      </c>
      <c r="AN135" s="94">
        <f ca="1">_xlfn.XLOOKUP(L135,Пол!A:A,Пол!B:B,0,0)</f>
        <v>1</v>
      </c>
      <c r="AO135" s="94">
        <f ca="1">SUMIF(Бренд!A:A,G135,Бренд!B:B)</f>
        <v>1</v>
      </c>
      <c r="AP135" s="137">
        <f ca="1">SUMIF(Страна!A:A,M135,Страна!B:B)</f>
        <v>1</v>
      </c>
      <c r="AQ135" s="150" t="str">
        <f t="shared" ca="1" si="37"/>
        <v>Кепка FREDRIKSON арт. 3035-667/70 (черный / белый) {667/70}</v>
      </c>
      <c r="AR135" s="94">
        <f t="shared" ca="1" si="38"/>
        <v>1</v>
      </c>
      <c r="AS135" s="143">
        <f t="shared" ca="1" si="39"/>
        <v>1</v>
      </c>
      <c r="AT135" s="138" t="str">
        <f ca="1">IF(IFERROR(VLOOKUP(W135,Товары!A:B,2,FALSE),"")=A135,"Есть в 1С","ERR")</f>
        <v>ERR</v>
      </c>
      <c r="AU135" s="139" t="str">
        <f ca="1">IF(IFERROR(VLOOKUP(A135,Товары!B:B,1,FALSE),"")=A135,"Есть в 1С","ERR")</f>
        <v>ERR</v>
      </c>
      <c r="AV135" s="93" t="e">
        <f ca="1">VLOOKUP(W135,Товары!A:B,2,FALSE)</f>
        <v>#N/A</v>
      </c>
      <c r="AW135" s="91" t="e">
        <f ca="1">VLOOKUP(W135,Товары!A:B,1,FALSE)</f>
        <v>#N/A</v>
      </c>
    </row>
    <row r="136" spans="1:49" x14ac:dyDescent="0.25">
      <c r="A136" s="105" t="str">
        <f t="shared" ca="1" si="32"/>
        <v>95-081-80</v>
      </c>
      <c r="B136" s="78" t="str">
        <f ca="1">_xlfn.LET(_xlpm.CAPS,VLOOKUP(G136,Caps!A:B,2,0),_xlpm.Style,TRIM(_xlfn.XLOOKUP($A136,Строчный!$A:$A,Строчный!B:B,"ERR",0)),IF(_xlpm.CAPS=0,_xlpm.Style,UPPER(_xlpm.Style)))</f>
        <v>3035-635/75</v>
      </c>
      <c r="C136" s="78" t="str">
        <f ca="1">TRIM(PROPER(_xlfn.XLOOKUP($A136,Строчный!$A:$A,Строчный!C:C,"ERR",0)))</f>
        <v>Кепки</v>
      </c>
      <c r="D136" s="78" t="str">
        <f ca="1">_xlfn.LET(_xlpm.DATA,TRIM(_xlfn.XLOOKUP($A136,Строчный!$A:$A,Строчный!D:D,"ERR",0)),UPPER(MID(_xlpm.DATA,1,1))&amp;LOWER(MID(_xlpm.DATA,2,LEN(_xlpm.DATA)-1)))</f>
        <v>Кепка восьмиклинка</v>
      </c>
      <c r="E136" s="78" t="str">
        <f ca="1">PROPER(TRIM(_xlfn.XLOOKUP($A136,Строчный!$A:$A,Строчный!E:E,"ERR",0)))</f>
        <v>Fredrikson</v>
      </c>
      <c r="F136" s="78" t="str">
        <f ca="1">LOWER(TRIM(_xlfn.XLOOKUP($A136,Строчный!$A:$A,Строчный!F:F,"ERR",0)))</f>
        <v>всесезон</v>
      </c>
      <c r="G136" s="78" t="str">
        <f ca="1">UPPER(TRIM(_xlfn.XLOOKUP($A136,Строчный!$A:$A,Строчный!G:G,"ERR",0)))</f>
        <v>FREDRIKSON</v>
      </c>
      <c r="H136" s="78" t="str">
        <f ca="1">LOWER(TRIM(_xlfn.XLOOKUP($A136,Строчный!$A:$A,Строчный!H:H,"ERR",0)))</f>
        <v>635/75</v>
      </c>
      <c r="I136" s="78" t="str">
        <f ca="1">LOWER(TRIM(_xlfn.XLOOKUP($A136,Строчный!$A:$A,Строчный!I:I,"ERR",0)))</f>
        <v>серый</v>
      </c>
      <c r="J136" s="78" t="str">
        <f ca="1">SUBSTITUTE(LOWER(TRIM(_xlfn.XLOOKUP($A136,Строчный!$A:$A,Строчный!J:J,"ERR",0))),"подклад","Подклад")</f>
        <v>80% шерсть - 20% полиамид / Подклад: 100% вискоза</v>
      </c>
      <c r="K136" s="78" t="str">
        <f ca="1">LOWER(TRIM(_xlfn.XLOOKUP($A136,Строчный!$A:$A,Строчный!K:K,"ERR",0)))</f>
        <v>шерстяные</v>
      </c>
      <c r="L136" s="78" t="str">
        <f ca="1">PROPER(TRIM(_xlfn.XLOOKUP($A136,Строчный!$A:$A,Строчный!L:L,"ERR",0)))</f>
        <v>Унисекс</v>
      </c>
      <c r="M136" s="105" t="str">
        <f ca="1">PROPER(TRIM(_xlfn.XLOOKUP($A136,Строчный!$A:$A,Строчный!M:M,"ERR",0)))</f>
        <v>Россия</v>
      </c>
      <c r="N136" s="78" t="str">
        <f ca="1">UPPER(TRIM(_xlfn.XLOOKUP($A136,Строчный!$A:$A,Строчный!O:O,"ERR",0)))</f>
        <v/>
      </c>
      <c r="O136" s="99" t="str">
        <f ca="1">PROPER(TRIM(_xlfn.XLOOKUP($A136,Строчный!$A:$A,Строчный!P:P,"ERR",0)))</f>
        <v/>
      </c>
      <c r="P136" s="78" t="str">
        <f ca="1">PROPER(TRIM(_xlfn.XLOOKUP($A136,Строчный!$A:$A,Строчный!R:R,"ERR",0)))</f>
        <v/>
      </c>
      <c r="Q136" s="87">
        <f ca="1">VALUE(_xlfn.XLOOKUP($A136,Строчный!$A:$A,Строчный!N:N,"ERR",0))</f>
        <v>975.8</v>
      </c>
      <c r="R136" s="86" t="str">
        <f ca="1">_xlfn.XLOOKUP($G136,Фабрика!A:A,Фабрика!B:B,"ERR",0)</f>
        <v>ООО "ФРЭДРИКСОН" Россия 192029, С-Петербург, пр. Обуховской обороны, д.86, лит М</v>
      </c>
      <c r="S136" s="77" t="str">
        <f ca="1">_xlfn.XLOOKUP(RIGHT(AA136,2),Размеры!D:D,Размеры!A:A,"ERR",0)</f>
        <v>62</v>
      </c>
      <c r="T136" s="77">
        <f ca="1">VALUE(_xlfn.XLOOKUP($AA136,Строчный!$S:$S,Строчный!U:U,"ERR",0))</f>
        <v>1</v>
      </c>
      <c r="U136" s="14" t="s">
        <v>241</v>
      </c>
      <c r="V136" s="98" t="str">
        <f t="shared" ca="1" si="33"/>
        <v>Кепка FREDRIKSON арт. 3035-635/75 (серый)</v>
      </c>
      <c r="W136" s="97" t="str">
        <f t="shared" ca="1" si="34"/>
        <v>Кепка FREDRIKSON арт. 3035-635/75 (серый) {635/75}</v>
      </c>
      <c r="X136" s="18" t="str">
        <f t="shared" ca="1" si="35"/>
        <v>серый</v>
      </c>
      <c r="Y136" s="18" t="str">
        <f t="shared" ca="1" si="36"/>
        <v>серый</v>
      </c>
      <c r="Z136" s="109" t="str">
        <f ca="1">_xlfn.LET(_xlpm.FormColors,_xlfn.XLOOKUP(A136,Строчный!A:A,Строчный!Q:Q,"",0),IF(_xlpm.FormColors=0,IFERROR(MID(I136,FIND("-",I136)+1,LEN(I136)),IFERROR(MID(I136,1,FIND("/",I136)-2),I136)),_xlpm.FormColors))</f>
        <v>серый</v>
      </c>
      <c r="AA136" s="70" t="str">
        <f ca="1"/>
        <v>95-081-80-62</v>
      </c>
      <c r="AB136" s="72" t="str">
        <f ca="1">VLOOKUP(C136,Группа!A:B,2,FALSE)</f>
        <v>Кепка</v>
      </c>
      <c r="AC136" s="94" t="str">
        <f ca="1">IFERROR(VLOOKUP(S136,Размеры!A:C,3,FALSE),"")</f>
        <v>62 XL/XXL</v>
      </c>
      <c r="AD136" s="94" t="str">
        <f ca="1">VLOOKUP(I136,ЦветПолный!A:B,2,FALSE)</f>
        <v>80</v>
      </c>
      <c r="AE136" s="94" t="str">
        <f ca="1">IFERROR(VLOOKUP(S136,Размеры!A:D,4,FALSE),"")</f>
        <v>62</v>
      </c>
      <c r="AF136" s="94">
        <f ca="1">SUMIF(Группа!A:A,C136,Группа!C:C)</f>
        <v>1</v>
      </c>
      <c r="AG136" s="94">
        <f ca="1">SUMIF(Группа!B:B,AB136,Группа!C:C)</f>
        <v>1</v>
      </c>
      <c r="AH136" s="94">
        <f ca="1">SUMIF(Формы!A:A,D136,Формы!B:B)</f>
        <v>1</v>
      </c>
      <c r="AI136" s="94">
        <f ca="1">IF(IFERROR(VLOOKUP(J136,Материал!D:D,1,0),0)&gt;0,1,SUMIF(Материал!A:A,K136,Материал!B:B))</f>
        <v>1</v>
      </c>
      <c r="AJ136" s="94">
        <f ca="1">SUMIF(Размеры!A:A,S136,Размеры!E:E)</f>
        <v>1</v>
      </c>
      <c r="AK136" s="94">
        <f ca="1">SUMIF(Сезон!A:A,F136,Сезон!B:B)</f>
        <v>1</v>
      </c>
      <c r="AL136" s="94">
        <f ca="1">VLOOKUP(I136,ЦветПолный!A:C,3,0)</f>
        <v>1</v>
      </c>
      <c r="AM136" s="94">
        <f ca="1">SUMIF(Цвет!A:A,Z136,Цвет!B:B)</f>
        <v>1</v>
      </c>
      <c r="AN136" s="94">
        <f ca="1">_xlfn.XLOOKUP(L136,Пол!A:A,Пол!B:B,0,0)</f>
        <v>1</v>
      </c>
      <c r="AO136" s="94">
        <f ca="1">SUMIF(Бренд!A:A,G136,Бренд!B:B)</f>
        <v>1</v>
      </c>
      <c r="AP136" s="137">
        <f ca="1">SUMIF(Страна!A:A,M136,Страна!B:B)</f>
        <v>1</v>
      </c>
      <c r="AQ136" s="150" t="str">
        <f t="shared" ca="1" si="37"/>
        <v>Кепка FREDRIKSON арт. 3035-635/75 (серый) {635/75}</v>
      </c>
      <c r="AR136" s="94">
        <f t="shared" ca="1" si="38"/>
        <v>1</v>
      </c>
      <c r="AS136" s="143">
        <f t="shared" ca="1" si="39"/>
        <v>1</v>
      </c>
      <c r="AT136" s="138" t="str">
        <f ca="1">IF(IFERROR(VLOOKUP(W136,Товары!A:B,2,FALSE),"")=A136,"Есть в 1С","ERR")</f>
        <v>ERR</v>
      </c>
      <c r="AU136" s="139" t="str">
        <f ca="1">IF(IFERROR(VLOOKUP(A136,Товары!B:B,1,FALSE),"")=A136,"Есть в 1С","ERR")</f>
        <v>ERR</v>
      </c>
      <c r="AV136" s="93" t="e">
        <f ca="1">VLOOKUP(W136,Товары!A:B,2,FALSE)</f>
        <v>#N/A</v>
      </c>
      <c r="AW136" s="91" t="e">
        <f ca="1">VLOOKUP(W136,Товары!A:B,1,FALSE)</f>
        <v>#N/A</v>
      </c>
    </row>
    <row r="137" spans="1:49" x14ac:dyDescent="0.25">
      <c r="A137" s="105" t="str">
        <f t="shared" ca="1" si="32"/>
        <v>95-081-80</v>
      </c>
      <c r="B137" s="78" t="str">
        <f ca="1">_xlfn.LET(_xlpm.CAPS,VLOOKUP(G137,Caps!A:B,2,0),_xlpm.Style,TRIM(_xlfn.XLOOKUP($A137,Строчный!$A:$A,Строчный!B:B,"ERR",0)),IF(_xlpm.CAPS=0,_xlpm.Style,UPPER(_xlpm.Style)))</f>
        <v>3035-635/75</v>
      </c>
      <c r="C137" s="78" t="str">
        <f ca="1">TRIM(PROPER(_xlfn.XLOOKUP($A137,Строчный!$A:$A,Строчный!C:C,"ERR",0)))</f>
        <v>Кепки</v>
      </c>
      <c r="D137" s="78" t="str">
        <f ca="1">_xlfn.LET(_xlpm.DATA,TRIM(_xlfn.XLOOKUP($A137,Строчный!$A:$A,Строчный!D:D,"ERR",0)),UPPER(MID(_xlpm.DATA,1,1))&amp;LOWER(MID(_xlpm.DATA,2,LEN(_xlpm.DATA)-1)))</f>
        <v>Кепка восьмиклинка</v>
      </c>
      <c r="E137" s="78" t="str">
        <f ca="1">PROPER(TRIM(_xlfn.XLOOKUP($A137,Строчный!$A:$A,Строчный!E:E,"ERR",0)))</f>
        <v>Fredrikson</v>
      </c>
      <c r="F137" s="78" t="str">
        <f ca="1">LOWER(TRIM(_xlfn.XLOOKUP($A137,Строчный!$A:$A,Строчный!F:F,"ERR",0)))</f>
        <v>всесезон</v>
      </c>
      <c r="G137" s="78" t="str">
        <f ca="1">UPPER(TRIM(_xlfn.XLOOKUP($A137,Строчный!$A:$A,Строчный!G:G,"ERR",0)))</f>
        <v>FREDRIKSON</v>
      </c>
      <c r="H137" s="78" t="str">
        <f ca="1">LOWER(TRIM(_xlfn.XLOOKUP($A137,Строчный!$A:$A,Строчный!H:H,"ERR",0)))</f>
        <v>635/75</v>
      </c>
      <c r="I137" s="78" t="str">
        <f ca="1">LOWER(TRIM(_xlfn.XLOOKUP($A137,Строчный!$A:$A,Строчный!I:I,"ERR",0)))</f>
        <v>серый</v>
      </c>
      <c r="J137" s="78" t="str">
        <f ca="1">SUBSTITUTE(LOWER(TRIM(_xlfn.XLOOKUP($A137,Строчный!$A:$A,Строчный!J:J,"ERR",0))),"подклад","Подклад")</f>
        <v>80% шерсть - 20% полиамид / Подклад: 100% вискоза</v>
      </c>
      <c r="K137" s="78" t="str">
        <f ca="1">LOWER(TRIM(_xlfn.XLOOKUP($A137,Строчный!$A:$A,Строчный!K:K,"ERR",0)))</f>
        <v>шерстяные</v>
      </c>
      <c r="L137" s="78" t="str">
        <f ca="1">PROPER(TRIM(_xlfn.XLOOKUP($A137,Строчный!$A:$A,Строчный!L:L,"ERR",0)))</f>
        <v>Унисекс</v>
      </c>
      <c r="M137" s="105" t="str">
        <f ca="1">PROPER(TRIM(_xlfn.XLOOKUP($A137,Строчный!$A:$A,Строчный!M:M,"ERR",0)))</f>
        <v>Россия</v>
      </c>
      <c r="N137" s="78" t="str">
        <f ca="1">UPPER(TRIM(_xlfn.XLOOKUP($A137,Строчный!$A:$A,Строчный!O:O,"ERR",0)))</f>
        <v/>
      </c>
      <c r="O137" s="99" t="str">
        <f ca="1">PROPER(TRIM(_xlfn.XLOOKUP($A137,Строчный!$A:$A,Строчный!P:P,"ERR",0)))</f>
        <v/>
      </c>
      <c r="P137" s="78" t="str">
        <f ca="1">PROPER(TRIM(_xlfn.XLOOKUP($A137,Строчный!$A:$A,Строчный!R:R,"ERR",0)))</f>
        <v/>
      </c>
      <c r="Q137" s="87">
        <f ca="1">VALUE(_xlfn.XLOOKUP($A137,Строчный!$A:$A,Строчный!N:N,"ERR",0))</f>
        <v>975.8</v>
      </c>
      <c r="R137" s="86" t="str">
        <f ca="1">_xlfn.XLOOKUP($G137,Фабрика!A:A,Фабрика!B:B,"ERR",0)</f>
        <v>ООО "ФРЭДРИКСОН" Россия 192029, С-Петербург, пр. Обуховской обороны, д.86, лит М</v>
      </c>
      <c r="S137" s="77" t="str">
        <f ca="1">_xlfn.XLOOKUP(RIGHT(AA137,2),Размеры!D:D,Размеры!A:A,"ERR",0)</f>
        <v>61</v>
      </c>
      <c r="T137" s="77">
        <f ca="1">VALUE(_xlfn.XLOOKUP($AA137,Строчный!$S:$S,Строчный!U:U,"ERR",0))</f>
        <v>2</v>
      </c>
      <c r="U137" s="14" t="s">
        <v>241</v>
      </c>
      <c r="V137" s="98" t="str">
        <f t="shared" ca="1" si="33"/>
        <v>Кепка FREDRIKSON арт. 3035-635/75 (серый)</v>
      </c>
      <c r="W137" s="97" t="str">
        <f t="shared" ca="1" si="34"/>
        <v>Кепка FREDRIKSON арт. 3035-635/75 (серый) {635/75}</v>
      </c>
      <c r="X137" s="18" t="str">
        <f t="shared" ca="1" si="35"/>
        <v>серый</v>
      </c>
      <c r="Y137" s="18" t="str">
        <f t="shared" ca="1" si="36"/>
        <v>серый</v>
      </c>
      <c r="Z137" s="109" t="str">
        <f ca="1">_xlfn.LET(_xlpm.FormColors,_xlfn.XLOOKUP(A137,Строчный!A:A,Строчный!Q:Q,"",0),IF(_xlpm.FormColors=0,IFERROR(MID(I137,FIND("-",I137)+1,LEN(I137)),IFERROR(MID(I137,1,FIND("/",I137)-2),I137)),_xlpm.FormColors))</f>
        <v>серый</v>
      </c>
      <c r="AA137" s="70" t="str">
        <f ca="1"/>
        <v>95-081-80-61</v>
      </c>
      <c r="AB137" s="72" t="str">
        <f ca="1">VLOOKUP(C137,Группа!A:B,2,FALSE)</f>
        <v>Кепка</v>
      </c>
      <c r="AC137" s="94" t="str">
        <f ca="1">IFERROR(VLOOKUP(S137,Размеры!A:C,3,FALSE),"")</f>
        <v>61 XL</v>
      </c>
      <c r="AD137" s="94" t="str">
        <f ca="1">VLOOKUP(I137,ЦветПолный!A:B,2,FALSE)</f>
        <v>80</v>
      </c>
      <c r="AE137" s="94" t="str">
        <f ca="1">IFERROR(VLOOKUP(S137,Размеры!A:D,4,FALSE),"")</f>
        <v>61</v>
      </c>
      <c r="AF137" s="94">
        <f ca="1">SUMIF(Группа!A:A,C137,Группа!C:C)</f>
        <v>1</v>
      </c>
      <c r="AG137" s="94">
        <f ca="1">SUMIF(Группа!B:B,AB137,Группа!C:C)</f>
        <v>1</v>
      </c>
      <c r="AH137" s="94">
        <f ca="1">SUMIF(Формы!A:A,D137,Формы!B:B)</f>
        <v>1</v>
      </c>
      <c r="AI137" s="94">
        <f ca="1">IF(IFERROR(VLOOKUP(J137,Материал!D:D,1,0),0)&gt;0,1,SUMIF(Материал!A:A,K137,Материал!B:B))</f>
        <v>1</v>
      </c>
      <c r="AJ137" s="94">
        <f ca="1">SUMIF(Размеры!A:A,S137,Размеры!E:E)</f>
        <v>1</v>
      </c>
      <c r="AK137" s="94">
        <f ca="1">SUMIF(Сезон!A:A,F137,Сезон!B:B)</f>
        <v>1</v>
      </c>
      <c r="AL137" s="94">
        <f ca="1">VLOOKUP(I137,ЦветПолный!A:C,3,0)</f>
        <v>1</v>
      </c>
      <c r="AM137" s="94">
        <f ca="1">SUMIF(Цвет!A:A,Z137,Цвет!B:B)</f>
        <v>1</v>
      </c>
      <c r="AN137" s="94">
        <f ca="1">_xlfn.XLOOKUP(L137,Пол!A:A,Пол!B:B,0,0)</f>
        <v>1</v>
      </c>
      <c r="AO137" s="94">
        <f ca="1">SUMIF(Бренд!A:A,G137,Бренд!B:B)</f>
        <v>1</v>
      </c>
      <c r="AP137" s="137">
        <f ca="1">SUMIF(Страна!A:A,M137,Страна!B:B)</f>
        <v>1</v>
      </c>
      <c r="AQ137" s="150" t="str">
        <f t="shared" ca="1" si="37"/>
        <v>Кепка FREDRIKSON арт. 3035-635/75 (серый) {635/75}</v>
      </c>
      <c r="AR137" s="94">
        <f t="shared" ca="1" si="38"/>
        <v>1</v>
      </c>
      <c r="AS137" s="143">
        <f t="shared" ca="1" si="39"/>
        <v>1</v>
      </c>
      <c r="AT137" s="138" t="str">
        <f ca="1">IF(IFERROR(VLOOKUP(W137,Товары!A:B,2,FALSE),"")=A137,"Есть в 1С","ERR")</f>
        <v>ERR</v>
      </c>
      <c r="AU137" s="139" t="str">
        <f ca="1">IF(IFERROR(VLOOKUP(A137,Товары!B:B,1,FALSE),"")=A137,"Есть в 1С","ERR")</f>
        <v>ERR</v>
      </c>
      <c r="AV137" s="93" t="e">
        <f ca="1">VLOOKUP(W137,Товары!A:B,2,FALSE)</f>
        <v>#N/A</v>
      </c>
      <c r="AW137" s="91" t="e">
        <f ca="1">VLOOKUP(W137,Товары!A:B,1,FALSE)</f>
        <v>#N/A</v>
      </c>
    </row>
    <row r="138" spans="1:49" x14ac:dyDescent="0.25">
      <c r="A138" s="105" t="str">
        <f t="shared" ca="1" si="32"/>
        <v>95-081-80</v>
      </c>
      <c r="B138" s="78" t="str">
        <f ca="1">_xlfn.LET(_xlpm.CAPS,VLOOKUP(G138,Caps!A:B,2,0),_xlpm.Style,TRIM(_xlfn.XLOOKUP($A138,Строчный!$A:$A,Строчный!B:B,"ERR",0)),IF(_xlpm.CAPS=0,_xlpm.Style,UPPER(_xlpm.Style)))</f>
        <v>3035-635/75</v>
      </c>
      <c r="C138" s="78" t="str">
        <f ca="1">TRIM(PROPER(_xlfn.XLOOKUP($A138,Строчный!$A:$A,Строчный!C:C,"ERR",0)))</f>
        <v>Кепки</v>
      </c>
      <c r="D138" s="78" t="str">
        <f ca="1">_xlfn.LET(_xlpm.DATA,TRIM(_xlfn.XLOOKUP($A138,Строчный!$A:$A,Строчный!D:D,"ERR",0)),UPPER(MID(_xlpm.DATA,1,1))&amp;LOWER(MID(_xlpm.DATA,2,LEN(_xlpm.DATA)-1)))</f>
        <v>Кепка восьмиклинка</v>
      </c>
      <c r="E138" s="78" t="str">
        <f ca="1">PROPER(TRIM(_xlfn.XLOOKUP($A138,Строчный!$A:$A,Строчный!E:E,"ERR",0)))</f>
        <v>Fredrikson</v>
      </c>
      <c r="F138" s="78" t="str">
        <f ca="1">LOWER(TRIM(_xlfn.XLOOKUP($A138,Строчный!$A:$A,Строчный!F:F,"ERR",0)))</f>
        <v>всесезон</v>
      </c>
      <c r="G138" s="78" t="str">
        <f ca="1">UPPER(TRIM(_xlfn.XLOOKUP($A138,Строчный!$A:$A,Строчный!G:G,"ERR",0)))</f>
        <v>FREDRIKSON</v>
      </c>
      <c r="H138" s="78" t="str">
        <f ca="1">LOWER(TRIM(_xlfn.XLOOKUP($A138,Строчный!$A:$A,Строчный!H:H,"ERR",0)))</f>
        <v>635/75</v>
      </c>
      <c r="I138" s="78" t="str">
        <f ca="1">LOWER(TRIM(_xlfn.XLOOKUP($A138,Строчный!$A:$A,Строчный!I:I,"ERR",0)))</f>
        <v>серый</v>
      </c>
      <c r="J138" s="78" t="str">
        <f ca="1">SUBSTITUTE(LOWER(TRIM(_xlfn.XLOOKUP($A138,Строчный!$A:$A,Строчный!J:J,"ERR",0))),"подклад","Подклад")</f>
        <v>80% шерсть - 20% полиамид / Подклад: 100% вискоза</v>
      </c>
      <c r="K138" s="78" t="str">
        <f ca="1">LOWER(TRIM(_xlfn.XLOOKUP($A138,Строчный!$A:$A,Строчный!K:K,"ERR",0)))</f>
        <v>шерстяные</v>
      </c>
      <c r="L138" s="78" t="str">
        <f ca="1">PROPER(TRIM(_xlfn.XLOOKUP($A138,Строчный!$A:$A,Строчный!L:L,"ERR",0)))</f>
        <v>Унисекс</v>
      </c>
      <c r="M138" s="105" t="str">
        <f ca="1">PROPER(TRIM(_xlfn.XLOOKUP($A138,Строчный!$A:$A,Строчный!M:M,"ERR",0)))</f>
        <v>Россия</v>
      </c>
      <c r="N138" s="78" t="str">
        <f ca="1">UPPER(TRIM(_xlfn.XLOOKUP($A138,Строчный!$A:$A,Строчный!O:O,"ERR",0)))</f>
        <v/>
      </c>
      <c r="O138" s="99" t="str">
        <f ca="1">PROPER(TRIM(_xlfn.XLOOKUP($A138,Строчный!$A:$A,Строчный!P:P,"ERR",0)))</f>
        <v/>
      </c>
      <c r="P138" s="78" t="str">
        <f ca="1">PROPER(TRIM(_xlfn.XLOOKUP($A138,Строчный!$A:$A,Строчный!R:R,"ERR",0)))</f>
        <v/>
      </c>
      <c r="Q138" s="87">
        <f ca="1">VALUE(_xlfn.XLOOKUP($A138,Строчный!$A:$A,Строчный!N:N,"ERR",0))</f>
        <v>975.8</v>
      </c>
      <c r="R138" s="86" t="str">
        <f ca="1">_xlfn.XLOOKUP($G138,Фабрика!A:A,Фабрика!B:B,"ERR",0)</f>
        <v>ООО "ФРЭДРИКСОН" Россия 192029, С-Петербург, пр. Обуховской обороны, д.86, лит М</v>
      </c>
      <c r="S138" s="77" t="str">
        <f ca="1">_xlfn.XLOOKUP(RIGHT(AA138,2),Размеры!D:D,Размеры!A:A,"ERR",0)</f>
        <v>60</v>
      </c>
      <c r="T138" s="77">
        <f ca="1">VALUE(_xlfn.XLOOKUP($AA138,Строчный!$S:$S,Строчный!U:U,"ERR",0))</f>
        <v>3</v>
      </c>
      <c r="U138" s="14" t="s">
        <v>241</v>
      </c>
      <c r="V138" s="98" t="str">
        <f t="shared" ca="1" si="33"/>
        <v>Кепка FREDRIKSON арт. 3035-635/75 (серый)</v>
      </c>
      <c r="W138" s="97" t="str">
        <f t="shared" ca="1" si="34"/>
        <v>Кепка FREDRIKSON арт. 3035-635/75 (серый) {635/75}</v>
      </c>
      <c r="X138" s="18" t="str">
        <f t="shared" ca="1" si="35"/>
        <v>серый</v>
      </c>
      <c r="Y138" s="18" t="str">
        <f t="shared" ca="1" si="36"/>
        <v>серый</v>
      </c>
      <c r="Z138" s="109" t="str">
        <f ca="1">_xlfn.LET(_xlpm.FormColors,_xlfn.XLOOKUP(A138,Строчный!A:A,Строчный!Q:Q,"",0),IF(_xlpm.FormColors=0,IFERROR(MID(I138,FIND("-",I138)+1,LEN(I138)),IFERROR(MID(I138,1,FIND("/",I138)-2),I138)),_xlpm.FormColors))</f>
        <v>серый</v>
      </c>
      <c r="AA138" s="70" t="str">
        <f ca="1"/>
        <v>95-081-80-60</v>
      </c>
      <c r="AB138" s="72" t="str">
        <f ca="1">VLOOKUP(C138,Группа!A:B,2,FALSE)</f>
        <v>Кепка</v>
      </c>
      <c r="AC138" s="94" t="str">
        <f ca="1">IFERROR(VLOOKUP(S138,Размеры!A:C,3,FALSE),"")</f>
        <v>60 L/XL</v>
      </c>
      <c r="AD138" s="94" t="str">
        <f ca="1">VLOOKUP(I138,ЦветПолный!A:B,2,FALSE)</f>
        <v>80</v>
      </c>
      <c r="AE138" s="94" t="str">
        <f ca="1">IFERROR(VLOOKUP(S138,Размеры!A:D,4,FALSE),"")</f>
        <v>60</v>
      </c>
      <c r="AF138" s="94">
        <f ca="1">SUMIF(Группа!A:A,C138,Группа!C:C)</f>
        <v>1</v>
      </c>
      <c r="AG138" s="94">
        <f ca="1">SUMIF(Группа!B:B,AB138,Группа!C:C)</f>
        <v>1</v>
      </c>
      <c r="AH138" s="94">
        <f ca="1">SUMIF(Формы!A:A,D138,Формы!B:B)</f>
        <v>1</v>
      </c>
      <c r="AI138" s="94">
        <f ca="1">IF(IFERROR(VLOOKUP(J138,Материал!D:D,1,0),0)&gt;0,1,SUMIF(Материал!A:A,K138,Материал!B:B))</f>
        <v>1</v>
      </c>
      <c r="AJ138" s="94">
        <f ca="1">SUMIF(Размеры!A:A,S138,Размеры!E:E)</f>
        <v>1</v>
      </c>
      <c r="AK138" s="94">
        <f ca="1">SUMIF(Сезон!A:A,F138,Сезон!B:B)</f>
        <v>1</v>
      </c>
      <c r="AL138" s="94">
        <f ca="1">VLOOKUP(I138,ЦветПолный!A:C,3,0)</f>
        <v>1</v>
      </c>
      <c r="AM138" s="94">
        <f ca="1">SUMIF(Цвет!A:A,Z138,Цвет!B:B)</f>
        <v>1</v>
      </c>
      <c r="AN138" s="94">
        <f ca="1">_xlfn.XLOOKUP(L138,Пол!A:A,Пол!B:B,0,0)</f>
        <v>1</v>
      </c>
      <c r="AO138" s="94">
        <f ca="1">SUMIF(Бренд!A:A,G138,Бренд!B:B)</f>
        <v>1</v>
      </c>
      <c r="AP138" s="137">
        <f ca="1">SUMIF(Страна!A:A,M138,Страна!B:B)</f>
        <v>1</v>
      </c>
      <c r="AQ138" s="150" t="str">
        <f t="shared" ca="1" si="37"/>
        <v>Кепка FREDRIKSON арт. 3035-635/75 (серый) {635/75}</v>
      </c>
      <c r="AR138" s="94">
        <f t="shared" ca="1" si="38"/>
        <v>1</v>
      </c>
      <c r="AS138" s="143">
        <f t="shared" ca="1" si="39"/>
        <v>1</v>
      </c>
      <c r="AT138" s="138" t="str">
        <f ca="1">IF(IFERROR(VLOOKUP(W138,Товары!A:B,2,FALSE),"")=A138,"Есть в 1С","ERR")</f>
        <v>ERR</v>
      </c>
      <c r="AU138" s="139" t="str">
        <f ca="1">IF(IFERROR(VLOOKUP(A138,Товары!B:B,1,FALSE),"")=A138,"Есть в 1С","ERR")</f>
        <v>ERR</v>
      </c>
      <c r="AV138" s="93" t="e">
        <f ca="1">VLOOKUP(W138,Товары!A:B,2,FALSE)</f>
        <v>#N/A</v>
      </c>
      <c r="AW138" s="91" t="e">
        <f ca="1">VLOOKUP(W138,Товары!A:B,1,FALSE)</f>
        <v>#N/A</v>
      </c>
    </row>
    <row r="139" spans="1:49" x14ac:dyDescent="0.25">
      <c r="A139" s="105" t="str">
        <f t="shared" ca="1" si="32"/>
        <v>95-081-80</v>
      </c>
      <c r="B139" s="78" t="str">
        <f ca="1">_xlfn.LET(_xlpm.CAPS,VLOOKUP(G139,Caps!A:B,2,0),_xlpm.Style,TRIM(_xlfn.XLOOKUP($A139,Строчный!$A:$A,Строчный!B:B,"ERR",0)),IF(_xlpm.CAPS=0,_xlpm.Style,UPPER(_xlpm.Style)))</f>
        <v>3035-635/75</v>
      </c>
      <c r="C139" s="78" t="str">
        <f ca="1">TRIM(PROPER(_xlfn.XLOOKUP($A139,Строчный!$A:$A,Строчный!C:C,"ERR",0)))</f>
        <v>Кепки</v>
      </c>
      <c r="D139" s="78" t="str">
        <f ca="1">_xlfn.LET(_xlpm.DATA,TRIM(_xlfn.XLOOKUP($A139,Строчный!$A:$A,Строчный!D:D,"ERR",0)),UPPER(MID(_xlpm.DATA,1,1))&amp;LOWER(MID(_xlpm.DATA,2,LEN(_xlpm.DATA)-1)))</f>
        <v>Кепка восьмиклинка</v>
      </c>
      <c r="E139" s="78" t="str">
        <f ca="1">PROPER(TRIM(_xlfn.XLOOKUP($A139,Строчный!$A:$A,Строчный!E:E,"ERR",0)))</f>
        <v>Fredrikson</v>
      </c>
      <c r="F139" s="78" t="str">
        <f ca="1">LOWER(TRIM(_xlfn.XLOOKUP($A139,Строчный!$A:$A,Строчный!F:F,"ERR",0)))</f>
        <v>всесезон</v>
      </c>
      <c r="G139" s="78" t="str">
        <f ca="1">UPPER(TRIM(_xlfn.XLOOKUP($A139,Строчный!$A:$A,Строчный!G:G,"ERR",0)))</f>
        <v>FREDRIKSON</v>
      </c>
      <c r="H139" s="78" t="str">
        <f ca="1">LOWER(TRIM(_xlfn.XLOOKUP($A139,Строчный!$A:$A,Строчный!H:H,"ERR",0)))</f>
        <v>635/75</v>
      </c>
      <c r="I139" s="78" t="str">
        <f ca="1">LOWER(TRIM(_xlfn.XLOOKUP($A139,Строчный!$A:$A,Строчный!I:I,"ERR",0)))</f>
        <v>серый</v>
      </c>
      <c r="J139" s="78" t="str">
        <f ca="1">SUBSTITUTE(LOWER(TRIM(_xlfn.XLOOKUP($A139,Строчный!$A:$A,Строчный!J:J,"ERR",0))),"подклад","Подклад")</f>
        <v>80% шерсть - 20% полиамид / Подклад: 100% вискоза</v>
      </c>
      <c r="K139" s="78" t="str">
        <f ca="1">LOWER(TRIM(_xlfn.XLOOKUP($A139,Строчный!$A:$A,Строчный!K:K,"ERR",0)))</f>
        <v>шерстяные</v>
      </c>
      <c r="L139" s="78" t="str">
        <f ca="1">PROPER(TRIM(_xlfn.XLOOKUP($A139,Строчный!$A:$A,Строчный!L:L,"ERR",0)))</f>
        <v>Унисекс</v>
      </c>
      <c r="M139" s="105" t="str">
        <f ca="1">PROPER(TRIM(_xlfn.XLOOKUP($A139,Строчный!$A:$A,Строчный!M:M,"ERR",0)))</f>
        <v>Россия</v>
      </c>
      <c r="N139" s="78" t="str">
        <f ca="1">UPPER(TRIM(_xlfn.XLOOKUP($A139,Строчный!$A:$A,Строчный!O:O,"ERR",0)))</f>
        <v/>
      </c>
      <c r="O139" s="99" t="str">
        <f ca="1">PROPER(TRIM(_xlfn.XLOOKUP($A139,Строчный!$A:$A,Строчный!P:P,"ERR",0)))</f>
        <v/>
      </c>
      <c r="P139" s="78" t="str">
        <f ca="1">PROPER(TRIM(_xlfn.XLOOKUP($A139,Строчный!$A:$A,Строчный!R:R,"ERR",0)))</f>
        <v/>
      </c>
      <c r="Q139" s="87">
        <f ca="1">VALUE(_xlfn.XLOOKUP($A139,Строчный!$A:$A,Строчный!N:N,"ERR",0))</f>
        <v>975.8</v>
      </c>
      <c r="R139" s="86" t="str">
        <f ca="1">_xlfn.XLOOKUP($G139,Фабрика!A:A,Фабрика!B:B,"ERR",0)</f>
        <v>ООО "ФРЭДРИКСОН" Россия 192029, С-Петербург, пр. Обуховской обороны, д.86, лит М</v>
      </c>
      <c r="S139" s="77" t="str">
        <f ca="1">_xlfn.XLOOKUP(RIGHT(AA139,2),Размеры!D:D,Размеры!A:A,"ERR",0)</f>
        <v>59</v>
      </c>
      <c r="T139" s="77">
        <f ca="1">VALUE(_xlfn.XLOOKUP($AA139,Строчный!$S:$S,Строчный!U:U,"ERR",0))</f>
        <v>4</v>
      </c>
      <c r="U139" s="14" t="s">
        <v>241</v>
      </c>
      <c r="V139" s="98" t="str">
        <f t="shared" ca="1" si="33"/>
        <v>Кепка FREDRIKSON арт. 3035-635/75 (серый)</v>
      </c>
      <c r="W139" s="97" t="str">
        <f t="shared" ca="1" si="34"/>
        <v>Кепка FREDRIKSON арт. 3035-635/75 (серый) {635/75}</v>
      </c>
      <c r="X139" s="18" t="str">
        <f t="shared" ca="1" si="35"/>
        <v>серый</v>
      </c>
      <c r="Y139" s="18" t="str">
        <f t="shared" ca="1" si="36"/>
        <v>серый</v>
      </c>
      <c r="Z139" s="109" t="str">
        <f ca="1">_xlfn.LET(_xlpm.FormColors,_xlfn.XLOOKUP(A139,Строчный!A:A,Строчный!Q:Q,"",0),IF(_xlpm.FormColors=0,IFERROR(MID(I139,FIND("-",I139)+1,LEN(I139)),IFERROR(MID(I139,1,FIND("/",I139)-2),I139)),_xlpm.FormColors))</f>
        <v>серый</v>
      </c>
      <c r="AA139" s="70" t="str">
        <f ca="1"/>
        <v>95-081-80-59</v>
      </c>
      <c r="AB139" s="72" t="str">
        <f ca="1">VLOOKUP(C139,Группа!A:B,2,FALSE)</f>
        <v>Кепка</v>
      </c>
      <c r="AC139" s="94" t="str">
        <f ca="1">IFERROR(VLOOKUP(S139,Размеры!A:C,3,FALSE),"")</f>
        <v>59 L</v>
      </c>
      <c r="AD139" s="94" t="str">
        <f ca="1">VLOOKUP(I139,ЦветПолный!A:B,2,FALSE)</f>
        <v>80</v>
      </c>
      <c r="AE139" s="94" t="str">
        <f ca="1">IFERROR(VLOOKUP(S139,Размеры!A:D,4,FALSE),"")</f>
        <v>59</v>
      </c>
      <c r="AF139" s="94">
        <f ca="1">SUMIF(Группа!A:A,C139,Группа!C:C)</f>
        <v>1</v>
      </c>
      <c r="AG139" s="94">
        <f ca="1">SUMIF(Группа!B:B,AB139,Группа!C:C)</f>
        <v>1</v>
      </c>
      <c r="AH139" s="94">
        <f ca="1">SUMIF(Формы!A:A,D139,Формы!B:B)</f>
        <v>1</v>
      </c>
      <c r="AI139" s="94">
        <f ca="1">IF(IFERROR(VLOOKUP(J139,Материал!D:D,1,0),0)&gt;0,1,SUMIF(Материал!A:A,K139,Материал!B:B))</f>
        <v>1</v>
      </c>
      <c r="AJ139" s="94">
        <f ca="1">SUMIF(Размеры!A:A,S139,Размеры!E:E)</f>
        <v>1</v>
      </c>
      <c r="AK139" s="94">
        <f ca="1">SUMIF(Сезон!A:A,F139,Сезон!B:B)</f>
        <v>1</v>
      </c>
      <c r="AL139" s="94">
        <f ca="1">VLOOKUP(I139,ЦветПолный!A:C,3,0)</f>
        <v>1</v>
      </c>
      <c r="AM139" s="94">
        <f ca="1">SUMIF(Цвет!A:A,Z139,Цвет!B:B)</f>
        <v>1</v>
      </c>
      <c r="AN139" s="94">
        <f ca="1">_xlfn.XLOOKUP(L139,Пол!A:A,Пол!B:B,0,0)</f>
        <v>1</v>
      </c>
      <c r="AO139" s="94">
        <f ca="1">SUMIF(Бренд!A:A,G139,Бренд!B:B)</f>
        <v>1</v>
      </c>
      <c r="AP139" s="137">
        <f ca="1">SUMIF(Страна!A:A,M139,Страна!B:B)</f>
        <v>1</v>
      </c>
      <c r="AQ139" s="150" t="str">
        <f t="shared" ca="1" si="37"/>
        <v>Кепка FREDRIKSON арт. 3035-635/75 (серый) {635/75}</v>
      </c>
      <c r="AR139" s="94">
        <f t="shared" ca="1" si="38"/>
        <v>1</v>
      </c>
      <c r="AS139" s="143">
        <f t="shared" ca="1" si="39"/>
        <v>1</v>
      </c>
      <c r="AT139" s="138" t="str">
        <f ca="1">IF(IFERROR(VLOOKUP(W139,Товары!A:B,2,FALSE),"")=A139,"Есть в 1С","ERR")</f>
        <v>ERR</v>
      </c>
      <c r="AU139" s="139" t="str">
        <f ca="1">IF(IFERROR(VLOOKUP(A139,Товары!B:B,1,FALSE),"")=A139,"Есть в 1С","ERR")</f>
        <v>ERR</v>
      </c>
      <c r="AV139" s="93" t="e">
        <f ca="1">VLOOKUP(W139,Товары!A:B,2,FALSE)</f>
        <v>#N/A</v>
      </c>
      <c r="AW139" s="91" t="e">
        <f ca="1">VLOOKUP(W139,Товары!A:B,1,FALSE)</f>
        <v>#N/A</v>
      </c>
    </row>
    <row r="140" spans="1:49" x14ac:dyDescent="0.25">
      <c r="A140" s="105" t="str">
        <f t="shared" ca="1" si="32"/>
        <v>95-081-80</v>
      </c>
      <c r="B140" s="78" t="str">
        <f ca="1">_xlfn.LET(_xlpm.CAPS,VLOOKUP(G140,Caps!A:B,2,0),_xlpm.Style,TRIM(_xlfn.XLOOKUP($A140,Строчный!$A:$A,Строчный!B:B,"ERR",0)),IF(_xlpm.CAPS=0,_xlpm.Style,UPPER(_xlpm.Style)))</f>
        <v>3035-635/75</v>
      </c>
      <c r="C140" s="78" t="str">
        <f ca="1">TRIM(PROPER(_xlfn.XLOOKUP($A140,Строчный!$A:$A,Строчный!C:C,"ERR",0)))</f>
        <v>Кепки</v>
      </c>
      <c r="D140" s="78" t="str">
        <f ca="1">_xlfn.LET(_xlpm.DATA,TRIM(_xlfn.XLOOKUP($A140,Строчный!$A:$A,Строчный!D:D,"ERR",0)),UPPER(MID(_xlpm.DATA,1,1))&amp;LOWER(MID(_xlpm.DATA,2,LEN(_xlpm.DATA)-1)))</f>
        <v>Кепка восьмиклинка</v>
      </c>
      <c r="E140" s="78" t="str">
        <f ca="1">PROPER(TRIM(_xlfn.XLOOKUP($A140,Строчный!$A:$A,Строчный!E:E,"ERR",0)))</f>
        <v>Fredrikson</v>
      </c>
      <c r="F140" s="78" t="str">
        <f ca="1">LOWER(TRIM(_xlfn.XLOOKUP($A140,Строчный!$A:$A,Строчный!F:F,"ERR",0)))</f>
        <v>всесезон</v>
      </c>
      <c r="G140" s="78" t="str">
        <f ca="1">UPPER(TRIM(_xlfn.XLOOKUP($A140,Строчный!$A:$A,Строчный!G:G,"ERR",0)))</f>
        <v>FREDRIKSON</v>
      </c>
      <c r="H140" s="78" t="str">
        <f ca="1">LOWER(TRIM(_xlfn.XLOOKUP($A140,Строчный!$A:$A,Строчный!H:H,"ERR",0)))</f>
        <v>635/75</v>
      </c>
      <c r="I140" s="78" t="str">
        <f ca="1">LOWER(TRIM(_xlfn.XLOOKUP($A140,Строчный!$A:$A,Строчный!I:I,"ERR",0)))</f>
        <v>серый</v>
      </c>
      <c r="J140" s="78" t="str">
        <f ca="1">SUBSTITUTE(LOWER(TRIM(_xlfn.XLOOKUP($A140,Строчный!$A:$A,Строчный!J:J,"ERR",0))),"подклад","Подклад")</f>
        <v>80% шерсть - 20% полиамид / Подклад: 100% вискоза</v>
      </c>
      <c r="K140" s="78" t="str">
        <f ca="1">LOWER(TRIM(_xlfn.XLOOKUP($A140,Строчный!$A:$A,Строчный!K:K,"ERR",0)))</f>
        <v>шерстяные</v>
      </c>
      <c r="L140" s="78" t="str">
        <f ca="1">PROPER(TRIM(_xlfn.XLOOKUP($A140,Строчный!$A:$A,Строчный!L:L,"ERR",0)))</f>
        <v>Унисекс</v>
      </c>
      <c r="M140" s="105" t="str">
        <f ca="1">PROPER(TRIM(_xlfn.XLOOKUP($A140,Строчный!$A:$A,Строчный!M:M,"ERR",0)))</f>
        <v>Россия</v>
      </c>
      <c r="N140" s="78" t="str">
        <f ca="1">UPPER(TRIM(_xlfn.XLOOKUP($A140,Строчный!$A:$A,Строчный!O:O,"ERR",0)))</f>
        <v/>
      </c>
      <c r="O140" s="99" t="str">
        <f ca="1">PROPER(TRIM(_xlfn.XLOOKUP($A140,Строчный!$A:$A,Строчный!P:P,"ERR",0)))</f>
        <v/>
      </c>
      <c r="P140" s="78" t="str">
        <f ca="1">PROPER(TRIM(_xlfn.XLOOKUP($A140,Строчный!$A:$A,Строчный!R:R,"ERR",0)))</f>
        <v/>
      </c>
      <c r="Q140" s="87">
        <f ca="1">VALUE(_xlfn.XLOOKUP($A140,Строчный!$A:$A,Строчный!N:N,"ERR",0))</f>
        <v>975.8</v>
      </c>
      <c r="R140" s="86" t="str">
        <f ca="1">_xlfn.XLOOKUP($G140,Фабрика!A:A,Фабрика!B:B,"ERR",0)</f>
        <v>ООО "ФРЭДРИКСОН" Россия 192029, С-Петербург, пр. Обуховской обороны, д.86, лит М</v>
      </c>
      <c r="S140" s="77" t="str">
        <f ca="1">_xlfn.XLOOKUP(RIGHT(AA140,2),Размеры!D:D,Размеры!A:A,"ERR",0)</f>
        <v>58</v>
      </c>
      <c r="T140" s="77">
        <f ca="1">VALUE(_xlfn.XLOOKUP($AA140,Строчный!$S:$S,Строчный!U:U,"ERR",0))</f>
        <v>3</v>
      </c>
      <c r="U140" s="14" t="s">
        <v>241</v>
      </c>
      <c r="V140" s="98" t="str">
        <f t="shared" ca="1" si="33"/>
        <v>Кепка FREDRIKSON арт. 3035-635/75 (серый)</v>
      </c>
      <c r="W140" s="97" t="str">
        <f t="shared" ca="1" si="34"/>
        <v>Кепка FREDRIKSON арт. 3035-635/75 (серый) {635/75}</v>
      </c>
      <c r="X140" s="18" t="str">
        <f t="shared" ca="1" si="35"/>
        <v>серый</v>
      </c>
      <c r="Y140" s="18" t="str">
        <f t="shared" ca="1" si="36"/>
        <v>серый</v>
      </c>
      <c r="Z140" s="109" t="str">
        <f ca="1">_xlfn.LET(_xlpm.FormColors,_xlfn.XLOOKUP(A140,Строчный!A:A,Строчный!Q:Q,"",0),IF(_xlpm.FormColors=0,IFERROR(MID(I140,FIND("-",I140)+1,LEN(I140)),IFERROR(MID(I140,1,FIND("/",I140)-2),I140)),_xlpm.FormColors))</f>
        <v>серый</v>
      </c>
      <c r="AA140" s="70" t="str">
        <f ca="1"/>
        <v>95-081-80-58</v>
      </c>
      <c r="AB140" s="72" t="str">
        <f ca="1">VLOOKUP(C140,Группа!A:B,2,FALSE)</f>
        <v>Кепка</v>
      </c>
      <c r="AC140" s="94" t="str">
        <f ca="1">IFERROR(VLOOKUP(S140,Размеры!A:C,3,FALSE),"")</f>
        <v>58 M/L</v>
      </c>
      <c r="AD140" s="94" t="str">
        <f ca="1">VLOOKUP(I140,ЦветПолный!A:B,2,FALSE)</f>
        <v>80</v>
      </c>
      <c r="AE140" s="94" t="str">
        <f ca="1">IFERROR(VLOOKUP(S140,Размеры!A:D,4,FALSE),"")</f>
        <v>58</v>
      </c>
      <c r="AF140" s="94">
        <f ca="1">SUMIF(Группа!A:A,C140,Группа!C:C)</f>
        <v>1</v>
      </c>
      <c r="AG140" s="94">
        <f ca="1">SUMIF(Группа!B:B,AB140,Группа!C:C)</f>
        <v>1</v>
      </c>
      <c r="AH140" s="94">
        <f ca="1">SUMIF(Формы!A:A,D140,Формы!B:B)</f>
        <v>1</v>
      </c>
      <c r="AI140" s="94">
        <f ca="1">IF(IFERROR(VLOOKUP(J140,Материал!D:D,1,0),0)&gt;0,1,SUMIF(Материал!A:A,K140,Материал!B:B))</f>
        <v>1</v>
      </c>
      <c r="AJ140" s="94">
        <f ca="1">SUMIF(Размеры!A:A,S140,Размеры!E:E)</f>
        <v>1</v>
      </c>
      <c r="AK140" s="94">
        <f ca="1">SUMIF(Сезон!A:A,F140,Сезон!B:B)</f>
        <v>1</v>
      </c>
      <c r="AL140" s="94">
        <f ca="1">VLOOKUP(I140,ЦветПолный!A:C,3,0)</f>
        <v>1</v>
      </c>
      <c r="AM140" s="94">
        <f ca="1">SUMIF(Цвет!A:A,Z140,Цвет!B:B)</f>
        <v>1</v>
      </c>
      <c r="AN140" s="94">
        <f ca="1">_xlfn.XLOOKUP(L140,Пол!A:A,Пол!B:B,0,0)</f>
        <v>1</v>
      </c>
      <c r="AO140" s="94">
        <f ca="1">SUMIF(Бренд!A:A,G140,Бренд!B:B)</f>
        <v>1</v>
      </c>
      <c r="AP140" s="137">
        <f ca="1">SUMIF(Страна!A:A,M140,Страна!B:B)</f>
        <v>1</v>
      </c>
      <c r="AQ140" s="150" t="str">
        <f t="shared" ca="1" si="37"/>
        <v>Кепка FREDRIKSON арт. 3035-635/75 (серый) {635/75}</v>
      </c>
      <c r="AR140" s="94">
        <f t="shared" ca="1" si="38"/>
        <v>1</v>
      </c>
      <c r="AS140" s="143">
        <f t="shared" ca="1" si="39"/>
        <v>1</v>
      </c>
      <c r="AT140" s="138" t="str">
        <f ca="1">IF(IFERROR(VLOOKUP(W140,Товары!A:B,2,FALSE),"")=A140,"Есть в 1С","ERR")</f>
        <v>ERR</v>
      </c>
      <c r="AU140" s="139" t="str">
        <f ca="1">IF(IFERROR(VLOOKUP(A140,Товары!B:B,1,FALSE),"")=A140,"Есть в 1С","ERR")</f>
        <v>ERR</v>
      </c>
      <c r="AV140" s="93" t="e">
        <f ca="1">VLOOKUP(W140,Товары!A:B,2,FALSE)</f>
        <v>#N/A</v>
      </c>
      <c r="AW140" s="91" t="e">
        <f ca="1">VLOOKUP(W140,Товары!A:B,1,FALSE)</f>
        <v>#N/A</v>
      </c>
    </row>
    <row r="141" spans="1:49" x14ac:dyDescent="0.25">
      <c r="A141" s="105" t="str">
        <f t="shared" ca="1" si="32"/>
        <v>95-081-80</v>
      </c>
      <c r="B141" s="78" t="str">
        <f ca="1">_xlfn.LET(_xlpm.CAPS,VLOOKUP(G141,Caps!A:B,2,0),_xlpm.Style,TRIM(_xlfn.XLOOKUP($A141,Строчный!$A:$A,Строчный!B:B,"ERR",0)),IF(_xlpm.CAPS=0,_xlpm.Style,UPPER(_xlpm.Style)))</f>
        <v>3035-635/75</v>
      </c>
      <c r="C141" s="78" t="str">
        <f ca="1">TRIM(PROPER(_xlfn.XLOOKUP($A141,Строчный!$A:$A,Строчный!C:C,"ERR",0)))</f>
        <v>Кепки</v>
      </c>
      <c r="D141" s="78" t="str">
        <f ca="1">_xlfn.LET(_xlpm.DATA,TRIM(_xlfn.XLOOKUP($A141,Строчный!$A:$A,Строчный!D:D,"ERR",0)),UPPER(MID(_xlpm.DATA,1,1))&amp;LOWER(MID(_xlpm.DATA,2,LEN(_xlpm.DATA)-1)))</f>
        <v>Кепка восьмиклинка</v>
      </c>
      <c r="E141" s="78" t="str">
        <f ca="1">PROPER(TRIM(_xlfn.XLOOKUP($A141,Строчный!$A:$A,Строчный!E:E,"ERR",0)))</f>
        <v>Fredrikson</v>
      </c>
      <c r="F141" s="78" t="str">
        <f ca="1">LOWER(TRIM(_xlfn.XLOOKUP($A141,Строчный!$A:$A,Строчный!F:F,"ERR",0)))</f>
        <v>всесезон</v>
      </c>
      <c r="G141" s="78" t="str">
        <f ca="1">UPPER(TRIM(_xlfn.XLOOKUP($A141,Строчный!$A:$A,Строчный!G:G,"ERR",0)))</f>
        <v>FREDRIKSON</v>
      </c>
      <c r="H141" s="78" t="str">
        <f ca="1">LOWER(TRIM(_xlfn.XLOOKUP($A141,Строчный!$A:$A,Строчный!H:H,"ERR",0)))</f>
        <v>635/75</v>
      </c>
      <c r="I141" s="78" t="str">
        <f ca="1">LOWER(TRIM(_xlfn.XLOOKUP($A141,Строчный!$A:$A,Строчный!I:I,"ERR",0)))</f>
        <v>серый</v>
      </c>
      <c r="J141" s="78" t="str">
        <f ca="1">SUBSTITUTE(LOWER(TRIM(_xlfn.XLOOKUP($A141,Строчный!$A:$A,Строчный!J:J,"ERR",0))),"подклад","Подклад")</f>
        <v>80% шерсть - 20% полиамид / Подклад: 100% вискоза</v>
      </c>
      <c r="K141" s="78" t="str">
        <f ca="1">LOWER(TRIM(_xlfn.XLOOKUP($A141,Строчный!$A:$A,Строчный!K:K,"ERR",0)))</f>
        <v>шерстяные</v>
      </c>
      <c r="L141" s="78" t="str">
        <f ca="1">PROPER(TRIM(_xlfn.XLOOKUP($A141,Строчный!$A:$A,Строчный!L:L,"ERR",0)))</f>
        <v>Унисекс</v>
      </c>
      <c r="M141" s="105" t="str">
        <f ca="1">PROPER(TRIM(_xlfn.XLOOKUP($A141,Строчный!$A:$A,Строчный!M:M,"ERR",0)))</f>
        <v>Россия</v>
      </c>
      <c r="N141" s="78" t="str">
        <f ca="1">UPPER(TRIM(_xlfn.XLOOKUP($A141,Строчный!$A:$A,Строчный!O:O,"ERR",0)))</f>
        <v/>
      </c>
      <c r="O141" s="99" t="str">
        <f ca="1">PROPER(TRIM(_xlfn.XLOOKUP($A141,Строчный!$A:$A,Строчный!P:P,"ERR",0)))</f>
        <v/>
      </c>
      <c r="P141" s="78" t="str">
        <f ca="1">PROPER(TRIM(_xlfn.XLOOKUP($A141,Строчный!$A:$A,Строчный!R:R,"ERR",0)))</f>
        <v/>
      </c>
      <c r="Q141" s="87">
        <f ca="1">VALUE(_xlfn.XLOOKUP($A141,Строчный!$A:$A,Строчный!N:N,"ERR",0))</f>
        <v>975.8</v>
      </c>
      <c r="R141" s="86" t="str">
        <f ca="1">_xlfn.XLOOKUP($G141,Фабрика!A:A,Фабрика!B:B,"ERR",0)</f>
        <v>ООО "ФРЭДРИКСОН" Россия 192029, С-Петербург, пр. Обуховской обороны, д.86, лит М</v>
      </c>
      <c r="S141" s="77" t="str">
        <f ca="1">_xlfn.XLOOKUP(RIGHT(AA141,2),Размеры!D:D,Размеры!A:A,"ERR",0)</f>
        <v>57</v>
      </c>
      <c r="T141" s="77">
        <f ca="1">VALUE(_xlfn.XLOOKUP($AA141,Строчный!$S:$S,Строчный!U:U,"ERR",0))</f>
        <v>2</v>
      </c>
      <c r="U141" s="14" t="s">
        <v>241</v>
      </c>
      <c r="V141" s="98" t="str">
        <f t="shared" ca="1" si="33"/>
        <v>Кепка FREDRIKSON арт. 3035-635/75 (серый)</v>
      </c>
      <c r="W141" s="97" t="str">
        <f t="shared" ca="1" si="34"/>
        <v>Кепка FREDRIKSON арт. 3035-635/75 (серый) {635/75}</v>
      </c>
      <c r="X141" s="18" t="str">
        <f t="shared" ca="1" si="35"/>
        <v>серый</v>
      </c>
      <c r="Y141" s="18" t="str">
        <f t="shared" ca="1" si="36"/>
        <v>серый</v>
      </c>
      <c r="Z141" s="109" t="str">
        <f ca="1">_xlfn.LET(_xlpm.FormColors,_xlfn.XLOOKUP(A141,Строчный!A:A,Строчный!Q:Q,"",0),IF(_xlpm.FormColors=0,IFERROR(MID(I141,FIND("-",I141)+1,LEN(I141)),IFERROR(MID(I141,1,FIND("/",I141)-2),I141)),_xlpm.FormColors))</f>
        <v>серый</v>
      </c>
      <c r="AA141" s="70" t="str">
        <f ca="1"/>
        <v>95-081-80-57</v>
      </c>
      <c r="AB141" s="72" t="str">
        <f ca="1">VLOOKUP(C141,Группа!A:B,2,FALSE)</f>
        <v>Кепка</v>
      </c>
      <c r="AC141" s="94" t="str">
        <f ca="1">IFERROR(VLOOKUP(S141,Размеры!A:C,3,FALSE),"")</f>
        <v>57 M</v>
      </c>
      <c r="AD141" s="94" t="str">
        <f ca="1">VLOOKUP(I141,ЦветПолный!A:B,2,FALSE)</f>
        <v>80</v>
      </c>
      <c r="AE141" s="94" t="str">
        <f ca="1">IFERROR(VLOOKUP(S141,Размеры!A:D,4,FALSE),"")</f>
        <v>57</v>
      </c>
      <c r="AF141" s="94">
        <f ca="1">SUMIF(Группа!A:A,C141,Группа!C:C)</f>
        <v>1</v>
      </c>
      <c r="AG141" s="94">
        <f ca="1">SUMIF(Группа!B:B,AB141,Группа!C:C)</f>
        <v>1</v>
      </c>
      <c r="AH141" s="94">
        <f ca="1">SUMIF(Формы!A:A,D141,Формы!B:B)</f>
        <v>1</v>
      </c>
      <c r="AI141" s="94">
        <f ca="1">IF(IFERROR(VLOOKUP(J141,Материал!D:D,1,0),0)&gt;0,1,SUMIF(Материал!A:A,K141,Материал!B:B))</f>
        <v>1</v>
      </c>
      <c r="AJ141" s="94">
        <f ca="1">SUMIF(Размеры!A:A,S141,Размеры!E:E)</f>
        <v>1</v>
      </c>
      <c r="AK141" s="94">
        <f ca="1">SUMIF(Сезон!A:A,F141,Сезон!B:B)</f>
        <v>1</v>
      </c>
      <c r="AL141" s="94">
        <f ca="1">VLOOKUP(I141,ЦветПолный!A:C,3,0)</f>
        <v>1</v>
      </c>
      <c r="AM141" s="94">
        <f ca="1">SUMIF(Цвет!A:A,Z141,Цвет!B:B)</f>
        <v>1</v>
      </c>
      <c r="AN141" s="94">
        <f ca="1">_xlfn.XLOOKUP(L141,Пол!A:A,Пол!B:B,0,0)</f>
        <v>1</v>
      </c>
      <c r="AO141" s="94">
        <f ca="1">SUMIF(Бренд!A:A,G141,Бренд!B:B)</f>
        <v>1</v>
      </c>
      <c r="AP141" s="137">
        <f ca="1">SUMIF(Страна!A:A,M141,Страна!B:B)</f>
        <v>1</v>
      </c>
      <c r="AQ141" s="150" t="str">
        <f t="shared" ca="1" si="37"/>
        <v>Кепка FREDRIKSON арт. 3035-635/75 (серый) {635/75}</v>
      </c>
      <c r="AR141" s="94">
        <f t="shared" ca="1" si="38"/>
        <v>1</v>
      </c>
      <c r="AS141" s="143">
        <f t="shared" ca="1" si="39"/>
        <v>1</v>
      </c>
      <c r="AT141" s="138" t="str">
        <f ca="1">IF(IFERROR(VLOOKUP(W141,Товары!A:B,2,FALSE),"")=A141,"Есть в 1С","ERR")</f>
        <v>ERR</v>
      </c>
      <c r="AU141" s="139" t="str">
        <f ca="1">IF(IFERROR(VLOOKUP(A141,Товары!B:B,1,FALSE),"")=A141,"Есть в 1С","ERR")</f>
        <v>ERR</v>
      </c>
      <c r="AV141" s="93" t="e">
        <f ca="1">VLOOKUP(W141,Товары!A:B,2,FALSE)</f>
        <v>#N/A</v>
      </c>
      <c r="AW141" s="91" t="e">
        <f ca="1">VLOOKUP(W141,Товары!A:B,1,FALSE)</f>
        <v>#N/A</v>
      </c>
    </row>
    <row r="142" spans="1:49" x14ac:dyDescent="0.25">
      <c r="A142" s="105" t="str">
        <f t="shared" ca="1" si="32"/>
        <v>95-081-80</v>
      </c>
      <c r="B142" s="78" t="str">
        <f ca="1">_xlfn.LET(_xlpm.CAPS,VLOOKUP(G142,Caps!A:B,2,0),_xlpm.Style,TRIM(_xlfn.XLOOKUP($A142,Строчный!$A:$A,Строчный!B:B,"ERR",0)),IF(_xlpm.CAPS=0,_xlpm.Style,UPPER(_xlpm.Style)))</f>
        <v>3035-635/75</v>
      </c>
      <c r="C142" s="78" t="str">
        <f ca="1">TRIM(PROPER(_xlfn.XLOOKUP($A142,Строчный!$A:$A,Строчный!C:C,"ERR",0)))</f>
        <v>Кепки</v>
      </c>
      <c r="D142" s="78" t="str">
        <f ca="1">_xlfn.LET(_xlpm.DATA,TRIM(_xlfn.XLOOKUP($A142,Строчный!$A:$A,Строчный!D:D,"ERR",0)),UPPER(MID(_xlpm.DATA,1,1))&amp;LOWER(MID(_xlpm.DATA,2,LEN(_xlpm.DATA)-1)))</f>
        <v>Кепка восьмиклинка</v>
      </c>
      <c r="E142" s="78" t="str">
        <f ca="1">PROPER(TRIM(_xlfn.XLOOKUP($A142,Строчный!$A:$A,Строчный!E:E,"ERR",0)))</f>
        <v>Fredrikson</v>
      </c>
      <c r="F142" s="78" t="str">
        <f ca="1">LOWER(TRIM(_xlfn.XLOOKUP($A142,Строчный!$A:$A,Строчный!F:F,"ERR",0)))</f>
        <v>всесезон</v>
      </c>
      <c r="G142" s="78" t="str">
        <f ca="1">UPPER(TRIM(_xlfn.XLOOKUP($A142,Строчный!$A:$A,Строчный!G:G,"ERR",0)))</f>
        <v>FREDRIKSON</v>
      </c>
      <c r="H142" s="78" t="str">
        <f ca="1">LOWER(TRIM(_xlfn.XLOOKUP($A142,Строчный!$A:$A,Строчный!H:H,"ERR",0)))</f>
        <v>635/75</v>
      </c>
      <c r="I142" s="78" t="str">
        <f ca="1">LOWER(TRIM(_xlfn.XLOOKUP($A142,Строчный!$A:$A,Строчный!I:I,"ERR",0)))</f>
        <v>серый</v>
      </c>
      <c r="J142" s="78" t="str">
        <f ca="1">SUBSTITUTE(LOWER(TRIM(_xlfn.XLOOKUP($A142,Строчный!$A:$A,Строчный!J:J,"ERR",0))),"подклад","Подклад")</f>
        <v>80% шерсть - 20% полиамид / Подклад: 100% вискоза</v>
      </c>
      <c r="K142" s="78" t="str">
        <f ca="1">LOWER(TRIM(_xlfn.XLOOKUP($A142,Строчный!$A:$A,Строчный!K:K,"ERR",0)))</f>
        <v>шерстяные</v>
      </c>
      <c r="L142" s="78" t="str">
        <f ca="1">PROPER(TRIM(_xlfn.XLOOKUP($A142,Строчный!$A:$A,Строчный!L:L,"ERR",0)))</f>
        <v>Унисекс</v>
      </c>
      <c r="M142" s="105" t="str">
        <f ca="1">PROPER(TRIM(_xlfn.XLOOKUP($A142,Строчный!$A:$A,Строчный!M:M,"ERR",0)))</f>
        <v>Россия</v>
      </c>
      <c r="N142" s="78" t="str">
        <f ca="1">UPPER(TRIM(_xlfn.XLOOKUP($A142,Строчный!$A:$A,Строчный!O:O,"ERR",0)))</f>
        <v/>
      </c>
      <c r="O142" s="99" t="str">
        <f ca="1">PROPER(TRIM(_xlfn.XLOOKUP($A142,Строчный!$A:$A,Строчный!P:P,"ERR",0)))</f>
        <v/>
      </c>
      <c r="P142" s="78" t="str">
        <f ca="1">PROPER(TRIM(_xlfn.XLOOKUP($A142,Строчный!$A:$A,Строчный!R:R,"ERR",0)))</f>
        <v/>
      </c>
      <c r="Q142" s="87">
        <f ca="1">VALUE(_xlfn.XLOOKUP($A142,Строчный!$A:$A,Строчный!N:N,"ERR",0))</f>
        <v>975.8</v>
      </c>
      <c r="R142" s="86" t="str">
        <f ca="1">_xlfn.XLOOKUP($G142,Фабрика!A:A,Фабрика!B:B,"ERR",0)</f>
        <v>ООО "ФРЭДРИКСОН" Россия 192029, С-Петербург, пр. Обуховской обороны, д.86, лит М</v>
      </c>
      <c r="S142" s="77" t="str">
        <f ca="1">_xlfn.XLOOKUP(RIGHT(AA142,2),Размеры!D:D,Размеры!A:A,"ERR",0)</f>
        <v>56</v>
      </c>
      <c r="T142" s="77">
        <f ca="1">VALUE(_xlfn.XLOOKUP($AA142,Строчный!$S:$S,Строчный!U:U,"ERR",0))</f>
        <v>1</v>
      </c>
      <c r="U142" s="14" t="s">
        <v>241</v>
      </c>
      <c r="V142" s="98" t="str">
        <f t="shared" ca="1" si="33"/>
        <v>Кепка FREDRIKSON арт. 3035-635/75 (серый)</v>
      </c>
      <c r="W142" s="97" t="str">
        <f t="shared" ca="1" si="34"/>
        <v>Кепка FREDRIKSON арт. 3035-635/75 (серый) {635/75}</v>
      </c>
      <c r="X142" s="18" t="str">
        <f t="shared" ca="1" si="35"/>
        <v>серый</v>
      </c>
      <c r="Y142" s="18" t="str">
        <f t="shared" ca="1" si="36"/>
        <v>серый</v>
      </c>
      <c r="Z142" s="109" t="str">
        <f ca="1">_xlfn.LET(_xlpm.FormColors,_xlfn.XLOOKUP(A142,Строчный!A:A,Строчный!Q:Q,"",0),IF(_xlpm.FormColors=0,IFERROR(MID(I142,FIND("-",I142)+1,LEN(I142)),IFERROR(MID(I142,1,FIND("/",I142)-2),I142)),_xlpm.FormColors))</f>
        <v>серый</v>
      </c>
      <c r="AA142" s="70" t="str">
        <f ca="1"/>
        <v>95-081-80-56</v>
      </c>
      <c r="AB142" s="72" t="str">
        <f ca="1">VLOOKUP(C142,Группа!A:B,2,FALSE)</f>
        <v>Кепка</v>
      </c>
      <c r="AC142" s="94" t="str">
        <f ca="1">IFERROR(VLOOKUP(S142,Размеры!A:C,3,FALSE),"")</f>
        <v>56 S/M</v>
      </c>
      <c r="AD142" s="94" t="str">
        <f ca="1">VLOOKUP(I142,ЦветПолный!A:B,2,FALSE)</f>
        <v>80</v>
      </c>
      <c r="AE142" s="94" t="str">
        <f ca="1">IFERROR(VLOOKUP(S142,Размеры!A:D,4,FALSE),"")</f>
        <v>56</v>
      </c>
      <c r="AF142" s="94">
        <f ca="1">SUMIF(Группа!A:A,C142,Группа!C:C)</f>
        <v>1</v>
      </c>
      <c r="AG142" s="94">
        <f ca="1">SUMIF(Группа!B:B,AB142,Группа!C:C)</f>
        <v>1</v>
      </c>
      <c r="AH142" s="94">
        <f ca="1">SUMIF(Формы!A:A,D142,Формы!B:B)</f>
        <v>1</v>
      </c>
      <c r="AI142" s="94">
        <f ca="1">IF(IFERROR(VLOOKUP(J142,Материал!D:D,1,0),0)&gt;0,1,SUMIF(Материал!A:A,K142,Материал!B:B))</f>
        <v>1</v>
      </c>
      <c r="AJ142" s="94">
        <f ca="1">SUMIF(Размеры!A:A,S142,Размеры!E:E)</f>
        <v>1</v>
      </c>
      <c r="AK142" s="94">
        <f ca="1">SUMIF(Сезон!A:A,F142,Сезон!B:B)</f>
        <v>1</v>
      </c>
      <c r="AL142" s="94">
        <f ca="1">VLOOKUP(I142,ЦветПолный!A:C,3,0)</f>
        <v>1</v>
      </c>
      <c r="AM142" s="94">
        <f ca="1">SUMIF(Цвет!A:A,Z142,Цвет!B:B)</f>
        <v>1</v>
      </c>
      <c r="AN142" s="94">
        <f ca="1">_xlfn.XLOOKUP(L142,Пол!A:A,Пол!B:B,0,0)</f>
        <v>1</v>
      </c>
      <c r="AO142" s="94">
        <f ca="1">SUMIF(Бренд!A:A,G142,Бренд!B:B)</f>
        <v>1</v>
      </c>
      <c r="AP142" s="137">
        <f ca="1">SUMIF(Страна!A:A,M142,Страна!B:B)</f>
        <v>1</v>
      </c>
      <c r="AQ142" s="150" t="str">
        <f t="shared" ca="1" si="37"/>
        <v>Кепка FREDRIKSON арт. 3035-635/75 (серый) {635/75}</v>
      </c>
      <c r="AR142" s="94">
        <f t="shared" ca="1" si="38"/>
        <v>1</v>
      </c>
      <c r="AS142" s="143">
        <f t="shared" ca="1" si="39"/>
        <v>1</v>
      </c>
      <c r="AT142" s="138" t="str">
        <f ca="1">IF(IFERROR(VLOOKUP(W142,Товары!A:B,2,FALSE),"")=A142,"Есть в 1С","ERR")</f>
        <v>ERR</v>
      </c>
      <c r="AU142" s="139" t="str">
        <f ca="1">IF(IFERROR(VLOOKUP(A142,Товары!B:B,1,FALSE),"")=A142,"Есть в 1С","ERR")</f>
        <v>ERR</v>
      </c>
      <c r="AV142" s="93" t="e">
        <f ca="1">VLOOKUP(W142,Товары!A:B,2,FALSE)</f>
        <v>#N/A</v>
      </c>
      <c r="AW142" s="91" t="e">
        <f ca="1">VLOOKUP(W142,Товары!A:B,1,FALSE)</f>
        <v>#N/A</v>
      </c>
    </row>
    <row r="143" spans="1:49" x14ac:dyDescent="0.25">
      <c r="A143" s="105" t="str">
        <f t="shared" ca="1" si="32"/>
        <v>95-034-80</v>
      </c>
      <c r="B143" s="78" t="str">
        <f ca="1">_xlfn.LET(_xlpm.CAPS,VLOOKUP(G143,Caps!A:B,2,0),_xlpm.Style,TRIM(_xlfn.XLOOKUP($A143,Строчный!$A:$A,Строчный!B:B,"ERR",0)),IF(_xlpm.CAPS=0,_xlpm.Style,UPPER(_xlpm.Style)))</f>
        <v>3125-641/76</v>
      </c>
      <c r="C143" s="78" t="str">
        <f ca="1">TRIM(PROPER(_xlfn.XLOOKUP($A143,Строчный!$A:$A,Строчный!C:C,"ERR",0)))</f>
        <v>Кепки</v>
      </c>
      <c r="D143" s="78" t="str">
        <f ca="1">_xlfn.LET(_xlpm.DATA,TRIM(_xlfn.XLOOKUP($A143,Строчный!$A:$A,Строчный!D:D,"ERR",0)),UPPER(MID(_xlpm.DATA,1,1))&amp;LOWER(MID(_xlpm.DATA,2,LEN(_xlpm.DATA)-1)))</f>
        <v>Кепка плоская</v>
      </c>
      <c r="E143" s="78" t="str">
        <f ca="1">PROPER(TRIM(_xlfn.XLOOKUP($A143,Строчный!$A:$A,Строчный!E:E,"ERR",0)))</f>
        <v>Fredrikson</v>
      </c>
      <c r="F143" s="78" t="str">
        <f ca="1">LOWER(TRIM(_xlfn.XLOOKUP($A143,Строчный!$A:$A,Строчный!F:F,"ERR",0)))</f>
        <v>всесезон</v>
      </c>
      <c r="G143" s="78" t="str">
        <f ca="1">UPPER(TRIM(_xlfn.XLOOKUP($A143,Строчный!$A:$A,Строчный!G:G,"ERR",0)))</f>
        <v>FREDRIKSON</v>
      </c>
      <c r="H143" s="78" t="str">
        <f ca="1">LOWER(TRIM(_xlfn.XLOOKUP($A143,Строчный!$A:$A,Строчный!H:H,"ERR",0)))</f>
        <v>641/76</v>
      </c>
      <c r="I143" s="78" t="str">
        <f ca="1">LOWER(TRIM(_xlfn.XLOOKUP($A143,Строчный!$A:$A,Строчный!I:I,"ERR",0)))</f>
        <v>серый</v>
      </c>
      <c r="J143" s="78" t="str">
        <f ca="1">SUBSTITUTE(LOWER(TRIM(_xlfn.XLOOKUP($A143,Строчный!$A:$A,Строчный!J:J,"ERR",0))),"подклад","Подклад")</f>
        <v>80% шерсть - 20% полиамид / Подклад: 100% вискоза</v>
      </c>
      <c r="K143" s="78" t="str">
        <f ca="1">LOWER(TRIM(_xlfn.XLOOKUP($A143,Строчный!$A:$A,Строчный!K:K,"ERR",0)))</f>
        <v>шерстяные</v>
      </c>
      <c r="L143" s="78" t="str">
        <f ca="1">PROPER(TRIM(_xlfn.XLOOKUP($A143,Строчный!$A:$A,Строчный!L:L,"ERR",0)))</f>
        <v>Унисекс</v>
      </c>
      <c r="M143" s="105" t="str">
        <f ca="1">PROPER(TRIM(_xlfn.XLOOKUP($A143,Строчный!$A:$A,Строчный!M:M,"ERR",0)))</f>
        <v>Россия</v>
      </c>
      <c r="N143" s="78" t="str">
        <f ca="1">UPPER(TRIM(_xlfn.XLOOKUP($A143,Строчный!$A:$A,Строчный!O:O,"ERR",0)))</f>
        <v/>
      </c>
      <c r="O143" s="99" t="str">
        <f ca="1">PROPER(TRIM(_xlfn.XLOOKUP($A143,Строчный!$A:$A,Строчный!P:P,"ERR",0)))</f>
        <v/>
      </c>
      <c r="P143" s="78" t="str">
        <f ca="1">PROPER(TRIM(_xlfn.XLOOKUP($A143,Строчный!$A:$A,Строчный!R:R,"ERR",0)))</f>
        <v/>
      </c>
      <c r="Q143" s="87">
        <f ca="1">VALUE(_xlfn.XLOOKUP($A143,Строчный!$A:$A,Строчный!N:N,"ERR",0))</f>
        <v>975.8</v>
      </c>
      <c r="R143" s="86" t="str">
        <f ca="1">_xlfn.XLOOKUP($G143,Фабрика!A:A,Фабрика!B:B,"ERR",0)</f>
        <v>ООО "ФРЭДРИКСОН" Россия 192029, С-Петербург, пр. Обуховской обороны, д.86, лит М</v>
      </c>
      <c r="S143" s="77" t="str">
        <f ca="1">_xlfn.XLOOKUP(RIGHT(AA143,2),Размеры!D:D,Размеры!A:A,"ERR",0)</f>
        <v>62</v>
      </c>
      <c r="T143" s="77">
        <f ca="1">VALUE(_xlfn.XLOOKUP($AA143,Строчный!$S:$S,Строчный!U:U,"ERR",0))</f>
        <v>4</v>
      </c>
      <c r="U143" s="14" t="s">
        <v>241</v>
      </c>
      <c r="V143" s="98" t="str">
        <f t="shared" ca="1" si="33"/>
        <v>Кепка FREDRIKSON арт. 3125-641/76 (серый)</v>
      </c>
      <c r="W143" s="97" t="str">
        <f t="shared" ca="1" si="34"/>
        <v>Кепка FREDRIKSON арт. 3125-641/76 (серый) {641/76}</v>
      </c>
      <c r="X143" s="18" t="str">
        <f t="shared" ca="1" si="35"/>
        <v>серый</v>
      </c>
      <c r="Y143" s="18" t="str">
        <f t="shared" ca="1" si="36"/>
        <v>серый</v>
      </c>
      <c r="Z143" s="109" t="str">
        <f ca="1">_xlfn.LET(_xlpm.FormColors,_xlfn.XLOOKUP(A143,Строчный!A:A,Строчный!Q:Q,"",0),IF(_xlpm.FormColors=0,IFERROR(MID(I143,FIND("-",I143)+1,LEN(I143)),IFERROR(MID(I143,1,FIND("/",I143)-2),I143)),_xlpm.FormColors))</f>
        <v>серый</v>
      </c>
      <c r="AA143" s="70" t="str">
        <f ca="1"/>
        <v>95-034-80-62</v>
      </c>
      <c r="AB143" s="72" t="str">
        <f ca="1">VLOOKUP(C143,Группа!A:B,2,FALSE)</f>
        <v>Кепка</v>
      </c>
      <c r="AC143" s="94" t="str">
        <f ca="1">IFERROR(VLOOKUP(S143,Размеры!A:C,3,FALSE),"")</f>
        <v>62 XL/XXL</v>
      </c>
      <c r="AD143" s="94" t="str">
        <f ca="1">VLOOKUP(I143,ЦветПолный!A:B,2,FALSE)</f>
        <v>80</v>
      </c>
      <c r="AE143" s="94" t="str">
        <f ca="1">IFERROR(VLOOKUP(S143,Размеры!A:D,4,FALSE),"")</f>
        <v>62</v>
      </c>
      <c r="AF143" s="94">
        <f ca="1">SUMIF(Группа!A:A,C143,Группа!C:C)</f>
        <v>1</v>
      </c>
      <c r="AG143" s="94">
        <f ca="1">SUMIF(Группа!B:B,AB143,Группа!C:C)</f>
        <v>1</v>
      </c>
      <c r="AH143" s="94">
        <f ca="1">SUMIF(Формы!A:A,D143,Формы!B:B)</f>
        <v>1</v>
      </c>
      <c r="AI143" s="94">
        <f ca="1">IF(IFERROR(VLOOKUP(J143,Материал!D:D,1,0),0)&gt;0,1,SUMIF(Материал!A:A,K143,Материал!B:B))</f>
        <v>1</v>
      </c>
      <c r="AJ143" s="94">
        <f ca="1">SUMIF(Размеры!A:A,S143,Размеры!E:E)</f>
        <v>1</v>
      </c>
      <c r="AK143" s="94">
        <f ca="1">SUMIF(Сезон!A:A,F143,Сезон!B:B)</f>
        <v>1</v>
      </c>
      <c r="AL143" s="94">
        <f ca="1">VLOOKUP(I143,ЦветПолный!A:C,3,0)</f>
        <v>1</v>
      </c>
      <c r="AM143" s="94">
        <f ca="1">SUMIF(Цвет!A:A,Z143,Цвет!B:B)</f>
        <v>1</v>
      </c>
      <c r="AN143" s="94">
        <f ca="1">_xlfn.XLOOKUP(L143,Пол!A:A,Пол!B:B,0,0)</f>
        <v>1</v>
      </c>
      <c r="AO143" s="94">
        <f ca="1">SUMIF(Бренд!A:A,G143,Бренд!B:B)</f>
        <v>1</v>
      </c>
      <c r="AP143" s="137">
        <f ca="1">SUMIF(Страна!A:A,M143,Страна!B:B)</f>
        <v>1</v>
      </c>
      <c r="AQ143" s="150" t="str">
        <f t="shared" ca="1" si="37"/>
        <v>Кепка FREDRIKSON арт. 3125-641/76 (серый) {641/76}</v>
      </c>
      <c r="AR143" s="94">
        <f t="shared" ca="1" si="38"/>
        <v>1</v>
      </c>
      <c r="AS143" s="143">
        <f t="shared" ca="1" si="39"/>
        <v>1</v>
      </c>
      <c r="AT143" s="138" t="str">
        <f ca="1">IF(IFERROR(VLOOKUP(W143,Товары!A:B,2,FALSE),"")=A143,"Есть в 1С","ERR")</f>
        <v>Есть в 1С</v>
      </c>
      <c r="AU143" s="139" t="str">
        <f ca="1">IF(IFERROR(VLOOKUP(A143,Товары!B:B,1,FALSE),"")=A143,"Есть в 1С","ERR")</f>
        <v>Есть в 1С</v>
      </c>
      <c r="AV143" s="93" t="str">
        <f ca="1">VLOOKUP(W143,Товары!A:B,2,FALSE)</f>
        <v>95-034-80</v>
      </c>
      <c r="AW143" s="91" t="str">
        <f ca="1">VLOOKUP(W143,Товары!A:B,1,FALSE)</f>
        <v>Кепка FREDRIKSON арт. 3125-641/76 (серый) {641/76}</v>
      </c>
    </row>
    <row r="144" spans="1:49" x14ac:dyDescent="0.25">
      <c r="A144" s="105" t="str">
        <f t="shared" ca="1" si="32"/>
        <v>95-034-80</v>
      </c>
      <c r="B144" s="78" t="str">
        <f ca="1">_xlfn.LET(_xlpm.CAPS,VLOOKUP(G144,Caps!A:B,2,0),_xlpm.Style,TRIM(_xlfn.XLOOKUP($A144,Строчный!$A:$A,Строчный!B:B,"ERR",0)),IF(_xlpm.CAPS=0,_xlpm.Style,UPPER(_xlpm.Style)))</f>
        <v>3125-641/76</v>
      </c>
      <c r="C144" s="78" t="str">
        <f ca="1">TRIM(PROPER(_xlfn.XLOOKUP($A144,Строчный!$A:$A,Строчный!C:C,"ERR",0)))</f>
        <v>Кепки</v>
      </c>
      <c r="D144" s="78" t="str">
        <f ca="1">_xlfn.LET(_xlpm.DATA,TRIM(_xlfn.XLOOKUP($A144,Строчный!$A:$A,Строчный!D:D,"ERR",0)),UPPER(MID(_xlpm.DATA,1,1))&amp;LOWER(MID(_xlpm.DATA,2,LEN(_xlpm.DATA)-1)))</f>
        <v>Кепка плоская</v>
      </c>
      <c r="E144" s="78" t="str">
        <f ca="1">PROPER(TRIM(_xlfn.XLOOKUP($A144,Строчный!$A:$A,Строчный!E:E,"ERR",0)))</f>
        <v>Fredrikson</v>
      </c>
      <c r="F144" s="78" t="str">
        <f ca="1">LOWER(TRIM(_xlfn.XLOOKUP($A144,Строчный!$A:$A,Строчный!F:F,"ERR",0)))</f>
        <v>всесезон</v>
      </c>
      <c r="G144" s="78" t="str">
        <f ca="1">UPPER(TRIM(_xlfn.XLOOKUP($A144,Строчный!$A:$A,Строчный!G:G,"ERR",0)))</f>
        <v>FREDRIKSON</v>
      </c>
      <c r="H144" s="78" t="str">
        <f ca="1">LOWER(TRIM(_xlfn.XLOOKUP($A144,Строчный!$A:$A,Строчный!H:H,"ERR",0)))</f>
        <v>641/76</v>
      </c>
      <c r="I144" s="78" t="str">
        <f ca="1">LOWER(TRIM(_xlfn.XLOOKUP($A144,Строчный!$A:$A,Строчный!I:I,"ERR",0)))</f>
        <v>серый</v>
      </c>
      <c r="J144" s="78" t="str">
        <f ca="1">SUBSTITUTE(LOWER(TRIM(_xlfn.XLOOKUP($A144,Строчный!$A:$A,Строчный!J:J,"ERR",0))),"подклад","Подклад")</f>
        <v>80% шерсть - 20% полиамид / Подклад: 100% вискоза</v>
      </c>
      <c r="K144" s="78" t="str">
        <f ca="1">LOWER(TRIM(_xlfn.XLOOKUP($A144,Строчный!$A:$A,Строчный!K:K,"ERR",0)))</f>
        <v>шерстяные</v>
      </c>
      <c r="L144" s="78" t="str">
        <f ca="1">PROPER(TRIM(_xlfn.XLOOKUP($A144,Строчный!$A:$A,Строчный!L:L,"ERR",0)))</f>
        <v>Унисекс</v>
      </c>
      <c r="M144" s="105" t="str">
        <f ca="1">PROPER(TRIM(_xlfn.XLOOKUP($A144,Строчный!$A:$A,Строчный!M:M,"ERR",0)))</f>
        <v>Россия</v>
      </c>
      <c r="N144" s="78" t="str">
        <f ca="1">UPPER(TRIM(_xlfn.XLOOKUP($A144,Строчный!$A:$A,Строчный!O:O,"ERR",0)))</f>
        <v/>
      </c>
      <c r="O144" s="99" t="str">
        <f ca="1">PROPER(TRIM(_xlfn.XLOOKUP($A144,Строчный!$A:$A,Строчный!P:P,"ERR",0)))</f>
        <v/>
      </c>
      <c r="P144" s="78" t="str">
        <f ca="1">PROPER(TRIM(_xlfn.XLOOKUP($A144,Строчный!$A:$A,Строчный!R:R,"ERR",0)))</f>
        <v/>
      </c>
      <c r="Q144" s="87">
        <f ca="1">VALUE(_xlfn.XLOOKUP($A144,Строчный!$A:$A,Строчный!N:N,"ERR",0))</f>
        <v>975.8</v>
      </c>
      <c r="R144" s="86" t="str">
        <f ca="1">_xlfn.XLOOKUP($G144,Фабрика!A:A,Фабрика!B:B,"ERR",0)</f>
        <v>ООО "ФРЭДРИКСОН" Россия 192029, С-Петербург, пр. Обуховской обороны, д.86, лит М</v>
      </c>
      <c r="S144" s="77" t="str">
        <f ca="1">_xlfn.XLOOKUP(RIGHT(AA144,2),Размеры!D:D,Размеры!A:A,"ERR",0)</f>
        <v>61</v>
      </c>
      <c r="T144" s="77">
        <f ca="1">VALUE(_xlfn.XLOOKUP($AA144,Строчный!$S:$S,Строчный!U:U,"ERR",0))</f>
        <v>8</v>
      </c>
      <c r="U144" s="14" t="s">
        <v>241</v>
      </c>
      <c r="V144" s="98" t="str">
        <f t="shared" ca="1" si="33"/>
        <v>Кепка FREDRIKSON арт. 3125-641/76 (серый)</v>
      </c>
      <c r="W144" s="97" t="str">
        <f t="shared" ca="1" si="34"/>
        <v>Кепка FREDRIKSON арт. 3125-641/76 (серый) {641/76}</v>
      </c>
      <c r="X144" s="18" t="str">
        <f t="shared" ca="1" si="35"/>
        <v>серый</v>
      </c>
      <c r="Y144" s="18" t="str">
        <f t="shared" ca="1" si="36"/>
        <v>серый</v>
      </c>
      <c r="Z144" s="109" t="str">
        <f ca="1">_xlfn.LET(_xlpm.FormColors,_xlfn.XLOOKUP(A144,Строчный!A:A,Строчный!Q:Q,"",0),IF(_xlpm.FormColors=0,IFERROR(MID(I144,FIND("-",I144)+1,LEN(I144)),IFERROR(MID(I144,1,FIND("/",I144)-2),I144)),_xlpm.FormColors))</f>
        <v>серый</v>
      </c>
      <c r="AA144" s="70" t="str">
        <f ca="1"/>
        <v>95-034-80-61</v>
      </c>
      <c r="AB144" s="72" t="str">
        <f ca="1">VLOOKUP(C144,Группа!A:B,2,FALSE)</f>
        <v>Кепка</v>
      </c>
      <c r="AC144" s="94" t="str">
        <f ca="1">IFERROR(VLOOKUP(S144,Размеры!A:C,3,FALSE),"")</f>
        <v>61 XL</v>
      </c>
      <c r="AD144" s="94" t="str">
        <f ca="1">VLOOKUP(I144,ЦветПолный!A:B,2,FALSE)</f>
        <v>80</v>
      </c>
      <c r="AE144" s="94" t="str">
        <f ca="1">IFERROR(VLOOKUP(S144,Размеры!A:D,4,FALSE),"")</f>
        <v>61</v>
      </c>
      <c r="AF144" s="94">
        <f ca="1">SUMIF(Группа!A:A,C144,Группа!C:C)</f>
        <v>1</v>
      </c>
      <c r="AG144" s="94">
        <f ca="1">SUMIF(Группа!B:B,AB144,Группа!C:C)</f>
        <v>1</v>
      </c>
      <c r="AH144" s="94">
        <f ca="1">SUMIF(Формы!A:A,D144,Формы!B:B)</f>
        <v>1</v>
      </c>
      <c r="AI144" s="94">
        <f ca="1">IF(IFERROR(VLOOKUP(J144,Материал!D:D,1,0),0)&gt;0,1,SUMIF(Материал!A:A,K144,Материал!B:B))</f>
        <v>1</v>
      </c>
      <c r="AJ144" s="94">
        <f ca="1">SUMIF(Размеры!A:A,S144,Размеры!E:E)</f>
        <v>1</v>
      </c>
      <c r="AK144" s="94">
        <f ca="1">SUMIF(Сезон!A:A,F144,Сезон!B:B)</f>
        <v>1</v>
      </c>
      <c r="AL144" s="94">
        <f ca="1">VLOOKUP(I144,ЦветПолный!A:C,3,0)</f>
        <v>1</v>
      </c>
      <c r="AM144" s="94">
        <f ca="1">SUMIF(Цвет!A:A,Z144,Цвет!B:B)</f>
        <v>1</v>
      </c>
      <c r="AN144" s="94">
        <f ca="1">_xlfn.XLOOKUP(L144,Пол!A:A,Пол!B:B,0,0)</f>
        <v>1</v>
      </c>
      <c r="AO144" s="94">
        <f ca="1">SUMIF(Бренд!A:A,G144,Бренд!B:B)</f>
        <v>1</v>
      </c>
      <c r="AP144" s="137">
        <f ca="1">SUMIF(Страна!A:A,M144,Страна!B:B)</f>
        <v>1</v>
      </c>
      <c r="AQ144" s="150" t="str">
        <f t="shared" ca="1" si="37"/>
        <v>Кепка FREDRIKSON арт. 3125-641/76 (серый) {641/76}</v>
      </c>
      <c r="AR144" s="94">
        <f t="shared" ca="1" si="38"/>
        <v>1</v>
      </c>
      <c r="AS144" s="143">
        <f t="shared" ca="1" si="39"/>
        <v>1</v>
      </c>
      <c r="AT144" s="138" t="str">
        <f ca="1">IF(IFERROR(VLOOKUP(W144,Товары!A:B,2,FALSE),"")=A144,"Есть в 1С","ERR")</f>
        <v>Есть в 1С</v>
      </c>
      <c r="AU144" s="139" t="str">
        <f ca="1">IF(IFERROR(VLOOKUP(A144,Товары!B:B,1,FALSE),"")=A144,"Есть в 1С","ERR")</f>
        <v>Есть в 1С</v>
      </c>
      <c r="AV144" s="93" t="str">
        <f ca="1">VLOOKUP(W144,Товары!A:B,2,FALSE)</f>
        <v>95-034-80</v>
      </c>
      <c r="AW144" s="91" t="str">
        <f ca="1">VLOOKUP(W144,Товары!A:B,1,FALSE)</f>
        <v>Кепка FREDRIKSON арт. 3125-641/76 (серый) {641/76}</v>
      </c>
    </row>
    <row r="145" spans="1:49" x14ac:dyDescent="0.25">
      <c r="A145" s="105" t="str">
        <f t="shared" ca="1" si="32"/>
        <v>95-034-80</v>
      </c>
      <c r="B145" s="78" t="str">
        <f ca="1">_xlfn.LET(_xlpm.CAPS,VLOOKUP(G145,Caps!A:B,2,0),_xlpm.Style,TRIM(_xlfn.XLOOKUP($A145,Строчный!$A:$A,Строчный!B:B,"ERR",0)),IF(_xlpm.CAPS=0,_xlpm.Style,UPPER(_xlpm.Style)))</f>
        <v>3125-641/76</v>
      </c>
      <c r="C145" s="78" t="str">
        <f ca="1">TRIM(PROPER(_xlfn.XLOOKUP($A145,Строчный!$A:$A,Строчный!C:C,"ERR",0)))</f>
        <v>Кепки</v>
      </c>
      <c r="D145" s="78" t="str">
        <f ca="1">_xlfn.LET(_xlpm.DATA,TRIM(_xlfn.XLOOKUP($A145,Строчный!$A:$A,Строчный!D:D,"ERR",0)),UPPER(MID(_xlpm.DATA,1,1))&amp;LOWER(MID(_xlpm.DATA,2,LEN(_xlpm.DATA)-1)))</f>
        <v>Кепка плоская</v>
      </c>
      <c r="E145" s="78" t="str">
        <f ca="1">PROPER(TRIM(_xlfn.XLOOKUP($A145,Строчный!$A:$A,Строчный!E:E,"ERR",0)))</f>
        <v>Fredrikson</v>
      </c>
      <c r="F145" s="78" t="str">
        <f ca="1">LOWER(TRIM(_xlfn.XLOOKUP($A145,Строчный!$A:$A,Строчный!F:F,"ERR",0)))</f>
        <v>всесезон</v>
      </c>
      <c r="G145" s="78" t="str">
        <f ca="1">UPPER(TRIM(_xlfn.XLOOKUP($A145,Строчный!$A:$A,Строчный!G:G,"ERR",0)))</f>
        <v>FREDRIKSON</v>
      </c>
      <c r="H145" s="78" t="str">
        <f ca="1">LOWER(TRIM(_xlfn.XLOOKUP($A145,Строчный!$A:$A,Строчный!H:H,"ERR",0)))</f>
        <v>641/76</v>
      </c>
      <c r="I145" s="78" t="str">
        <f ca="1">LOWER(TRIM(_xlfn.XLOOKUP($A145,Строчный!$A:$A,Строчный!I:I,"ERR",0)))</f>
        <v>серый</v>
      </c>
      <c r="J145" s="78" t="str">
        <f ca="1">SUBSTITUTE(LOWER(TRIM(_xlfn.XLOOKUP($A145,Строчный!$A:$A,Строчный!J:J,"ERR",0))),"подклад","Подклад")</f>
        <v>80% шерсть - 20% полиамид / Подклад: 100% вискоза</v>
      </c>
      <c r="K145" s="78" t="str">
        <f ca="1">LOWER(TRIM(_xlfn.XLOOKUP($A145,Строчный!$A:$A,Строчный!K:K,"ERR",0)))</f>
        <v>шерстяные</v>
      </c>
      <c r="L145" s="78" t="str">
        <f ca="1">PROPER(TRIM(_xlfn.XLOOKUP($A145,Строчный!$A:$A,Строчный!L:L,"ERR",0)))</f>
        <v>Унисекс</v>
      </c>
      <c r="M145" s="105" t="str">
        <f ca="1">PROPER(TRIM(_xlfn.XLOOKUP($A145,Строчный!$A:$A,Строчный!M:M,"ERR",0)))</f>
        <v>Россия</v>
      </c>
      <c r="N145" s="78" t="str">
        <f ca="1">UPPER(TRIM(_xlfn.XLOOKUP($A145,Строчный!$A:$A,Строчный!O:O,"ERR",0)))</f>
        <v/>
      </c>
      <c r="O145" s="99" t="str">
        <f ca="1">PROPER(TRIM(_xlfn.XLOOKUP($A145,Строчный!$A:$A,Строчный!P:P,"ERR",0)))</f>
        <v/>
      </c>
      <c r="P145" s="78" t="str">
        <f ca="1">PROPER(TRIM(_xlfn.XLOOKUP($A145,Строчный!$A:$A,Строчный!R:R,"ERR",0)))</f>
        <v/>
      </c>
      <c r="Q145" s="87">
        <f ca="1">VALUE(_xlfn.XLOOKUP($A145,Строчный!$A:$A,Строчный!N:N,"ERR",0))</f>
        <v>975.8</v>
      </c>
      <c r="R145" s="86" t="str">
        <f ca="1">_xlfn.XLOOKUP($G145,Фабрика!A:A,Фабрика!B:B,"ERR",0)</f>
        <v>ООО "ФРЭДРИКСОН" Россия 192029, С-Петербург, пр. Обуховской обороны, д.86, лит М</v>
      </c>
      <c r="S145" s="77" t="str">
        <f ca="1">_xlfn.XLOOKUP(RIGHT(AA145,2),Размеры!D:D,Размеры!A:A,"ERR",0)</f>
        <v>60</v>
      </c>
      <c r="T145" s="77">
        <f ca="1">VALUE(_xlfn.XLOOKUP($AA145,Строчный!$S:$S,Строчный!U:U,"ERR",0))</f>
        <v>10</v>
      </c>
      <c r="U145" s="14" t="s">
        <v>241</v>
      </c>
      <c r="V145" s="98" t="str">
        <f t="shared" ca="1" si="33"/>
        <v>Кепка FREDRIKSON арт. 3125-641/76 (серый)</v>
      </c>
      <c r="W145" s="97" t="str">
        <f t="shared" ca="1" si="34"/>
        <v>Кепка FREDRIKSON арт. 3125-641/76 (серый) {641/76}</v>
      </c>
      <c r="X145" s="18" t="str">
        <f t="shared" ca="1" si="35"/>
        <v>серый</v>
      </c>
      <c r="Y145" s="18" t="str">
        <f t="shared" ca="1" si="36"/>
        <v>серый</v>
      </c>
      <c r="Z145" s="109" t="str">
        <f ca="1">_xlfn.LET(_xlpm.FormColors,_xlfn.XLOOKUP(A145,Строчный!A:A,Строчный!Q:Q,"",0),IF(_xlpm.FormColors=0,IFERROR(MID(I145,FIND("-",I145)+1,LEN(I145)),IFERROR(MID(I145,1,FIND("/",I145)-2),I145)),_xlpm.FormColors))</f>
        <v>серый</v>
      </c>
      <c r="AA145" s="70" t="str">
        <f ca="1"/>
        <v>95-034-80-60</v>
      </c>
      <c r="AB145" s="72" t="str">
        <f ca="1">VLOOKUP(C145,Группа!A:B,2,FALSE)</f>
        <v>Кепка</v>
      </c>
      <c r="AC145" s="94" t="str">
        <f ca="1">IFERROR(VLOOKUP(S145,Размеры!A:C,3,FALSE),"")</f>
        <v>60 L/XL</v>
      </c>
      <c r="AD145" s="94" t="str">
        <f ca="1">VLOOKUP(I145,ЦветПолный!A:B,2,FALSE)</f>
        <v>80</v>
      </c>
      <c r="AE145" s="94" t="str">
        <f ca="1">IFERROR(VLOOKUP(S145,Размеры!A:D,4,FALSE),"")</f>
        <v>60</v>
      </c>
      <c r="AF145" s="94">
        <f ca="1">SUMIF(Группа!A:A,C145,Группа!C:C)</f>
        <v>1</v>
      </c>
      <c r="AG145" s="94">
        <f ca="1">SUMIF(Группа!B:B,AB145,Группа!C:C)</f>
        <v>1</v>
      </c>
      <c r="AH145" s="94">
        <f ca="1">SUMIF(Формы!A:A,D145,Формы!B:B)</f>
        <v>1</v>
      </c>
      <c r="AI145" s="94">
        <f ca="1">IF(IFERROR(VLOOKUP(J145,Материал!D:D,1,0),0)&gt;0,1,SUMIF(Материал!A:A,K145,Материал!B:B))</f>
        <v>1</v>
      </c>
      <c r="AJ145" s="94">
        <f ca="1">SUMIF(Размеры!A:A,S145,Размеры!E:E)</f>
        <v>1</v>
      </c>
      <c r="AK145" s="94">
        <f ca="1">SUMIF(Сезон!A:A,F145,Сезон!B:B)</f>
        <v>1</v>
      </c>
      <c r="AL145" s="94">
        <f ca="1">VLOOKUP(I145,ЦветПолный!A:C,3,0)</f>
        <v>1</v>
      </c>
      <c r="AM145" s="94">
        <f ca="1">SUMIF(Цвет!A:A,Z145,Цвет!B:B)</f>
        <v>1</v>
      </c>
      <c r="AN145" s="94">
        <f ca="1">_xlfn.XLOOKUP(L145,Пол!A:A,Пол!B:B,0,0)</f>
        <v>1</v>
      </c>
      <c r="AO145" s="94">
        <f ca="1">SUMIF(Бренд!A:A,G145,Бренд!B:B)</f>
        <v>1</v>
      </c>
      <c r="AP145" s="137">
        <f ca="1">SUMIF(Страна!A:A,M145,Страна!B:B)</f>
        <v>1</v>
      </c>
      <c r="AQ145" s="150" t="str">
        <f t="shared" ca="1" si="37"/>
        <v>Кепка FREDRIKSON арт. 3125-641/76 (серый) {641/76}</v>
      </c>
      <c r="AR145" s="94">
        <f t="shared" ca="1" si="38"/>
        <v>1</v>
      </c>
      <c r="AS145" s="143">
        <f t="shared" ca="1" si="39"/>
        <v>1</v>
      </c>
      <c r="AT145" s="138" t="str">
        <f ca="1">IF(IFERROR(VLOOKUP(W145,Товары!A:B,2,FALSE),"")=A145,"Есть в 1С","ERR")</f>
        <v>Есть в 1С</v>
      </c>
      <c r="AU145" s="139" t="str">
        <f ca="1">IF(IFERROR(VLOOKUP(A145,Товары!B:B,1,FALSE),"")=A145,"Есть в 1С","ERR")</f>
        <v>Есть в 1С</v>
      </c>
      <c r="AV145" s="93" t="str">
        <f ca="1">VLOOKUP(W145,Товары!A:B,2,FALSE)</f>
        <v>95-034-80</v>
      </c>
      <c r="AW145" s="91" t="str">
        <f ca="1">VLOOKUP(W145,Товары!A:B,1,FALSE)</f>
        <v>Кепка FREDRIKSON арт. 3125-641/76 (серый) {641/76}</v>
      </c>
    </row>
    <row r="146" spans="1:49" x14ac:dyDescent="0.25">
      <c r="A146" s="105" t="str">
        <f t="shared" ca="1" si="32"/>
        <v>95-034-80</v>
      </c>
      <c r="B146" s="78" t="str">
        <f ca="1">_xlfn.LET(_xlpm.CAPS,VLOOKUP(G146,Caps!A:B,2,0),_xlpm.Style,TRIM(_xlfn.XLOOKUP($A146,Строчный!$A:$A,Строчный!B:B,"ERR",0)),IF(_xlpm.CAPS=0,_xlpm.Style,UPPER(_xlpm.Style)))</f>
        <v>3125-641/76</v>
      </c>
      <c r="C146" s="78" t="str">
        <f ca="1">TRIM(PROPER(_xlfn.XLOOKUP($A146,Строчный!$A:$A,Строчный!C:C,"ERR",0)))</f>
        <v>Кепки</v>
      </c>
      <c r="D146" s="78" t="str">
        <f ca="1">_xlfn.LET(_xlpm.DATA,TRIM(_xlfn.XLOOKUP($A146,Строчный!$A:$A,Строчный!D:D,"ERR",0)),UPPER(MID(_xlpm.DATA,1,1))&amp;LOWER(MID(_xlpm.DATA,2,LEN(_xlpm.DATA)-1)))</f>
        <v>Кепка плоская</v>
      </c>
      <c r="E146" s="78" t="str">
        <f ca="1">PROPER(TRIM(_xlfn.XLOOKUP($A146,Строчный!$A:$A,Строчный!E:E,"ERR",0)))</f>
        <v>Fredrikson</v>
      </c>
      <c r="F146" s="78" t="str">
        <f ca="1">LOWER(TRIM(_xlfn.XLOOKUP($A146,Строчный!$A:$A,Строчный!F:F,"ERR",0)))</f>
        <v>всесезон</v>
      </c>
      <c r="G146" s="78" t="str">
        <f ca="1">UPPER(TRIM(_xlfn.XLOOKUP($A146,Строчный!$A:$A,Строчный!G:G,"ERR",0)))</f>
        <v>FREDRIKSON</v>
      </c>
      <c r="H146" s="78" t="str">
        <f ca="1">LOWER(TRIM(_xlfn.XLOOKUP($A146,Строчный!$A:$A,Строчный!H:H,"ERR",0)))</f>
        <v>641/76</v>
      </c>
      <c r="I146" s="78" t="str">
        <f ca="1">LOWER(TRIM(_xlfn.XLOOKUP($A146,Строчный!$A:$A,Строчный!I:I,"ERR",0)))</f>
        <v>серый</v>
      </c>
      <c r="J146" s="78" t="str">
        <f ca="1">SUBSTITUTE(LOWER(TRIM(_xlfn.XLOOKUP($A146,Строчный!$A:$A,Строчный!J:J,"ERR",0))),"подклад","Подклад")</f>
        <v>80% шерсть - 20% полиамид / Подклад: 100% вискоза</v>
      </c>
      <c r="K146" s="78" t="str">
        <f ca="1">LOWER(TRIM(_xlfn.XLOOKUP($A146,Строчный!$A:$A,Строчный!K:K,"ERR",0)))</f>
        <v>шерстяные</v>
      </c>
      <c r="L146" s="78" t="str">
        <f ca="1">PROPER(TRIM(_xlfn.XLOOKUP($A146,Строчный!$A:$A,Строчный!L:L,"ERR",0)))</f>
        <v>Унисекс</v>
      </c>
      <c r="M146" s="105" t="str">
        <f ca="1">PROPER(TRIM(_xlfn.XLOOKUP($A146,Строчный!$A:$A,Строчный!M:M,"ERR",0)))</f>
        <v>Россия</v>
      </c>
      <c r="N146" s="78" t="str">
        <f ca="1">UPPER(TRIM(_xlfn.XLOOKUP($A146,Строчный!$A:$A,Строчный!O:O,"ERR",0)))</f>
        <v/>
      </c>
      <c r="O146" s="99" t="str">
        <f ca="1">PROPER(TRIM(_xlfn.XLOOKUP($A146,Строчный!$A:$A,Строчный!P:P,"ERR",0)))</f>
        <v/>
      </c>
      <c r="P146" s="78" t="str">
        <f ca="1">PROPER(TRIM(_xlfn.XLOOKUP($A146,Строчный!$A:$A,Строчный!R:R,"ERR",0)))</f>
        <v/>
      </c>
      <c r="Q146" s="87">
        <f ca="1">VALUE(_xlfn.XLOOKUP($A146,Строчный!$A:$A,Строчный!N:N,"ERR",0))</f>
        <v>975.8</v>
      </c>
      <c r="R146" s="86" t="str">
        <f ca="1">_xlfn.XLOOKUP($G146,Фабрика!A:A,Фабрика!B:B,"ERR",0)</f>
        <v>ООО "ФРЭДРИКСОН" Россия 192029, С-Петербург, пр. Обуховской обороны, д.86, лит М</v>
      </c>
      <c r="S146" s="77" t="str">
        <f ca="1">_xlfn.XLOOKUP(RIGHT(AA146,2),Размеры!D:D,Размеры!A:A,"ERR",0)</f>
        <v>59</v>
      </c>
      <c r="T146" s="77">
        <f ca="1">VALUE(_xlfn.XLOOKUP($AA146,Строчный!$S:$S,Строчный!U:U,"ERR",0))</f>
        <v>13</v>
      </c>
      <c r="U146" s="14" t="s">
        <v>241</v>
      </c>
      <c r="V146" s="98" t="str">
        <f t="shared" ca="1" si="33"/>
        <v>Кепка FREDRIKSON арт. 3125-641/76 (серый)</v>
      </c>
      <c r="W146" s="97" t="str">
        <f t="shared" ca="1" si="34"/>
        <v>Кепка FREDRIKSON арт. 3125-641/76 (серый) {641/76}</v>
      </c>
      <c r="X146" s="18" t="str">
        <f t="shared" ca="1" si="35"/>
        <v>серый</v>
      </c>
      <c r="Y146" s="18" t="str">
        <f t="shared" ca="1" si="36"/>
        <v>серый</v>
      </c>
      <c r="Z146" s="109" t="str">
        <f ca="1">_xlfn.LET(_xlpm.FormColors,_xlfn.XLOOKUP(A146,Строчный!A:A,Строчный!Q:Q,"",0),IF(_xlpm.FormColors=0,IFERROR(MID(I146,FIND("-",I146)+1,LEN(I146)),IFERROR(MID(I146,1,FIND("/",I146)-2),I146)),_xlpm.FormColors))</f>
        <v>серый</v>
      </c>
      <c r="AA146" s="70" t="str">
        <f ca="1"/>
        <v>95-034-80-59</v>
      </c>
      <c r="AB146" s="72" t="str">
        <f ca="1">VLOOKUP(C146,Группа!A:B,2,FALSE)</f>
        <v>Кепка</v>
      </c>
      <c r="AC146" s="94" t="str">
        <f ca="1">IFERROR(VLOOKUP(S146,Размеры!A:C,3,FALSE),"")</f>
        <v>59 L</v>
      </c>
      <c r="AD146" s="94" t="str">
        <f ca="1">VLOOKUP(I146,ЦветПолный!A:B,2,FALSE)</f>
        <v>80</v>
      </c>
      <c r="AE146" s="94" t="str">
        <f ca="1">IFERROR(VLOOKUP(S146,Размеры!A:D,4,FALSE),"")</f>
        <v>59</v>
      </c>
      <c r="AF146" s="94">
        <f ca="1">SUMIF(Группа!A:A,C146,Группа!C:C)</f>
        <v>1</v>
      </c>
      <c r="AG146" s="94">
        <f ca="1">SUMIF(Группа!B:B,AB146,Группа!C:C)</f>
        <v>1</v>
      </c>
      <c r="AH146" s="94">
        <f ca="1">SUMIF(Формы!A:A,D146,Формы!B:B)</f>
        <v>1</v>
      </c>
      <c r="AI146" s="94">
        <f ca="1">IF(IFERROR(VLOOKUP(J146,Материал!D:D,1,0),0)&gt;0,1,SUMIF(Материал!A:A,K146,Материал!B:B))</f>
        <v>1</v>
      </c>
      <c r="AJ146" s="94">
        <f ca="1">SUMIF(Размеры!A:A,S146,Размеры!E:E)</f>
        <v>1</v>
      </c>
      <c r="AK146" s="94">
        <f ca="1">SUMIF(Сезон!A:A,F146,Сезон!B:B)</f>
        <v>1</v>
      </c>
      <c r="AL146" s="94">
        <f ca="1">VLOOKUP(I146,ЦветПолный!A:C,3,0)</f>
        <v>1</v>
      </c>
      <c r="AM146" s="94">
        <f ca="1">SUMIF(Цвет!A:A,Z146,Цвет!B:B)</f>
        <v>1</v>
      </c>
      <c r="AN146" s="94">
        <f ca="1">_xlfn.XLOOKUP(L146,Пол!A:A,Пол!B:B,0,0)</f>
        <v>1</v>
      </c>
      <c r="AO146" s="94">
        <f ca="1">SUMIF(Бренд!A:A,G146,Бренд!B:B)</f>
        <v>1</v>
      </c>
      <c r="AP146" s="137">
        <f ca="1">SUMIF(Страна!A:A,M146,Страна!B:B)</f>
        <v>1</v>
      </c>
      <c r="AQ146" s="150" t="str">
        <f t="shared" ca="1" si="37"/>
        <v>Кепка FREDRIKSON арт. 3125-641/76 (серый) {641/76}</v>
      </c>
      <c r="AR146" s="94">
        <f t="shared" ca="1" si="38"/>
        <v>1</v>
      </c>
      <c r="AS146" s="143">
        <f t="shared" ca="1" si="39"/>
        <v>1</v>
      </c>
      <c r="AT146" s="138" t="str">
        <f ca="1">IF(IFERROR(VLOOKUP(W146,Товары!A:B,2,FALSE),"")=A146,"Есть в 1С","ERR")</f>
        <v>Есть в 1С</v>
      </c>
      <c r="AU146" s="139" t="str">
        <f ca="1">IF(IFERROR(VLOOKUP(A146,Товары!B:B,1,FALSE),"")=A146,"Есть в 1С","ERR")</f>
        <v>Есть в 1С</v>
      </c>
      <c r="AV146" s="93" t="str">
        <f ca="1">VLOOKUP(W146,Товары!A:B,2,FALSE)</f>
        <v>95-034-80</v>
      </c>
      <c r="AW146" s="91" t="str">
        <f ca="1">VLOOKUP(W146,Товары!A:B,1,FALSE)</f>
        <v>Кепка FREDRIKSON арт. 3125-641/76 (серый) {641/76}</v>
      </c>
    </row>
    <row r="147" spans="1:49" x14ac:dyDescent="0.25">
      <c r="A147" s="105" t="str">
        <f t="shared" ca="1" si="32"/>
        <v>95-034-80</v>
      </c>
      <c r="B147" s="78" t="str">
        <f ca="1">_xlfn.LET(_xlpm.CAPS,VLOOKUP(G147,Caps!A:B,2,0),_xlpm.Style,TRIM(_xlfn.XLOOKUP($A147,Строчный!$A:$A,Строчный!B:B,"ERR",0)),IF(_xlpm.CAPS=0,_xlpm.Style,UPPER(_xlpm.Style)))</f>
        <v>3125-641/76</v>
      </c>
      <c r="C147" s="78" t="str">
        <f ca="1">TRIM(PROPER(_xlfn.XLOOKUP($A147,Строчный!$A:$A,Строчный!C:C,"ERR",0)))</f>
        <v>Кепки</v>
      </c>
      <c r="D147" s="78" t="str">
        <f ca="1">_xlfn.LET(_xlpm.DATA,TRIM(_xlfn.XLOOKUP($A147,Строчный!$A:$A,Строчный!D:D,"ERR",0)),UPPER(MID(_xlpm.DATA,1,1))&amp;LOWER(MID(_xlpm.DATA,2,LEN(_xlpm.DATA)-1)))</f>
        <v>Кепка плоская</v>
      </c>
      <c r="E147" s="78" t="str">
        <f ca="1">PROPER(TRIM(_xlfn.XLOOKUP($A147,Строчный!$A:$A,Строчный!E:E,"ERR",0)))</f>
        <v>Fredrikson</v>
      </c>
      <c r="F147" s="78" t="str">
        <f ca="1">LOWER(TRIM(_xlfn.XLOOKUP($A147,Строчный!$A:$A,Строчный!F:F,"ERR",0)))</f>
        <v>всесезон</v>
      </c>
      <c r="G147" s="78" t="str">
        <f ca="1">UPPER(TRIM(_xlfn.XLOOKUP($A147,Строчный!$A:$A,Строчный!G:G,"ERR",0)))</f>
        <v>FREDRIKSON</v>
      </c>
      <c r="H147" s="78" t="str">
        <f ca="1">LOWER(TRIM(_xlfn.XLOOKUP($A147,Строчный!$A:$A,Строчный!H:H,"ERR",0)))</f>
        <v>641/76</v>
      </c>
      <c r="I147" s="78" t="str">
        <f ca="1">LOWER(TRIM(_xlfn.XLOOKUP($A147,Строчный!$A:$A,Строчный!I:I,"ERR",0)))</f>
        <v>серый</v>
      </c>
      <c r="J147" s="78" t="str">
        <f ca="1">SUBSTITUTE(LOWER(TRIM(_xlfn.XLOOKUP($A147,Строчный!$A:$A,Строчный!J:J,"ERR",0))),"подклад","Подклад")</f>
        <v>80% шерсть - 20% полиамид / Подклад: 100% вискоза</v>
      </c>
      <c r="K147" s="78" t="str">
        <f ca="1">LOWER(TRIM(_xlfn.XLOOKUP($A147,Строчный!$A:$A,Строчный!K:K,"ERR",0)))</f>
        <v>шерстяные</v>
      </c>
      <c r="L147" s="78" t="str">
        <f ca="1">PROPER(TRIM(_xlfn.XLOOKUP($A147,Строчный!$A:$A,Строчный!L:L,"ERR",0)))</f>
        <v>Унисекс</v>
      </c>
      <c r="M147" s="105" t="str">
        <f ca="1">PROPER(TRIM(_xlfn.XLOOKUP($A147,Строчный!$A:$A,Строчный!M:M,"ERR",0)))</f>
        <v>Россия</v>
      </c>
      <c r="N147" s="78" t="str">
        <f ca="1">UPPER(TRIM(_xlfn.XLOOKUP($A147,Строчный!$A:$A,Строчный!O:O,"ERR",0)))</f>
        <v/>
      </c>
      <c r="O147" s="99" t="str">
        <f ca="1">PROPER(TRIM(_xlfn.XLOOKUP($A147,Строчный!$A:$A,Строчный!P:P,"ERR",0)))</f>
        <v/>
      </c>
      <c r="P147" s="78" t="str">
        <f ca="1">PROPER(TRIM(_xlfn.XLOOKUP($A147,Строчный!$A:$A,Строчный!R:R,"ERR",0)))</f>
        <v/>
      </c>
      <c r="Q147" s="87">
        <f ca="1">VALUE(_xlfn.XLOOKUP($A147,Строчный!$A:$A,Строчный!N:N,"ERR",0))</f>
        <v>975.8</v>
      </c>
      <c r="R147" s="86" t="str">
        <f ca="1">_xlfn.XLOOKUP($G147,Фабрика!A:A,Фабрика!B:B,"ERR",0)</f>
        <v>ООО "ФРЭДРИКСОН" Россия 192029, С-Петербург, пр. Обуховской обороны, д.86, лит М</v>
      </c>
      <c r="S147" s="77" t="str">
        <f ca="1">_xlfn.XLOOKUP(RIGHT(AA147,2),Размеры!D:D,Размеры!A:A,"ERR",0)</f>
        <v>58</v>
      </c>
      <c r="T147" s="77">
        <f ca="1">VALUE(_xlfn.XLOOKUP($AA147,Строчный!$S:$S,Строчный!U:U,"ERR",0))</f>
        <v>10</v>
      </c>
      <c r="U147" s="14" t="s">
        <v>241</v>
      </c>
      <c r="V147" s="98" t="str">
        <f t="shared" ca="1" si="33"/>
        <v>Кепка FREDRIKSON арт. 3125-641/76 (серый)</v>
      </c>
      <c r="W147" s="97" t="str">
        <f t="shared" ca="1" si="34"/>
        <v>Кепка FREDRIKSON арт. 3125-641/76 (серый) {641/76}</v>
      </c>
      <c r="X147" s="18" t="str">
        <f t="shared" ca="1" si="35"/>
        <v>серый</v>
      </c>
      <c r="Y147" s="18" t="str">
        <f t="shared" ca="1" si="36"/>
        <v>серый</v>
      </c>
      <c r="Z147" s="109" t="str">
        <f ca="1">_xlfn.LET(_xlpm.FormColors,_xlfn.XLOOKUP(A147,Строчный!A:A,Строчный!Q:Q,"",0),IF(_xlpm.FormColors=0,IFERROR(MID(I147,FIND("-",I147)+1,LEN(I147)),IFERROR(MID(I147,1,FIND("/",I147)-2),I147)),_xlpm.FormColors))</f>
        <v>серый</v>
      </c>
      <c r="AA147" s="70" t="str">
        <f ca="1"/>
        <v>95-034-80-58</v>
      </c>
      <c r="AB147" s="72" t="str">
        <f ca="1">VLOOKUP(C147,Группа!A:B,2,FALSE)</f>
        <v>Кепка</v>
      </c>
      <c r="AC147" s="94" t="str">
        <f ca="1">IFERROR(VLOOKUP(S147,Размеры!A:C,3,FALSE),"")</f>
        <v>58 M/L</v>
      </c>
      <c r="AD147" s="94" t="str">
        <f ca="1">VLOOKUP(I147,ЦветПолный!A:B,2,FALSE)</f>
        <v>80</v>
      </c>
      <c r="AE147" s="94" t="str">
        <f ca="1">IFERROR(VLOOKUP(S147,Размеры!A:D,4,FALSE),"")</f>
        <v>58</v>
      </c>
      <c r="AF147" s="94">
        <f ca="1">SUMIF(Группа!A:A,C147,Группа!C:C)</f>
        <v>1</v>
      </c>
      <c r="AG147" s="94">
        <f ca="1">SUMIF(Группа!B:B,AB147,Группа!C:C)</f>
        <v>1</v>
      </c>
      <c r="AH147" s="94">
        <f ca="1">SUMIF(Формы!A:A,D147,Формы!B:B)</f>
        <v>1</v>
      </c>
      <c r="AI147" s="94">
        <f ca="1">IF(IFERROR(VLOOKUP(J147,Материал!D:D,1,0),0)&gt;0,1,SUMIF(Материал!A:A,K147,Материал!B:B))</f>
        <v>1</v>
      </c>
      <c r="AJ147" s="94">
        <f ca="1">SUMIF(Размеры!A:A,S147,Размеры!E:E)</f>
        <v>1</v>
      </c>
      <c r="AK147" s="94">
        <f ca="1">SUMIF(Сезон!A:A,F147,Сезон!B:B)</f>
        <v>1</v>
      </c>
      <c r="AL147" s="94">
        <f ca="1">VLOOKUP(I147,ЦветПолный!A:C,3,0)</f>
        <v>1</v>
      </c>
      <c r="AM147" s="94">
        <f ca="1">SUMIF(Цвет!A:A,Z147,Цвет!B:B)</f>
        <v>1</v>
      </c>
      <c r="AN147" s="94">
        <f ca="1">_xlfn.XLOOKUP(L147,Пол!A:A,Пол!B:B,0,0)</f>
        <v>1</v>
      </c>
      <c r="AO147" s="94">
        <f ca="1">SUMIF(Бренд!A:A,G147,Бренд!B:B)</f>
        <v>1</v>
      </c>
      <c r="AP147" s="137">
        <f ca="1">SUMIF(Страна!A:A,M147,Страна!B:B)</f>
        <v>1</v>
      </c>
      <c r="AQ147" s="150" t="str">
        <f t="shared" ca="1" si="37"/>
        <v>Кепка FREDRIKSON арт. 3125-641/76 (серый) {641/76}</v>
      </c>
      <c r="AR147" s="94">
        <f t="shared" ca="1" si="38"/>
        <v>1</v>
      </c>
      <c r="AS147" s="143">
        <f t="shared" ca="1" si="39"/>
        <v>1</v>
      </c>
      <c r="AT147" s="138" t="str">
        <f ca="1">IF(IFERROR(VLOOKUP(W147,Товары!A:B,2,FALSE),"")=A147,"Есть в 1С","ERR")</f>
        <v>Есть в 1С</v>
      </c>
      <c r="AU147" s="139" t="str">
        <f ca="1">IF(IFERROR(VLOOKUP(A147,Товары!B:B,1,FALSE),"")=A147,"Есть в 1С","ERR")</f>
        <v>Есть в 1С</v>
      </c>
      <c r="AV147" s="93" t="str">
        <f ca="1">VLOOKUP(W147,Товары!A:B,2,FALSE)</f>
        <v>95-034-80</v>
      </c>
      <c r="AW147" s="91" t="str">
        <f ca="1">VLOOKUP(W147,Товары!A:B,1,FALSE)</f>
        <v>Кепка FREDRIKSON арт. 3125-641/76 (серый) {641/76}</v>
      </c>
    </row>
    <row r="148" spans="1:49" x14ac:dyDescent="0.25">
      <c r="A148" s="105" t="str">
        <f t="shared" ca="1" si="32"/>
        <v>95-034-80</v>
      </c>
      <c r="B148" s="78" t="str">
        <f ca="1">_xlfn.LET(_xlpm.CAPS,VLOOKUP(G148,Caps!A:B,2,0),_xlpm.Style,TRIM(_xlfn.XLOOKUP($A148,Строчный!$A:$A,Строчный!B:B,"ERR",0)),IF(_xlpm.CAPS=0,_xlpm.Style,UPPER(_xlpm.Style)))</f>
        <v>3125-641/76</v>
      </c>
      <c r="C148" s="78" t="str">
        <f ca="1">TRIM(PROPER(_xlfn.XLOOKUP($A148,Строчный!$A:$A,Строчный!C:C,"ERR",0)))</f>
        <v>Кепки</v>
      </c>
      <c r="D148" s="78" t="str">
        <f ca="1">_xlfn.LET(_xlpm.DATA,TRIM(_xlfn.XLOOKUP($A148,Строчный!$A:$A,Строчный!D:D,"ERR",0)),UPPER(MID(_xlpm.DATA,1,1))&amp;LOWER(MID(_xlpm.DATA,2,LEN(_xlpm.DATA)-1)))</f>
        <v>Кепка плоская</v>
      </c>
      <c r="E148" s="78" t="str">
        <f ca="1">PROPER(TRIM(_xlfn.XLOOKUP($A148,Строчный!$A:$A,Строчный!E:E,"ERR",0)))</f>
        <v>Fredrikson</v>
      </c>
      <c r="F148" s="78" t="str">
        <f ca="1">LOWER(TRIM(_xlfn.XLOOKUP($A148,Строчный!$A:$A,Строчный!F:F,"ERR",0)))</f>
        <v>всесезон</v>
      </c>
      <c r="G148" s="78" t="str">
        <f ca="1">UPPER(TRIM(_xlfn.XLOOKUP($A148,Строчный!$A:$A,Строчный!G:G,"ERR",0)))</f>
        <v>FREDRIKSON</v>
      </c>
      <c r="H148" s="78" t="str">
        <f ca="1">LOWER(TRIM(_xlfn.XLOOKUP($A148,Строчный!$A:$A,Строчный!H:H,"ERR",0)))</f>
        <v>641/76</v>
      </c>
      <c r="I148" s="78" t="str">
        <f ca="1">LOWER(TRIM(_xlfn.XLOOKUP($A148,Строчный!$A:$A,Строчный!I:I,"ERR",0)))</f>
        <v>серый</v>
      </c>
      <c r="J148" s="78" t="str">
        <f ca="1">SUBSTITUTE(LOWER(TRIM(_xlfn.XLOOKUP($A148,Строчный!$A:$A,Строчный!J:J,"ERR",0))),"подклад","Подклад")</f>
        <v>80% шерсть - 20% полиамид / Подклад: 100% вискоза</v>
      </c>
      <c r="K148" s="78" t="str">
        <f ca="1">LOWER(TRIM(_xlfn.XLOOKUP($A148,Строчный!$A:$A,Строчный!K:K,"ERR",0)))</f>
        <v>шерстяные</v>
      </c>
      <c r="L148" s="78" t="str">
        <f ca="1">PROPER(TRIM(_xlfn.XLOOKUP($A148,Строчный!$A:$A,Строчный!L:L,"ERR",0)))</f>
        <v>Унисекс</v>
      </c>
      <c r="M148" s="105" t="str">
        <f ca="1">PROPER(TRIM(_xlfn.XLOOKUP($A148,Строчный!$A:$A,Строчный!M:M,"ERR",0)))</f>
        <v>Россия</v>
      </c>
      <c r="N148" s="78" t="str">
        <f ca="1">UPPER(TRIM(_xlfn.XLOOKUP($A148,Строчный!$A:$A,Строчный!O:O,"ERR",0)))</f>
        <v/>
      </c>
      <c r="O148" s="99" t="str">
        <f ca="1">PROPER(TRIM(_xlfn.XLOOKUP($A148,Строчный!$A:$A,Строчный!P:P,"ERR",0)))</f>
        <v/>
      </c>
      <c r="P148" s="78" t="str">
        <f ca="1">PROPER(TRIM(_xlfn.XLOOKUP($A148,Строчный!$A:$A,Строчный!R:R,"ERR",0)))</f>
        <v/>
      </c>
      <c r="Q148" s="87">
        <f ca="1">VALUE(_xlfn.XLOOKUP($A148,Строчный!$A:$A,Строчный!N:N,"ERR",0))</f>
        <v>975.8</v>
      </c>
      <c r="R148" s="86" t="str">
        <f ca="1">_xlfn.XLOOKUP($G148,Фабрика!A:A,Фабрика!B:B,"ERR",0)</f>
        <v>ООО "ФРЭДРИКСОН" Россия 192029, С-Петербург, пр. Обуховской обороны, д.86, лит М</v>
      </c>
      <c r="S148" s="77" t="str">
        <f ca="1">_xlfn.XLOOKUP(RIGHT(AA148,2),Размеры!D:D,Размеры!A:A,"ERR",0)</f>
        <v>57</v>
      </c>
      <c r="T148" s="77">
        <f ca="1">VALUE(_xlfn.XLOOKUP($AA148,Строчный!$S:$S,Строчный!U:U,"ERR",0))</f>
        <v>8</v>
      </c>
      <c r="U148" s="14" t="s">
        <v>241</v>
      </c>
      <c r="V148" s="98" t="str">
        <f t="shared" ca="1" si="33"/>
        <v>Кепка FREDRIKSON арт. 3125-641/76 (серый)</v>
      </c>
      <c r="W148" s="97" t="str">
        <f t="shared" ca="1" si="34"/>
        <v>Кепка FREDRIKSON арт. 3125-641/76 (серый) {641/76}</v>
      </c>
      <c r="X148" s="18" t="str">
        <f t="shared" ca="1" si="35"/>
        <v>серый</v>
      </c>
      <c r="Y148" s="18" t="str">
        <f t="shared" ca="1" si="36"/>
        <v>серый</v>
      </c>
      <c r="Z148" s="109" t="str">
        <f ca="1">_xlfn.LET(_xlpm.FormColors,_xlfn.XLOOKUP(A148,Строчный!A:A,Строчный!Q:Q,"",0),IF(_xlpm.FormColors=0,IFERROR(MID(I148,FIND("-",I148)+1,LEN(I148)),IFERROR(MID(I148,1,FIND("/",I148)-2),I148)),_xlpm.FormColors))</f>
        <v>серый</v>
      </c>
      <c r="AA148" s="70" t="str">
        <f ca="1"/>
        <v>95-034-80-57</v>
      </c>
      <c r="AB148" s="72" t="str">
        <f ca="1">VLOOKUP(C148,Группа!A:B,2,FALSE)</f>
        <v>Кепка</v>
      </c>
      <c r="AC148" s="94" t="str">
        <f ca="1">IFERROR(VLOOKUP(S148,Размеры!A:C,3,FALSE),"")</f>
        <v>57 M</v>
      </c>
      <c r="AD148" s="94" t="str">
        <f ca="1">VLOOKUP(I148,ЦветПолный!A:B,2,FALSE)</f>
        <v>80</v>
      </c>
      <c r="AE148" s="94" t="str">
        <f ca="1">IFERROR(VLOOKUP(S148,Размеры!A:D,4,FALSE),"")</f>
        <v>57</v>
      </c>
      <c r="AF148" s="94">
        <f ca="1">SUMIF(Группа!A:A,C148,Группа!C:C)</f>
        <v>1</v>
      </c>
      <c r="AG148" s="94">
        <f ca="1">SUMIF(Группа!B:B,AB148,Группа!C:C)</f>
        <v>1</v>
      </c>
      <c r="AH148" s="94">
        <f ca="1">SUMIF(Формы!A:A,D148,Формы!B:B)</f>
        <v>1</v>
      </c>
      <c r="AI148" s="94">
        <f ca="1">IF(IFERROR(VLOOKUP(J148,Материал!D:D,1,0),0)&gt;0,1,SUMIF(Материал!A:A,K148,Материал!B:B))</f>
        <v>1</v>
      </c>
      <c r="AJ148" s="94">
        <f ca="1">SUMIF(Размеры!A:A,S148,Размеры!E:E)</f>
        <v>1</v>
      </c>
      <c r="AK148" s="94">
        <f ca="1">SUMIF(Сезон!A:A,F148,Сезон!B:B)</f>
        <v>1</v>
      </c>
      <c r="AL148" s="94">
        <f ca="1">VLOOKUP(I148,ЦветПолный!A:C,3,0)</f>
        <v>1</v>
      </c>
      <c r="AM148" s="94">
        <f ca="1">SUMIF(Цвет!A:A,Z148,Цвет!B:B)</f>
        <v>1</v>
      </c>
      <c r="AN148" s="94">
        <f ca="1">_xlfn.XLOOKUP(L148,Пол!A:A,Пол!B:B,0,0)</f>
        <v>1</v>
      </c>
      <c r="AO148" s="94">
        <f ca="1">SUMIF(Бренд!A:A,G148,Бренд!B:B)</f>
        <v>1</v>
      </c>
      <c r="AP148" s="137">
        <f ca="1">SUMIF(Страна!A:A,M148,Страна!B:B)</f>
        <v>1</v>
      </c>
      <c r="AQ148" s="150" t="str">
        <f t="shared" ca="1" si="37"/>
        <v>Кепка FREDRIKSON арт. 3125-641/76 (серый) {641/76}</v>
      </c>
      <c r="AR148" s="94">
        <f t="shared" ca="1" si="38"/>
        <v>1</v>
      </c>
      <c r="AS148" s="143">
        <f t="shared" ca="1" si="39"/>
        <v>1</v>
      </c>
      <c r="AT148" s="138" t="str">
        <f ca="1">IF(IFERROR(VLOOKUP(W148,Товары!A:B,2,FALSE),"")=A148,"Есть в 1С","ERR")</f>
        <v>Есть в 1С</v>
      </c>
      <c r="AU148" s="139" t="str">
        <f ca="1">IF(IFERROR(VLOOKUP(A148,Товары!B:B,1,FALSE),"")=A148,"Есть в 1С","ERR")</f>
        <v>Есть в 1С</v>
      </c>
      <c r="AV148" s="93" t="str">
        <f ca="1">VLOOKUP(W148,Товары!A:B,2,FALSE)</f>
        <v>95-034-80</v>
      </c>
      <c r="AW148" s="91" t="str">
        <f ca="1">VLOOKUP(W148,Товары!A:B,1,FALSE)</f>
        <v>Кепка FREDRIKSON арт. 3125-641/76 (серый) {641/76}</v>
      </c>
    </row>
    <row r="149" spans="1:49" x14ac:dyDescent="0.25">
      <c r="A149" s="105" t="str">
        <f t="shared" ca="1" si="32"/>
        <v>95-034-80</v>
      </c>
      <c r="B149" s="78" t="str">
        <f ca="1">_xlfn.LET(_xlpm.CAPS,VLOOKUP(G149,Caps!A:B,2,0),_xlpm.Style,TRIM(_xlfn.XLOOKUP($A149,Строчный!$A:$A,Строчный!B:B,"ERR",0)),IF(_xlpm.CAPS=0,_xlpm.Style,UPPER(_xlpm.Style)))</f>
        <v>3125-641/76</v>
      </c>
      <c r="C149" s="78" t="str">
        <f ca="1">TRIM(PROPER(_xlfn.XLOOKUP($A149,Строчный!$A:$A,Строчный!C:C,"ERR",0)))</f>
        <v>Кепки</v>
      </c>
      <c r="D149" s="78" t="str">
        <f ca="1">_xlfn.LET(_xlpm.DATA,TRIM(_xlfn.XLOOKUP($A149,Строчный!$A:$A,Строчный!D:D,"ERR",0)),UPPER(MID(_xlpm.DATA,1,1))&amp;LOWER(MID(_xlpm.DATA,2,LEN(_xlpm.DATA)-1)))</f>
        <v>Кепка плоская</v>
      </c>
      <c r="E149" s="78" t="str">
        <f ca="1">PROPER(TRIM(_xlfn.XLOOKUP($A149,Строчный!$A:$A,Строчный!E:E,"ERR",0)))</f>
        <v>Fredrikson</v>
      </c>
      <c r="F149" s="78" t="str">
        <f ca="1">LOWER(TRIM(_xlfn.XLOOKUP($A149,Строчный!$A:$A,Строчный!F:F,"ERR",0)))</f>
        <v>всесезон</v>
      </c>
      <c r="G149" s="78" t="str">
        <f ca="1">UPPER(TRIM(_xlfn.XLOOKUP($A149,Строчный!$A:$A,Строчный!G:G,"ERR",0)))</f>
        <v>FREDRIKSON</v>
      </c>
      <c r="H149" s="78" t="str">
        <f ca="1">LOWER(TRIM(_xlfn.XLOOKUP($A149,Строчный!$A:$A,Строчный!H:H,"ERR",0)))</f>
        <v>641/76</v>
      </c>
      <c r="I149" s="78" t="str">
        <f ca="1">LOWER(TRIM(_xlfn.XLOOKUP($A149,Строчный!$A:$A,Строчный!I:I,"ERR",0)))</f>
        <v>серый</v>
      </c>
      <c r="J149" s="78" t="str">
        <f ca="1">SUBSTITUTE(LOWER(TRIM(_xlfn.XLOOKUP($A149,Строчный!$A:$A,Строчный!J:J,"ERR",0))),"подклад","Подклад")</f>
        <v>80% шерсть - 20% полиамид / Подклад: 100% вискоза</v>
      </c>
      <c r="K149" s="78" t="str">
        <f ca="1">LOWER(TRIM(_xlfn.XLOOKUP($A149,Строчный!$A:$A,Строчный!K:K,"ERR",0)))</f>
        <v>шерстяные</v>
      </c>
      <c r="L149" s="78" t="str">
        <f ca="1">PROPER(TRIM(_xlfn.XLOOKUP($A149,Строчный!$A:$A,Строчный!L:L,"ERR",0)))</f>
        <v>Унисекс</v>
      </c>
      <c r="M149" s="105" t="str">
        <f ca="1">PROPER(TRIM(_xlfn.XLOOKUP($A149,Строчный!$A:$A,Строчный!M:M,"ERR",0)))</f>
        <v>Россия</v>
      </c>
      <c r="N149" s="78" t="str">
        <f ca="1">UPPER(TRIM(_xlfn.XLOOKUP($A149,Строчный!$A:$A,Строчный!O:O,"ERR",0)))</f>
        <v/>
      </c>
      <c r="O149" s="99" t="str">
        <f ca="1">PROPER(TRIM(_xlfn.XLOOKUP($A149,Строчный!$A:$A,Строчный!P:P,"ERR",0)))</f>
        <v/>
      </c>
      <c r="P149" s="78" t="str">
        <f ca="1">PROPER(TRIM(_xlfn.XLOOKUP($A149,Строчный!$A:$A,Строчный!R:R,"ERR",0)))</f>
        <v/>
      </c>
      <c r="Q149" s="87">
        <f ca="1">VALUE(_xlfn.XLOOKUP($A149,Строчный!$A:$A,Строчный!N:N,"ERR",0))</f>
        <v>975.8</v>
      </c>
      <c r="R149" s="86" t="str">
        <f ca="1">_xlfn.XLOOKUP($G149,Фабрика!A:A,Фабрика!B:B,"ERR",0)</f>
        <v>ООО "ФРЭДРИКСОН" Россия 192029, С-Петербург, пр. Обуховской обороны, д.86, лит М</v>
      </c>
      <c r="S149" s="77" t="str">
        <f ca="1">_xlfn.XLOOKUP(RIGHT(AA149,2),Размеры!D:D,Размеры!A:A,"ERR",0)</f>
        <v>56</v>
      </c>
      <c r="T149" s="77">
        <f ca="1">VALUE(_xlfn.XLOOKUP($AA149,Строчный!$S:$S,Строчный!U:U,"ERR",0))</f>
        <v>3</v>
      </c>
      <c r="U149" s="14" t="s">
        <v>241</v>
      </c>
      <c r="V149" s="98" t="str">
        <f t="shared" ca="1" si="33"/>
        <v>Кепка FREDRIKSON арт. 3125-641/76 (серый)</v>
      </c>
      <c r="W149" s="97" t="str">
        <f t="shared" ca="1" si="34"/>
        <v>Кепка FREDRIKSON арт. 3125-641/76 (серый) {641/76}</v>
      </c>
      <c r="X149" s="18" t="str">
        <f t="shared" ca="1" si="35"/>
        <v>серый</v>
      </c>
      <c r="Y149" s="18" t="str">
        <f t="shared" ca="1" si="36"/>
        <v>серый</v>
      </c>
      <c r="Z149" s="109" t="str">
        <f ca="1">_xlfn.LET(_xlpm.FormColors,_xlfn.XLOOKUP(A149,Строчный!A:A,Строчный!Q:Q,"",0),IF(_xlpm.FormColors=0,IFERROR(MID(I149,FIND("-",I149)+1,LEN(I149)),IFERROR(MID(I149,1,FIND("/",I149)-2),I149)),_xlpm.FormColors))</f>
        <v>серый</v>
      </c>
      <c r="AA149" s="70" t="str">
        <f ca="1"/>
        <v>95-034-80-56</v>
      </c>
      <c r="AB149" s="72" t="str">
        <f ca="1">VLOOKUP(C149,Группа!A:B,2,FALSE)</f>
        <v>Кепка</v>
      </c>
      <c r="AC149" s="94" t="str">
        <f ca="1">IFERROR(VLOOKUP(S149,Размеры!A:C,3,FALSE),"")</f>
        <v>56 S/M</v>
      </c>
      <c r="AD149" s="94" t="str">
        <f ca="1">VLOOKUP(I149,ЦветПолный!A:B,2,FALSE)</f>
        <v>80</v>
      </c>
      <c r="AE149" s="94" t="str">
        <f ca="1">IFERROR(VLOOKUP(S149,Размеры!A:D,4,FALSE),"")</f>
        <v>56</v>
      </c>
      <c r="AF149" s="94">
        <f ca="1">SUMIF(Группа!A:A,C149,Группа!C:C)</f>
        <v>1</v>
      </c>
      <c r="AG149" s="94">
        <f ca="1">SUMIF(Группа!B:B,AB149,Группа!C:C)</f>
        <v>1</v>
      </c>
      <c r="AH149" s="94">
        <f ca="1">SUMIF(Формы!A:A,D149,Формы!B:B)</f>
        <v>1</v>
      </c>
      <c r="AI149" s="94">
        <f ca="1">IF(IFERROR(VLOOKUP(J149,Материал!D:D,1,0),0)&gt;0,1,SUMIF(Материал!A:A,K149,Материал!B:B))</f>
        <v>1</v>
      </c>
      <c r="AJ149" s="94">
        <f ca="1">SUMIF(Размеры!A:A,S149,Размеры!E:E)</f>
        <v>1</v>
      </c>
      <c r="AK149" s="94">
        <f ca="1">SUMIF(Сезон!A:A,F149,Сезон!B:B)</f>
        <v>1</v>
      </c>
      <c r="AL149" s="94">
        <f ca="1">VLOOKUP(I149,ЦветПолный!A:C,3,0)</f>
        <v>1</v>
      </c>
      <c r="AM149" s="94">
        <f ca="1">SUMIF(Цвет!A:A,Z149,Цвет!B:B)</f>
        <v>1</v>
      </c>
      <c r="AN149" s="94">
        <f ca="1">_xlfn.XLOOKUP(L149,Пол!A:A,Пол!B:B,0,0)</f>
        <v>1</v>
      </c>
      <c r="AO149" s="94">
        <f ca="1">SUMIF(Бренд!A:A,G149,Бренд!B:B)</f>
        <v>1</v>
      </c>
      <c r="AP149" s="137">
        <f ca="1">SUMIF(Страна!A:A,M149,Страна!B:B)</f>
        <v>1</v>
      </c>
      <c r="AQ149" s="150" t="str">
        <f t="shared" ca="1" si="37"/>
        <v>Кепка FREDRIKSON арт. 3125-641/76 (серый) {641/76}</v>
      </c>
      <c r="AR149" s="94">
        <f t="shared" ca="1" si="38"/>
        <v>1</v>
      </c>
      <c r="AS149" s="143">
        <f t="shared" ca="1" si="39"/>
        <v>1</v>
      </c>
      <c r="AT149" s="138" t="str">
        <f ca="1">IF(IFERROR(VLOOKUP(W149,Товары!A:B,2,FALSE),"")=A149,"Есть в 1С","ERR")</f>
        <v>Есть в 1С</v>
      </c>
      <c r="AU149" s="139" t="str">
        <f ca="1">IF(IFERROR(VLOOKUP(A149,Товары!B:B,1,FALSE),"")=A149,"Есть в 1С","ERR")</f>
        <v>Есть в 1С</v>
      </c>
      <c r="AV149" s="93" t="str">
        <f ca="1">VLOOKUP(W149,Товары!A:B,2,FALSE)</f>
        <v>95-034-80</v>
      </c>
      <c r="AW149" s="91" t="str">
        <f ca="1">VLOOKUP(W149,Товары!A:B,1,FALSE)</f>
        <v>Кепка FREDRIKSON арт. 3125-641/76 (серый) {641/76}</v>
      </c>
    </row>
    <row r="150" spans="1:49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49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49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49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49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49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49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49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49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49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49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8" t="s">
        <v>28941</v>
      </c>
      <c r="B2" s="148">
        <v>0</v>
      </c>
    </row>
    <row r="3" spans="1:2" x14ac:dyDescent="0.2">
      <c r="A3" s="148" t="s">
        <v>28527</v>
      </c>
      <c r="B3" s="148">
        <v>1</v>
      </c>
    </row>
    <row r="4" spans="1:2" x14ac:dyDescent="0.2">
      <c r="A4" s="148" t="s">
        <v>25576</v>
      </c>
      <c r="B4" s="148">
        <v>0</v>
      </c>
    </row>
    <row r="5" spans="1:2" x14ac:dyDescent="0.2">
      <c r="A5" s="148" t="s">
        <v>25561</v>
      </c>
      <c r="B5" s="148">
        <v>1</v>
      </c>
    </row>
    <row r="6" spans="1:2" x14ac:dyDescent="0.2">
      <c r="A6" s="148" t="s">
        <v>28948</v>
      </c>
      <c r="B6" s="148">
        <v>1</v>
      </c>
    </row>
    <row r="7" spans="1:2" x14ac:dyDescent="0.2">
      <c r="A7" s="148" t="s">
        <v>28949</v>
      </c>
      <c r="B7" s="148">
        <v>1</v>
      </c>
    </row>
    <row r="8" spans="1:2" x14ac:dyDescent="0.2">
      <c r="A8" s="148" t="s">
        <v>25568</v>
      </c>
      <c r="B8" s="148">
        <v>1</v>
      </c>
    </row>
    <row r="9" spans="1:2" x14ac:dyDescent="0.2">
      <c r="A9" s="148" t="s">
        <v>25581</v>
      </c>
      <c r="B9" s="148">
        <v>1</v>
      </c>
    </row>
    <row r="10" spans="1:2" x14ac:dyDescent="0.2">
      <c r="A10" s="148" t="s">
        <v>25577</v>
      </c>
      <c r="B10" s="148">
        <v>0</v>
      </c>
    </row>
    <row r="11" spans="1:2" x14ac:dyDescent="0.2">
      <c r="A11" s="148" t="s">
        <v>25562</v>
      </c>
      <c r="B11" s="148">
        <v>0</v>
      </c>
    </row>
    <row r="12" spans="1:2" x14ac:dyDescent="0.2">
      <c r="A12" s="148" t="s">
        <v>25573</v>
      </c>
      <c r="B12" s="148">
        <v>0</v>
      </c>
    </row>
    <row r="13" spans="1:2" x14ac:dyDescent="0.2">
      <c r="A13" s="148" t="s">
        <v>25563</v>
      </c>
      <c r="B13" s="148">
        <v>0</v>
      </c>
    </row>
    <row r="14" spans="1:2" x14ac:dyDescent="0.2">
      <c r="A14" s="148" t="s">
        <v>27488</v>
      </c>
      <c r="B14" s="148">
        <v>1</v>
      </c>
    </row>
    <row r="15" spans="1:2" x14ac:dyDescent="0.2">
      <c r="A15" s="148" t="s">
        <v>28950</v>
      </c>
      <c r="B15" s="148">
        <v>1</v>
      </c>
    </row>
    <row r="16" spans="1:2" x14ac:dyDescent="0.2">
      <c r="A16" s="148" t="s">
        <v>28523</v>
      </c>
      <c r="B16" s="148">
        <v>0</v>
      </c>
    </row>
    <row r="17" spans="1:2" x14ac:dyDescent="0.2">
      <c r="A17" s="148" t="s">
        <v>25564</v>
      </c>
      <c r="B17" s="148">
        <v>0</v>
      </c>
    </row>
    <row r="18" spans="1:2" x14ac:dyDescent="0.2">
      <c r="A18" s="148" t="s">
        <v>79</v>
      </c>
      <c r="B18" s="148">
        <v>0</v>
      </c>
    </row>
    <row r="19" spans="1:2" x14ac:dyDescent="0.2">
      <c r="A19" s="148" t="s">
        <v>25572</v>
      </c>
      <c r="B19" s="148">
        <v>0</v>
      </c>
    </row>
    <row r="20" spans="1:2" x14ac:dyDescent="0.2">
      <c r="A20" s="148" t="s">
        <v>25565</v>
      </c>
      <c r="B20" s="148">
        <v>1</v>
      </c>
    </row>
    <row r="21" spans="1:2" x14ac:dyDescent="0.2">
      <c r="A21" s="148" t="s">
        <v>27378</v>
      </c>
      <c r="B21" s="148">
        <v>0</v>
      </c>
    </row>
    <row r="22" spans="1:2" x14ac:dyDescent="0.2">
      <c r="A22" s="148" t="s">
        <v>25547</v>
      </c>
      <c r="B22" s="148">
        <v>1</v>
      </c>
    </row>
    <row r="23" spans="1:2" x14ac:dyDescent="0.2">
      <c r="A23" s="148" t="s">
        <v>25548</v>
      </c>
      <c r="B23" s="148">
        <v>1</v>
      </c>
    </row>
    <row r="24" spans="1:2" x14ac:dyDescent="0.2">
      <c r="A24" s="148" t="s">
        <v>25569</v>
      </c>
      <c r="B24" s="148">
        <v>0</v>
      </c>
    </row>
    <row r="25" spans="1:2" x14ac:dyDescent="0.2">
      <c r="A25" s="148" t="s">
        <v>28531</v>
      </c>
      <c r="B25" s="148">
        <v>0</v>
      </c>
    </row>
    <row r="26" spans="1:2" x14ac:dyDescent="0.2">
      <c r="A26" s="148" t="s">
        <v>25574</v>
      </c>
      <c r="B26" s="148">
        <v>1</v>
      </c>
    </row>
    <row r="27" spans="1:2" x14ac:dyDescent="0.2">
      <c r="A27" s="148" t="s">
        <v>25570</v>
      </c>
      <c r="B27" s="148">
        <v>1</v>
      </c>
    </row>
    <row r="28" spans="1:2" x14ac:dyDescent="0.2">
      <c r="A28" s="148" t="s">
        <v>25571</v>
      </c>
      <c r="B28" s="148">
        <v>1</v>
      </c>
    </row>
    <row r="29" spans="1:2" x14ac:dyDescent="0.2">
      <c r="A29" s="148" t="s">
        <v>25566</v>
      </c>
      <c r="B29" s="148">
        <v>0</v>
      </c>
    </row>
    <row r="30" spans="1:2" x14ac:dyDescent="0.2">
      <c r="A30" s="148" t="s">
        <v>28942</v>
      </c>
      <c r="B30" s="148">
        <v>0</v>
      </c>
    </row>
    <row r="31" spans="1:2" x14ac:dyDescent="0.2">
      <c r="A31" s="148" t="s">
        <v>28525</v>
      </c>
      <c r="B31" s="148">
        <v>0</v>
      </c>
    </row>
    <row r="32" spans="1:2" x14ac:dyDescent="0.2">
      <c r="A32" s="148" t="s">
        <v>25589</v>
      </c>
      <c r="B32" s="148">
        <v>1</v>
      </c>
    </row>
    <row r="33" spans="1:2" x14ac:dyDescent="0.2">
      <c r="A33" s="148" t="s">
        <v>25578</v>
      </c>
      <c r="B33" s="148">
        <v>1</v>
      </c>
    </row>
    <row r="34" spans="1:2" x14ac:dyDescent="0.2">
      <c r="A34" s="148" t="s">
        <v>28529</v>
      </c>
      <c r="B34" s="148">
        <v>1</v>
      </c>
    </row>
    <row r="35" spans="1:2" x14ac:dyDescent="0.2">
      <c r="A35" s="148" t="s">
        <v>25567</v>
      </c>
      <c r="B35" s="148">
        <v>1</v>
      </c>
    </row>
    <row r="36" spans="1:2" x14ac:dyDescent="0.2">
      <c r="A36" s="148" t="s">
        <v>28530</v>
      </c>
      <c r="B36" s="148">
        <v>1</v>
      </c>
    </row>
    <row r="37" spans="1:2" x14ac:dyDescent="0.2">
      <c r="A37" s="148" t="s">
        <v>28951</v>
      </c>
      <c r="B37" s="148">
        <v>1</v>
      </c>
    </row>
    <row r="38" spans="1:2" x14ac:dyDescent="0.2">
      <c r="A38" s="148" t="s">
        <v>29051</v>
      </c>
      <c r="B38" s="148">
        <v>0</v>
      </c>
    </row>
    <row r="39" spans="1:2" x14ac:dyDescent="0.2">
      <c r="A39" s="148" t="s">
        <v>25575</v>
      </c>
      <c r="B39" s="148">
        <v>1</v>
      </c>
    </row>
    <row r="40" spans="1:2" x14ac:dyDescent="0.2">
      <c r="A40" s="148" t="s">
        <v>76</v>
      </c>
      <c r="B40" s="148">
        <v>1</v>
      </c>
    </row>
    <row r="41" spans="1:2" x14ac:dyDescent="0.2">
      <c r="A41" s="148" t="s">
        <v>28528</v>
      </c>
      <c r="B41" s="14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2" t="s">
        <v>28521</v>
      </c>
      <c r="B846" s="153" t="s">
        <v>27353</v>
      </c>
      <c r="C846" s="117">
        <v>1</v>
      </c>
    </row>
    <row r="847" spans="1:3" x14ac:dyDescent="0.25">
      <c r="A847" s="152" t="s">
        <v>28522</v>
      </c>
      <c r="B847" s="153" t="s">
        <v>27235</v>
      </c>
      <c r="C847" s="117">
        <v>1</v>
      </c>
    </row>
    <row r="848" spans="1:3" x14ac:dyDescent="0.25">
      <c r="A848" s="152" t="s">
        <v>29047</v>
      </c>
      <c r="B848" s="153" t="s">
        <v>27247</v>
      </c>
      <c r="C848" s="117">
        <v>1</v>
      </c>
    </row>
    <row r="849" spans="1:3" x14ac:dyDescent="0.25">
      <c r="A849" s="152" t="s">
        <v>29046</v>
      </c>
      <c r="B849" s="153" t="s">
        <v>27205</v>
      </c>
      <c r="C849" s="117">
        <v>1</v>
      </c>
    </row>
    <row r="850" spans="1:3" x14ac:dyDescent="0.25">
      <c r="A850" s="152" t="s">
        <v>29045</v>
      </c>
      <c r="B850" s="153" t="s">
        <v>27252</v>
      </c>
      <c r="C850" s="117">
        <v>1</v>
      </c>
    </row>
    <row r="851" spans="1:3" x14ac:dyDescent="0.25">
      <c r="A851" s="152" t="s">
        <v>29048</v>
      </c>
      <c r="B851" s="153" t="s">
        <v>27301</v>
      </c>
      <c r="C851" s="117">
        <v>1</v>
      </c>
    </row>
    <row r="852" spans="1:3" x14ac:dyDescent="0.25">
      <c r="A852" s="152" t="s">
        <v>171</v>
      </c>
      <c r="B852" s="153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0" sqref="D10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8" t="s">
        <v>25549</v>
      </c>
      <c r="B2" s="148">
        <v>1</v>
      </c>
      <c r="D2" s="148" t="s">
        <v>28957</v>
      </c>
    </row>
    <row r="3" spans="1:4" x14ac:dyDescent="0.25">
      <c r="A3" s="148" t="s">
        <v>25550</v>
      </c>
      <c r="B3" s="148">
        <v>1</v>
      </c>
      <c r="D3" s="148" t="s">
        <v>29049</v>
      </c>
    </row>
    <row r="4" spans="1:4" x14ac:dyDescent="0.25">
      <c r="A4" s="148" t="s">
        <v>25551</v>
      </c>
      <c r="B4" s="148">
        <v>1</v>
      </c>
      <c r="D4" s="148" t="s">
        <v>30217</v>
      </c>
    </row>
    <row r="5" spans="1:4" x14ac:dyDescent="0.25">
      <c r="A5" s="148" t="s">
        <v>25552</v>
      </c>
      <c r="B5" s="148">
        <v>1</v>
      </c>
      <c r="D5" s="148" t="s">
        <v>30411</v>
      </c>
    </row>
    <row r="6" spans="1:4" x14ac:dyDescent="0.25">
      <c r="A6" s="148" t="s">
        <v>25553</v>
      </c>
      <c r="B6" s="148">
        <v>1</v>
      </c>
      <c r="D6" s="148" t="s">
        <v>29050</v>
      </c>
    </row>
    <row r="7" spans="1:4" x14ac:dyDescent="0.25">
      <c r="A7" s="148" t="s">
        <v>25554</v>
      </c>
      <c r="B7" s="148">
        <v>1</v>
      </c>
    </row>
    <row r="8" spans="1:4" x14ac:dyDescent="0.25">
      <c r="A8" s="148" t="s">
        <v>25555</v>
      </c>
      <c r="B8" s="148">
        <v>1</v>
      </c>
    </row>
    <row r="9" spans="1:4" x14ac:dyDescent="0.25">
      <c r="A9" s="148" t="s">
        <v>25556</v>
      </c>
      <c r="B9" s="148">
        <v>1</v>
      </c>
    </row>
    <row r="10" spans="1:4" x14ac:dyDescent="0.25">
      <c r="A10" s="148" t="s">
        <v>25557</v>
      </c>
      <c r="B10" s="148">
        <v>1</v>
      </c>
    </row>
    <row r="11" spans="1:4" x14ac:dyDescent="0.25">
      <c r="A11" s="148" t="s">
        <v>25558</v>
      </c>
      <c r="B11" s="148">
        <v>1</v>
      </c>
    </row>
    <row r="12" spans="1:4" x14ac:dyDescent="0.25">
      <c r="A12" s="148" t="s">
        <v>25559</v>
      </c>
      <c r="B12" s="148">
        <v>1</v>
      </c>
    </row>
    <row r="13" spans="1:4" x14ac:dyDescent="0.25">
      <c r="A13" s="148" t="s">
        <v>240</v>
      </c>
      <c r="B13" s="148">
        <v>1</v>
      </c>
    </row>
    <row r="14" spans="1:4" x14ac:dyDescent="0.25">
      <c r="A14" s="148" t="s">
        <v>25560</v>
      </c>
      <c r="B14" s="148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1" t="s">
        <v>29044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29051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N2" sqref="N2:N23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30415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30418</v>
      </c>
      <c r="B2" s="77" t="s">
        <v>30439</v>
      </c>
      <c r="C2" s="77" t="s">
        <v>24</v>
      </c>
      <c r="D2" s="77" t="s">
        <v>30</v>
      </c>
      <c r="E2" s="77" t="s">
        <v>30461</v>
      </c>
      <c r="F2" s="77" t="s">
        <v>77</v>
      </c>
      <c r="G2" s="77" t="s">
        <v>28523</v>
      </c>
      <c r="H2" s="77" t="s">
        <v>30462</v>
      </c>
      <c r="I2" s="77" t="s">
        <v>21</v>
      </c>
      <c r="J2" s="80" t="s">
        <v>30470</v>
      </c>
      <c r="K2" s="77" t="s">
        <v>240</v>
      </c>
      <c r="L2" s="77" t="s">
        <v>25546</v>
      </c>
      <c r="M2" s="77" t="s">
        <v>25645</v>
      </c>
      <c r="N2" s="77">
        <v>975.8</v>
      </c>
      <c r="O2" s="77"/>
      <c r="P2" s="77"/>
      <c r="Q2" s="77"/>
      <c r="R2" s="134"/>
      <c r="S2" s="100" t="str">
        <f t="shared" ref="S2:S23" si="0">A2&amp;"-"&amp;T2</f>
        <v>95-081-80-</v>
      </c>
      <c r="Z2" s="78">
        <v>1</v>
      </c>
      <c r="AA2" s="78">
        <v>2</v>
      </c>
      <c r="AB2" s="78">
        <v>3</v>
      </c>
      <c r="AC2" s="78">
        <v>4</v>
      </c>
      <c r="AD2" s="78">
        <v>3</v>
      </c>
      <c r="AE2" s="78">
        <v>2</v>
      </c>
      <c r="AF2" s="78">
        <v>1</v>
      </c>
    </row>
    <row r="3" spans="1:45" ht="15" customHeight="1" x14ac:dyDescent="0.2">
      <c r="A3" s="77" t="s">
        <v>30419</v>
      </c>
      <c r="B3" s="77" t="s">
        <v>30440</v>
      </c>
      <c r="C3" s="77" t="s">
        <v>24</v>
      </c>
      <c r="D3" s="77" t="s">
        <v>30</v>
      </c>
      <c r="E3" s="77" t="s">
        <v>30461</v>
      </c>
      <c r="F3" s="77" t="s">
        <v>77</v>
      </c>
      <c r="G3" s="77" t="s">
        <v>28523</v>
      </c>
      <c r="H3" s="77" t="s">
        <v>30463</v>
      </c>
      <c r="I3" s="77" t="s">
        <v>152</v>
      </c>
      <c r="J3" s="80" t="s">
        <v>30470</v>
      </c>
      <c r="K3" s="77" t="s">
        <v>240</v>
      </c>
      <c r="L3" s="77" t="s">
        <v>25546</v>
      </c>
      <c r="M3" s="77" t="s">
        <v>25645</v>
      </c>
      <c r="N3" s="77">
        <v>975.8</v>
      </c>
      <c r="O3" s="77"/>
      <c r="P3" s="77"/>
      <c r="Q3" s="77"/>
      <c r="R3" s="134"/>
      <c r="S3" s="100" t="str">
        <f t="shared" si="0"/>
        <v>95-082-72-</v>
      </c>
      <c r="Z3" s="78" t="s">
        <v>30472</v>
      </c>
      <c r="AA3" s="78">
        <v>1</v>
      </c>
      <c r="AB3" s="78">
        <v>2</v>
      </c>
      <c r="AC3" s="78">
        <v>3</v>
      </c>
      <c r="AD3" s="78">
        <v>2</v>
      </c>
      <c r="AE3" s="78">
        <v>1</v>
      </c>
      <c r="AF3" s="78" t="s">
        <v>30472</v>
      </c>
    </row>
    <row r="4" spans="1:45" ht="15" customHeight="1" x14ac:dyDescent="0.2">
      <c r="A4" s="78" t="s">
        <v>30420</v>
      </c>
      <c r="B4" s="78" t="s">
        <v>30441</v>
      </c>
      <c r="C4" s="78" t="s">
        <v>24</v>
      </c>
      <c r="D4" s="78" t="s">
        <v>30</v>
      </c>
      <c r="E4" s="78" t="s">
        <v>30461</v>
      </c>
      <c r="F4" s="78" t="s">
        <v>77</v>
      </c>
      <c r="G4" s="78" t="s">
        <v>28523</v>
      </c>
      <c r="H4" s="78" t="s">
        <v>30463</v>
      </c>
      <c r="I4" s="78" t="s">
        <v>152</v>
      </c>
      <c r="J4" s="81" t="s">
        <v>30470</v>
      </c>
      <c r="K4" s="78" t="s">
        <v>240</v>
      </c>
      <c r="L4" s="78" t="s">
        <v>25546</v>
      </c>
      <c r="M4" s="78" t="s">
        <v>25645</v>
      </c>
      <c r="N4" s="78">
        <v>975.8</v>
      </c>
      <c r="Q4" s="77"/>
      <c r="R4" s="134"/>
      <c r="S4" s="100" t="str">
        <f t="shared" si="0"/>
        <v>95-083-72-</v>
      </c>
      <c r="Z4" s="78">
        <v>3</v>
      </c>
      <c r="AA4" s="78">
        <v>6</v>
      </c>
      <c r="AB4" s="78">
        <v>9</v>
      </c>
      <c r="AC4" s="78">
        <v>12</v>
      </c>
      <c r="AD4" s="78">
        <v>9</v>
      </c>
      <c r="AE4" s="78">
        <v>6</v>
      </c>
      <c r="AF4" s="78">
        <v>3</v>
      </c>
    </row>
    <row r="5" spans="1:45" ht="15" customHeight="1" x14ac:dyDescent="0.2">
      <c r="A5" s="78" t="s">
        <v>30421</v>
      </c>
      <c r="B5" s="78" t="s">
        <v>30442</v>
      </c>
      <c r="C5" s="78" t="s">
        <v>24</v>
      </c>
      <c r="D5" s="78" t="s">
        <v>30</v>
      </c>
      <c r="E5" s="78" t="s">
        <v>30461</v>
      </c>
      <c r="F5" s="78" t="s">
        <v>77</v>
      </c>
      <c r="G5" s="78" t="s">
        <v>28523</v>
      </c>
      <c r="H5" s="78" t="s">
        <v>30464</v>
      </c>
      <c r="I5" s="78" t="s">
        <v>0</v>
      </c>
      <c r="J5" s="81" t="s">
        <v>30470</v>
      </c>
      <c r="K5" s="78" t="s">
        <v>240</v>
      </c>
      <c r="L5" s="78" t="s">
        <v>25546</v>
      </c>
      <c r="M5" s="78" t="s">
        <v>25645</v>
      </c>
      <c r="N5" s="78">
        <v>975.8</v>
      </c>
      <c r="Q5" s="77"/>
      <c r="R5" s="134"/>
      <c r="S5" s="100" t="str">
        <f t="shared" si="0"/>
        <v>95-084-09-</v>
      </c>
      <c r="Z5" s="78">
        <v>5</v>
      </c>
      <c r="AA5" s="78">
        <v>10</v>
      </c>
      <c r="AB5" s="78">
        <v>15</v>
      </c>
      <c r="AC5" s="78">
        <v>20</v>
      </c>
      <c r="AD5" s="78">
        <v>15</v>
      </c>
      <c r="AE5" s="78">
        <v>10</v>
      </c>
      <c r="AF5" s="78">
        <v>5</v>
      </c>
    </row>
    <row r="6" spans="1:45" ht="15" customHeight="1" x14ac:dyDescent="0.2">
      <c r="A6" s="78" t="s">
        <v>30422</v>
      </c>
      <c r="B6" s="78" t="s">
        <v>30443</v>
      </c>
      <c r="C6" s="78" t="s">
        <v>24</v>
      </c>
      <c r="D6" s="78" t="s">
        <v>30</v>
      </c>
      <c r="E6" s="78" t="s">
        <v>30461</v>
      </c>
      <c r="F6" s="78" t="s">
        <v>77</v>
      </c>
      <c r="G6" s="78" t="s">
        <v>28523</v>
      </c>
      <c r="H6" s="78" t="s">
        <v>30462</v>
      </c>
      <c r="I6" s="78" t="s">
        <v>21</v>
      </c>
      <c r="J6" s="81" t="s">
        <v>30470</v>
      </c>
      <c r="K6" s="78" t="s">
        <v>240</v>
      </c>
      <c r="L6" s="78" t="s">
        <v>25546</v>
      </c>
      <c r="M6" s="78" t="s">
        <v>25645</v>
      </c>
      <c r="N6" s="78">
        <v>975.8</v>
      </c>
      <c r="Q6" s="77"/>
      <c r="R6" s="134"/>
      <c r="S6" s="100" t="str">
        <f t="shared" si="0"/>
        <v>95-085-80-</v>
      </c>
      <c r="Z6" s="78">
        <v>7</v>
      </c>
      <c r="AA6" s="78">
        <v>14</v>
      </c>
      <c r="AB6" s="78">
        <v>21</v>
      </c>
      <c r="AC6" s="78">
        <v>28</v>
      </c>
      <c r="AD6" s="78">
        <v>21</v>
      </c>
      <c r="AE6" s="78">
        <v>14</v>
      </c>
      <c r="AF6" s="78">
        <v>7</v>
      </c>
    </row>
    <row r="7" spans="1:45" ht="15" customHeight="1" x14ac:dyDescent="0.2">
      <c r="A7" s="78" t="s">
        <v>30423</v>
      </c>
      <c r="B7" s="78" t="s">
        <v>30444</v>
      </c>
      <c r="C7" s="78" t="s">
        <v>24</v>
      </c>
      <c r="D7" s="78" t="s">
        <v>25498</v>
      </c>
      <c r="E7" s="78" t="s">
        <v>30461</v>
      </c>
      <c r="F7" s="78" t="s">
        <v>77</v>
      </c>
      <c r="G7" s="78" t="s">
        <v>28523</v>
      </c>
      <c r="H7" s="78" t="s">
        <v>30465</v>
      </c>
      <c r="I7" s="78" t="s">
        <v>20</v>
      </c>
      <c r="J7" s="81" t="s">
        <v>30470</v>
      </c>
      <c r="K7" s="78" t="s">
        <v>240</v>
      </c>
      <c r="L7" s="78" t="s">
        <v>25546</v>
      </c>
      <c r="M7" s="78" t="s">
        <v>25645</v>
      </c>
      <c r="N7" s="78">
        <v>975.8</v>
      </c>
      <c r="Q7" s="77"/>
      <c r="R7" s="134"/>
      <c r="S7" s="100" t="str">
        <f t="shared" si="0"/>
        <v>95-086-06-</v>
      </c>
      <c r="Z7" s="78">
        <v>2</v>
      </c>
      <c r="AA7" s="78">
        <v>3</v>
      </c>
      <c r="AB7" s="78">
        <v>4</v>
      </c>
      <c r="AC7" s="78">
        <v>6</v>
      </c>
      <c r="AD7" s="78">
        <v>4</v>
      </c>
      <c r="AE7" s="78">
        <v>3</v>
      </c>
      <c r="AF7" s="78">
        <v>2</v>
      </c>
    </row>
    <row r="8" spans="1:45" ht="15" customHeight="1" x14ac:dyDescent="0.2">
      <c r="A8" s="78" t="s">
        <v>30424</v>
      </c>
      <c r="B8" s="78" t="s">
        <v>30445</v>
      </c>
      <c r="C8" s="78" t="s">
        <v>24</v>
      </c>
      <c r="D8" s="78" t="s">
        <v>25498</v>
      </c>
      <c r="E8" s="78" t="s">
        <v>30461</v>
      </c>
      <c r="F8" s="78" t="s">
        <v>77</v>
      </c>
      <c r="G8" s="78" t="s">
        <v>28523</v>
      </c>
      <c r="H8" s="78" t="s">
        <v>30466</v>
      </c>
      <c r="I8" s="78" t="s">
        <v>0</v>
      </c>
      <c r="J8" s="81" t="s">
        <v>30470</v>
      </c>
      <c r="K8" s="78" t="s">
        <v>240</v>
      </c>
      <c r="L8" s="78" t="s">
        <v>25546</v>
      </c>
      <c r="M8" s="78" t="s">
        <v>25645</v>
      </c>
      <c r="N8" s="78">
        <v>975.8</v>
      </c>
      <c r="Q8" s="77"/>
      <c r="R8" s="134"/>
      <c r="S8" s="100" t="str">
        <f t="shared" si="0"/>
        <v>95-087-09-</v>
      </c>
      <c r="Z8" s="78">
        <v>1</v>
      </c>
      <c r="AA8" s="78">
        <v>2</v>
      </c>
      <c r="AB8" s="78">
        <v>3</v>
      </c>
      <c r="AC8" s="78">
        <v>4</v>
      </c>
      <c r="AD8" s="78">
        <v>3</v>
      </c>
      <c r="AE8" s="78">
        <v>2</v>
      </c>
      <c r="AF8" s="78">
        <v>1</v>
      </c>
    </row>
    <row r="9" spans="1:45" ht="15" customHeight="1" x14ac:dyDescent="0.2">
      <c r="A9" s="78" t="s">
        <v>28856</v>
      </c>
      <c r="B9" s="78" t="s">
        <v>30446</v>
      </c>
      <c r="C9" s="78" t="s">
        <v>24</v>
      </c>
      <c r="D9" s="78" t="s">
        <v>25498</v>
      </c>
      <c r="E9" s="78" t="s">
        <v>30461</v>
      </c>
      <c r="F9" s="78" t="s">
        <v>77</v>
      </c>
      <c r="G9" s="78" t="s">
        <v>28523</v>
      </c>
      <c r="H9" s="78" t="s">
        <v>30467</v>
      </c>
      <c r="I9" s="78" t="s">
        <v>21</v>
      </c>
      <c r="J9" s="81" t="s">
        <v>30470</v>
      </c>
      <c r="K9" s="78" t="s">
        <v>240</v>
      </c>
      <c r="L9" s="78" t="s">
        <v>25546</v>
      </c>
      <c r="M9" s="78" t="s">
        <v>25645</v>
      </c>
      <c r="N9" s="78">
        <v>975.8</v>
      </c>
      <c r="Q9" s="77"/>
      <c r="R9" s="134"/>
      <c r="S9" s="100" t="str">
        <f t="shared" si="0"/>
        <v>95-034-80-</v>
      </c>
      <c r="Z9" s="78">
        <v>3</v>
      </c>
      <c r="AA9" s="78">
        <v>8</v>
      </c>
      <c r="AB9" s="78">
        <v>10</v>
      </c>
      <c r="AC9" s="78">
        <v>13</v>
      </c>
      <c r="AD9" s="78">
        <v>10</v>
      </c>
      <c r="AE9" s="78">
        <v>8</v>
      </c>
      <c r="AF9" s="78">
        <v>4</v>
      </c>
    </row>
    <row r="10" spans="1:45" ht="15" customHeight="1" x14ac:dyDescent="0.2">
      <c r="A10" s="78" t="s">
        <v>30425</v>
      </c>
      <c r="B10" s="78" t="s">
        <v>30447</v>
      </c>
      <c r="C10" s="78" t="s">
        <v>24</v>
      </c>
      <c r="D10" s="78" t="s">
        <v>25498</v>
      </c>
      <c r="E10" s="78" t="s">
        <v>30461</v>
      </c>
      <c r="F10" s="78" t="s">
        <v>77</v>
      </c>
      <c r="G10" s="78" t="s">
        <v>28523</v>
      </c>
      <c r="H10" s="78" t="s">
        <v>30463</v>
      </c>
      <c r="I10" s="78" t="s">
        <v>152</v>
      </c>
      <c r="J10" s="81" t="s">
        <v>30470</v>
      </c>
      <c r="K10" s="78" t="s">
        <v>240</v>
      </c>
      <c r="L10" s="78" t="s">
        <v>25546</v>
      </c>
      <c r="M10" s="78" t="s">
        <v>25645</v>
      </c>
      <c r="N10" s="78">
        <v>975.8</v>
      </c>
      <c r="Q10" s="77"/>
      <c r="R10" s="134"/>
      <c r="S10" s="100" t="str">
        <f t="shared" si="0"/>
        <v>95-088-72-</v>
      </c>
      <c r="Z10" s="78">
        <v>2</v>
      </c>
      <c r="AA10" s="78">
        <v>3</v>
      </c>
      <c r="AB10" s="78">
        <v>4</v>
      </c>
      <c r="AC10" s="78">
        <v>6</v>
      </c>
      <c r="AD10" s="78">
        <v>4</v>
      </c>
      <c r="AE10" s="78">
        <v>3</v>
      </c>
      <c r="AF10" s="78">
        <v>2</v>
      </c>
    </row>
    <row r="11" spans="1:45" ht="15" customHeight="1" x14ac:dyDescent="0.2">
      <c r="A11" s="78" t="s">
        <v>30426</v>
      </c>
      <c r="B11" s="78" t="s">
        <v>30448</v>
      </c>
      <c r="C11" s="78" t="s">
        <v>24</v>
      </c>
      <c r="D11" s="78" t="s">
        <v>25498</v>
      </c>
      <c r="E11" s="78" t="s">
        <v>30461</v>
      </c>
      <c r="F11" s="78" t="s">
        <v>77</v>
      </c>
      <c r="G11" s="78" t="s">
        <v>28523</v>
      </c>
      <c r="H11" s="78" t="s">
        <v>30464</v>
      </c>
      <c r="I11" s="78" t="s">
        <v>0</v>
      </c>
      <c r="J11" s="81" t="s">
        <v>30470</v>
      </c>
      <c r="K11" s="78" t="s">
        <v>240</v>
      </c>
      <c r="L11" s="78" t="s">
        <v>25546</v>
      </c>
      <c r="M11" s="78" t="s">
        <v>25645</v>
      </c>
      <c r="N11" s="78">
        <v>975.8</v>
      </c>
      <c r="Q11" s="77"/>
      <c r="R11" s="134"/>
      <c r="S11" s="100" t="str">
        <f t="shared" si="0"/>
        <v>95-089-09-</v>
      </c>
      <c r="Z11" s="78">
        <v>2</v>
      </c>
      <c r="AA11" s="78">
        <v>3</v>
      </c>
      <c r="AB11" s="78">
        <v>4</v>
      </c>
      <c r="AC11" s="78">
        <v>6</v>
      </c>
      <c r="AD11" s="78">
        <v>4</v>
      </c>
      <c r="AE11" s="78">
        <v>3</v>
      </c>
      <c r="AF11" s="78">
        <v>2</v>
      </c>
    </row>
    <row r="12" spans="1:45" ht="15" customHeight="1" x14ac:dyDescent="0.2">
      <c r="A12" s="78" t="s">
        <v>30427</v>
      </c>
      <c r="B12" s="78" t="s">
        <v>30449</v>
      </c>
      <c r="C12" s="78" t="s">
        <v>24</v>
      </c>
      <c r="D12" s="78" t="s">
        <v>30</v>
      </c>
      <c r="E12" s="78" t="s">
        <v>30461</v>
      </c>
      <c r="F12" s="78" t="s">
        <v>77</v>
      </c>
      <c r="G12" s="78" t="s">
        <v>28523</v>
      </c>
      <c r="H12" s="78" t="s">
        <v>30462</v>
      </c>
      <c r="I12" s="78" t="s">
        <v>21</v>
      </c>
      <c r="J12" s="81" t="s">
        <v>30470</v>
      </c>
      <c r="K12" s="78" t="s">
        <v>240</v>
      </c>
      <c r="L12" s="78" t="s">
        <v>25546</v>
      </c>
      <c r="M12" s="78" t="s">
        <v>25645</v>
      </c>
      <c r="N12" s="78">
        <v>975.8</v>
      </c>
      <c r="Q12" s="77"/>
      <c r="R12" s="134"/>
      <c r="S12" s="100" t="str">
        <f t="shared" si="0"/>
        <v>95-090-80-</v>
      </c>
      <c r="Z12" s="78">
        <v>2</v>
      </c>
      <c r="AA12" s="78">
        <v>3</v>
      </c>
      <c r="AB12" s="78">
        <v>4</v>
      </c>
      <c r="AC12" s="78">
        <v>6</v>
      </c>
      <c r="AD12" s="78">
        <v>4</v>
      </c>
      <c r="AE12" s="78">
        <v>3</v>
      </c>
      <c r="AF12" s="78">
        <v>2</v>
      </c>
    </row>
    <row r="13" spans="1:45" ht="15" customHeight="1" x14ac:dyDescent="0.2">
      <c r="A13" s="77" t="s">
        <v>30428</v>
      </c>
      <c r="B13" s="78" t="s">
        <v>30450</v>
      </c>
      <c r="C13" s="78" t="s">
        <v>24</v>
      </c>
      <c r="D13" s="78" t="s">
        <v>30</v>
      </c>
      <c r="E13" s="78" t="s">
        <v>30461</v>
      </c>
      <c r="F13" s="78" t="s">
        <v>77</v>
      </c>
      <c r="G13" s="78" t="s">
        <v>28523</v>
      </c>
      <c r="H13" s="78" t="s">
        <v>30468</v>
      </c>
      <c r="I13" s="77" t="s">
        <v>17</v>
      </c>
      <c r="J13" s="81" t="s">
        <v>30470</v>
      </c>
      <c r="K13" s="78" t="s">
        <v>240</v>
      </c>
      <c r="L13" s="78" t="s">
        <v>25546</v>
      </c>
      <c r="M13" s="78" t="s">
        <v>25645</v>
      </c>
      <c r="N13" s="78">
        <v>975.8</v>
      </c>
      <c r="Q13" s="77"/>
      <c r="R13" s="134"/>
      <c r="S13" s="100" t="str">
        <f t="shared" si="0"/>
        <v>95-091-14-</v>
      </c>
      <c r="Z13" s="78">
        <v>1</v>
      </c>
      <c r="AA13" s="78">
        <v>2</v>
      </c>
      <c r="AB13" s="78">
        <v>3</v>
      </c>
      <c r="AC13" s="78">
        <v>4</v>
      </c>
      <c r="AD13" s="78">
        <v>3</v>
      </c>
      <c r="AE13" s="78">
        <v>2</v>
      </c>
      <c r="AF13" s="78">
        <v>1</v>
      </c>
    </row>
    <row r="14" spans="1:45" ht="15" customHeight="1" x14ac:dyDescent="0.2">
      <c r="A14" s="78" t="s">
        <v>30429</v>
      </c>
      <c r="B14" s="78" t="s">
        <v>30451</v>
      </c>
      <c r="C14" s="78" t="s">
        <v>24</v>
      </c>
      <c r="D14" s="78" t="s">
        <v>29</v>
      </c>
      <c r="E14" s="78" t="s">
        <v>30461</v>
      </c>
      <c r="F14" s="78" t="s">
        <v>77</v>
      </c>
      <c r="G14" s="78" t="s">
        <v>28523</v>
      </c>
      <c r="H14" s="78" t="s">
        <v>30468</v>
      </c>
      <c r="I14" s="78" t="s">
        <v>17</v>
      </c>
      <c r="J14" s="81" t="s">
        <v>30470</v>
      </c>
      <c r="K14" s="78" t="s">
        <v>240</v>
      </c>
      <c r="L14" s="78" t="s">
        <v>25546</v>
      </c>
      <c r="M14" s="78" t="s">
        <v>25645</v>
      </c>
      <c r="N14" s="78">
        <v>975.8</v>
      </c>
      <c r="Q14" s="77"/>
      <c r="R14" s="134"/>
      <c r="S14" s="100" t="str">
        <f t="shared" si="0"/>
        <v>95-092-14-</v>
      </c>
      <c r="Z14" s="78">
        <v>1</v>
      </c>
      <c r="AA14" s="78">
        <v>2</v>
      </c>
      <c r="AB14" s="78">
        <v>3</v>
      </c>
      <c r="AC14" s="78">
        <v>4</v>
      </c>
      <c r="AD14" s="78">
        <v>3</v>
      </c>
      <c r="AE14" s="78">
        <v>2</v>
      </c>
      <c r="AF14" s="78">
        <v>1</v>
      </c>
    </row>
    <row r="15" spans="1:45" ht="15" customHeight="1" x14ac:dyDescent="0.2">
      <c r="A15" s="78" t="s">
        <v>30430</v>
      </c>
      <c r="B15" s="78" t="s">
        <v>30452</v>
      </c>
      <c r="C15" s="78" t="s">
        <v>24</v>
      </c>
      <c r="D15" s="78" t="s">
        <v>29</v>
      </c>
      <c r="E15" s="78" t="s">
        <v>30461</v>
      </c>
      <c r="F15" s="78" t="s">
        <v>77</v>
      </c>
      <c r="G15" s="78" t="s">
        <v>28523</v>
      </c>
      <c r="H15" s="78" t="s">
        <v>30463</v>
      </c>
      <c r="I15" s="78" t="s">
        <v>152</v>
      </c>
      <c r="J15" s="81" t="s">
        <v>30470</v>
      </c>
      <c r="K15" s="78" t="s">
        <v>240</v>
      </c>
      <c r="L15" s="78" t="s">
        <v>25546</v>
      </c>
      <c r="M15" s="78" t="s">
        <v>25645</v>
      </c>
      <c r="N15" s="78">
        <v>975.8</v>
      </c>
      <c r="Q15" s="77"/>
      <c r="R15" s="134"/>
      <c r="S15" s="100" t="str">
        <f t="shared" si="0"/>
        <v>95-093-72-</v>
      </c>
      <c r="Z15" s="78">
        <v>1</v>
      </c>
      <c r="AA15" s="78">
        <v>2</v>
      </c>
      <c r="AB15" s="78">
        <v>3</v>
      </c>
      <c r="AC15" s="78">
        <v>4</v>
      </c>
      <c r="AD15" s="78">
        <v>3</v>
      </c>
      <c r="AE15" s="78">
        <v>2</v>
      </c>
      <c r="AF15" s="78">
        <v>1</v>
      </c>
    </row>
    <row r="16" spans="1:45" ht="15" customHeight="1" x14ac:dyDescent="0.2">
      <c r="A16" s="78" t="s">
        <v>30431</v>
      </c>
      <c r="B16" s="78" t="s">
        <v>30453</v>
      </c>
      <c r="C16" s="78" t="s">
        <v>24</v>
      </c>
      <c r="D16" s="78" t="s">
        <v>30</v>
      </c>
      <c r="E16" s="78" t="s">
        <v>30461</v>
      </c>
      <c r="F16" s="78" t="s">
        <v>77</v>
      </c>
      <c r="G16" s="78" t="s">
        <v>28523</v>
      </c>
      <c r="H16" s="78" t="s">
        <v>30462</v>
      </c>
      <c r="I16" s="78" t="s">
        <v>21</v>
      </c>
      <c r="J16" s="81" t="s">
        <v>30471</v>
      </c>
      <c r="K16" s="78" t="s">
        <v>240</v>
      </c>
      <c r="L16" s="78" t="s">
        <v>25546</v>
      </c>
      <c r="M16" s="78" t="s">
        <v>25645</v>
      </c>
      <c r="N16" s="78">
        <v>975.8</v>
      </c>
      <c r="Q16" s="77"/>
      <c r="R16" s="134"/>
      <c r="S16" s="100" t="str">
        <f t="shared" si="0"/>
        <v>95-094-80-</v>
      </c>
      <c r="Z16" s="78">
        <v>3</v>
      </c>
      <c r="AA16" s="78">
        <v>6</v>
      </c>
      <c r="AB16" s="78">
        <v>9</v>
      </c>
      <c r="AC16" s="78">
        <v>12</v>
      </c>
      <c r="AD16" s="78">
        <v>9</v>
      </c>
      <c r="AE16" s="78">
        <v>6</v>
      </c>
      <c r="AF16" s="78">
        <v>3</v>
      </c>
    </row>
    <row r="17" spans="1:32" ht="15" customHeight="1" x14ac:dyDescent="0.2">
      <c r="A17" s="78" t="s">
        <v>30432</v>
      </c>
      <c r="B17" s="78" t="s">
        <v>30454</v>
      </c>
      <c r="C17" s="78" t="s">
        <v>24</v>
      </c>
      <c r="D17" s="78" t="s">
        <v>30</v>
      </c>
      <c r="E17" s="78" t="s">
        <v>30461</v>
      </c>
      <c r="F17" s="78" t="s">
        <v>77</v>
      </c>
      <c r="G17" s="78" t="s">
        <v>28523</v>
      </c>
      <c r="H17" s="78" t="s">
        <v>30465</v>
      </c>
      <c r="I17" s="78" t="s">
        <v>20</v>
      </c>
      <c r="J17" s="81" t="s">
        <v>30471</v>
      </c>
      <c r="K17" s="78" t="s">
        <v>240</v>
      </c>
      <c r="L17" s="78" t="s">
        <v>25546</v>
      </c>
      <c r="M17" s="78" t="s">
        <v>25645</v>
      </c>
      <c r="N17" s="78">
        <v>975.8</v>
      </c>
      <c r="Q17" s="77"/>
      <c r="R17" s="134"/>
      <c r="S17" s="100" t="str">
        <f t="shared" si="0"/>
        <v>95-095-06-</v>
      </c>
      <c r="Z17" s="78">
        <v>5</v>
      </c>
      <c r="AA17" s="78">
        <v>10</v>
      </c>
      <c r="AB17" s="78">
        <v>15</v>
      </c>
      <c r="AC17" s="78">
        <v>20</v>
      </c>
      <c r="AD17" s="78">
        <v>15</v>
      </c>
      <c r="AE17" s="78">
        <v>10</v>
      </c>
      <c r="AF17" s="78">
        <v>5</v>
      </c>
    </row>
    <row r="18" spans="1:32" ht="15" customHeight="1" x14ac:dyDescent="0.2">
      <c r="A18" s="78" t="s">
        <v>30433</v>
      </c>
      <c r="B18" s="78" t="s">
        <v>30455</v>
      </c>
      <c r="C18" s="78" t="s">
        <v>24</v>
      </c>
      <c r="D18" s="78" t="s">
        <v>30</v>
      </c>
      <c r="E18" s="78" t="s">
        <v>30461</v>
      </c>
      <c r="F18" s="78" t="s">
        <v>77</v>
      </c>
      <c r="G18" s="78" t="s">
        <v>28523</v>
      </c>
      <c r="H18" s="78" t="s">
        <v>30468</v>
      </c>
      <c r="I18" s="78" t="s">
        <v>17</v>
      </c>
      <c r="J18" s="81" t="s">
        <v>30471</v>
      </c>
      <c r="K18" s="78" t="s">
        <v>240</v>
      </c>
      <c r="L18" s="78" t="s">
        <v>25546</v>
      </c>
      <c r="M18" s="78" t="s">
        <v>25645</v>
      </c>
      <c r="N18" s="78">
        <v>975.8</v>
      </c>
      <c r="Q18" s="77"/>
      <c r="R18" s="134"/>
      <c r="S18" s="100" t="str">
        <f t="shared" si="0"/>
        <v>95-096-14-</v>
      </c>
      <c r="Z18" s="78">
        <v>3</v>
      </c>
      <c r="AA18" s="78">
        <v>6</v>
      </c>
      <c r="AB18" s="78">
        <v>9</v>
      </c>
      <c r="AC18" s="78">
        <v>12</v>
      </c>
      <c r="AD18" s="78">
        <v>9</v>
      </c>
      <c r="AE18" s="78">
        <v>6</v>
      </c>
      <c r="AF18" s="78">
        <v>3</v>
      </c>
    </row>
    <row r="19" spans="1:32" ht="15" customHeight="1" x14ac:dyDescent="0.2">
      <c r="A19" s="78" t="s">
        <v>30434</v>
      </c>
      <c r="B19" s="78" t="s">
        <v>30456</v>
      </c>
      <c r="C19" s="78" t="s">
        <v>24</v>
      </c>
      <c r="D19" s="78" t="s">
        <v>30</v>
      </c>
      <c r="E19" s="78" t="s">
        <v>30461</v>
      </c>
      <c r="F19" s="78" t="s">
        <v>77</v>
      </c>
      <c r="G19" s="78" t="s">
        <v>28523</v>
      </c>
      <c r="H19" s="78" t="s">
        <v>30463</v>
      </c>
      <c r="I19" s="78" t="s">
        <v>152</v>
      </c>
      <c r="J19" s="81" t="s">
        <v>30471</v>
      </c>
      <c r="K19" s="78" t="s">
        <v>240</v>
      </c>
      <c r="L19" s="78" t="s">
        <v>25546</v>
      </c>
      <c r="M19" s="78" t="s">
        <v>25645</v>
      </c>
      <c r="N19" s="78">
        <v>975.8</v>
      </c>
      <c r="Q19" s="77"/>
      <c r="R19" s="134"/>
      <c r="S19" s="100" t="str">
        <f t="shared" si="0"/>
        <v>95-097-72-</v>
      </c>
      <c r="Z19" s="78">
        <v>3</v>
      </c>
      <c r="AA19" s="78">
        <v>6</v>
      </c>
      <c r="AB19" s="78">
        <v>9</v>
      </c>
      <c r="AC19" s="78">
        <v>12</v>
      </c>
      <c r="AD19" s="78">
        <v>9</v>
      </c>
      <c r="AE19" s="78">
        <v>6</v>
      </c>
      <c r="AF19" s="78">
        <v>3</v>
      </c>
    </row>
    <row r="20" spans="1:32" ht="15" customHeight="1" x14ac:dyDescent="0.2">
      <c r="A20" s="78" t="s">
        <v>30435</v>
      </c>
      <c r="B20" s="78" t="s">
        <v>30457</v>
      </c>
      <c r="C20" s="78" t="s">
        <v>24</v>
      </c>
      <c r="D20" s="78" t="s">
        <v>30</v>
      </c>
      <c r="E20" s="78" t="s">
        <v>30461</v>
      </c>
      <c r="F20" s="78" t="s">
        <v>77</v>
      </c>
      <c r="G20" s="78" t="s">
        <v>28523</v>
      </c>
      <c r="H20" s="78" t="s">
        <v>30464</v>
      </c>
      <c r="I20" s="78" t="s">
        <v>0</v>
      </c>
      <c r="J20" s="81" t="s">
        <v>30471</v>
      </c>
      <c r="K20" s="78" t="s">
        <v>240</v>
      </c>
      <c r="L20" s="78" t="s">
        <v>25546</v>
      </c>
      <c r="M20" s="78" t="s">
        <v>25645</v>
      </c>
      <c r="N20" s="78">
        <v>975.8</v>
      </c>
      <c r="Q20" s="77"/>
      <c r="R20" s="134"/>
      <c r="S20" s="100" t="str">
        <f t="shared" si="0"/>
        <v>95-098-09-</v>
      </c>
      <c r="Z20" s="78">
        <v>6</v>
      </c>
      <c r="AA20" s="78">
        <v>12</v>
      </c>
      <c r="AB20" s="78">
        <v>18</v>
      </c>
      <c r="AC20" s="78">
        <v>24</v>
      </c>
      <c r="AD20" s="78">
        <v>18</v>
      </c>
      <c r="AE20" s="78">
        <v>12</v>
      </c>
      <c r="AF20" s="78">
        <v>6</v>
      </c>
    </row>
    <row r="21" spans="1:32" ht="15" customHeight="1" x14ac:dyDescent="0.2">
      <c r="A21" s="78" t="s">
        <v>30436</v>
      </c>
      <c r="B21" s="78" t="s">
        <v>30458</v>
      </c>
      <c r="C21" s="78" t="s">
        <v>35</v>
      </c>
      <c r="D21" s="78" t="s">
        <v>36</v>
      </c>
      <c r="E21" s="78" t="s">
        <v>30461</v>
      </c>
      <c r="F21" s="78" t="s">
        <v>77</v>
      </c>
      <c r="G21" s="78" t="s">
        <v>28523</v>
      </c>
      <c r="H21" s="78" t="s">
        <v>30469</v>
      </c>
      <c r="I21" s="78" t="s">
        <v>0</v>
      </c>
      <c r="J21" s="81" t="s">
        <v>30470</v>
      </c>
      <c r="K21" s="78" t="s">
        <v>240</v>
      </c>
      <c r="L21" s="78" t="s">
        <v>25546</v>
      </c>
      <c r="M21" s="78" t="s">
        <v>25645</v>
      </c>
      <c r="N21" s="78">
        <v>975.8</v>
      </c>
      <c r="Q21" s="77"/>
      <c r="R21" s="134"/>
      <c r="S21" s="100" t="str">
        <f t="shared" si="0"/>
        <v>95-099-09-</v>
      </c>
      <c r="Z21" s="78" t="s">
        <v>30472</v>
      </c>
      <c r="AA21" s="78">
        <v>2</v>
      </c>
      <c r="AB21" s="78">
        <v>4</v>
      </c>
      <c r="AC21" s="78">
        <v>5</v>
      </c>
      <c r="AD21" s="78">
        <v>4</v>
      </c>
      <c r="AE21" s="78">
        <v>2</v>
      </c>
      <c r="AF21" s="78" t="s">
        <v>30472</v>
      </c>
    </row>
    <row r="22" spans="1:32" ht="15" customHeight="1" x14ac:dyDescent="0.2">
      <c r="A22" s="78" t="s">
        <v>30437</v>
      </c>
      <c r="B22" s="78" t="s">
        <v>30459</v>
      </c>
      <c r="C22" s="78" t="s">
        <v>35</v>
      </c>
      <c r="D22" s="78" t="s">
        <v>36</v>
      </c>
      <c r="E22" s="78" t="s">
        <v>30461</v>
      </c>
      <c r="F22" s="78" t="s">
        <v>77</v>
      </c>
      <c r="G22" s="78" t="s">
        <v>28523</v>
      </c>
      <c r="H22" s="78" t="s">
        <v>30468</v>
      </c>
      <c r="I22" s="78" t="s">
        <v>17</v>
      </c>
      <c r="J22" s="81" t="s">
        <v>30470</v>
      </c>
      <c r="K22" s="78" t="s">
        <v>240</v>
      </c>
      <c r="L22" s="78" t="s">
        <v>25546</v>
      </c>
      <c r="M22" s="78" t="s">
        <v>25645</v>
      </c>
      <c r="N22" s="78">
        <v>975.8</v>
      </c>
      <c r="Q22" s="77"/>
      <c r="R22" s="134"/>
      <c r="S22" s="100" t="str">
        <f t="shared" si="0"/>
        <v>95-100-14-</v>
      </c>
      <c r="Z22" s="78" t="s">
        <v>30472</v>
      </c>
      <c r="AA22" s="78">
        <v>2</v>
      </c>
      <c r="AB22" s="78">
        <v>4</v>
      </c>
      <c r="AC22" s="78">
        <v>5</v>
      </c>
      <c r="AD22" s="78">
        <v>4</v>
      </c>
      <c r="AE22" s="78">
        <v>2</v>
      </c>
      <c r="AF22" s="78" t="s">
        <v>30472</v>
      </c>
    </row>
    <row r="23" spans="1:32" ht="15" customHeight="1" x14ac:dyDescent="0.2">
      <c r="A23" s="78" t="s">
        <v>30438</v>
      </c>
      <c r="B23" s="78" t="s">
        <v>30460</v>
      </c>
      <c r="C23" s="78" t="s">
        <v>175</v>
      </c>
      <c r="D23" s="78" t="s">
        <v>176</v>
      </c>
      <c r="E23" s="78" t="s">
        <v>30461</v>
      </c>
      <c r="F23" s="78" t="s">
        <v>77</v>
      </c>
      <c r="G23" s="78" t="s">
        <v>28523</v>
      </c>
      <c r="H23" s="78" t="s">
        <v>30464</v>
      </c>
      <c r="I23" s="78" t="s">
        <v>0</v>
      </c>
      <c r="J23" s="81" t="s">
        <v>30470</v>
      </c>
      <c r="K23" s="78" t="s">
        <v>240</v>
      </c>
      <c r="L23" s="78" t="s">
        <v>25546</v>
      </c>
      <c r="M23" s="78" t="s">
        <v>25645</v>
      </c>
      <c r="N23" s="78">
        <v>975.8</v>
      </c>
      <c r="Q23" s="77"/>
      <c r="R23" s="134"/>
      <c r="S23" s="100" t="str">
        <f t="shared" si="0"/>
        <v>95-101-09-</v>
      </c>
      <c r="Z23" s="78">
        <v>1</v>
      </c>
      <c r="AA23" s="78">
        <v>2</v>
      </c>
      <c r="AB23" s="78">
        <v>4</v>
      </c>
      <c r="AC23" s="78">
        <v>5</v>
      </c>
      <c r="AD23" s="78">
        <v>4</v>
      </c>
      <c r="AE23" s="78">
        <v>2</v>
      </c>
      <c r="AF23" s="78">
        <v>1</v>
      </c>
    </row>
    <row r="24" spans="1:32" ht="15" customHeight="1" x14ac:dyDescent="0.2">
      <c r="Q24" s="77"/>
      <c r="R24" s="134"/>
    </row>
    <row r="25" spans="1:32" ht="15" customHeight="1" x14ac:dyDescent="0.2">
      <c r="Q25" s="77"/>
      <c r="R25" s="134"/>
    </row>
    <row r="26" spans="1:32" ht="15" customHeight="1" x14ac:dyDescent="0.2">
      <c r="Q26" s="77"/>
      <c r="R26" s="134"/>
    </row>
    <row r="27" spans="1:32" ht="15" customHeight="1" x14ac:dyDescent="0.2">
      <c r="Q27" s="77"/>
      <c r="R27" s="134"/>
    </row>
    <row r="28" spans="1:32" ht="15" customHeight="1" x14ac:dyDescent="0.2">
      <c r="Q28" s="77"/>
      <c r="R28" s="134"/>
    </row>
    <row r="29" spans="1:32" ht="15" customHeight="1" x14ac:dyDescent="0.2">
      <c r="Q29" s="77"/>
      <c r="R29" s="134"/>
    </row>
    <row r="30" spans="1:32" ht="15" customHeight="1" x14ac:dyDescent="0.2">
      <c r="Q30" s="77"/>
      <c r="R30" s="134"/>
    </row>
    <row r="31" spans="1:32" ht="15" customHeight="1" x14ac:dyDescent="0.2">
      <c r="Q31" s="77"/>
      <c r="R31" s="134"/>
    </row>
    <row r="32" spans="1:32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49"/>
  <sheetViews>
    <sheetView workbookViewId="0">
      <pane ySplit="1" topLeftCell="A2" activePane="bottomLeft" state="frozen"/>
      <selection activeCell="C1" sqref="C1"/>
      <selection pane="bottomLeft" activeCell="A506" sqref="A506:S529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30415</v>
      </c>
      <c r="T1" s="121" t="s">
        <v>2</v>
      </c>
      <c r="U1" s="104" t="s">
        <v>221</v>
      </c>
    </row>
    <row r="2" spans="1:21" x14ac:dyDescent="0.2">
      <c r="A2" s="99" t="s">
        <v>30418</v>
      </c>
      <c r="B2" s="99" t="s">
        <v>30439</v>
      </c>
      <c r="C2" s="99" t="s">
        <v>24</v>
      </c>
      <c r="D2" s="99" t="s">
        <v>30</v>
      </c>
      <c r="E2" s="99" t="s">
        <v>30461</v>
      </c>
      <c r="F2" s="99" t="s">
        <v>77</v>
      </c>
      <c r="G2" s="99" t="s">
        <v>28523</v>
      </c>
      <c r="H2" s="99" t="s">
        <v>30462</v>
      </c>
      <c r="I2" s="99" t="s">
        <v>21</v>
      </c>
      <c r="J2" s="99" t="s">
        <v>30470</v>
      </c>
      <c r="K2" s="99" t="s">
        <v>240</v>
      </c>
      <c r="L2" s="99" t="s">
        <v>25546</v>
      </c>
      <c r="M2" s="99" t="s">
        <v>25645</v>
      </c>
      <c r="N2" s="99">
        <v>975.8</v>
      </c>
      <c r="S2" t="str">
        <f t="shared" ref="S2:S20" si="0">A2&amp;"-"&amp;T2</f>
        <v>95-081-80-56</v>
      </c>
      <c r="T2" s="121" t="s">
        <v>27240</v>
      </c>
      <c r="U2" s="104">
        <v>1</v>
      </c>
    </row>
    <row r="3" spans="1:21" x14ac:dyDescent="0.2">
      <c r="A3" s="99" t="s">
        <v>30418</v>
      </c>
      <c r="B3" s="99" t="s">
        <v>30439</v>
      </c>
      <c r="C3" s="99" t="s">
        <v>24</v>
      </c>
      <c r="D3" s="99" t="s">
        <v>30</v>
      </c>
      <c r="E3" s="99" t="s">
        <v>30461</v>
      </c>
      <c r="F3" s="99" t="s">
        <v>77</v>
      </c>
      <c r="G3" s="99" t="s">
        <v>28523</v>
      </c>
      <c r="H3" s="99" t="s">
        <v>30462</v>
      </c>
      <c r="I3" s="99" t="s">
        <v>21</v>
      </c>
      <c r="J3" s="99" t="s">
        <v>30470</v>
      </c>
      <c r="K3" s="99" t="s">
        <v>240</v>
      </c>
      <c r="L3" s="99" t="s">
        <v>25546</v>
      </c>
      <c r="M3" s="99" t="s">
        <v>25645</v>
      </c>
      <c r="N3" s="99">
        <v>975.8</v>
      </c>
      <c r="S3" t="str">
        <f t="shared" si="0"/>
        <v>95-081-80-57</v>
      </c>
      <c r="T3" s="121" t="s">
        <v>27324</v>
      </c>
      <c r="U3" s="104">
        <v>2</v>
      </c>
    </row>
    <row r="4" spans="1:21" x14ac:dyDescent="0.2">
      <c r="A4" s="99" t="s">
        <v>30418</v>
      </c>
      <c r="B4" s="99" t="s">
        <v>30439</v>
      </c>
      <c r="C4" s="99" t="s">
        <v>24</v>
      </c>
      <c r="D4" s="99" t="s">
        <v>30</v>
      </c>
      <c r="E4" s="99" t="s">
        <v>30461</v>
      </c>
      <c r="F4" s="99" t="s">
        <v>77</v>
      </c>
      <c r="G4" s="99" t="s">
        <v>28523</v>
      </c>
      <c r="H4" s="99" t="s">
        <v>30462</v>
      </c>
      <c r="I4" s="99" t="s">
        <v>21</v>
      </c>
      <c r="J4" s="99" t="s">
        <v>30470</v>
      </c>
      <c r="K4" s="99" t="s">
        <v>240</v>
      </c>
      <c r="L4" s="99" t="s">
        <v>25546</v>
      </c>
      <c r="M4" s="99" t="s">
        <v>25645</v>
      </c>
      <c r="N4" s="99">
        <v>975.8</v>
      </c>
      <c r="S4" t="str">
        <f t="shared" si="0"/>
        <v>95-081-80-58</v>
      </c>
      <c r="T4" s="121" t="s">
        <v>27366</v>
      </c>
      <c r="U4" s="104">
        <v>3</v>
      </c>
    </row>
    <row r="5" spans="1:21" x14ac:dyDescent="0.2">
      <c r="A5" s="99" t="s">
        <v>30418</v>
      </c>
      <c r="B5" s="99" t="s">
        <v>30439</v>
      </c>
      <c r="C5" s="99" t="s">
        <v>24</v>
      </c>
      <c r="D5" s="99" t="s">
        <v>30</v>
      </c>
      <c r="E5" s="99" t="s">
        <v>30461</v>
      </c>
      <c r="F5" s="99" t="s">
        <v>77</v>
      </c>
      <c r="G5" s="99" t="s">
        <v>28523</v>
      </c>
      <c r="H5" s="99" t="s">
        <v>30462</v>
      </c>
      <c r="I5" s="99" t="s">
        <v>21</v>
      </c>
      <c r="J5" s="99" t="s">
        <v>30470</v>
      </c>
      <c r="K5" s="99" t="s">
        <v>240</v>
      </c>
      <c r="L5" s="99" t="s">
        <v>25546</v>
      </c>
      <c r="M5" s="99" t="s">
        <v>25645</v>
      </c>
      <c r="N5" s="99">
        <v>975.8</v>
      </c>
      <c r="S5" t="str">
        <f t="shared" si="0"/>
        <v>95-081-80-59</v>
      </c>
      <c r="T5" s="121" t="s">
        <v>27320</v>
      </c>
      <c r="U5" s="104">
        <v>4</v>
      </c>
    </row>
    <row r="6" spans="1:21" x14ac:dyDescent="0.2">
      <c r="A6" s="99" t="s">
        <v>30418</v>
      </c>
      <c r="B6" s="99" t="s">
        <v>30439</v>
      </c>
      <c r="C6" s="99" t="s">
        <v>24</v>
      </c>
      <c r="D6" s="99" t="s">
        <v>30</v>
      </c>
      <c r="E6" s="99" t="s">
        <v>30461</v>
      </c>
      <c r="F6" s="99" t="s">
        <v>77</v>
      </c>
      <c r="G6" s="99" t="s">
        <v>28523</v>
      </c>
      <c r="H6" s="99" t="s">
        <v>30462</v>
      </c>
      <c r="I6" s="99" t="s">
        <v>21</v>
      </c>
      <c r="J6" s="99" t="s">
        <v>30470</v>
      </c>
      <c r="K6" s="99" t="s">
        <v>240</v>
      </c>
      <c r="L6" s="99" t="s">
        <v>25546</v>
      </c>
      <c r="M6" s="99" t="s">
        <v>25645</v>
      </c>
      <c r="N6" s="99">
        <v>975.8</v>
      </c>
      <c r="S6" t="str">
        <f t="shared" si="0"/>
        <v>95-081-80-60</v>
      </c>
      <c r="T6" s="121" t="s">
        <v>27243</v>
      </c>
      <c r="U6" s="104">
        <v>3</v>
      </c>
    </row>
    <row r="7" spans="1:21" x14ac:dyDescent="0.2">
      <c r="A7" s="99" t="s">
        <v>30418</v>
      </c>
      <c r="B7" s="99" t="s">
        <v>30439</v>
      </c>
      <c r="C7" s="99" t="s">
        <v>24</v>
      </c>
      <c r="D7" s="99" t="s">
        <v>30</v>
      </c>
      <c r="E7" s="99" t="s">
        <v>30461</v>
      </c>
      <c r="F7" s="99" t="s">
        <v>77</v>
      </c>
      <c r="G7" s="99" t="s">
        <v>28523</v>
      </c>
      <c r="H7" s="99" t="s">
        <v>30462</v>
      </c>
      <c r="I7" s="99" t="s">
        <v>21</v>
      </c>
      <c r="J7" s="99" t="s">
        <v>30470</v>
      </c>
      <c r="K7" s="99" t="s">
        <v>240</v>
      </c>
      <c r="L7" s="99" t="s">
        <v>25546</v>
      </c>
      <c r="M7" s="99" t="s">
        <v>25645</v>
      </c>
      <c r="N7" s="99">
        <v>975.8</v>
      </c>
      <c r="S7" t="str">
        <f t="shared" si="0"/>
        <v>95-081-80-61</v>
      </c>
      <c r="T7" s="121" t="s">
        <v>27325</v>
      </c>
      <c r="U7" s="104">
        <v>2</v>
      </c>
    </row>
    <row r="8" spans="1:21" x14ac:dyDescent="0.2">
      <c r="A8" s="99" t="s">
        <v>30418</v>
      </c>
      <c r="B8" s="99" t="s">
        <v>30439</v>
      </c>
      <c r="C8" s="99" t="s">
        <v>24</v>
      </c>
      <c r="D8" s="99" t="s">
        <v>30</v>
      </c>
      <c r="E8" s="99" t="s">
        <v>30461</v>
      </c>
      <c r="F8" s="99" t="s">
        <v>77</v>
      </c>
      <c r="G8" s="99" t="s">
        <v>28523</v>
      </c>
      <c r="H8" s="99" t="s">
        <v>30462</v>
      </c>
      <c r="I8" s="99" t="s">
        <v>21</v>
      </c>
      <c r="J8" s="99" t="s">
        <v>30470</v>
      </c>
      <c r="K8" s="99" t="s">
        <v>240</v>
      </c>
      <c r="L8" s="99" t="s">
        <v>25546</v>
      </c>
      <c r="M8" s="99" t="s">
        <v>25645</v>
      </c>
      <c r="N8" s="99">
        <v>975.8</v>
      </c>
      <c r="S8" t="str">
        <f t="shared" si="0"/>
        <v>95-081-80-62</v>
      </c>
      <c r="T8" s="121" t="s">
        <v>27207</v>
      </c>
      <c r="U8" s="104">
        <v>1</v>
      </c>
    </row>
    <row r="9" spans="1:21" x14ac:dyDescent="0.2">
      <c r="A9" s="99" t="s">
        <v>30419</v>
      </c>
      <c r="B9" s="99" t="s">
        <v>30440</v>
      </c>
      <c r="C9" s="99" t="s">
        <v>24</v>
      </c>
      <c r="D9" s="99" t="s">
        <v>30</v>
      </c>
      <c r="E9" s="99" t="s">
        <v>30461</v>
      </c>
      <c r="F9" s="99" t="s">
        <v>77</v>
      </c>
      <c r="G9" s="99" t="s">
        <v>28523</v>
      </c>
      <c r="H9" s="99" t="s">
        <v>30463</v>
      </c>
      <c r="I9" s="99" t="s">
        <v>152</v>
      </c>
      <c r="J9" s="99" t="s">
        <v>30470</v>
      </c>
      <c r="K9" s="99" t="s">
        <v>240</v>
      </c>
      <c r="L9" s="99" t="s">
        <v>25546</v>
      </c>
      <c r="M9" s="99" t="s">
        <v>25645</v>
      </c>
      <c r="N9" s="99">
        <v>975.8</v>
      </c>
      <c r="S9" t="str">
        <f t="shared" si="0"/>
        <v>95-082-72-57</v>
      </c>
      <c r="T9" s="121" t="s">
        <v>27324</v>
      </c>
      <c r="U9" s="104">
        <v>1</v>
      </c>
    </row>
    <row r="10" spans="1:21" x14ac:dyDescent="0.2">
      <c r="A10" s="99" t="s">
        <v>30419</v>
      </c>
      <c r="B10" s="99" t="s">
        <v>30440</v>
      </c>
      <c r="C10" s="99" t="s">
        <v>24</v>
      </c>
      <c r="D10" s="99" t="s">
        <v>30</v>
      </c>
      <c r="E10" s="99" t="s">
        <v>30461</v>
      </c>
      <c r="F10" s="99" t="s">
        <v>77</v>
      </c>
      <c r="G10" s="99" t="s">
        <v>28523</v>
      </c>
      <c r="H10" s="99" t="s">
        <v>30463</v>
      </c>
      <c r="I10" s="99" t="s">
        <v>152</v>
      </c>
      <c r="J10" s="99" t="s">
        <v>30470</v>
      </c>
      <c r="K10" s="99" t="s">
        <v>240</v>
      </c>
      <c r="L10" s="99" t="s">
        <v>25546</v>
      </c>
      <c r="M10" s="99" t="s">
        <v>25645</v>
      </c>
      <c r="N10" s="99">
        <v>975.8</v>
      </c>
      <c r="S10" t="str">
        <f t="shared" si="0"/>
        <v>95-082-72-58</v>
      </c>
      <c r="T10" s="121" t="s">
        <v>27366</v>
      </c>
      <c r="U10" s="104">
        <v>2</v>
      </c>
    </row>
    <row r="11" spans="1:21" x14ac:dyDescent="0.2">
      <c r="A11" s="99" t="s">
        <v>30419</v>
      </c>
      <c r="B11" s="99" t="s">
        <v>30440</v>
      </c>
      <c r="C11" s="99" t="s">
        <v>24</v>
      </c>
      <c r="D11" s="99" t="s">
        <v>30</v>
      </c>
      <c r="E11" s="99" t="s">
        <v>30461</v>
      </c>
      <c r="F11" s="99" t="s">
        <v>77</v>
      </c>
      <c r="G11" s="99" t="s">
        <v>28523</v>
      </c>
      <c r="H11" s="99" t="s">
        <v>30463</v>
      </c>
      <c r="I11" s="99" t="s">
        <v>152</v>
      </c>
      <c r="J11" s="99" t="s">
        <v>30470</v>
      </c>
      <c r="K11" s="99" t="s">
        <v>240</v>
      </c>
      <c r="L11" s="99" t="s">
        <v>25546</v>
      </c>
      <c r="M11" s="99" t="s">
        <v>25645</v>
      </c>
      <c r="N11" s="99">
        <v>975.8</v>
      </c>
      <c r="S11" t="str">
        <f t="shared" si="0"/>
        <v>95-082-72-59</v>
      </c>
      <c r="T11" s="121" t="s">
        <v>27320</v>
      </c>
      <c r="U11" s="104">
        <v>3</v>
      </c>
    </row>
    <row r="12" spans="1:21" x14ac:dyDescent="0.2">
      <c r="A12" s="99" t="s">
        <v>30419</v>
      </c>
      <c r="B12" s="99" t="s">
        <v>30440</v>
      </c>
      <c r="C12" s="99" t="s">
        <v>24</v>
      </c>
      <c r="D12" s="99" t="s">
        <v>30</v>
      </c>
      <c r="E12" s="99" t="s">
        <v>30461</v>
      </c>
      <c r="F12" s="99" t="s">
        <v>77</v>
      </c>
      <c r="G12" s="99" t="s">
        <v>28523</v>
      </c>
      <c r="H12" s="99" t="s">
        <v>30463</v>
      </c>
      <c r="I12" s="99" t="s">
        <v>152</v>
      </c>
      <c r="J12" s="99" t="s">
        <v>30470</v>
      </c>
      <c r="K12" s="99" t="s">
        <v>240</v>
      </c>
      <c r="L12" s="99" t="s">
        <v>25546</v>
      </c>
      <c r="M12" s="99" t="s">
        <v>25645</v>
      </c>
      <c r="N12" s="99">
        <v>975.8</v>
      </c>
      <c r="S12" t="str">
        <f t="shared" si="0"/>
        <v>95-082-72-60</v>
      </c>
      <c r="T12" s="121" t="s">
        <v>27243</v>
      </c>
      <c r="U12" s="104">
        <v>2</v>
      </c>
    </row>
    <row r="13" spans="1:21" x14ac:dyDescent="0.2">
      <c r="A13" s="99" t="s">
        <v>30419</v>
      </c>
      <c r="B13" s="99" t="s">
        <v>30440</v>
      </c>
      <c r="C13" s="99" t="s">
        <v>24</v>
      </c>
      <c r="D13" s="99" t="s">
        <v>30</v>
      </c>
      <c r="E13" s="99" t="s">
        <v>30461</v>
      </c>
      <c r="F13" s="99" t="s">
        <v>77</v>
      </c>
      <c r="G13" s="99" t="s">
        <v>28523</v>
      </c>
      <c r="H13" s="99" t="s">
        <v>30463</v>
      </c>
      <c r="I13" s="99" t="s">
        <v>152</v>
      </c>
      <c r="J13" s="99" t="s">
        <v>30470</v>
      </c>
      <c r="K13" s="99" t="s">
        <v>240</v>
      </c>
      <c r="L13" s="99" t="s">
        <v>25546</v>
      </c>
      <c r="M13" s="99" t="s">
        <v>25645</v>
      </c>
      <c r="N13" s="99">
        <v>975.8</v>
      </c>
      <c r="S13" t="str">
        <f t="shared" si="0"/>
        <v>95-082-72-61</v>
      </c>
      <c r="T13" s="121" t="s">
        <v>27325</v>
      </c>
      <c r="U13" s="104">
        <v>1</v>
      </c>
    </row>
    <row r="14" spans="1:21" x14ac:dyDescent="0.2">
      <c r="A14" s="99" t="s">
        <v>30420</v>
      </c>
      <c r="B14" s="99" t="s">
        <v>30441</v>
      </c>
      <c r="C14" s="99" t="s">
        <v>24</v>
      </c>
      <c r="D14" s="99" t="s">
        <v>30</v>
      </c>
      <c r="E14" s="99" t="s">
        <v>30461</v>
      </c>
      <c r="F14" s="99" t="s">
        <v>77</v>
      </c>
      <c r="G14" s="99" t="s">
        <v>28523</v>
      </c>
      <c r="H14" s="99" t="s">
        <v>30463</v>
      </c>
      <c r="I14" s="99" t="s">
        <v>152</v>
      </c>
      <c r="J14" s="99" t="s">
        <v>30470</v>
      </c>
      <c r="K14" s="99" t="s">
        <v>240</v>
      </c>
      <c r="L14" s="99" t="s">
        <v>25546</v>
      </c>
      <c r="M14" s="99" t="s">
        <v>25645</v>
      </c>
      <c r="N14" s="99">
        <v>975.8</v>
      </c>
      <c r="S14" t="str">
        <f t="shared" si="0"/>
        <v>95-083-72-56</v>
      </c>
      <c r="T14" s="121" t="s">
        <v>27240</v>
      </c>
      <c r="U14" s="104">
        <v>3</v>
      </c>
    </row>
    <row r="15" spans="1:21" x14ac:dyDescent="0.2">
      <c r="A15" s="99" t="s">
        <v>30420</v>
      </c>
      <c r="B15" s="99" t="s">
        <v>30441</v>
      </c>
      <c r="C15" s="99" t="s">
        <v>24</v>
      </c>
      <c r="D15" s="99" t="s">
        <v>30</v>
      </c>
      <c r="E15" s="99" t="s">
        <v>30461</v>
      </c>
      <c r="F15" s="99" t="s">
        <v>77</v>
      </c>
      <c r="G15" s="99" t="s">
        <v>28523</v>
      </c>
      <c r="H15" s="99" t="s">
        <v>30463</v>
      </c>
      <c r="I15" s="99" t="s">
        <v>152</v>
      </c>
      <c r="J15" s="99" t="s">
        <v>30470</v>
      </c>
      <c r="K15" s="99" t="s">
        <v>240</v>
      </c>
      <c r="L15" s="99" t="s">
        <v>25546</v>
      </c>
      <c r="M15" s="99" t="s">
        <v>25645</v>
      </c>
      <c r="N15" s="99">
        <v>975.8</v>
      </c>
      <c r="S15" t="str">
        <f t="shared" si="0"/>
        <v>95-083-72-57</v>
      </c>
      <c r="T15" s="121" t="s">
        <v>27324</v>
      </c>
      <c r="U15" s="104">
        <v>6</v>
      </c>
    </row>
    <row r="16" spans="1:21" x14ac:dyDescent="0.2">
      <c r="A16" s="99" t="s">
        <v>30420</v>
      </c>
      <c r="B16" s="99" t="s">
        <v>30441</v>
      </c>
      <c r="C16" s="99" t="s">
        <v>24</v>
      </c>
      <c r="D16" s="99" t="s">
        <v>30</v>
      </c>
      <c r="E16" s="99" t="s">
        <v>30461</v>
      </c>
      <c r="F16" s="99" t="s">
        <v>77</v>
      </c>
      <c r="G16" s="99" t="s">
        <v>28523</v>
      </c>
      <c r="H16" s="99" t="s">
        <v>30463</v>
      </c>
      <c r="I16" s="99" t="s">
        <v>152</v>
      </c>
      <c r="J16" s="99" t="s">
        <v>30470</v>
      </c>
      <c r="K16" s="99" t="s">
        <v>240</v>
      </c>
      <c r="L16" s="99" t="s">
        <v>25546</v>
      </c>
      <c r="M16" s="99" t="s">
        <v>25645</v>
      </c>
      <c r="N16" s="99">
        <v>975.8</v>
      </c>
      <c r="S16" t="str">
        <f t="shared" si="0"/>
        <v>95-083-72-58</v>
      </c>
      <c r="T16" s="121" t="s">
        <v>27366</v>
      </c>
      <c r="U16" s="104">
        <v>9</v>
      </c>
    </row>
    <row r="17" spans="1:21" x14ac:dyDescent="0.2">
      <c r="A17" s="99" t="s">
        <v>30420</v>
      </c>
      <c r="B17" s="99" t="s">
        <v>30441</v>
      </c>
      <c r="C17" s="99" t="s">
        <v>24</v>
      </c>
      <c r="D17" s="99" t="s">
        <v>30</v>
      </c>
      <c r="E17" s="99" t="s">
        <v>30461</v>
      </c>
      <c r="F17" s="99" t="s">
        <v>77</v>
      </c>
      <c r="G17" s="99" t="s">
        <v>28523</v>
      </c>
      <c r="H17" s="99" t="s">
        <v>30463</v>
      </c>
      <c r="I17" s="99" t="s">
        <v>152</v>
      </c>
      <c r="J17" s="99" t="s">
        <v>30470</v>
      </c>
      <c r="K17" s="99" t="s">
        <v>240</v>
      </c>
      <c r="L17" s="99" t="s">
        <v>25546</v>
      </c>
      <c r="M17" s="99" t="s">
        <v>25645</v>
      </c>
      <c r="N17" s="99">
        <v>975.8</v>
      </c>
      <c r="S17" t="str">
        <f t="shared" si="0"/>
        <v>95-083-72-59</v>
      </c>
      <c r="T17" s="121" t="s">
        <v>27320</v>
      </c>
      <c r="U17" s="104">
        <v>12</v>
      </c>
    </row>
    <row r="18" spans="1:21" x14ac:dyDescent="0.2">
      <c r="A18" s="99" t="s">
        <v>30420</v>
      </c>
      <c r="B18" s="99" t="s">
        <v>30441</v>
      </c>
      <c r="C18" s="99" t="s">
        <v>24</v>
      </c>
      <c r="D18" s="99" t="s">
        <v>30</v>
      </c>
      <c r="E18" s="99" t="s">
        <v>30461</v>
      </c>
      <c r="F18" s="99" t="s">
        <v>77</v>
      </c>
      <c r="G18" s="99" t="s">
        <v>28523</v>
      </c>
      <c r="H18" s="99" t="s">
        <v>30463</v>
      </c>
      <c r="I18" s="99" t="s">
        <v>152</v>
      </c>
      <c r="J18" s="99" t="s">
        <v>30470</v>
      </c>
      <c r="K18" s="99" t="s">
        <v>240</v>
      </c>
      <c r="L18" s="99" t="s">
        <v>25546</v>
      </c>
      <c r="M18" s="99" t="s">
        <v>25645</v>
      </c>
      <c r="N18" s="99">
        <v>975.8</v>
      </c>
      <c r="S18" t="str">
        <f t="shared" si="0"/>
        <v>95-083-72-60</v>
      </c>
      <c r="T18" s="121" t="s">
        <v>27243</v>
      </c>
      <c r="U18" s="104">
        <v>9</v>
      </c>
    </row>
    <row r="19" spans="1:21" x14ac:dyDescent="0.2">
      <c r="A19" s="99" t="s">
        <v>30420</v>
      </c>
      <c r="B19" s="99" t="s">
        <v>30441</v>
      </c>
      <c r="C19" s="99" t="s">
        <v>24</v>
      </c>
      <c r="D19" s="99" t="s">
        <v>30</v>
      </c>
      <c r="E19" s="99" t="s">
        <v>30461</v>
      </c>
      <c r="F19" s="99" t="s">
        <v>77</v>
      </c>
      <c r="G19" s="99" t="s">
        <v>28523</v>
      </c>
      <c r="H19" s="99" t="s">
        <v>30463</v>
      </c>
      <c r="I19" s="99" t="s">
        <v>152</v>
      </c>
      <c r="J19" s="99" t="s">
        <v>30470</v>
      </c>
      <c r="K19" s="99" t="s">
        <v>240</v>
      </c>
      <c r="L19" s="99" t="s">
        <v>25546</v>
      </c>
      <c r="M19" s="99" t="s">
        <v>25645</v>
      </c>
      <c r="N19" s="99">
        <v>975.8</v>
      </c>
      <c r="S19" t="str">
        <f t="shared" si="0"/>
        <v>95-083-72-61</v>
      </c>
      <c r="T19" s="121" t="s">
        <v>27325</v>
      </c>
      <c r="U19" s="104">
        <v>6</v>
      </c>
    </row>
    <row r="20" spans="1:21" x14ac:dyDescent="0.2">
      <c r="A20" s="99" t="s">
        <v>30420</v>
      </c>
      <c r="B20" s="99" t="s">
        <v>30441</v>
      </c>
      <c r="C20" s="99" t="s">
        <v>24</v>
      </c>
      <c r="D20" s="99" t="s">
        <v>30</v>
      </c>
      <c r="E20" s="99" t="s">
        <v>30461</v>
      </c>
      <c r="F20" s="99" t="s">
        <v>77</v>
      </c>
      <c r="G20" s="99" t="s">
        <v>28523</v>
      </c>
      <c r="H20" s="99" t="s">
        <v>30463</v>
      </c>
      <c r="I20" s="99" t="s">
        <v>152</v>
      </c>
      <c r="J20" s="99" t="s">
        <v>30470</v>
      </c>
      <c r="K20" s="99" t="s">
        <v>240</v>
      </c>
      <c r="L20" s="99" t="s">
        <v>25546</v>
      </c>
      <c r="M20" s="99" t="s">
        <v>25645</v>
      </c>
      <c r="N20" s="99">
        <v>975.8</v>
      </c>
      <c r="S20" t="str">
        <f t="shared" si="0"/>
        <v>95-083-72-62</v>
      </c>
      <c r="T20" s="121" t="s">
        <v>27207</v>
      </c>
      <c r="U20" s="104">
        <v>3</v>
      </c>
    </row>
    <row r="21" spans="1:21" x14ac:dyDescent="0.2">
      <c r="A21" s="99" t="s">
        <v>30421</v>
      </c>
      <c r="B21" s="99" t="s">
        <v>30442</v>
      </c>
      <c r="C21" s="99" t="s">
        <v>24</v>
      </c>
      <c r="D21" s="99" t="s">
        <v>30</v>
      </c>
      <c r="E21" s="99" t="s">
        <v>30461</v>
      </c>
      <c r="F21" s="99" t="s">
        <v>77</v>
      </c>
      <c r="G21" s="99" t="s">
        <v>28523</v>
      </c>
      <c r="H21" s="99" t="s">
        <v>30464</v>
      </c>
      <c r="I21" s="99" t="s">
        <v>0</v>
      </c>
      <c r="J21" s="99" t="s">
        <v>30470</v>
      </c>
      <c r="K21" s="99" t="s">
        <v>240</v>
      </c>
      <c r="L21" s="99" t="s">
        <v>25546</v>
      </c>
      <c r="M21" s="99" t="s">
        <v>25645</v>
      </c>
      <c r="N21" s="99">
        <v>975.8</v>
      </c>
      <c r="S21" t="str">
        <f t="shared" ref="S21:S38" si="1">A21&amp;"-"&amp;T21</f>
        <v>95-084-09-56</v>
      </c>
      <c r="T21" s="121" t="s">
        <v>27240</v>
      </c>
      <c r="U21" s="104">
        <v>5</v>
      </c>
    </row>
    <row r="22" spans="1:21" x14ac:dyDescent="0.2">
      <c r="A22" s="99" t="s">
        <v>30421</v>
      </c>
      <c r="B22" s="99" t="s">
        <v>30442</v>
      </c>
      <c r="C22" s="99" t="s">
        <v>24</v>
      </c>
      <c r="D22" s="99" t="s">
        <v>30</v>
      </c>
      <c r="E22" s="99" t="s">
        <v>30461</v>
      </c>
      <c r="F22" s="99" t="s">
        <v>77</v>
      </c>
      <c r="G22" s="99" t="s">
        <v>28523</v>
      </c>
      <c r="H22" s="99" t="s">
        <v>30464</v>
      </c>
      <c r="I22" s="99" t="s">
        <v>0</v>
      </c>
      <c r="J22" s="99" t="s">
        <v>30470</v>
      </c>
      <c r="K22" s="99" t="s">
        <v>240</v>
      </c>
      <c r="L22" s="99" t="s">
        <v>25546</v>
      </c>
      <c r="M22" s="99" t="s">
        <v>25645</v>
      </c>
      <c r="N22" s="99">
        <v>975.8</v>
      </c>
      <c r="S22" t="str">
        <f t="shared" si="1"/>
        <v>95-084-09-57</v>
      </c>
      <c r="T22" s="121" t="s">
        <v>27324</v>
      </c>
      <c r="U22" s="104">
        <v>10</v>
      </c>
    </row>
    <row r="23" spans="1:21" x14ac:dyDescent="0.2">
      <c r="A23" s="99" t="s">
        <v>30421</v>
      </c>
      <c r="B23" s="99" t="s">
        <v>30442</v>
      </c>
      <c r="C23" s="99" t="s">
        <v>24</v>
      </c>
      <c r="D23" s="99" t="s">
        <v>30</v>
      </c>
      <c r="E23" s="99" t="s">
        <v>30461</v>
      </c>
      <c r="F23" s="99" t="s">
        <v>77</v>
      </c>
      <c r="G23" s="99" t="s">
        <v>28523</v>
      </c>
      <c r="H23" s="99" t="s">
        <v>30464</v>
      </c>
      <c r="I23" s="99" t="s">
        <v>0</v>
      </c>
      <c r="J23" s="99" t="s">
        <v>30470</v>
      </c>
      <c r="K23" s="99" t="s">
        <v>240</v>
      </c>
      <c r="L23" s="99" t="s">
        <v>25546</v>
      </c>
      <c r="M23" s="99" t="s">
        <v>25645</v>
      </c>
      <c r="N23" s="99">
        <v>975.8</v>
      </c>
      <c r="S23" t="str">
        <f t="shared" si="1"/>
        <v>95-084-09-58</v>
      </c>
      <c r="T23" s="121" t="s">
        <v>27366</v>
      </c>
      <c r="U23" s="104">
        <v>15</v>
      </c>
    </row>
    <row r="24" spans="1:21" x14ac:dyDescent="0.2">
      <c r="A24" s="99" t="s">
        <v>30421</v>
      </c>
      <c r="B24" s="99" t="s">
        <v>30442</v>
      </c>
      <c r="C24" s="99" t="s">
        <v>24</v>
      </c>
      <c r="D24" s="99" t="s">
        <v>30</v>
      </c>
      <c r="E24" s="99" t="s">
        <v>30461</v>
      </c>
      <c r="F24" s="99" t="s">
        <v>77</v>
      </c>
      <c r="G24" s="99" t="s">
        <v>28523</v>
      </c>
      <c r="H24" s="99" t="s">
        <v>30464</v>
      </c>
      <c r="I24" s="99" t="s">
        <v>0</v>
      </c>
      <c r="J24" s="99" t="s">
        <v>30470</v>
      </c>
      <c r="K24" s="99" t="s">
        <v>240</v>
      </c>
      <c r="L24" s="99" t="s">
        <v>25546</v>
      </c>
      <c r="M24" s="99" t="s">
        <v>25645</v>
      </c>
      <c r="N24" s="99">
        <v>975.8</v>
      </c>
      <c r="S24" t="str">
        <f t="shared" si="1"/>
        <v>95-084-09-59</v>
      </c>
      <c r="T24" s="121" t="s">
        <v>27320</v>
      </c>
      <c r="U24" s="104">
        <v>20</v>
      </c>
    </row>
    <row r="25" spans="1:21" x14ac:dyDescent="0.2">
      <c r="A25" s="99" t="s">
        <v>30421</v>
      </c>
      <c r="B25" s="99" t="s">
        <v>30442</v>
      </c>
      <c r="C25" s="99" t="s">
        <v>24</v>
      </c>
      <c r="D25" s="99" t="s">
        <v>30</v>
      </c>
      <c r="E25" s="99" t="s">
        <v>30461</v>
      </c>
      <c r="F25" s="99" t="s">
        <v>77</v>
      </c>
      <c r="G25" s="99" t="s">
        <v>28523</v>
      </c>
      <c r="H25" s="99" t="s">
        <v>30464</v>
      </c>
      <c r="I25" s="99" t="s">
        <v>0</v>
      </c>
      <c r="J25" s="99" t="s">
        <v>30470</v>
      </c>
      <c r="K25" s="99" t="s">
        <v>240</v>
      </c>
      <c r="L25" s="99" t="s">
        <v>25546</v>
      </c>
      <c r="M25" s="99" t="s">
        <v>25645</v>
      </c>
      <c r="N25" s="99">
        <v>975.8</v>
      </c>
      <c r="S25" t="str">
        <f t="shared" si="1"/>
        <v>95-084-09-60</v>
      </c>
      <c r="T25" s="121" t="s">
        <v>27243</v>
      </c>
      <c r="U25" s="104">
        <v>15</v>
      </c>
    </row>
    <row r="26" spans="1:21" x14ac:dyDescent="0.2">
      <c r="A26" s="99" t="s">
        <v>30421</v>
      </c>
      <c r="B26" s="99" t="s">
        <v>30442</v>
      </c>
      <c r="C26" s="99" t="s">
        <v>24</v>
      </c>
      <c r="D26" s="99" t="s">
        <v>30</v>
      </c>
      <c r="E26" s="99" t="s">
        <v>30461</v>
      </c>
      <c r="F26" s="99" t="s">
        <v>77</v>
      </c>
      <c r="G26" s="99" t="s">
        <v>28523</v>
      </c>
      <c r="H26" s="99" t="s">
        <v>30464</v>
      </c>
      <c r="I26" s="99" t="s">
        <v>0</v>
      </c>
      <c r="J26" s="99" t="s">
        <v>30470</v>
      </c>
      <c r="K26" s="99" t="s">
        <v>240</v>
      </c>
      <c r="L26" s="99" t="s">
        <v>25546</v>
      </c>
      <c r="M26" s="99" t="s">
        <v>25645</v>
      </c>
      <c r="N26" s="99">
        <v>975.8</v>
      </c>
      <c r="S26" t="str">
        <f t="shared" si="1"/>
        <v>95-084-09-61</v>
      </c>
      <c r="T26" s="121" t="s">
        <v>27325</v>
      </c>
      <c r="U26" s="104">
        <v>10</v>
      </c>
    </row>
    <row r="27" spans="1:21" x14ac:dyDescent="0.2">
      <c r="A27" s="99" t="s">
        <v>30421</v>
      </c>
      <c r="B27" s="99" t="s">
        <v>30442</v>
      </c>
      <c r="C27" s="99" t="s">
        <v>24</v>
      </c>
      <c r="D27" s="99" t="s">
        <v>30</v>
      </c>
      <c r="E27" s="99" t="s">
        <v>30461</v>
      </c>
      <c r="F27" s="99" t="s">
        <v>77</v>
      </c>
      <c r="G27" s="99" t="s">
        <v>28523</v>
      </c>
      <c r="H27" s="99" t="s">
        <v>30464</v>
      </c>
      <c r="I27" s="99" t="s">
        <v>0</v>
      </c>
      <c r="J27" s="99" t="s">
        <v>30470</v>
      </c>
      <c r="K27" s="99" t="s">
        <v>240</v>
      </c>
      <c r="L27" s="99" t="s">
        <v>25546</v>
      </c>
      <c r="M27" s="99" t="s">
        <v>25645</v>
      </c>
      <c r="N27" s="99">
        <v>975.8</v>
      </c>
      <c r="S27" t="str">
        <f t="shared" si="1"/>
        <v>95-084-09-62</v>
      </c>
      <c r="T27" s="121" t="s">
        <v>27207</v>
      </c>
      <c r="U27" s="104">
        <v>5</v>
      </c>
    </row>
    <row r="28" spans="1:21" x14ac:dyDescent="0.2">
      <c r="A28" s="99" t="s">
        <v>30422</v>
      </c>
      <c r="B28" s="99" t="s">
        <v>30443</v>
      </c>
      <c r="C28" s="99" t="s">
        <v>24</v>
      </c>
      <c r="D28" s="99" t="s">
        <v>30</v>
      </c>
      <c r="E28" s="99" t="s">
        <v>30461</v>
      </c>
      <c r="F28" s="99" t="s">
        <v>77</v>
      </c>
      <c r="G28" s="99" t="s">
        <v>28523</v>
      </c>
      <c r="H28" s="99" t="s">
        <v>30462</v>
      </c>
      <c r="I28" s="99" t="s">
        <v>21</v>
      </c>
      <c r="J28" s="99" t="s">
        <v>30470</v>
      </c>
      <c r="K28" s="99" t="s">
        <v>240</v>
      </c>
      <c r="L28" s="99" t="s">
        <v>25546</v>
      </c>
      <c r="M28" s="99" t="s">
        <v>25645</v>
      </c>
      <c r="N28" s="99">
        <v>975.8</v>
      </c>
      <c r="S28" t="str">
        <f t="shared" si="1"/>
        <v>95-085-80-56</v>
      </c>
      <c r="T28" s="121" t="s">
        <v>27240</v>
      </c>
      <c r="U28" s="104">
        <v>7</v>
      </c>
    </row>
    <row r="29" spans="1:21" x14ac:dyDescent="0.2">
      <c r="A29" s="99" t="s">
        <v>30422</v>
      </c>
      <c r="B29" s="99" t="s">
        <v>30443</v>
      </c>
      <c r="C29" s="99" t="s">
        <v>24</v>
      </c>
      <c r="D29" s="99" t="s">
        <v>30</v>
      </c>
      <c r="E29" s="99" t="s">
        <v>30461</v>
      </c>
      <c r="F29" s="99" t="s">
        <v>77</v>
      </c>
      <c r="G29" s="99" t="s">
        <v>28523</v>
      </c>
      <c r="H29" s="99" t="s">
        <v>30462</v>
      </c>
      <c r="I29" s="99" t="s">
        <v>21</v>
      </c>
      <c r="J29" s="99" t="s">
        <v>30470</v>
      </c>
      <c r="K29" s="99" t="s">
        <v>240</v>
      </c>
      <c r="L29" s="99" t="s">
        <v>25546</v>
      </c>
      <c r="M29" s="99" t="s">
        <v>25645</v>
      </c>
      <c r="N29" s="99">
        <v>975.8</v>
      </c>
      <c r="S29" t="str">
        <f t="shared" si="1"/>
        <v>95-085-80-57</v>
      </c>
      <c r="T29" s="121" t="s">
        <v>27324</v>
      </c>
      <c r="U29" s="104">
        <v>14</v>
      </c>
    </row>
    <row r="30" spans="1:21" x14ac:dyDescent="0.2">
      <c r="A30" s="99" t="s">
        <v>30422</v>
      </c>
      <c r="B30" s="99" t="s">
        <v>30443</v>
      </c>
      <c r="C30" s="99" t="s">
        <v>24</v>
      </c>
      <c r="D30" s="99" t="s">
        <v>30</v>
      </c>
      <c r="E30" s="99" t="s">
        <v>30461</v>
      </c>
      <c r="F30" s="99" t="s">
        <v>77</v>
      </c>
      <c r="G30" s="99" t="s">
        <v>28523</v>
      </c>
      <c r="H30" s="99" t="s">
        <v>30462</v>
      </c>
      <c r="I30" s="99" t="s">
        <v>21</v>
      </c>
      <c r="J30" s="99" t="s">
        <v>30470</v>
      </c>
      <c r="K30" s="99" t="s">
        <v>240</v>
      </c>
      <c r="L30" s="99" t="s">
        <v>25546</v>
      </c>
      <c r="M30" s="99" t="s">
        <v>25645</v>
      </c>
      <c r="N30" s="99">
        <v>975.8</v>
      </c>
      <c r="S30" t="str">
        <f t="shared" si="1"/>
        <v>95-085-80-58</v>
      </c>
      <c r="T30" s="121" t="s">
        <v>27366</v>
      </c>
      <c r="U30" s="104">
        <v>21</v>
      </c>
    </row>
    <row r="31" spans="1:21" x14ac:dyDescent="0.2">
      <c r="A31" s="99" t="s">
        <v>30422</v>
      </c>
      <c r="B31" s="99" t="s">
        <v>30443</v>
      </c>
      <c r="C31" s="99" t="s">
        <v>24</v>
      </c>
      <c r="D31" s="99" t="s">
        <v>30</v>
      </c>
      <c r="E31" s="99" t="s">
        <v>30461</v>
      </c>
      <c r="F31" s="99" t="s">
        <v>77</v>
      </c>
      <c r="G31" s="99" t="s">
        <v>28523</v>
      </c>
      <c r="H31" s="99" t="s">
        <v>30462</v>
      </c>
      <c r="I31" s="99" t="s">
        <v>21</v>
      </c>
      <c r="J31" s="99" t="s">
        <v>30470</v>
      </c>
      <c r="K31" s="99" t="s">
        <v>240</v>
      </c>
      <c r="L31" s="99" t="s">
        <v>25546</v>
      </c>
      <c r="M31" s="99" t="s">
        <v>25645</v>
      </c>
      <c r="N31" s="99">
        <v>975.8</v>
      </c>
      <c r="S31" t="str">
        <f t="shared" si="1"/>
        <v>95-085-80-59</v>
      </c>
      <c r="T31" s="121" t="s">
        <v>27320</v>
      </c>
      <c r="U31" s="104">
        <v>28</v>
      </c>
    </row>
    <row r="32" spans="1:21" x14ac:dyDescent="0.2">
      <c r="A32" s="99" t="s">
        <v>30422</v>
      </c>
      <c r="B32" s="99" t="s">
        <v>30443</v>
      </c>
      <c r="C32" s="99" t="s">
        <v>24</v>
      </c>
      <c r="D32" s="99" t="s">
        <v>30</v>
      </c>
      <c r="E32" s="99" t="s">
        <v>30461</v>
      </c>
      <c r="F32" s="99" t="s">
        <v>77</v>
      </c>
      <c r="G32" s="99" t="s">
        <v>28523</v>
      </c>
      <c r="H32" s="99" t="s">
        <v>30462</v>
      </c>
      <c r="I32" s="99" t="s">
        <v>21</v>
      </c>
      <c r="J32" s="99" t="s">
        <v>30470</v>
      </c>
      <c r="K32" s="99" t="s">
        <v>240</v>
      </c>
      <c r="L32" s="99" t="s">
        <v>25546</v>
      </c>
      <c r="M32" s="99" t="s">
        <v>25645</v>
      </c>
      <c r="N32" s="99">
        <v>975.8</v>
      </c>
      <c r="S32" t="str">
        <f t="shared" si="1"/>
        <v>95-085-80-60</v>
      </c>
      <c r="T32" s="121" t="s">
        <v>27243</v>
      </c>
      <c r="U32" s="104">
        <v>21</v>
      </c>
    </row>
    <row r="33" spans="1:21" x14ac:dyDescent="0.2">
      <c r="A33" s="99" t="s">
        <v>30422</v>
      </c>
      <c r="B33" s="99" t="s">
        <v>30443</v>
      </c>
      <c r="C33" s="99" t="s">
        <v>24</v>
      </c>
      <c r="D33" s="99" t="s">
        <v>30</v>
      </c>
      <c r="E33" s="99" t="s">
        <v>30461</v>
      </c>
      <c r="F33" s="99" t="s">
        <v>77</v>
      </c>
      <c r="G33" s="99" t="s">
        <v>28523</v>
      </c>
      <c r="H33" s="99" t="s">
        <v>30462</v>
      </c>
      <c r="I33" s="99" t="s">
        <v>21</v>
      </c>
      <c r="J33" s="99" t="s">
        <v>30470</v>
      </c>
      <c r="K33" s="99" t="s">
        <v>240</v>
      </c>
      <c r="L33" s="99" t="s">
        <v>25546</v>
      </c>
      <c r="M33" s="99" t="s">
        <v>25645</v>
      </c>
      <c r="N33" s="99">
        <v>975.8</v>
      </c>
      <c r="S33" t="str">
        <f t="shared" si="1"/>
        <v>95-085-80-61</v>
      </c>
      <c r="T33" s="121" t="s">
        <v>27325</v>
      </c>
      <c r="U33" s="104">
        <v>14</v>
      </c>
    </row>
    <row r="34" spans="1:21" x14ac:dyDescent="0.2">
      <c r="A34" s="99" t="s">
        <v>30422</v>
      </c>
      <c r="B34" s="99" t="s">
        <v>30443</v>
      </c>
      <c r="C34" s="99" t="s">
        <v>24</v>
      </c>
      <c r="D34" s="99" t="s">
        <v>30</v>
      </c>
      <c r="E34" s="99" t="s">
        <v>30461</v>
      </c>
      <c r="F34" s="99" t="s">
        <v>77</v>
      </c>
      <c r="G34" s="99" t="s">
        <v>28523</v>
      </c>
      <c r="H34" s="99" t="s">
        <v>30462</v>
      </c>
      <c r="I34" s="99" t="s">
        <v>21</v>
      </c>
      <c r="J34" s="99" t="s">
        <v>30470</v>
      </c>
      <c r="K34" s="99" t="s">
        <v>240</v>
      </c>
      <c r="L34" s="99" t="s">
        <v>25546</v>
      </c>
      <c r="M34" s="99" t="s">
        <v>25645</v>
      </c>
      <c r="N34" s="99">
        <v>975.8</v>
      </c>
      <c r="S34" t="str">
        <f t="shared" si="1"/>
        <v>95-085-80-62</v>
      </c>
      <c r="T34" s="121" t="s">
        <v>27207</v>
      </c>
      <c r="U34" s="104">
        <v>7</v>
      </c>
    </row>
    <row r="35" spans="1:21" x14ac:dyDescent="0.2">
      <c r="A35" s="99" t="s">
        <v>30423</v>
      </c>
      <c r="B35" s="99" t="s">
        <v>30444</v>
      </c>
      <c r="C35" s="99" t="s">
        <v>24</v>
      </c>
      <c r="D35" s="99" t="s">
        <v>25498</v>
      </c>
      <c r="E35" s="99" t="s">
        <v>30461</v>
      </c>
      <c r="F35" s="99" t="s">
        <v>77</v>
      </c>
      <c r="G35" s="99" t="s">
        <v>28523</v>
      </c>
      <c r="H35" s="99" t="s">
        <v>30465</v>
      </c>
      <c r="I35" s="99" t="s">
        <v>20</v>
      </c>
      <c r="J35" s="99" t="s">
        <v>30470</v>
      </c>
      <c r="K35" s="99" t="s">
        <v>240</v>
      </c>
      <c r="L35" s="99" t="s">
        <v>25546</v>
      </c>
      <c r="M35" s="99" t="s">
        <v>25645</v>
      </c>
      <c r="N35" s="99">
        <v>975.8</v>
      </c>
      <c r="S35" t="str">
        <f t="shared" si="1"/>
        <v>95-086-06-56</v>
      </c>
      <c r="T35" s="121" t="s">
        <v>27240</v>
      </c>
      <c r="U35" s="104">
        <v>2</v>
      </c>
    </row>
    <row r="36" spans="1:21" x14ac:dyDescent="0.2">
      <c r="A36" s="99" t="s">
        <v>30423</v>
      </c>
      <c r="B36" s="99" t="s">
        <v>30444</v>
      </c>
      <c r="C36" s="99" t="s">
        <v>24</v>
      </c>
      <c r="D36" s="99" t="s">
        <v>25498</v>
      </c>
      <c r="E36" s="99" t="s">
        <v>30461</v>
      </c>
      <c r="F36" s="99" t="s">
        <v>77</v>
      </c>
      <c r="G36" s="99" t="s">
        <v>28523</v>
      </c>
      <c r="H36" s="99" t="s">
        <v>30465</v>
      </c>
      <c r="I36" s="99" t="s">
        <v>20</v>
      </c>
      <c r="J36" s="99" t="s">
        <v>30470</v>
      </c>
      <c r="K36" s="99" t="s">
        <v>240</v>
      </c>
      <c r="L36" s="99" t="s">
        <v>25546</v>
      </c>
      <c r="M36" s="99" t="s">
        <v>25645</v>
      </c>
      <c r="N36" s="99">
        <v>975.8</v>
      </c>
      <c r="S36" t="str">
        <f t="shared" si="1"/>
        <v>95-086-06-57</v>
      </c>
      <c r="T36" s="121" t="s">
        <v>27324</v>
      </c>
      <c r="U36" s="104">
        <v>3</v>
      </c>
    </row>
    <row r="37" spans="1:21" x14ac:dyDescent="0.2">
      <c r="A37" s="99" t="s">
        <v>30423</v>
      </c>
      <c r="B37" s="99" t="s">
        <v>30444</v>
      </c>
      <c r="C37" s="99" t="s">
        <v>24</v>
      </c>
      <c r="D37" s="99" t="s">
        <v>25498</v>
      </c>
      <c r="E37" s="99" t="s">
        <v>30461</v>
      </c>
      <c r="F37" s="99" t="s">
        <v>77</v>
      </c>
      <c r="G37" s="99" t="s">
        <v>28523</v>
      </c>
      <c r="H37" s="99" t="s">
        <v>30465</v>
      </c>
      <c r="I37" s="99" t="s">
        <v>20</v>
      </c>
      <c r="J37" s="99" t="s">
        <v>30470</v>
      </c>
      <c r="K37" s="99" t="s">
        <v>240</v>
      </c>
      <c r="L37" s="99" t="s">
        <v>25546</v>
      </c>
      <c r="M37" s="99" t="s">
        <v>25645</v>
      </c>
      <c r="N37" s="99">
        <v>975.8</v>
      </c>
      <c r="S37" t="str">
        <f t="shared" si="1"/>
        <v>95-086-06-58</v>
      </c>
      <c r="T37" s="121" t="s">
        <v>27366</v>
      </c>
      <c r="U37" s="104">
        <v>4</v>
      </c>
    </row>
    <row r="38" spans="1:21" x14ac:dyDescent="0.2">
      <c r="A38" s="99" t="s">
        <v>30423</v>
      </c>
      <c r="B38" s="99" t="s">
        <v>30444</v>
      </c>
      <c r="C38" s="99" t="s">
        <v>24</v>
      </c>
      <c r="D38" s="99" t="s">
        <v>25498</v>
      </c>
      <c r="E38" s="99" t="s">
        <v>30461</v>
      </c>
      <c r="F38" s="99" t="s">
        <v>77</v>
      </c>
      <c r="G38" s="99" t="s">
        <v>28523</v>
      </c>
      <c r="H38" s="99" t="s">
        <v>30465</v>
      </c>
      <c r="I38" s="99" t="s">
        <v>20</v>
      </c>
      <c r="J38" s="99" t="s">
        <v>30470</v>
      </c>
      <c r="K38" s="99" t="s">
        <v>240</v>
      </c>
      <c r="L38" s="99" t="s">
        <v>25546</v>
      </c>
      <c r="M38" s="99" t="s">
        <v>25645</v>
      </c>
      <c r="N38" s="99">
        <v>975.8</v>
      </c>
      <c r="S38" t="str">
        <f t="shared" si="1"/>
        <v>95-086-06-59</v>
      </c>
      <c r="T38" s="121" t="s">
        <v>27320</v>
      </c>
      <c r="U38" s="104">
        <v>6</v>
      </c>
    </row>
    <row r="39" spans="1:21" x14ac:dyDescent="0.2">
      <c r="A39" s="99" t="s">
        <v>30423</v>
      </c>
      <c r="B39" s="99" t="s">
        <v>30444</v>
      </c>
      <c r="C39" s="99" t="s">
        <v>24</v>
      </c>
      <c r="D39" s="99" t="s">
        <v>25498</v>
      </c>
      <c r="E39" s="99" t="s">
        <v>30461</v>
      </c>
      <c r="F39" s="99" t="s">
        <v>77</v>
      </c>
      <c r="G39" s="99" t="s">
        <v>28523</v>
      </c>
      <c r="H39" s="99" t="s">
        <v>30465</v>
      </c>
      <c r="I39" s="99" t="s">
        <v>20</v>
      </c>
      <c r="J39" s="99" t="s">
        <v>30470</v>
      </c>
      <c r="K39" s="99" t="s">
        <v>240</v>
      </c>
      <c r="L39" s="99" t="s">
        <v>25546</v>
      </c>
      <c r="M39" s="99" t="s">
        <v>25645</v>
      </c>
      <c r="N39" s="99">
        <v>975.8</v>
      </c>
      <c r="S39" t="str">
        <f t="shared" ref="S39:S55" si="2">A39&amp;"-"&amp;T39</f>
        <v>95-086-06-60</v>
      </c>
      <c r="T39" s="121" t="s">
        <v>27243</v>
      </c>
      <c r="U39" s="104">
        <v>4</v>
      </c>
    </row>
    <row r="40" spans="1:21" x14ac:dyDescent="0.2">
      <c r="A40" s="99" t="s">
        <v>30423</v>
      </c>
      <c r="B40" s="99" t="s">
        <v>30444</v>
      </c>
      <c r="C40" s="99" t="s">
        <v>24</v>
      </c>
      <c r="D40" s="99" t="s">
        <v>25498</v>
      </c>
      <c r="E40" s="99" t="s">
        <v>30461</v>
      </c>
      <c r="F40" s="99" t="s">
        <v>77</v>
      </c>
      <c r="G40" s="99" t="s">
        <v>28523</v>
      </c>
      <c r="H40" s="99" t="s">
        <v>30465</v>
      </c>
      <c r="I40" s="99" t="s">
        <v>20</v>
      </c>
      <c r="J40" s="99" t="s">
        <v>30470</v>
      </c>
      <c r="K40" s="99" t="s">
        <v>240</v>
      </c>
      <c r="L40" s="99" t="s">
        <v>25546</v>
      </c>
      <c r="M40" s="99" t="s">
        <v>25645</v>
      </c>
      <c r="N40" s="99">
        <v>975.8</v>
      </c>
      <c r="S40" t="str">
        <f t="shared" si="2"/>
        <v>95-086-06-61</v>
      </c>
      <c r="T40" s="121" t="s">
        <v>27325</v>
      </c>
      <c r="U40" s="104">
        <v>3</v>
      </c>
    </row>
    <row r="41" spans="1:21" x14ac:dyDescent="0.2">
      <c r="A41" s="99" t="s">
        <v>30423</v>
      </c>
      <c r="B41" s="99" t="s">
        <v>30444</v>
      </c>
      <c r="C41" s="99" t="s">
        <v>24</v>
      </c>
      <c r="D41" s="99" t="s">
        <v>25498</v>
      </c>
      <c r="E41" s="99" t="s">
        <v>30461</v>
      </c>
      <c r="F41" s="99" t="s">
        <v>77</v>
      </c>
      <c r="G41" s="99" t="s">
        <v>28523</v>
      </c>
      <c r="H41" s="99" t="s">
        <v>30465</v>
      </c>
      <c r="I41" s="99" t="s">
        <v>20</v>
      </c>
      <c r="J41" s="99" t="s">
        <v>30470</v>
      </c>
      <c r="K41" s="99" t="s">
        <v>240</v>
      </c>
      <c r="L41" s="99" t="s">
        <v>25546</v>
      </c>
      <c r="M41" s="99" t="s">
        <v>25645</v>
      </c>
      <c r="N41" s="99">
        <v>975.8</v>
      </c>
      <c r="S41" t="str">
        <f t="shared" si="2"/>
        <v>95-086-06-62</v>
      </c>
      <c r="T41" s="121" t="s">
        <v>27207</v>
      </c>
      <c r="U41" s="104">
        <v>2</v>
      </c>
    </row>
    <row r="42" spans="1:21" x14ac:dyDescent="0.2">
      <c r="A42" s="99" t="s">
        <v>30424</v>
      </c>
      <c r="B42" s="99" t="s">
        <v>30445</v>
      </c>
      <c r="C42" s="99" t="s">
        <v>24</v>
      </c>
      <c r="D42" s="99" t="s">
        <v>25498</v>
      </c>
      <c r="E42" s="99" t="s">
        <v>30461</v>
      </c>
      <c r="F42" s="99" t="s">
        <v>77</v>
      </c>
      <c r="G42" s="99" t="s">
        <v>28523</v>
      </c>
      <c r="H42" s="99" t="s">
        <v>30466</v>
      </c>
      <c r="I42" s="99" t="s">
        <v>0</v>
      </c>
      <c r="J42" s="99" t="s">
        <v>30470</v>
      </c>
      <c r="K42" s="99" t="s">
        <v>240</v>
      </c>
      <c r="L42" s="99" t="s">
        <v>25546</v>
      </c>
      <c r="M42" s="99" t="s">
        <v>25645</v>
      </c>
      <c r="N42" s="99">
        <v>975.8</v>
      </c>
      <c r="S42" t="str">
        <f t="shared" si="2"/>
        <v>95-087-09-56</v>
      </c>
      <c r="T42" s="121" t="s">
        <v>27240</v>
      </c>
      <c r="U42" s="104">
        <v>1</v>
      </c>
    </row>
    <row r="43" spans="1:21" x14ac:dyDescent="0.2">
      <c r="A43" s="99" t="s">
        <v>30424</v>
      </c>
      <c r="B43" s="99" t="s">
        <v>30445</v>
      </c>
      <c r="C43" s="99" t="s">
        <v>24</v>
      </c>
      <c r="D43" s="99" t="s">
        <v>25498</v>
      </c>
      <c r="E43" s="99" t="s">
        <v>30461</v>
      </c>
      <c r="F43" s="99" t="s">
        <v>77</v>
      </c>
      <c r="G43" s="99" t="s">
        <v>28523</v>
      </c>
      <c r="H43" s="99" t="s">
        <v>30466</v>
      </c>
      <c r="I43" s="99" t="s">
        <v>0</v>
      </c>
      <c r="J43" s="99" t="s">
        <v>30470</v>
      </c>
      <c r="K43" s="99" t="s">
        <v>240</v>
      </c>
      <c r="L43" s="99" t="s">
        <v>25546</v>
      </c>
      <c r="M43" s="99" t="s">
        <v>25645</v>
      </c>
      <c r="N43" s="99">
        <v>975.8</v>
      </c>
      <c r="S43" t="str">
        <f t="shared" si="2"/>
        <v>95-087-09-57</v>
      </c>
      <c r="T43" s="121" t="s">
        <v>27324</v>
      </c>
      <c r="U43" s="104">
        <v>2</v>
      </c>
    </row>
    <row r="44" spans="1:21" x14ac:dyDescent="0.2">
      <c r="A44" s="99" t="s">
        <v>30424</v>
      </c>
      <c r="B44" s="99" t="s">
        <v>30445</v>
      </c>
      <c r="C44" s="99" t="s">
        <v>24</v>
      </c>
      <c r="D44" s="99" t="s">
        <v>25498</v>
      </c>
      <c r="E44" s="99" t="s">
        <v>30461</v>
      </c>
      <c r="F44" s="99" t="s">
        <v>77</v>
      </c>
      <c r="G44" s="99" t="s">
        <v>28523</v>
      </c>
      <c r="H44" s="99" t="s">
        <v>30466</v>
      </c>
      <c r="I44" s="99" t="s">
        <v>0</v>
      </c>
      <c r="J44" s="99" t="s">
        <v>30470</v>
      </c>
      <c r="K44" s="99" t="s">
        <v>240</v>
      </c>
      <c r="L44" s="99" t="s">
        <v>25546</v>
      </c>
      <c r="M44" s="99" t="s">
        <v>25645</v>
      </c>
      <c r="N44" s="99">
        <v>975.8</v>
      </c>
      <c r="S44" t="str">
        <f t="shared" si="2"/>
        <v>95-087-09-58</v>
      </c>
      <c r="T44" s="121" t="s">
        <v>27366</v>
      </c>
      <c r="U44" s="104">
        <v>3</v>
      </c>
    </row>
    <row r="45" spans="1:21" x14ac:dyDescent="0.2">
      <c r="A45" s="99" t="s">
        <v>30424</v>
      </c>
      <c r="B45" s="99" t="s">
        <v>30445</v>
      </c>
      <c r="C45" s="99" t="s">
        <v>24</v>
      </c>
      <c r="D45" s="99" t="s">
        <v>25498</v>
      </c>
      <c r="E45" s="99" t="s">
        <v>30461</v>
      </c>
      <c r="F45" s="99" t="s">
        <v>77</v>
      </c>
      <c r="G45" s="99" t="s">
        <v>28523</v>
      </c>
      <c r="H45" s="99" t="s">
        <v>30466</v>
      </c>
      <c r="I45" s="99" t="s">
        <v>0</v>
      </c>
      <c r="J45" s="99" t="s">
        <v>30470</v>
      </c>
      <c r="K45" s="99" t="s">
        <v>240</v>
      </c>
      <c r="L45" s="99" t="s">
        <v>25546</v>
      </c>
      <c r="M45" s="99" t="s">
        <v>25645</v>
      </c>
      <c r="N45" s="99">
        <v>975.8</v>
      </c>
      <c r="S45" t="str">
        <f t="shared" si="2"/>
        <v>95-087-09-59</v>
      </c>
      <c r="T45" s="121" t="s">
        <v>27320</v>
      </c>
      <c r="U45" s="104">
        <v>4</v>
      </c>
    </row>
    <row r="46" spans="1:21" x14ac:dyDescent="0.2">
      <c r="A46" s="99" t="s">
        <v>30424</v>
      </c>
      <c r="B46" s="99" t="s">
        <v>30445</v>
      </c>
      <c r="C46" s="99" t="s">
        <v>24</v>
      </c>
      <c r="D46" s="99" t="s">
        <v>25498</v>
      </c>
      <c r="E46" s="99" t="s">
        <v>30461</v>
      </c>
      <c r="F46" s="99" t="s">
        <v>77</v>
      </c>
      <c r="G46" s="99" t="s">
        <v>28523</v>
      </c>
      <c r="H46" s="99" t="s">
        <v>30466</v>
      </c>
      <c r="I46" s="99" t="s">
        <v>0</v>
      </c>
      <c r="J46" s="99" t="s">
        <v>30470</v>
      </c>
      <c r="K46" s="99" t="s">
        <v>240</v>
      </c>
      <c r="L46" s="99" t="s">
        <v>25546</v>
      </c>
      <c r="M46" s="99" t="s">
        <v>25645</v>
      </c>
      <c r="N46" s="99">
        <v>975.8</v>
      </c>
      <c r="S46" t="str">
        <f t="shared" si="2"/>
        <v>95-087-09-60</v>
      </c>
      <c r="T46" s="121" t="s">
        <v>27243</v>
      </c>
      <c r="U46" s="104">
        <v>3</v>
      </c>
    </row>
    <row r="47" spans="1:21" x14ac:dyDescent="0.2">
      <c r="A47" s="99" t="s">
        <v>30424</v>
      </c>
      <c r="B47" s="99" t="s">
        <v>30445</v>
      </c>
      <c r="C47" s="99" t="s">
        <v>24</v>
      </c>
      <c r="D47" s="99" t="s">
        <v>25498</v>
      </c>
      <c r="E47" s="99" t="s">
        <v>30461</v>
      </c>
      <c r="F47" s="99" t="s">
        <v>77</v>
      </c>
      <c r="G47" s="99" t="s">
        <v>28523</v>
      </c>
      <c r="H47" s="99" t="s">
        <v>30466</v>
      </c>
      <c r="I47" s="99" t="s">
        <v>0</v>
      </c>
      <c r="J47" s="99" t="s">
        <v>30470</v>
      </c>
      <c r="K47" s="99" t="s">
        <v>240</v>
      </c>
      <c r="L47" s="99" t="s">
        <v>25546</v>
      </c>
      <c r="M47" s="99" t="s">
        <v>25645</v>
      </c>
      <c r="N47" s="99">
        <v>975.8</v>
      </c>
      <c r="S47" t="str">
        <f t="shared" si="2"/>
        <v>95-087-09-61</v>
      </c>
      <c r="T47" s="121" t="s">
        <v>27325</v>
      </c>
      <c r="U47" s="104">
        <v>2</v>
      </c>
    </row>
    <row r="48" spans="1:21" x14ac:dyDescent="0.2">
      <c r="A48" s="99" t="s">
        <v>30424</v>
      </c>
      <c r="B48" s="99" t="s">
        <v>30445</v>
      </c>
      <c r="C48" s="99" t="s">
        <v>24</v>
      </c>
      <c r="D48" s="99" t="s">
        <v>25498</v>
      </c>
      <c r="E48" s="99" t="s">
        <v>30461</v>
      </c>
      <c r="F48" s="99" t="s">
        <v>77</v>
      </c>
      <c r="G48" s="99" t="s">
        <v>28523</v>
      </c>
      <c r="H48" s="99" t="s">
        <v>30466</v>
      </c>
      <c r="I48" s="99" t="s">
        <v>0</v>
      </c>
      <c r="J48" s="99" t="s">
        <v>30470</v>
      </c>
      <c r="K48" s="99" t="s">
        <v>240</v>
      </c>
      <c r="L48" s="99" t="s">
        <v>25546</v>
      </c>
      <c r="M48" s="99" t="s">
        <v>25645</v>
      </c>
      <c r="N48" s="99">
        <v>975.8</v>
      </c>
      <c r="S48" t="str">
        <f t="shared" si="2"/>
        <v>95-087-09-62</v>
      </c>
      <c r="T48" s="121" t="s">
        <v>27207</v>
      </c>
      <c r="U48" s="104">
        <v>1</v>
      </c>
    </row>
    <row r="49" spans="1:21" x14ac:dyDescent="0.2">
      <c r="A49" s="99" t="s">
        <v>28856</v>
      </c>
      <c r="B49" s="99" t="s">
        <v>30446</v>
      </c>
      <c r="C49" s="99" t="s">
        <v>24</v>
      </c>
      <c r="D49" s="99" t="s">
        <v>25498</v>
      </c>
      <c r="E49" s="99" t="s">
        <v>30461</v>
      </c>
      <c r="F49" s="99" t="s">
        <v>77</v>
      </c>
      <c r="G49" s="99" t="s">
        <v>28523</v>
      </c>
      <c r="H49" s="99" t="s">
        <v>30467</v>
      </c>
      <c r="I49" s="99" t="s">
        <v>21</v>
      </c>
      <c r="J49" s="99" t="s">
        <v>30470</v>
      </c>
      <c r="K49" s="99" t="s">
        <v>240</v>
      </c>
      <c r="L49" s="99" t="s">
        <v>25546</v>
      </c>
      <c r="M49" s="99" t="s">
        <v>25645</v>
      </c>
      <c r="N49" s="99">
        <v>975.8</v>
      </c>
      <c r="S49" t="str">
        <f t="shared" si="2"/>
        <v>95-034-80-56</v>
      </c>
      <c r="T49" s="121" t="s">
        <v>27240</v>
      </c>
      <c r="U49" s="104">
        <v>3</v>
      </c>
    </row>
    <row r="50" spans="1:21" x14ac:dyDescent="0.2">
      <c r="A50" s="99" t="s">
        <v>28856</v>
      </c>
      <c r="B50" s="99" t="s">
        <v>30446</v>
      </c>
      <c r="C50" s="99" t="s">
        <v>24</v>
      </c>
      <c r="D50" s="99" t="s">
        <v>25498</v>
      </c>
      <c r="E50" s="99" t="s">
        <v>30461</v>
      </c>
      <c r="F50" s="99" t="s">
        <v>77</v>
      </c>
      <c r="G50" s="99" t="s">
        <v>28523</v>
      </c>
      <c r="H50" s="99" t="s">
        <v>30467</v>
      </c>
      <c r="I50" s="99" t="s">
        <v>21</v>
      </c>
      <c r="J50" s="99" t="s">
        <v>30470</v>
      </c>
      <c r="K50" s="99" t="s">
        <v>240</v>
      </c>
      <c r="L50" s="99" t="s">
        <v>25546</v>
      </c>
      <c r="M50" s="99" t="s">
        <v>25645</v>
      </c>
      <c r="N50" s="99">
        <v>975.8</v>
      </c>
      <c r="S50" t="str">
        <f t="shared" si="2"/>
        <v>95-034-80-57</v>
      </c>
      <c r="T50" s="121" t="s">
        <v>27324</v>
      </c>
      <c r="U50" s="104">
        <v>8</v>
      </c>
    </row>
    <row r="51" spans="1:21" x14ac:dyDescent="0.2">
      <c r="A51" s="99" t="s">
        <v>28856</v>
      </c>
      <c r="B51" s="99" t="s">
        <v>30446</v>
      </c>
      <c r="C51" s="99" t="s">
        <v>24</v>
      </c>
      <c r="D51" s="99" t="s">
        <v>25498</v>
      </c>
      <c r="E51" s="99" t="s">
        <v>30461</v>
      </c>
      <c r="F51" s="99" t="s">
        <v>77</v>
      </c>
      <c r="G51" s="99" t="s">
        <v>28523</v>
      </c>
      <c r="H51" s="99" t="s">
        <v>30467</v>
      </c>
      <c r="I51" s="99" t="s">
        <v>21</v>
      </c>
      <c r="J51" s="99" t="s">
        <v>30470</v>
      </c>
      <c r="K51" s="99" t="s">
        <v>240</v>
      </c>
      <c r="L51" s="99" t="s">
        <v>25546</v>
      </c>
      <c r="M51" s="99" t="s">
        <v>25645</v>
      </c>
      <c r="N51" s="99">
        <v>975.8</v>
      </c>
      <c r="S51" t="str">
        <f t="shared" si="2"/>
        <v>95-034-80-58</v>
      </c>
      <c r="T51" s="121" t="s">
        <v>27366</v>
      </c>
      <c r="U51" s="104">
        <v>10</v>
      </c>
    </row>
    <row r="52" spans="1:21" x14ac:dyDescent="0.2">
      <c r="A52" s="99" t="s">
        <v>28856</v>
      </c>
      <c r="B52" s="99" t="s">
        <v>30446</v>
      </c>
      <c r="C52" s="99" t="s">
        <v>24</v>
      </c>
      <c r="D52" s="99" t="s">
        <v>25498</v>
      </c>
      <c r="E52" s="99" t="s">
        <v>30461</v>
      </c>
      <c r="F52" s="99" t="s">
        <v>77</v>
      </c>
      <c r="G52" s="99" t="s">
        <v>28523</v>
      </c>
      <c r="H52" s="99" t="s">
        <v>30467</v>
      </c>
      <c r="I52" s="99" t="s">
        <v>21</v>
      </c>
      <c r="J52" s="99" t="s">
        <v>30470</v>
      </c>
      <c r="K52" s="99" t="s">
        <v>240</v>
      </c>
      <c r="L52" s="99" t="s">
        <v>25546</v>
      </c>
      <c r="M52" s="99" t="s">
        <v>25645</v>
      </c>
      <c r="N52" s="99">
        <v>975.8</v>
      </c>
      <c r="S52" t="str">
        <f t="shared" si="2"/>
        <v>95-034-80-59</v>
      </c>
      <c r="T52" s="121" t="s">
        <v>27320</v>
      </c>
      <c r="U52" s="104">
        <v>13</v>
      </c>
    </row>
    <row r="53" spans="1:21" x14ac:dyDescent="0.2">
      <c r="A53" s="99" t="s">
        <v>28856</v>
      </c>
      <c r="B53" s="99" t="s">
        <v>30446</v>
      </c>
      <c r="C53" s="99" t="s">
        <v>24</v>
      </c>
      <c r="D53" s="99" t="s">
        <v>25498</v>
      </c>
      <c r="E53" s="99" t="s">
        <v>30461</v>
      </c>
      <c r="F53" s="99" t="s">
        <v>77</v>
      </c>
      <c r="G53" s="99" t="s">
        <v>28523</v>
      </c>
      <c r="H53" s="99" t="s">
        <v>30467</v>
      </c>
      <c r="I53" s="99" t="s">
        <v>21</v>
      </c>
      <c r="J53" s="99" t="s">
        <v>30470</v>
      </c>
      <c r="K53" s="99" t="s">
        <v>240</v>
      </c>
      <c r="L53" s="99" t="s">
        <v>25546</v>
      </c>
      <c r="M53" s="99" t="s">
        <v>25645</v>
      </c>
      <c r="N53" s="99">
        <v>975.8</v>
      </c>
      <c r="S53" t="str">
        <f t="shared" si="2"/>
        <v>95-034-80-60</v>
      </c>
      <c r="T53" s="121" t="s">
        <v>27243</v>
      </c>
      <c r="U53" s="104">
        <v>10</v>
      </c>
    </row>
    <row r="54" spans="1:21" x14ac:dyDescent="0.2">
      <c r="A54" s="99" t="s">
        <v>28856</v>
      </c>
      <c r="B54" s="99" t="s">
        <v>30446</v>
      </c>
      <c r="C54" s="99" t="s">
        <v>24</v>
      </c>
      <c r="D54" s="99" t="s">
        <v>25498</v>
      </c>
      <c r="E54" s="99" t="s">
        <v>30461</v>
      </c>
      <c r="F54" s="99" t="s">
        <v>77</v>
      </c>
      <c r="G54" s="99" t="s">
        <v>28523</v>
      </c>
      <c r="H54" s="99" t="s">
        <v>30467</v>
      </c>
      <c r="I54" s="99" t="s">
        <v>21</v>
      </c>
      <c r="J54" s="99" t="s">
        <v>30470</v>
      </c>
      <c r="K54" s="99" t="s">
        <v>240</v>
      </c>
      <c r="L54" s="99" t="s">
        <v>25546</v>
      </c>
      <c r="M54" s="99" t="s">
        <v>25645</v>
      </c>
      <c r="N54" s="99">
        <v>975.8</v>
      </c>
      <c r="S54" t="str">
        <f t="shared" si="2"/>
        <v>95-034-80-61</v>
      </c>
      <c r="T54" s="121" t="s">
        <v>27325</v>
      </c>
      <c r="U54" s="104">
        <v>8</v>
      </c>
    </row>
    <row r="55" spans="1:21" x14ac:dyDescent="0.2">
      <c r="A55" s="99" t="s">
        <v>28856</v>
      </c>
      <c r="B55" s="99" t="s">
        <v>30446</v>
      </c>
      <c r="C55" s="99" t="s">
        <v>24</v>
      </c>
      <c r="D55" s="99" t="s">
        <v>25498</v>
      </c>
      <c r="E55" s="99" t="s">
        <v>30461</v>
      </c>
      <c r="F55" s="99" t="s">
        <v>77</v>
      </c>
      <c r="G55" s="99" t="s">
        <v>28523</v>
      </c>
      <c r="H55" s="99" t="s">
        <v>30467</v>
      </c>
      <c r="I55" s="99" t="s">
        <v>21</v>
      </c>
      <c r="J55" s="99" t="s">
        <v>30470</v>
      </c>
      <c r="K55" s="99" t="s">
        <v>240</v>
      </c>
      <c r="L55" s="99" t="s">
        <v>25546</v>
      </c>
      <c r="M55" s="99" t="s">
        <v>25645</v>
      </c>
      <c r="N55" s="99">
        <v>975.8</v>
      </c>
      <c r="S55" t="str">
        <f t="shared" si="2"/>
        <v>95-034-80-62</v>
      </c>
      <c r="T55" s="121" t="s">
        <v>27207</v>
      </c>
      <c r="U55" s="104">
        <v>4</v>
      </c>
    </row>
    <row r="56" spans="1:21" x14ac:dyDescent="0.2">
      <c r="A56" s="99" t="s">
        <v>30425</v>
      </c>
      <c r="B56" s="99" t="s">
        <v>30447</v>
      </c>
      <c r="C56" s="99" t="s">
        <v>24</v>
      </c>
      <c r="D56" s="99" t="s">
        <v>25498</v>
      </c>
      <c r="E56" s="99" t="s">
        <v>30461</v>
      </c>
      <c r="F56" s="99" t="s">
        <v>77</v>
      </c>
      <c r="G56" s="99" t="s">
        <v>28523</v>
      </c>
      <c r="H56" s="99" t="s">
        <v>30463</v>
      </c>
      <c r="I56" s="99" t="s">
        <v>152</v>
      </c>
      <c r="J56" s="99" t="s">
        <v>30470</v>
      </c>
      <c r="K56" s="99" t="s">
        <v>240</v>
      </c>
      <c r="L56" s="99" t="s">
        <v>25546</v>
      </c>
      <c r="M56" s="99" t="s">
        <v>25645</v>
      </c>
      <c r="N56" s="99">
        <v>975.8</v>
      </c>
      <c r="S56" t="str">
        <f t="shared" ref="S56:S76" si="3">A56&amp;"-"&amp;T56</f>
        <v>95-088-72-56</v>
      </c>
      <c r="T56" s="121" t="s">
        <v>27240</v>
      </c>
      <c r="U56" s="104">
        <v>2</v>
      </c>
    </row>
    <row r="57" spans="1:21" x14ac:dyDescent="0.2">
      <c r="A57" s="99" t="s">
        <v>30425</v>
      </c>
      <c r="B57" s="99" t="s">
        <v>30447</v>
      </c>
      <c r="C57" s="99" t="s">
        <v>24</v>
      </c>
      <c r="D57" s="99" t="s">
        <v>25498</v>
      </c>
      <c r="E57" s="99" t="s">
        <v>30461</v>
      </c>
      <c r="F57" s="99" t="s">
        <v>77</v>
      </c>
      <c r="G57" s="99" t="s">
        <v>28523</v>
      </c>
      <c r="H57" s="99" t="s">
        <v>30463</v>
      </c>
      <c r="I57" s="99" t="s">
        <v>152</v>
      </c>
      <c r="J57" s="99" t="s">
        <v>30470</v>
      </c>
      <c r="K57" s="99" t="s">
        <v>240</v>
      </c>
      <c r="L57" s="99" t="s">
        <v>25546</v>
      </c>
      <c r="M57" s="99" t="s">
        <v>25645</v>
      </c>
      <c r="N57" s="99">
        <v>975.8</v>
      </c>
      <c r="S57" t="str">
        <f t="shared" si="3"/>
        <v>95-088-72-57</v>
      </c>
      <c r="T57" s="121" t="s">
        <v>27324</v>
      </c>
      <c r="U57" s="104">
        <v>3</v>
      </c>
    </row>
    <row r="58" spans="1:21" x14ac:dyDescent="0.2">
      <c r="A58" s="99" t="s">
        <v>30425</v>
      </c>
      <c r="B58" s="99" t="s">
        <v>30447</v>
      </c>
      <c r="C58" s="99" t="s">
        <v>24</v>
      </c>
      <c r="D58" s="99" t="s">
        <v>25498</v>
      </c>
      <c r="E58" s="99" t="s">
        <v>30461</v>
      </c>
      <c r="F58" s="99" t="s">
        <v>77</v>
      </c>
      <c r="G58" s="99" t="s">
        <v>28523</v>
      </c>
      <c r="H58" s="99" t="s">
        <v>30463</v>
      </c>
      <c r="I58" s="99" t="s">
        <v>152</v>
      </c>
      <c r="J58" s="99" t="s">
        <v>30470</v>
      </c>
      <c r="K58" s="99" t="s">
        <v>240</v>
      </c>
      <c r="L58" s="99" t="s">
        <v>25546</v>
      </c>
      <c r="M58" s="99" t="s">
        <v>25645</v>
      </c>
      <c r="N58" s="99">
        <v>975.8</v>
      </c>
      <c r="S58" t="str">
        <f t="shared" si="3"/>
        <v>95-088-72-58</v>
      </c>
      <c r="T58" s="121" t="s">
        <v>27366</v>
      </c>
      <c r="U58" s="104">
        <v>4</v>
      </c>
    </row>
    <row r="59" spans="1:21" x14ac:dyDescent="0.2">
      <c r="A59" s="99" t="s">
        <v>30425</v>
      </c>
      <c r="B59" s="99" t="s">
        <v>30447</v>
      </c>
      <c r="C59" s="99" t="s">
        <v>24</v>
      </c>
      <c r="D59" s="99" t="s">
        <v>25498</v>
      </c>
      <c r="E59" s="99" t="s">
        <v>30461</v>
      </c>
      <c r="F59" s="99" t="s">
        <v>77</v>
      </c>
      <c r="G59" s="99" t="s">
        <v>28523</v>
      </c>
      <c r="H59" s="99" t="s">
        <v>30463</v>
      </c>
      <c r="I59" s="99" t="s">
        <v>152</v>
      </c>
      <c r="J59" s="99" t="s">
        <v>30470</v>
      </c>
      <c r="K59" s="99" t="s">
        <v>240</v>
      </c>
      <c r="L59" s="99" t="s">
        <v>25546</v>
      </c>
      <c r="M59" s="99" t="s">
        <v>25645</v>
      </c>
      <c r="N59" s="99">
        <v>975.8</v>
      </c>
      <c r="S59" t="str">
        <f t="shared" si="3"/>
        <v>95-088-72-59</v>
      </c>
      <c r="T59" s="121" t="s">
        <v>27320</v>
      </c>
      <c r="U59" s="104">
        <v>6</v>
      </c>
    </row>
    <row r="60" spans="1:21" x14ac:dyDescent="0.2">
      <c r="A60" s="99" t="s">
        <v>30425</v>
      </c>
      <c r="B60" s="99" t="s">
        <v>30447</v>
      </c>
      <c r="C60" s="99" t="s">
        <v>24</v>
      </c>
      <c r="D60" s="99" t="s">
        <v>25498</v>
      </c>
      <c r="E60" s="99" t="s">
        <v>30461</v>
      </c>
      <c r="F60" s="99" t="s">
        <v>77</v>
      </c>
      <c r="G60" s="99" t="s">
        <v>28523</v>
      </c>
      <c r="H60" s="99" t="s">
        <v>30463</v>
      </c>
      <c r="I60" s="99" t="s">
        <v>152</v>
      </c>
      <c r="J60" s="99" t="s">
        <v>30470</v>
      </c>
      <c r="K60" s="99" t="s">
        <v>240</v>
      </c>
      <c r="L60" s="99" t="s">
        <v>25546</v>
      </c>
      <c r="M60" s="99" t="s">
        <v>25645</v>
      </c>
      <c r="N60" s="99">
        <v>975.8</v>
      </c>
      <c r="S60" t="str">
        <f t="shared" si="3"/>
        <v>95-088-72-60</v>
      </c>
      <c r="T60" s="121" t="s">
        <v>27243</v>
      </c>
      <c r="U60" s="104">
        <v>4</v>
      </c>
    </row>
    <row r="61" spans="1:21" x14ac:dyDescent="0.2">
      <c r="A61" s="99" t="s">
        <v>30425</v>
      </c>
      <c r="B61" s="99" t="s">
        <v>30447</v>
      </c>
      <c r="C61" s="99" t="s">
        <v>24</v>
      </c>
      <c r="D61" s="99" t="s">
        <v>25498</v>
      </c>
      <c r="E61" s="99" t="s">
        <v>30461</v>
      </c>
      <c r="F61" s="99" t="s">
        <v>77</v>
      </c>
      <c r="G61" s="99" t="s">
        <v>28523</v>
      </c>
      <c r="H61" s="99" t="s">
        <v>30463</v>
      </c>
      <c r="I61" s="99" t="s">
        <v>152</v>
      </c>
      <c r="J61" s="99" t="s">
        <v>30470</v>
      </c>
      <c r="K61" s="99" t="s">
        <v>240</v>
      </c>
      <c r="L61" s="99" t="s">
        <v>25546</v>
      </c>
      <c r="M61" s="99" t="s">
        <v>25645</v>
      </c>
      <c r="N61" s="99">
        <v>975.8</v>
      </c>
      <c r="S61" t="str">
        <f t="shared" si="3"/>
        <v>95-088-72-61</v>
      </c>
      <c r="T61" s="121" t="s">
        <v>27325</v>
      </c>
      <c r="U61" s="104">
        <v>3</v>
      </c>
    </row>
    <row r="62" spans="1:21" x14ac:dyDescent="0.2">
      <c r="A62" s="99" t="s">
        <v>30425</v>
      </c>
      <c r="B62" s="99" t="s">
        <v>30447</v>
      </c>
      <c r="C62" s="99" t="s">
        <v>24</v>
      </c>
      <c r="D62" s="99" t="s">
        <v>25498</v>
      </c>
      <c r="E62" s="99" t="s">
        <v>30461</v>
      </c>
      <c r="F62" s="99" t="s">
        <v>77</v>
      </c>
      <c r="G62" s="99" t="s">
        <v>28523</v>
      </c>
      <c r="H62" s="99" t="s">
        <v>30463</v>
      </c>
      <c r="I62" s="99" t="s">
        <v>152</v>
      </c>
      <c r="J62" s="99" t="s">
        <v>30470</v>
      </c>
      <c r="K62" s="99" t="s">
        <v>240</v>
      </c>
      <c r="L62" s="99" t="s">
        <v>25546</v>
      </c>
      <c r="M62" s="99" t="s">
        <v>25645</v>
      </c>
      <c r="N62" s="99">
        <v>975.8</v>
      </c>
      <c r="S62" t="str">
        <f t="shared" si="3"/>
        <v>95-088-72-62</v>
      </c>
      <c r="T62" s="121" t="s">
        <v>27207</v>
      </c>
      <c r="U62" s="104">
        <v>2</v>
      </c>
    </row>
    <row r="63" spans="1:21" x14ac:dyDescent="0.2">
      <c r="A63" s="99" t="s">
        <v>30426</v>
      </c>
      <c r="B63" s="99" t="s">
        <v>30448</v>
      </c>
      <c r="C63" s="99" t="s">
        <v>24</v>
      </c>
      <c r="D63" s="99" t="s">
        <v>25498</v>
      </c>
      <c r="E63" s="99" t="s">
        <v>30461</v>
      </c>
      <c r="F63" s="99" t="s">
        <v>77</v>
      </c>
      <c r="G63" s="99" t="s">
        <v>28523</v>
      </c>
      <c r="H63" s="99" t="s">
        <v>30464</v>
      </c>
      <c r="I63" s="99" t="s">
        <v>0</v>
      </c>
      <c r="J63" s="99" t="s">
        <v>30470</v>
      </c>
      <c r="K63" s="99" t="s">
        <v>240</v>
      </c>
      <c r="L63" s="99" t="s">
        <v>25546</v>
      </c>
      <c r="M63" s="99" t="s">
        <v>25645</v>
      </c>
      <c r="N63" s="99">
        <v>975.8</v>
      </c>
      <c r="S63" t="str">
        <f t="shared" si="3"/>
        <v>95-089-09-56</v>
      </c>
      <c r="T63" s="121" t="s">
        <v>27240</v>
      </c>
      <c r="U63" s="104">
        <v>2</v>
      </c>
    </row>
    <row r="64" spans="1:21" x14ac:dyDescent="0.2">
      <c r="A64" s="99" t="s">
        <v>30426</v>
      </c>
      <c r="B64" s="99" t="s">
        <v>30448</v>
      </c>
      <c r="C64" s="99" t="s">
        <v>24</v>
      </c>
      <c r="D64" s="99" t="s">
        <v>25498</v>
      </c>
      <c r="E64" s="99" t="s">
        <v>30461</v>
      </c>
      <c r="F64" s="99" t="s">
        <v>77</v>
      </c>
      <c r="G64" s="99" t="s">
        <v>28523</v>
      </c>
      <c r="H64" s="99" t="s">
        <v>30464</v>
      </c>
      <c r="I64" s="99" t="s">
        <v>0</v>
      </c>
      <c r="J64" s="99" t="s">
        <v>30470</v>
      </c>
      <c r="K64" s="99" t="s">
        <v>240</v>
      </c>
      <c r="L64" s="99" t="s">
        <v>25546</v>
      </c>
      <c r="M64" s="99" t="s">
        <v>25645</v>
      </c>
      <c r="N64" s="99">
        <v>975.8</v>
      </c>
      <c r="S64" t="str">
        <f t="shared" si="3"/>
        <v>95-089-09-57</v>
      </c>
      <c r="T64" s="121" t="s">
        <v>27324</v>
      </c>
      <c r="U64" s="104">
        <v>3</v>
      </c>
    </row>
    <row r="65" spans="1:21" x14ac:dyDescent="0.2">
      <c r="A65" s="99" t="s">
        <v>30426</v>
      </c>
      <c r="B65" s="99" t="s">
        <v>30448</v>
      </c>
      <c r="C65" s="99" t="s">
        <v>24</v>
      </c>
      <c r="D65" s="99" t="s">
        <v>25498</v>
      </c>
      <c r="E65" s="99" t="s">
        <v>30461</v>
      </c>
      <c r="F65" s="99" t="s">
        <v>77</v>
      </c>
      <c r="G65" s="99" t="s">
        <v>28523</v>
      </c>
      <c r="H65" s="99" t="s">
        <v>30464</v>
      </c>
      <c r="I65" s="99" t="s">
        <v>0</v>
      </c>
      <c r="J65" s="99" t="s">
        <v>30470</v>
      </c>
      <c r="K65" s="99" t="s">
        <v>240</v>
      </c>
      <c r="L65" s="99" t="s">
        <v>25546</v>
      </c>
      <c r="M65" s="99" t="s">
        <v>25645</v>
      </c>
      <c r="N65" s="99">
        <v>975.8</v>
      </c>
      <c r="S65" t="str">
        <f t="shared" si="3"/>
        <v>95-089-09-58</v>
      </c>
      <c r="T65" s="121" t="s">
        <v>27366</v>
      </c>
      <c r="U65" s="104">
        <v>4</v>
      </c>
    </row>
    <row r="66" spans="1:21" x14ac:dyDescent="0.2">
      <c r="A66" s="99" t="s">
        <v>30426</v>
      </c>
      <c r="B66" s="99" t="s">
        <v>30448</v>
      </c>
      <c r="C66" s="99" t="s">
        <v>24</v>
      </c>
      <c r="D66" s="99" t="s">
        <v>25498</v>
      </c>
      <c r="E66" s="99" t="s">
        <v>30461</v>
      </c>
      <c r="F66" s="99" t="s">
        <v>77</v>
      </c>
      <c r="G66" s="99" t="s">
        <v>28523</v>
      </c>
      <c r="H66" s="99" t="s">
        <v>30464</v>
      </c>
      <c r="I66" s="99" t="s">
        <v>0</v>
      </c>
      <c r="J66" s="99" t="s">
        <v>30470</v>
      </c>
      <c r="K66" s="99" t="s">
        <v>240</v>
      </c>
      <c r="L66" s="99" t="s">
        <v>25546</v>
      </c>
      <c r="M66" s="99" t="s">
        <v>25645</v>
      </c>
      <c r="N66" s="99">
        <v>975.8</v>
      </c>
      <c r="S66" t="str">
        <f t="shared" si="3"/>
        <v>95-089-09-59</v>
      </c>
      <c r="T66" s="121" t="s">
        <v>27320</v>
      </c>
      <c r="U66" s="104">
        <v>6</v>
      </c>
    </row>
    <row r="67" spans="1:21" x14ac:dyDescent="0.2">
      <c r="A67" s="99" t="s">
        <v>30426</v>
      </c>
      <c r="B67" s="99" t="s">
        <v>30448</v>
      </c>
      <c r="C67" s="99" t="s">
        <v>24</v>
      </c>
      <c r="D67" s="99" t="s">
        <v>25498</v>
      </c>
      <c r="E67" s="99" t="s">
        <v>30461</v>
      </c>
      <c r="F67" s="99" t="s">
        <v>77</v>
      </c>
      <c r="G67" s="99" t="s">
        <v>28523</v>
      </c>
      <c r="H67" s="99" t="s">
        <v>30464</v>
      </c>
      <c r="I67" s="99" t="s">
        <v>0</v>
      </c>
      <c r="J67" s="99" t="s">
        <v>30470</v>
      </c>
      <c r="K67" s="99" t="s">
        <v>240</v>
      </c>
      <c r="L67" s="99" t="s">
        <v>25546</v>
      </c>
      <c r="M67" s="99" t="s">
        <v>25645</v>
      </c>
      <c r="N67" s="99">
        <v>975.8</v>
      </c>
      <c r="S67" t="str">
        <f t="shared" si="3"/>
        <v>95-089-09-60</v>
      </c>
      <c r="T67" s="121" t="s">
        <v>27243</v>
      </c>
      <c r="U67" s="104">
        <v>4</v>
      </c>
    </row>
    <row r="68" spans="1:21" x14ac:dyDescent="0.2">
      <c r="A68" s="99" t="s">
        <v>30426</v>
      </c>
      <c r="B68" s="99" t="s">
        <v>30448</v>
      </c>
      <c r="C68" s="99" t="s">
        <v>24</v>
      </c>
      <c r="D68" s="99" t="s">
        <v>25498</v>
      </c>
      <c r="E68" s="99" t="s">
        <v>30461</v>
      </c>
      <c r="F68" s="99" t="s">
        <v>77</v>
      </c>
      <c r="G68" s="99" t="s">
        <v>28523</v>
      </c>
      <c r="H68" s="99" t="s">
        <v>30464</v>
      </c>
      <c r="I68" s="99" t="s">
        <v>0</v>
      </c>
      <c r="J68" s="99" t="s">
        <v>30470</v>
      </c>
      <c r="K68" s="99" t="s">
        <v>240</v>
      </c>
      <c r="L68" s="99" t="s">
        <v>25546</v>
      </c>
      <c r="M68" s="99" t="s">
        <v>25645</v>
      </c>
      <c r="N68" s="99">
        <v>975.8</v>
      </c>
      <c r="S68" t="str">
        <f t="shared" si="3"/>
        <v>95-089-09-61</v>
      </c>
      <c r="T68" s="121" t="s">
        <v>27325</v>
      </c>
      <c r="U68" s="104">
        <v>3</v>
      </c>
    </row>
    <row r="69" spans="1:21" x14ac:dyDescent="0.2">
      <c r="A69" s="99" t="s">
        <v>30426</v>
      </c>
      <c r="B69" s="99" t="s">
        <v>30448</v>
      </c>
      <c r="C69" s="99" t="s">
        <v>24</v>
      </c>
      <c r="D69" s="99" t="s">
        <v>25498</v>
      </c>
      <c r="E69" s="99" t="s">
        <v>30461</v>
      </c>
      <c r="F69" s="99" t="s">
        <v>77</v>
      </c>
      <c r="G69" s="99" t="s">
        <v>28523</v>
      </c>
      <c r="H69" s="99" t="s">
        <v>30464</v>
      </c>
      <c r="I69" s="99" t="s">
        <v>0</v>
      </c>
      <c r="J69" s="99" t="s">
        <v>30470</v>
      </c>
      <c r="K69" s="99" t="s">
        <v>240</v>
      </c>
      <c r="L69" s="99" t="s">
        <v>25546</v>
      </c>
      <c r="M69" s="99" t="s">
        <v>25645</v>
      </c>
      <c r="N69" s="99">
        <v>975.8</v>
      </c>
      <c r="S69" t="str">
        <f t="shared" si="3"/>
        <v>95-089-09-62</v>
      </c>
      <c r="T69" s="121" t="s">
        <v>27207</v>
      </c>
      <c r="U69" s="104">
        <v>2</v>
      </c>
    </row>
    <row r="70" spans="1:21" x14ac:dyDescent="0.2">
      <c r="A70" s="99" t="s">
        <v>30427</v>
      </c>
      <c r="B70" s="99" t="s">
        <v>30449</v>
      </c>
      <c r="C70" s="99" t="s">
        <v>24</v>
      </c>
      <c r="D70" s="99" t="s">
        <v>30</v>
      </c>
      <c r="E70" s="99" t="s">
        <v>30461</v>
      </c>
      <c r="F70" s="99" t="s">
        <v>77</v>
      </c>
      <c r="G70" s="99" t="s">
        <v>28523</v>
      </c>
      <c r="H70" s="99" t="s">
        <v>30462</v>
      </c>
      <c r="I70" s="99" t="s">
        <v>21</v>
      </c>
      <c r="J70" s="99" t="s">
        <v>30470</v>
      </c>
      <c r="K70" s="99" t="s">
        <v>240</v>
      </c>
      <c r="L70" s="99" t="s">
        <v>25546</v>
      </c>
      <c r="M70" s="99" t="s">
        <v>25645</v>
      </c>
      <c r="N70" s="99">
        <v>975.8</v>
      </c>
      <c r="S70" t="str">
        <f t="shared" si="3"/>
        <v>95-090-80-56</v>
      </c>
      <c r="T70" s="121" t="s">
        <v>27240</v>
      </c>
      <c r="U70" s="104">
        <v>2</v>
      </c>
    </row>
    <row r="71" spans="1:21" x14ac:dyDescent="0.2">
      <c r="A71" s="99" t="s">
        <v>30427</v>
      </c>
      <c r="B71" s="99" t="s">
        <v>30449</v>
      </c>
      <c r="C71" s="99" t="s">
        <v>24</v>
      </c>
      <c r="D71" s="99" t="s">
        <v>30</v>
      </c>
      <c r="E71" s="99" t="s">
        <v>30461</v>
      </c>
      <c r="F71" s="99" t="s">
        <v>77</v>
      </c>
      <c r="G71" s="99" t="s">
        <v>28523</v>
      </c>
      <c r="H71" s="99" t="s">
        <v>30462</v>
      </c>
      <c r="I71" s="99" t="s">
        <v>21</v>
      </c>
      <c r="J71" s="99" t="s">
        <v>30470</v>
      </c>
      <c r="K71" s="99" t="s">
        <v>240</v>
      </c>
      <c r="L71" s="99" t="s">
        <v>25546</v>
      </c>
      <c r="M71" s="99" t="s">
        <v>25645</v>
      </c>
      <c r="N71" s="99">
        <v>975.8</v>
      </c>
      <c r="S71" t="str">
        <f t="shared" si="3"/>
        <v>95-090-80-57</v>
      </c>
      <c r="T71" s="121" t="s">
        <v>27324</v>
      </c>
      <c r="U71" s="104">
        <v>3</v>
      </c>
    </row>
    <row r="72" spans="1:21" x14ac:dyDescent="0.2">
      <c r="A72" s="99" t="s">
        <v>30427</v>
      </c>
      <c r="B72" s="99" t="s">
        <v>30449</v>
      </c>
      <c r="C72" s="99" t="s">
        <v>24</v>
      </c>
      <c r="D72" s="99" t="s">
        <v>30</v>
      </c>
      <c r="E72" s="99" t="s">
        <v>30461</v>
      </c>
      <c r="F72" s="99" t="s">
        <v>77</v>
      </c>
      <c r="G72" s="99" t="s">
        <v>28523</v>
      </c>
      <c r="H72" s="99" t="s">
        <v>30462</v>
      </c>
      <c r="I72" s="99" t="s">
        <v>21</v>
      </c>
      <c r="J72" s="99" t="s">
        <v>30470</v>
      </c>
      <c r="K72" s="99" t="s">
        <v>240</v>
      </c>
      <c r="L72" s="99" t="s">
        <v>25546</v>
      </c>
      <c r="M72" s="99" t="s">
        <v>25645</v>
      </c>
      <c r="N72" s="99">
        <v>975.8</v>
      </c>
      <c r="S72" t="str">
        <f t="shared" si="3"/>
        <v>95-090-80-58</v>
      </c>
      <c r="T72" s="121" t="s">
        <v>27366</v>
      </c>
      <c r="U72" s="104">
        <v>4</v>
      </c>
    </row>
    <row r="73" spans="1:21" x14ac:dyDescent="0.2">
      <c r="A73" s="99" t="s">
        <v>30427</v>
      </c>
      <c r="B73" s="99" t="s">
        <v>30449</v>
      </c>
      <c r="C73" s="99" t="s">
        <v>24</v>
      </c>
      <c r="D73" s="99" t="s">
        <v>30</v>
      </c>
      <c r="E73" s="99" t="s">
        <v>30461</v>
      </c>
      <c r="F73" s="99" t="s">
        <v>77</v>
      </c>
      <c r="G73" s="99" t="s">
        <v>28523</v>
      </c>
      <c r="H73" s="99" t="s">
        <v>30462</v>
      </c>
      <c r="I73" s="99" t="s">
        <v>21</v>
      </c>
      <c r="J73" s="99" t="s">
        <v>30470</v>
      </c>
      <c r="K73" s="99" t="s">
        <v>240</v>
      </c>
      <c r="L73" s="99" t="s">
        <v>25546</v>
      </c>
      <c r="M73" s="99" t="s">
        <v>25645</v>
      </c>
      <c r="N73" s="99">
        <v>975.8</v>
      </c>
      <c r="S73" t="str">
        <f t="shared" si="3"/>
        <v>95-090-80-59</v>
      </c>
      <c r="T73" s="121" t="s">
        <v>27320</v>
      </c>
      <c r="U73" s="104">
        <v>6</v>
      </c>
    </row>
    <row r="74" spans="1:21" x14ac:dyDescent="0.2">
      <c r="A74" s="99" t="s">
        <v>30427</v>
      </c>
      <c r="B74" s="99" t="s">
        <v>30449</v>
      </c>
      <c r="C74" s="99" t="s">
        <v>24</v>
      </c>
      <c r="D74" s="99" t="s">
        <v>30</v>
      </c>
      <c r="E74" s="99" t="s">
        <v>30461</v>
      </c>
      <c r="F74" s="99" t="s">
        <v>77</v>
      </c>
      <c r="G74" s="99" t="s">
        <v>28523</v>
      </c>
      <c r="H74" s="99" t="s">
        <v>30462</v>
      </c>
      <c r="I74" s="99" t="s">
        <v>21</v>
      </c>
      <c r="J74" s="99" t="s">
        <v>30470</v>
      </c>
      <c r="K74" s="99" t="s">
        <v>240</v>
      </c>
      <c r="L74" s="99" t="s">
        <v>25546</v>
      </c>
      <c r="M74" s="99" t="s">
        <v>25645</v>
      </c>
      <c r="N74" s="99">
        <v>975.8</v>
      </c>
      <c r="S74" t="str">
        <f t="shared" si="3"/>
        <v>95-090-80-60</v>
      </c>
      <c r="T74" s="121" t="s">
        <v>27243</v>
      </c>
      <c r="U74" s="104">
        <v>4</v>
      </c>
    </row>
    <row r="75" spans="1:21" x14ac:dyDescent="0.2">
      <c r="A75" s="99" t="s">
        <v>30427</v>
      </c>
      <c r="B75" s="99" t="s">
        <v>30449</v>
      </c>
      <c r="C75" s="99" t="s">
        <v>24</v>
      </c>
      <c r="D75" s="99" t="s">
        <v>30</v>
      </c>
      <c r="E75" s="99" t="s">
        <v>30461</v>
      </c>
      <c r="F75" s="99" t="s">
        <v>77</v>
      </c>
      <c r="G75" s="99" t="s">
        <v>28523</v>
      </c>
      <c r="H75" s="99" t="s">
        <v>30462</v>
      </c>
      <c r="I75" s="99" t="s">
        <v>21</v>
      </c>
      <c r="J75" s="99" t="s">
        <v>30470</v>
      </c>
      <c r="K75" s="99" t="s">
        <v>240</v>
      </c>
      <c r="L75" s="99" t="s">
        <v>25546</v>
      </c>
      <c r="M75" s="99" t="s">
        <v>25645</v>
      </c>
      <c r="N75" s="99">
        <v>975.8</v>
      </c>
      <c r="S75" t="str">
        <f t="shared" si="3"/>
        <v>95-090-80-61</v>
      </c>
      <c r="T75" s="121" t="s">
        <v>27325</v>
      </c>
      <c r="U75" s="104">
        <v>3</v>
      </c>
    </row>
    <row r="76" spans="1:21" x14ac:dyDescent="0.2">
      <c r="A76" s="99" t="s">
        <v>30427</v>
      </c>
      <c r="B76" s="99" t="s">
        <v>30449</v>
      </c>
      <c r="C76" s="99" t="s">
        <v>24</v>
      </c>
      <c r="D76" s="99" t="s">
        <v>30</v>
      </c>
      <c r="E76" s="99" t="s">
        <v>30461</v>
      </c>
      <c r="F76" s="99" t="s">
        <v>77</v>
      </c>
      <c r="G76" s="99" t="s">
        <v>28523</v>
      </c>
      <c r="H76" s="99" t="s">
        <v>30462</v>
      </c>
      <c r="I76" s="99" t="s">
        <v>21</v>
      </c>
      <c r="J76" s="99" t="s">
        <v>30470</v>
      </c>
      <c r="K76" s="99" t="s">
        <v>240</v>
      </c>
      <c r="L76" s="99" t="s">
        <v>25546</v>
      </c>
      <c r="M76" s="99" t="s">
        <v>25645</v>
      </c>
      <c r="N76" s="99">
        <v>975.8</v>
      </c>
      <c r="S76" t="str">
        <f t="shared" si="3"/>
        <v>95-090-80-62</v>
      </c>
      <c r="T76" s="121" t="s">
        <v>27207</v>
      </c>
      <c r="U76" s="104">
        <v>2</v>
      </c>
    </row>
    <row r="77" spans="1:21" x14ac:dyDescent="0.2">
      <c r="A77" s="99" t="s">
        <v>30428</v>
      </c>
      <c r="B77" s="99" t="s">
        <v>30450</v>
      </c>
      <c r="C77" s="99" t="s">
        <v>24</v>
      </c>
      <c r="D77" s="99" t="s">
        <v>30</v>
      </c>
      <c r="E77" s="99" t="s">
        <v>30461</v>
      </c>
      <c r="F77" s="99" t="s">
        <v>77</v>
      </c>
      <c r="G77" s="99" t="s">
        <v>28523</v>
      </c>
      <c r="H77" s="99" t="s">
        <v>30468</v>
      </c>
      <c r="I77" s="99" t="s">
        <v>17</v>
      </c>
      <c r="J77" s="99" t="s">
        <v>30470</v>
      </c>
      <c r="K77" s="99" t="s">
        <v>240</v>
      </c>
      <c r="L77" s="99" t="s">
        <v>25546</v>
      </c>
      <c r="M77" s="99" t="s">
        <v>25645</v>
      </c>
      <c r="N77" s="99">
        <v>975.8</v>
      </c>
      <c r="S77" t="str">
        <f t="shared" ref="S77:S94" si="4">A77&amp;"-"&amp;T77</f>
        <v>95-091-14-56</v>
      </c>
      <c r="T77" s="121" t="s">
        <v>27240</v>
      </c>
      <c r="U77" s="104">
        <v>1</v>
      </c>
    </row>
    <row r="78" spans="1:21" x14ac:dyDescent="0.2">
      <c r="A78" s="99" t="s">
        <v>30428</v>
      </c>
      <c r="B78" s="99" t="s">
        <v>30450</v>
      </c>
      <c r="C78" s="99" t="s">
        <v>24</v>
      </c>
      <c r="D78" s="99" t="s">
        <v>30</v>
      </c>
      <c r="E78" s="99" t="s">
        <v>30461</v>
      </c>
      <c r="F78" s="99" t="s">
        <v>77</v>
      </c>
      <c r="G78" s="99" t="s">
        <v>28523</v>
      </c>
      <c r="H78" s="99" t="s">
        <v>30468</v>
      </c>
      <c r="I78" s="99" t="s">
        <v>17</v>
      </c>
      <c r="J78" s="99" t="s">
        <v>30470</v>
      </c>
      <c r="K78" s="99" t="s">
        <v>240</v>
      </c>
      <c r="L78" s="99" t="s">
        <v>25546</v>
      </c>
      <c r="M78" s="99" t="s">
        <v>25645</v>
      </c>
      <c r="N78" s="99">
        <v>975.8</v>
      </c>
      <c r="S78" t="str">
        <f t="shared" si="4"/>
        <v>95-091-14-57</v>
      </c>
      <c r="T78" s="121" t="s">
        <v>27324</v>
      </c>
      <c r="U78" s="104">
        <v>2</v>
      </c>
    </row>
    <row r="79" spans="1:21" x14ac:dyDescent="0.2">
      <c r="A79" s="99" t="s">
        <v>30428</v>
      </c>
      <c r="B79" s="99" t="s">
        <v>30450</v>
      </c>
      <c r="C79" s="99" t="s">
        <v>24</v>
      </c>
      <c r="D79" s="99" t="s">
        <v>30</v>
      </c>
      <c r="E79" s="99" t="s">
        <v>30461</v>
      </c>
      <c r="F79" s="99" t="s">
        <v>77</v>
      </c>
      <c r="G79" s="99" t="s">
        <v>28523</v>
      </c>
      <c r="H79" s="99" t="s">
        <v>30468</v>
      </c>
      <c r="I79" s="99" t="s">
        <v>17</v>
      </c>
      <c r="J79" s="99" t="s">
        <v>30470</v>
      </c>
      <c r="K79" s="99" t="s">
        <v>240</v>
      </c>
      <c r="L79" s="99" t="s">
        <v>25546</v>
      </c>
      <c r="M79" s="99" t="s">
        <v>25645</v>
      </c>
      <c r="N79" s="99">
        <v>975.8</v>
      </c>
      <c r="S79" t="str">
        <f t="shared" si="4"/>
        <v>95-091-14-58</v>
      </c>
      <c r="T79" s="121" t="s">
        <v>27366</v>
      </c>
      <c r="U79" s="104">
        <v>3</v>
      </c>
    </row>
    <row r="80" spans="1:21" x14ac:dyDescent="0.2">
      <c r="A80" s="99" t="s">
        <v>30428</v>
      </c>
      <c r="B80" s="99" t="s">
        <v>30450</v>
      </c>
      <c r="C80" s="99" t="s">
        <v>24</v>
      </c>
      <c r="D80" s="99" t="s">
        <v>30</v>
      </c>
      <c r="E80" s="99" t="s">
        <v>30461</v>
      </c>
      <c r="F80" s="99" t="s">
        <v>77</v>
      </c>
      <c r="G80" s="99" t="s">
        <v>28523</v>
      </c>
      <c r="H80" s="99" t="s">
        <v>30468</v>
      </c>
      <c r="I80" s="99" t="s">
        <v>17</v>
      </c>
      <c r="J80" s="99" t="s">
        <v>30470</v>
      </c>
      <c r="K80" s="99" t="s">
        <v>240</v>
      </c>
      <c r="L80" s="99" t="s">
        <v>25546</v>
      </c>
      <c r="M80" s="99" t="s">
        <v>25645</v>
      </c>
      <c r="N80" s="99">
        <v>975.8</v>
      </c>
      <c r="S80" t="str">
        <f t="shared" si="4"/>
        <v>95-091-14-59</v>
      </c>
      <c r="T80" s="121" t="s">
        <v>27320</v>
      </c>
      <c r="U80" s="104">
        <v>4</v>
      </c>
    </row>
    <row r="81" spans="1:21" x14ac:dyDescent="0.2">
      <c r="A81" s="99" t="s">
        <v>30428</v>
      </c>
      <c r="B81" s="99" t="s">
        <v>30450</v>
      </c>
      <c r="C81" s="99" t="s">
        <v>24</v>
      </c>
      <c r="D81" s="99" t="s">
        <v>30</v>
      </c>
      <c r="E81" s="99" t="s">
        <v>30461</v>
      </c>
      <c r="F81" s="99" t="s">
        <v>77</v>
      </c>
      <c r="G81" s="99" t="s">
        <v>28523</v>
      </c>
      <c r="H81" s="99" t="s">
        <v>30468</v>
      </c>
      <c r="I81" s="99" t="s">
        <v>17</v>
      </c>
      <c r="J81" s="99" t="s">
        <v>30470</v>
      </c>
      <c r="K81" s="99" t="s">
        <v>240</v>
      </c>
      <c r="L81" s="99" t="s">
        <v>25546</v>
      </c>
      <c r="M81" s="99" t="s">
        <v>25645</v>
      </c>
      <c r="N81" s="99">
        <v>975.8</v>
      </c>
      <c r="S81" t="str">
        <f t="shared" si="4"/>
        <v>95-091-14-60</v>
      </c>
      <c r="T81" s="121" t="s">
        <v>27243</v>
      </c>
      <c r="U81" s="104">
        <v>3</v>
      </c>
    </row>
    <row r="82" spans="1:21" x14ac:dyDescent="0.2">
      <c r="A82" s="99" t="s">
        <v>30428</v>
      </c>
      <c r="B82" s="99" t="s">
        <v>30450</v>
      </c>
      <c r="C82" s="99" t="s">
        <v>24</v>
      </c>
      <c r="D82" s="99" t="s">
        <v>30</v>
      </c>
      <c r="E82" s="99" t="s">
        <v>30461</v>
      </c>
      <c r="F82" s="99" t="s">
        <v>77</v>
      </c>
      <c r="G82" s="99" t="s">
        <v>28523</v>
      </c>
      <c r="H82" s="99" t="s">
        <v>30468</v>
      </c>
      <c r="I82" s="99" t="s">
        <v>17</v>
      </c>
      <c r="J82" s="99" t="s">
        <v>30470</v>
      </c>
      <c r="K82" s="99" t="s">
        <v>240</v>
      </c>
      <c r="L82" s="99" t="s">
        <v>25546</v>
      </c>
      <c r="M82" s="99" t="s">
        <v>25645</v>
      </c>
      <c r="N82" s="99">
        <v>975.8</v>
      </c>
      <c r="S82" t="str">
        <f t="shared" si="4"/>
        <v>95-091-14-61</v>
      </c>
      <c r="T82" s="121" t="s">
        <v>27325</v>
      </c>
      <c r="U82" s="104">
        <v>2</v>
      </c>
    </row>
    <row r="83" spans="1:21" x14ac:dyDescent="0.2">
      <c r="A83" s="99" t="s">
        <v>30428</v>
      </c>
      <c r="B83" s="99" t="s">
        <v>30450</v>
      </c>
      <c r="C83" s="99" t="s">
        <v>24</v>
      </c>
      <c r="D83" s="99" t="s">
        <v>30</v>
      </c>
      <c r="E83" s="99" t="s">
        <v>30461</v>
      </c>
      <c r="F83" s="99" t="s">
        <v>77</v>
      </c>
      <c r="G83" s="99" t="s">
        <v>28523</v>
      </c>
      <c r="H83" s="99" t="s">
        <v>30468</v>
      </c>
      <c r="I83" s="99" t="s">
        <v>17</v>
      </c>
      <c r="J83" s="99" t="s">
        <v>30470</v>
      </c>
      <c r="K83" s="99" t="s">
        <v>240</v>
      </c>
      <c r="L83" s="99" t="s">
        <v>25546</v>
      </c>
      <c r="M83" s="99" t="s">
        <v>25645</v>
      </c>
      <c r="N83" s="99">
        <v>975.8</v>
      </c>
      <c r="S83" t="str">
        <f t="shared" si="4"/>
        <v>95-091-14-62</v>
      </c>
      <c r="T83" s="121" t="s">
        <v>27207</v>
      </c>
      <c r="U83" s="104">
        <v>1</v>
      </c>
    </row>
    <row r="84" spans="1:21" x14ac:dyDescent="0.2">
      <c r="A84" s="99" t="s">
        <v>30429</v>
      </c>
      <c r="B84" s="99" t="s">
        <v>30451</v>
      </c>
      <c r="C84" s="99" t="s">
        <v>24</v>
      </c>
      <c r="D84" s="99" t="s">
        <v>29</v>
      </c>
      <c r="E84" s="99" t="s">
        <v>30461</v>
      </c>
      <c r="F84" s="99" t="s">
        <v>77</v>
      </c>
      <c r="G84" s="99" t="s">
        <v>28523</v>
      </c>
      <c r="H84" s="99" t="s">
        <v>30468</v>
      </c>
      <c r="I84" s="99" t="s">
        <v>17</v>
      </c>
      <c r="J84" s="99" t="s">
        <v>30470</v>
      </c>
      <c r="K84" s="99" t="s">
        <v>240</v>
      </c>
      <c r="L84" s="99" t="s">
        <v>25546</v>
      </c>
      <c r="M84" s="99" t="s">
        <v>25645</v>
      </c>
      <c r="N84" s="99">
        <v>975.8</v>
      </c>
      <c r="S84" t="str">
        <f t="shared" si="4"/>
        <v>95-092-14-56</v>
      </c>
      <c r="T84" s="121" t="s">
        <v>27240</v>
      </c>
      <c r="U84" s="104">
        <v>1</v>
      </c>
    </row>
    <row r="85" spans="1:21" x14ac:dyDescent="0.2">
      <c r="A85" s="99" t="s">
        <v>30429</v>
      </c>
      <c r="B85" s="99" t="s">
        <v>30451</v>
      </c>
      <c r="C85" s="99" t="s">
        <v>24</v>
      </c>
      <c r="D85" s="99" t="s">
        <v>29</v>
      </c>
      <c r="E85" s="99" t="s">
        <v>30461</v>
      </c>
      <c r="F85" s="99" t="s">
        <v>77</v>
      </c>
      <c r="G85" s="99" t="s">
        <v>28523</v>
      </c>
      <c r="H85" s="99" t="s">
        <v>30468</v>
      </c>
      <c r="I85" s="99" t="s">
        <v>17</v>
      </c>
      <c r="J85" s="99" t="s">
        <v>30470</v>
      </c>
      <c r="K85" s="99" t="s">
        <v>240</v>
      </c>
      <c r="L85" s="99" t="s">
        <v>25546</v>
      </c>
      <c r="M85" s="99" t="s">
        <v>25645</v>
      </c>
      <c r="N85" s="99">
        <v>975.8</v>
      </c>
      <c r="S85" t="str">
        <f t="shared" si="4"/>
        <v>95-092-14-57</v>
      </c>
      <c r="T85" s="121" t="s">
        <v>27324</v>
      </c>
      <c r="U85" s="104">
        <v>2</v>
      </c>
    </row>
    <row r="86" spans="1:21" x14ac:dyDescent="0.2">
      <c r="A86" s="99" t="s">
        <v>30429</v>
      </c>
      <c r="B86" s="99" t="s">
        <v>30451</v>
      </c>
      <c r="C86" s="99" t="s">
        <v>24</v>
      </c>
      <c r="D86" s="99" t="s">
        <v>29</v>
      </c>
      <c r="E86" s="99" t="s">
        <v>30461</v>
      </c>
      <c r="F86" s="99" t="s">
        <v>77</v>
      </c>
      <c r="G86" s="99" t="s">
        <v>28523</v>
      </c>
      <c r="H86" s="99" t="s">
        <v>30468</v>
      </c>
      <c r="I86" s="99" t="s">
        <v>17</v>
      </c>
      <c r="J86" s="99" t="s">
        <v>30470</v>
      </c>
      <c r="K86" s="99" t="s">
        <v>240</v>
      </c>
      <c r="L86" s="99" t="s">
        <v>25546</v>
      </c>
      <c r="M86" s="99" t="s">
        <v>25645</v>
      </c>
      <c r="N86" s="99">
        <v>975.8</v>
      </c>
      <c r="S86" t="str">
        <f t="shared" si="4"/>
        <v>95-092-14-58</v>
      </c>
      <c r="T86" s="121" t="s">
        <v>27366</v>
      </c>
      <c r="U86" s="104">
        <v>3</v>
      </c>
    </row>
    <row r="87" spans="1:21" x14ac:dyDescent="0.2">
      <c r="A87" s="99" t="s">
        <v>30429</v>
      </c>
      <c r="B87" s="99" t="s">
        <v>30451</v>
      </c>
      <c r="C87" s="99" t="s">
        <v>24</v>
      </c>
      <c r="D87" s="99" t="s">
        <v>29</v>
      </c>
      <c r="E87" s="99" t="s">
        <v>30461</v>
      </c>
      <c r="F87" s="99" t="s">
        <v>77</v>
      </c>
      <c r="G87" s="99" t="s">
        <v>28523</v>
      </c>
      <c r="H87" s="99" t="s">
        <v>30468</v>
      </c>
      <c r="I87" s="99" t="s">
        <v>17</v>
      </c>
      <c r="J87" s="99" t="s">
        <v>30470</v>
      </c>
      <c r="K87" s="99" t="s">
        <v>240</v>
      </c>
      <c r="L87" s="99" t="s">
        <v>25546</v>
      </c>
      <c r="M87" s="99" t="s">
        <v>25645</v>
      </c>
      <c r="N87" s="99">
        <v>975.8</v>
      </c>
      <c r="S87" t="str">
        <f t="shared" si="4"/>
        <v>95-092-14-59</v>
      </c>
      <c r="T87" s="121" t="s">
        <v>27320</v>
      </c>
      <c r="U87" s="104">
        <v>4</v>
      </c>
    </row>
    <row r="88" spans="1:21" x14ac:dyDescent="0.2">
      <c r="A88" s="99" t="s">
        <v>30429</v>
      </c>
      <c r="B88" s="99" t="s">
        <v>30451</v>
      </c>
      <c r="C88" s="99" t="s">
        <v>24</v>
      </c>
      <c r="D88" s="99" t="s">
        <v>29</v>
      </c>
      <c r="E88" s="99" t="s">
        <v>30461</v>
      </c>
      <c r="F88" s="99" t="s">
        <v>77</v>
      </c>
      <c r="G88" s="99" t="s">
        <v>28523</v>
      </c>
      <c r="H88" s="99" t="s">
        <v>30468</v>
      </c>
      <c r="I88" s="99" t="s">
        <v>17</v>
      </c>
      <c r="J88" s="99" t="s">
        <v>30470</v>
      </c>
      <c r="K88" s="99" t="s">
        <v>240</v>
      </c>
      <c r="L88" s="99" t="s">
        <v>25546</v>
      </c>
      <c r="M88" s="99" t="s">
        <v>25645</v>
      </c>
      <c r="N88" s="99">
        <v>975.8</v>
      </c>
      <c r="S88" t="str">
        <f t="shared" si="4"/>
        <v>95-092-14-60</v>
      </c>
      <c r="T88" s="121" t="s">
        <v>27243</v>
      </c>
      <c r="U88" s="104">
        <v>3</v>
      </c>
    </row>
    <row r="89" spans="1:21" x14ac:dyDescent="0.2">
      <c r="A89" s="99" t="s">
        <v>30429</v>
      </c>
      <c r="B89" s="99" t="s">
        <v>30451</v>
      </c>
      <c r="C89" s="99" t="s">
        <v>24</v>
      </c>
      <c r="D89" s="99" t="s">
        <v>29</v>
      </c>
      <c r="E89" s="99" t="s">
        <v>30461</v>
      </c>
      <c r="F89" s="99" t="s">
        <v>77</v>
      </c>
      <c r="G89" s="99" t="s">
        <v>28523</v>
      </c>
      <c r="H89" s="99" t="s">
        <v>30468</v>
      </c>
      <c r="I89" s="99" t="s">
        <v>17</v>
      </c>
      <c r="J89" s="99" t="s">
        <v>30470</v>
      </c>
      <c r="K89" s="99" t="s">
        <v>240</v>
      </c>
      <c r="L89" s="99" t="s">
        <v>25546</v>
      </c>
      <c r="M89" s="99" t="s">
        <v>25645</v>
      </c>
      <c r="N89" s="99">
        <v>975.8</v>
      </c>
      <c r="S89" t="str">
        <f t="shared" si="4"/>
        <v>95-092-14-61</v>
      </c>
      <c r="T89" s="121" t="s">
        <v>27325</v>
      </c>
      <c r="U89" s="104">
        <v>2</v>
      </c>
    </row>
    <row r="90" spans="1:21" x14ac:dyDescent="0.2">
      <c r="A90" s="99" t="s">
        <v>30429</v>
      </c>
      <c r="B90" s="99" t="s">
        <v>30451</v>
      </c>
      <c r="C90" s="99" t="s">
        <v>24</v>
      </c>
      <c r="D90" s="99" t="s">
        <v>29</v>
      </c>
      <c r="E90" s="99" t="s">
        <v>30461</v>
      </c>
      <c r="F90" s="99" t="s">
        <v>77</v>
      </c>
      <c r="G90" s="99" t="s">
        <v>28523</v>
      </c>
      <c r="H90" s="99" t="s">
        <v>30468</v>
      </c>
      <c r="I90" s="99" t="s">
        <v>17</v>
      </c>
      <c r="J90" s="99" t="s">
        <v>30470</v>
      </c>
      <c r="K90" s="99" t="s">
        <v>240</v>
      </c>
      <c r="L90" s="99" t="s">
        <v>25546</v>
      </c>
      <c r="M90" s="99" t="s">
        <v>25645</v>
      </c>
      <c r="N90" s="99">
        <v>975.8</v>
      </c>
      <c r="S90" t="str">
        <f t="shared" si="4"/>
        <v>95-092-14-62</v>
      </c>
      <c r="T90" s="121" t="s">
        <v>27207</v>
      </c>
      <c r="U90" s="104">
        <v>1</v>
      </c>
    </row>
    <row r="91" spans="1:21" x14ac:dyDescent="0.2">
      <c r="A91" s="99" t="s">
        <v>30430</v>
      </c>
      <c r="B91" s="99" t="s">
        <v>30452</v>
      </c>
      <c r="C91" s="99" t="s">
        <v>24</v>
      </c>
      <c r="D91" s="99" t="s">
        <v>29</v>
      </c>
      <c r="E91" s="99" t="s">
        <v>30461</v>
      </c>
      <c r="F91" s="99" t="s">
        <v>77</v>
      </c>
      <c r="G91" s="99" t="s">
        <v>28523</v>
      </c>
      <c r="H91" s="99" t="s">
        <v>30463</v>
      </c>
      <c r="I91" s="99" t="s">
        <v>152</v>
      </c>
      <c r="J91" s="99" t="s">
        <v>30470</v>
      </c>
      <c r="K91" s="99" t="s">
        <v>240</v>
      </c>
      <c r="L91" s="99" t="s">
        <v>25546</v>
      </c>
      <c r="M91" s="99" t="s">
        <v>25645</v>
      </c>
      <c r="N91" s="99">
        <v>975.8</v>
      </c>
      <c r="S91" t="str">
        <f t="shared" si="4"/>
        <v>95-093-72-56</v>
      </c>
      <c r="T91" s="121" t="s">
        <v>27240</v>
      </c>
      <c r="U91" s="104">
        <v>1</v>
      </c>
    </row>
    <row r="92" spans="1:21" x14ac:dyDescent="0.2">
      <c r="A92" s="99" t="s">
        <v>30430</v>
      </c>
      <c r="B92" s="99" t="s">
        <v>30452</v>
      </c>
      <c r="C92" s="99" t="s">
        <v>24</v>
      </c>
      <c r="D92" s="99" t="s">
        <v>29</v>
      </c>
      <c r="E92" s="99" t="s">
        <v>30461</v>
      </c>
      <c r="F92" s="99" t="s">
        <v>77</v>
      </c>
      <c r="G92" s="99" t="s">
        <v>28523</v>
      </c>
      <c r="H92" s="99" t="s">
        <v>30463</v>
      </c>
      <c r="I92" s="99" t="s">
        <v>152</v>
      </c>
      <c r="J92" s="99" t="s">
        <v>30470</v>
      </c>
      <c r="K92" s="99" t="s">
        <v>240</v>
      </c>
      <c r="L92" s="99" t="s">
        <v>25546</v>
      </c>
      <c r="M92" s="99" t="s">
        <v>25645</v>
      </c>
      <c r="N92" s="99">
        <v>975.8</v>
      </c>
      <c r="S92" t="str">
        <f t="shared" si="4"/>
        <v>95-093-72-57</v>
      </c>
      <c r="T92" s="121" t="s">
        <v>27324</v>
      </c>
      <c r="U92" s="104">
        <v>2</v>
      </c>
    </row>
    <row r="93" spans="1:21" x14ac:dyDescent="0.2">
      <c r="A93" s="99" t="s">
        <v>30430</v>
      </c>
      <c r="B93" s="99" t="s">
        <v>30452</v>
      </c>
      <c r="C93" s="99" t="s">
        <v>24</v>
      </c>
      <c r="D93" s="99" t="s">
        <v>29</v>
      </c>
      <c r="E93" s="99" t="s">
        <v>30461</v>
      </c>
      <c r="F93" s="99" t="s">
        <v>77</v>
      </c>
      <c r="G93" s="99" t="s">
        <v>28523</v>
      </c>
      <c r="H93" s="99" t="s">
        <v>30463</v>
      </c>
      <c r="I93" s="99" t="s">
        <v>152</v>
      </c>
      <c r="J93" s="99" t="s">
        <v>30470</v>
      </c>
      <c r="K93" s="99" t="s">
        <v>240</v>
      </c>
      <c r="L93" s="99" t="s">
        <v>25546</v>
      </c>
      <c r="M93" s="99" t="s">
        <v>25645</v>
      </c>
      <c r="N93" s="99">
        <v>975.8</v>
      </c>
      <c r="S93" t="str">
        <f t="shared" si="4"/>
        <v>95-093-72-58</v>
      </c>
      <c r="T93" s="121" t="s">
        <v>27366</v>
      </c>
      <c r="U93" s="104">
        <v>3</v>
      </c>
    </row>
    <row r="94" spans="1:21" x14ac:dyDescent="0.2">
      <c r="A94" s="99" t="s">
        <v>30430</v>
      </c>
      <c r="B94" s="99" t="s">
        <v>30452</v>
      </c>
      <c r="C94" s="99" t="s">
        <v>24</v>
      </c>
      <c r="D94" s="99" t="s">
        <v>29</v>
      </c>
      <c r="E94" s="99" t="s">
        <v>30461</v>
      </c>
      <c r="F94" s="99" t="s">
        <v>77</v>
      </c>
      <c r="G94" s="99" t="s">
        <v>28523</v>
      </c>
      <c r="H94" s="99" t="s">
        <v>30463</v>
      </c>
      <c r="I94" s="99" t="s">
        <v>152</v>
      </c>
      <c r="J94" s="99" t="s">
        <v>30470</v>
      </c>
      <c r="K94" s="99" t="s">
        <v>240</v>
      </c>
      <c r="L94" s="99" t="s">
        <v>25546</v>
      </c>
      <c r="M94" s="99" t="s">
        <v>25645</v>
      </c>
      <c r="N94" s="99">
        <v>975.8</v>
      </c>
      <c r="S94" t="str">
        <f t="shared" si="4"/>
        <v>95-093-72-59</v>
      </c>
      <c r="T94" s="121" t="s">
        <v>27320</v>
      </c>
      <c r="U94" s="104">
        <v>4</v>
      </c>
    </row>
    <row r="95" spans="1:21" x14ac:dyDescent="0.2">
      <c r="A95" s="99" t="s">
        <v>30430</v>
      </c>
      <c r="B95" s="99" t="s">
        <v>30452</v>
      </c>
      <c r="C95" s="99" t="s">
        <v>24</v>
      </c>
      <c r="D95" s="99" t="s">
        <v>29</v>
      </c>
      <c r="E95" s="99" t="s">
        <v>30461</v>
      </c>
      <c r="F95" s="99" t="s">
        <v>77</v>
      </c>
      <c r="G95" s="99" t="s">
        <v>28523</v>
      </c>
      <c r="H95" s="99" t="s">
        <v>30463</v>
      </c>
      <c r="I95" s="99" t="s">
        <v>152</v>
      </c>
      <c r="J95" s="99" t="s">
        <v>30470</v>
      </c>
      <c r="K95" s="99" t="s">
        <v>240</v>
      </c>
      <c r="L95" s="99" t="s">
        <v>25546</v>
      </c>
      <c r="M95" s="99" t="s">
        <v>25645</v>
      </c>
      <c r="N95" s="99">
        <v>975.8</v>
      </c>
      <c r="S95" t="str">
        <f t="shared" ref="S95:S111" si="5">A95&amp;"-"&amp;T95</f>
        <v>95-093-72-60</v>
      </c>
      <c r="T95" s="121" t="s">
        <v>27243</v>
      </c>
      <c r="U95" s="104">
        <v>3</v>
      </c>
    </row>
    <row r="96" spans="1:21" x14ac:dyDescent="0.2">
      <c r="A96" s="99" t="s">
        <v>30430</v>
      </c>
      <c r="B96" s="99" t="s">
        <v>30452</v>
      </c>
      <c r="C96" s="99" t="s">
        <v>24</v>
      </c>
      <c r="D96" s="99" t="s">
        <v>29</v>
      </c>
      <c r="E96" s="99" t="s">
        <v>30461</v>
      </c>
      <c r="F96" s="99" t="s">
        <v>77</v>
      </c>
      <c r="G96" s="99" t="s">
        <v>28523</v>
      </c>
      <c r="H96" s="99" t="s">
        <v>30463</v>
      </c>
      <c r="I96" s="99" t="s">
        <v>152</v>
      </c>
      <c r="J96" s="99" t="s">
        <v>30470</v>
      </c>
      <c r="K96" s="99" t="s">
        <v>240</v>
      </c>
      <c r="L96" s="99" t="s">
        <v>25546</v>
      </c>
      <c r="M96" s="99" t="s">
        <v>25645</v>
      </c>
      <c r="N96" s="99">
        <v>975.8</v>
      </c>
      <c r="S96" t="str">
        <f t="shared" si="5"/>
        <v>95-093-72-61</v>
      </c>
      <c r="T96" s="121" t="s">
        <v>27325</v>
      </c>
      <c r="U96" s="104">
        <v>2</v>
      </c>
    </row>
    <row r="97" spans="1:21" x14ac:dyDescent="0.2">
      <c r="A97" s="99" t="s">
        <v>30430</v>
      </c>
      <c r="B97" s="99" t="s">
        <v>30452</v>
      </c>
      <c r="C97" s="99" t="s">
        <v>24</v>
      </c>
      <c r="D97" s="99" t="s">
        <v>29</v>
      </c>
      <c r="E97" s="99" t="s">
        <v>30461</v>
      </c>
      <c r="F97" s="99" t="s">
        <v>77</v>
      </c>
      <c r="G97" s="99" t="s">
        <v>28523</v>
      </c>
      <c r="H97" s="99" t="s">
        <v>30463</v>
      </c>
      <c r="I97" s="99" t="s">
        <v>152</v>
      </c>
      <c r="J97" s="99" t="s">
        <v>30470</v>
      </c>
      <c r="K97" s="99" t="s">
        <v>240</v>
      </c>
      <c r="L97" s="99" t="s">
        <v>25546</v>
      </c>
      <c r="M97" s="99" t="s">
        <v>25645</v>
      </c>
      <c r="N97" s="99">
        <v>975.8</v>
      </c>
      <c r="S97" t="str">
        <f t="shared" si="5"/>
        <v>95-093-72-62</v>
      </c>
      <c r="T97" s="121" t="s">
        <v>27207</v>
      </c>
      <c r="U97" s="104">
        <v>1</v>
      </c>
    </row>
    <row r="98" spans="1:21" x14ac:dyDescent="0.2">
      <c r="A98" s="99" t="s">
        <v>30431</v>
      </c>
      <c r="B98" s="99" t="s">
        <v>30453</v>
      </c>
      <c r="C98" s="99" t="s">
        <v>24</v>
      </c>
      <c r="D98" s="99" t="s">
        <v>30</v>
      </c>
      <c r="E98" s="99" t="s">
        <v>30461</v>
      </c>
      <c r="F98" s="99" t="s">
        <v>77</v>
      </c>
      <c r="G98" s="99" t="s">
        <v>28523</v>
      </c>
      <c r="H98" s="99" t="s">
        <v>30462</v>
      </c>
      <c r="I98" s="99" t="s">
        <v>21</v>
      </c>
      <c r="J98" s="99" t="s">
        <v>30471</v>
      </c>
      <c r="K98" s="99" t="s">
        <v>240</v>
      </c>
      <c r="L98" s="99" t="s">
        <v>25546</v>
      </c>
      <c r="M98" s="99" t="s">
        <v>25645</v>
      </c>
      <c r="N98" s="99">
        <v>975.8</v>
      </c>
      <c r="S98" t="str">
        <f t="shared" si="5"/>
        <v>95-094-80-56</v>
      </c>
      <c r="T98" s="121" t="s">
        <v>27240</v>
      </c>
      <c r="U98" s="104">
        <v>3</v>
      </c>
    </row>
    <row r="99" spans="1:21" x14ac:dyDescent="0.2">
      <c r="A99" s="99" t="s">
        <v>30431</v>
      </c>
      <c r="B99" s="99" t="s">
        <v>30453</v>
      </c>
      <c r="C99" s="99" t="s">
        <v>24</v>
      </c>
      <c r="D99" s="99" t="s">
        <v>30</v>
      </c>
      <c r="E99" s="99" t="s">
        <v>30461</v>
      </c>
      <c r="F99" s="99" t="s">
        <v>77</v>
      </c>
      <c r="G99" s="99" t="s">
        <v>28523</v>
      </c>
      <c r="H99" s="99" t="s">
        <v>30462</v>
      </c>
      <c r="I99" s="99" t="s">
        <v>21</v>
      </c>
      <c r="J99" s="99" t="s">
        <v>30471</v>
      </c>
      <c r="K99" s="99" t="s">
        <v>240</v>
      </c>
      <c r="L99" s="99" t="s">
        <v>25546</v>
      </c>
      <c r="M99" s="99" t="s">
        <v>25645</v>
      </c>
      <c r="N99" s="99">
        <v>975.8</v>
      </c>
      <c r="S99" t="str">
        <f t="shared" si="5"/>
        <v>95-094-80-57</v>
      </c>
      <c r="T99" s="121" t="s">
        <v>27324</v>
      </c>
      <c r="U99" s="104">
        <v>6</v>
      </c>
    </row>
    <row r="100" spans="1:21" x14ac:dyDescent="0.2">
      <c r="A100" s="99" t="s">
        <v>30431</v>
      </c>
      <c r="B100" s="99" t="s">
        <v>30453</v>
      </c>
      <c r="C100" s="99" t="s">
        <v>24</v>
      </c>
      <c r="D100" s="99" t="s">
        <v>30</v>
      </c>
      <c r="E100" s="99" t="s">
        <v>30461</v>
      </c>
      <c r="F100" s="99" t="s">
        <v>77</v>
      </c>
      <c r="G100" s="99" t="s">
        <v>28523</v>
      </c>
      <c r="H100" s="99" t="s">
        <v>30462</v>
      </c>
      <c r="I100" s="99" t="s">
        <v>21</v>
      </c>
      <c r="J100" s="99" t="s">
        <v>30471</v>
      </c>
      <c r="K100" s="99" t="s">
        <v>240</v>
      </c>
      <c r="L100" s="99" t="s">
        <v>25546</v>
      </c>
      <c r="M100" s="99" t="s">
        <v>25645</v>
      </c>
      <c r="N100" s="99">
        <v>975.8</v>
      </c>
      <c r="S100" t="str">
        <f t="shared" si="5"/>
        <v>95-094-80-58</v>
      </c>
      <c r="T100" s="121" t="s">
        <v>27366</v>
      </c>
      <c r="U100" s="104">
        <v>9</v>
      </c>
    </row>
    <row r="101" spans="1:21" x14ac:dyDescent="0.2">
      <c r="A101" s="99" t="s">
        <v>30431</v>
      </c>
      <c r="B101" s="99" t="s">
        <v>30453</v>
      </c>
      <c r="C101" s="99" t="s">
        <v>24</v>
      </c>
      <c r="D101" s="99" t="s">
        <v>30</v>
      </c>
      <c r="E101" s="99" t="s">
        <v>30461</v>
      </c>
      <c r="F101" s="99" t="s">
        <v>77</v>
      </c>
      <c r="G101" s="99" t="s">
        <v>28523</v>
      </c>
      <c r="H101" s="99" t="s">
        <v>30462</v>
      </c>
      <c r="I101" s="99" t="s">
        <v>21</v>
      </c>
      <c r="J101" s="99" t="s">
        <v>30471</v>
      </c>
      <c r="K101" s="99" t="s">
        <v>240</v>
      </c>
      <c r="L101" s="99" t="s">
        <v>25546</v>
      </c>
      <c r="M101" s="99" t="s">
        <v>25645</v>
      </c>
      <c r="N101" s="99">
        <v>975.8</v>
      </c>
      <c r="S101" t="str">
        <f t="shared" si="5"/>
        <v>95-094-80-59</v>
      </c>
      <c r="T101" s="121" t="s">
        <v>27320</v>
      </c>
      <c r="U101" s="104">
        <v>12</v>
      </c>
    </row>
    <row r="102" spans="1:21" x14ac:dyDescent="0.2">
      <c r="A102" s="99" t="s">
        <v>30431</v>
      </c>
      <c r="B102" s="99" t="s">
        <v>30453</v>
      </c>
      <c r="C102" s="99" t="s">
        <v>24</v>
      </c>
      <c r="D102" s="99" t="s">
        <v>30</v>
      </c>
      <c r="E102" s="99" t="s">
        <v>30461</v>
      </c>
      <c r="F102" s="99" t="s">
        <v>77</v>
      </c>
      <c r="G102" s="99" t="s">
        <v>28523</v>
      </c>
      <c r="H102" s="99" t="s">
        <v>30462</v>
      </c>
      <c r="I102" s="99" t="s">
        <v>21</v>
      </c>
      <c r="J102" s="99" t="s">
        <v>30471</v>
      </c>
      <c r="K102" s="99" t="s">
        <v>240</v>
      </c>
      <c r="L102" s="99" t="s">
        <v>25546</v>
      </c>
      <c r="M102" s="99" t="s">
        <v>25645</v>
      </c>
      <c r="N102" s="99">
        <v>975.8</v>
      </c>
      <c r="S102" t="str">
        <f t="shared" si="5"/>
        <v>95-094-80-60</v>
      </c>
      <c r="T102" s="121" t="s">
        <v>27243</v>
      </c>
      <c r="U102" s="104">
        <v>9</v>
      </c>
    </row>
    <row r="103" spans="1:21" x14ac:dyDescent="0.2">
      <c r="A103" s="99" t="s">
        <v>30431</v>
      </c>
      <c r="B103" s="99" t="s">
        <v>30453</v>
      </c>
      <c r="C103" s="99" t="s">
        <v>24</v>
      </c>
      <c r="D103" s="99" t="s">
        <v>30</v>
      </c>
      <c r="E103" s="99" t="s">
        <v>30461</v>
      </c>
      <c r="F103" s="99" t="s">
        <v>77</v>
      </c>
      <c r="G103" s="99" t="s">
        <v>28523</v>
      </c>
      <c r="H103" s="99" t="s">
        <v>30462</v>
      </c>
      <c r="I103" s="99" t="s">
        <v>21</v>
      </c>
      <c r="J103" s="99" t="s">
        <v>30471</v>
      </c>
      <c r="K103" s="99" t="s">
        <v>240</v>
      </c>
      <c r="L103" s="99" t="s">
        <v>25546</v>
      </c>
      <c r="M103" s="99" t="s">
        <v>25645</v>
      </c>
      <c r="N103" s="99">
        <v>975.8</v>
      </c>
      <c r="S103" t="str">
        <f t="shared" si="5"/>
        <v>95-094-80-61</v>
      </c>
      <c r="T103" s="121" t="s">
        <v>27325</v>
      </c>
      <c r="U103" s="104">
        <v>6</v>
      </c>
    </row>
    <row r="104" spans="1:21" x14ac:dyDescent="0.2">
      <c r="A104" s="99" t="s">
        <v>30431</v>
      </c>
      <c r="B104" s="99" t="s">
        <v>30453</v>
      </c>
      <c r="C104" s="99" t="s">
        <v>24</v>
      </c>
      <c r="D104" s="99" t="s">
        <v>30</v>
      </c>
      <c r="E104" s="99" t="s">
        <v>30461</v>
      </c>
      <c r="F104" s="99" t="s">
        <v>77</v>
      </c>
      <c r="G104" s="99" t="s">
        <v>28523</v>
      </c>
      <c r="H104" s="99" t="s">
        <v>30462</v>
      </c>
      <c r="I104" s="99" t="s">
        <v>21</v>
      </c>
      <c r="J104" s="99" t="s">
        <v>30471</v>
      </c>
      <c r="K104" s="99" t="s">
        <v>240</v>
      </c>
      <c r="L104" s="99" t="s">
        <v>25546</v>
      </c>
      <c r="M104" s="99" t="s">
        <v>25645</v>
      </c>
      <c r="N104" s="99">
        <v>975.8</v>
      </c>
      <c r="S104" t="str">
        <f t="shared" si="5"/>
        <v>95-094-80-62</v>
      </c>
      <c r="T104" s="121" t="s">
        <v>27207</v>
      </c>
      <c r="U104" s="104">
        <v>3</v>
      </c>
    </row>
    <row r="105" spans="1:21" x14ac:dyDescent="0.2">
      <c r="A105" s="99" t="s">
        <v>30432</v>
      </c>
      <c r="B105" s="99" t="s">
        <v>30454</v>
      </c>
      <c r="C105" s="99" t="s">
        <v>24</v>
      </c>
      <c r="D105" s="99" t="s">
        <v>30</v>
      </c>
      <c r="E105" s="99" t="s">
        <v>30461</v>
      </c>
      <c r="F105" s="99" t="s">
        <v>77</v>
      </c>
      <c r="G105" s="99" t="s">
        <v>28523</v>
      </c>
      <c r="H105" s="99" t="s">
        <v>30465</v>
      </c>
      <c r="I105" s="99" t="s">
        <v>20</v>
      </c>
      <c r="J105" s="99" t="s">
        <v>30471</v>
      </c>
      <c r="K105" s="99" t="s">
        <v>240</v>
      </c>
      <c r="L105" s="99" t="s">
        <v>25546</v>
      </c>
      <c r="M105" s="99" t="s">
        <v>25645</v>
      </c>
      <c r="N105" s="99">
        <v>975.8</v>
      </c>
      <c r="S105" t="str">
        <f t="shared" si="5"/>
        <v>95-095-06-56</v>
      </c>
      <c r="T105" s="121" t="s">
        <v>27240</v>
      </c>
      <c r="U105" s="104">
        <v>5</v>
      </c>
    </row>
    <row r="106" spans="1:21" x14ac:dyDescent="0.2">
      <c r="A106" s="99" t="s">
        <v>30432</v>
      </c>
      <c r="B106" s="99" t="s">
        <v>30454</v>
      </c>
      <c r="C106" s="99" t="s">
        <v>24</v>
      </c>
      <c r="D106" s="99" t="s">
        <v>30</v>
      </c>
      <c r="E106" s="99" t="s">
        <v>30461</v>
      </c>
      <c r="F106" s="99" t="s">
        <v>77</v>
      </c>
      <c r="G106" s="99" t="s">
        <v>28523</v>
      </c>
      <c r="H106" s="99" t="s">
        <v>30465</v>
      </c>
      <c r="I106" s="99" t="s">
        <v>20</v>
      </c>
      <c r="J106" s="99" t="s">
        <v>30471</v>
      </c>
      <c r="K106" s="99" t="s">
        <v>240</v>
      </c>
      <c r="L106" s="99" t="s">
        <v>25546</v>
      </c>
      <c r="M106" s="99" t="s">
        <v>25645</v>
      </c>
      <c r="N106" s="99">
        <v>975.8</v>
      </c>
      <c r="S106" t="str">
        <f t="shared" si="5"/>
        <v>95-095-06-57</v>
      </c>
      <c r="T106" s="121" t="s">
        <v>27324</v>
      </c>
      <c r="U106" s="104">
        <v>10</v>
      </c>
    </row>
    <row r="107" spans="1:21" x14ac:dyDescent="0.2">
      <c r="A107" s="99" t="s">
        <v>30432</v>
      </c>
      <c r="B107" s="99" t="s">
        <v>30454</v>
      </c>
      <c r="C107" s="99" t="s">
        <v>24</v>
      </c>
      <c r="D107" s="99" t="s">
        <v>30</v>
      </c>
      <c r="E107" s="99" t="s">
        <v>30461</v>
      </c>
      <c r="F107" s="99" t="s">
        <v>77</v>
      </c>
      <c r="G107" s="99" t="s">
        <v>28523</v>
      </c>
      <c r="H107" s="99" t="s">
        <v>30465</v>
      </c>
      <c r="I107" s="99" t="s">
        <v>20</v>
      </c>
      <c r="J107" s="99" t="s">
        <v>30471</v>
      </c>
      <c r="K107" s="99" t="s">
        <v>240</v>
      </c>
      <c r="L107" s="99" t="s">
        <v>25546</v>
      </c>
      <c r="M107" s="99" t="s">
        <v>25645</v>
      </c>
      <c r="N107" s="99">
        <v>975.8</v>
      </c>
      <c r="S107" t="str">
        <f t="shared" si="5"/>
        <v>95-095-06-58</v>
      </c>
      <c r="T107" s="121" t="s">
        <v>27366</v>
      </c>
      <c r="U107" s="104">
        <v>15</v>
      </c>
    </row>
    <row r="108" spans="1:21" x14ac:dyDescent="0.2">
      <c r="A108" s="99" t="s">
        <v>30432</v>
      </c>
      <c r="B108" s="99" t="s">
        <v>30454</v>
      </c>
      <c r="C108" s="99" t="s">
        <v>24</v>
      </c>
      <c r="D108" s="99" t="s">
        <v>30</v>
      </c>
      <c r="E108" s="99" t="s">
        <v>30461</v>
      </c>
      <c r="F108" s="99" t="s">
        <v>77</v>
      </c>
      <c r="G108" s="99" t="s">
        <v>28523</v>
      </c>
      <c r="H108" s="99" t="s">
        <v>30465</v>
      </c>
      <c r="I108" s="99" t="s">
        <v>20</v>
      </c>
      <c r="J108" s="99" t="s">
        <v>30471</v>
      </c>
      <c r="K108" s="99" t="s">
        <v>240</v>
      </c>
      <c r="L108" s="99" t="s">
        <v>25546</v>
      </c>
      <c r="M108" s="99" t="s">
        <v>25645</v>
      </c>
      <c r="N108" s="99">
        <v>975.8</v>
      </c>
      <c r="S108" t="str">
        <f t="shared" si="5"/>
        <v>95-095-06-59</v>
      </c>
      <c r="T108" s="121" t="s">
        <v>27320</v>
      </c>
      <c r="U108" s="104">
        <v>20</v>
      </c>
    </row>
    <row r="109" spans="1:21" x14ac:dyDescent="0.2">
      <c r="A109" s="99" t="s">
        <v>30432</v>
      </c>
      <c r="B109" s="99" t="s">
        <v>30454</v>
      </c>
      <c r="C109" s="99" t="s">
        <v>24</v>
      </c>
      <c r="D109" s="99" t="s">
        <v>30</v>
      </c>
      <c r="E109" s="99" t="s">
        <v>30461</v>
      </c>
      <c r="F109" s="99" t="s">
        <v>77</v>
      </c>
      <c r="G109" s="99" t="s">
        <v>28523</v>
      </c>
      <c r="H109" s="99" t="s">
        <v>30465</v>
      </c>
      <c r="I109" s="99" t="s">
        <v>20</v>
      </c>
      <c r="J109" s="99" t="s">
        <v>30471</v>
      </c>
      <c r="K109" s="99" t="s">
        <v>240</v>
      </c>
      <c r="L109" s="99" t="s">
        <v>25546</v>
      </c>
      <c r="M109" s="99" t="s">
        <v>25645</v>
      </c>
      <c r="N109" s="99">
        <v>975.8</v>
      </c>
      <c r="S109" t="str">
        <f t="shared" si="5"/>
        <v>95-095-06-60</v>
      </c>
      <c r="T109" s="121" t="s">
        <v>27243</v>
      </c>
      <c r="U109" s="104">
        <v>15</v>
      </c>
    </row>
    <row r="110" spans="1:21" x14ac:dyDescent="0.2">
      <c r="A110" s="99" t="s">
        <v>30432</v>
      </c>
      <c r="B110" s="99" t="s">
        <v>30454</v>
      </c>
      <c r="C110" s="99" t="s">
        <v>24</v>
      </c>
      <c r="D110" s="99" t="s">
        <v>30</v>
      </c>
      <c r="E110" s="99" t="s">
        <v>30461</v>
      </c>
      <c r="F110" s="99" t="s">
        <v>77</v>
      </c>
      <c r="G110" s="99" t="s">
        <v>28523</v>
      </c>
      <c r="H110" s="99" t="s">
        <v>30465</v>
      </c>
      <c r="I110" s="99" t="s">
        <v>20</v>
      </c>
      <c r="J110" s="99" t="s">
        <v>30471</v>
      </c>
      <c r="K110" s="99" t="s">
        <v>240</v>
      </c>
      <c r="L110" s="99" t="s">
        <v>25546</v>
      </c>
      <c r="M110" s="99" t="s">
        <v>25645</v>
      </c>
      <c r="N110" s="99">
        <v>975.8</v>
      </c>
      <c r="S110" t="str">
        <f t="shared" si="5"/>
        <v>95-095-06-61</v>
      </c>
      <c r="T110" s="121" t="s">
        <v>27325</v>
      </c>
      <c r="U110" s="104">
        <v>10</v>
      </c>
    </row>
    <row r="111" spans="1:21" x14ac:dyDescent="0.2">
      <c r="A111" s="99" t="s">
        <v>30432</v>
      </c>
      <c r="B111" s="99" t="s">
        <v>30454</v>
      </c>
      <c r="C111" s="99" t="s">
        <v>24</v>
      </c>
      <c r="D111" s="99" t="s">
        <v>30</v>
      </c>
      <c r="E111" s="99" t="s">
        <v>30461</v>
      </c>
      <c r="F111" s="99" t="s">
        <v>77</v>
      </c>
      <c r="G111" s="99" t="s">
        <v>28523</v>
      </c>
      <c r="H111" s="99" t="s">
        <v>30465</v>
      </c>
      <c r="I111" s="99" t="s">
        <v>20</v>
      </c>
      <c r="J111" s="99" t="s">
        <v>30471</v>
      </c>
      <c r="K111" s="99" t="s">
        <v>240</v>
      </c>
      <c r="L111" s="99" t="s">
        <v>25546</v>
      </c>
      <c r="M111" s="99" t="s">
        <v>25645</v>
      </c>
      <c r="N111" s="99">
        <v>975.8</v>
      </c>
      <c r="S111" t="str">
        <f t="shared" si="5"/>
        <v>95-095-06-62</v>
      </c>
      <c r="T111" s="121" t="s">
        <v>27207</v>
      </c>
      <c r="U111" s="104">
        <v>5</v>
      </c>
    </row>
    <row r="112" spans="1:21" x14ac:dyDescent="0.2">
      <c r="A112" s="99" t="s">
        <v>30433</v>
      </c>
      <c r="B112" s="99" t="s">
        <v>30455</v>
      </c>
      <c r="C112" s="99" t="s">
        <v>24</v>
      </c>
      <c r="D112" s="99" t="s">
        <v>30</v>
      </c>
      <c r="E112" s="99" t="s">
        <v>30461</v>
      </c>
      <c r="F112" s="99" t="s">
        <v>77</v>
      </c>
      <c r="G112" s="99" t="s">
        <v>28523</v>
      </c>
      <c r="H112" s="99" t="s">
        <v>30468</v>
      </c>
      <c r="I112" s="99" t="s">
        <v>17</v>
      </c>
      <c r="J112" s="99" t="s">
        <v>30471</v>
      </c>
      <c r="K112" s="99" t="s">
        <v>240</v>
      </c>
      <c r="L112" s="99" t="s">
        <v>25546</v>
      </c>
      <c r="M112" s="99" t="s">
        <v>25645</v>
      </c>
      <c r="N112" s="99">
        <v>975.8</v>
      </c>
      <c r="S112" t="str">
        <f t="shared" ref="S112:S132" si="6">A112&amp;"-"&amp;T112</f>
        <v>95-096-14-56</v>
      </c>
      <c r="T112" s="121" t="s">
        <v>27240</v>
      </c>
      <c r="U112" s="104">
        <v>3</v>
      </c>
    </row>
    <row r="113" spans="1:21" x14ac:dyDescent="0.2">
      <c r="A113" s="99" t="s">
        <v>30433</v>
      </c>
      <c r="B113" s="99" t="s">
        <v>30455</v>
      </c>
      <c r="C113" s="99" t="s">
        <v>24</v>
      </c>
      <c r="D113" s="99" t="s">
        <v>30</v>
      </c>
      <c r="E113" s="99" t="s">
        <v>30461</v>
      </c>
      <c r="F113" s="99" t="s">
        <v>77</v>
      </c>
      <c r="G113" s="99" t="s">
        <v>28523</v>
      </c>
      <c r="H113" s="99" t="s">
        <v>30468</v>
      </c>
      <c r="I113" s="99" t="s">
        <v>17</v>
      </c>
      <c r="J113" s="99" t="s">
        <v>30471</v>
      </c>
      <c r="K113" s="99" t="s">
        <v>240</v>
      </c>
      <c r="L113" s="99" t="s">
        <v>25546</v>
      </c>
      <c r="M113" s="99" t="s">
        <v>25645</v>
      </c>
      <c r="N113" s="99">
        <v>975.8</v>
      </c>
      <c r="S113" t="str">
        <f t="shared" si="6"/>
        <v>95-096-14-57</v>
      </c>
      <c r="T113" s="121" t="s">
        <v>27324</v>
      </c>
      <c r="U113" s="104">
        <v>6</v>
      </c>
    </row>
    <row r="114" spans="1:21" x14ac:dyDescent="0.2">
      <c r="A114" s="99" t="s">
        <v>30433</v>
      </c>
      <c r="B114" s="99" t="s">
        <v>30455</v>
      </c>
      <c r="C114" s="99" t="s">
        <v>24</v>
      </c>
      <c r="D114" s="99" t="s">
        <v>30</v>
      </c>
      <c r="E114" s="99" t="s">
        <v>30461</v>
      </c>
      <c r="F114" s="99" t="s">
        <v>77</v>
      </c>
      <c r="G114" s="99" t="s">
        <v>28523</v>
      </c>
      <c r="H114" s="99" t="s">
        <v>30468</v>
      </c>
      <c r="I114" s="99" t="s">
        <v>17</v>
      </c>
      <c r="J114" s="99" t="s">
        <v>30471</v>
      </c>
      <c r="K114" s="99" t="s">
        <v>240</v>
      </c>
      <c r="L114" s="99" t="s">
        <v>25546</v>
      </c>
      <c r="M114" s="99" t="s">
        <v>25645</v>
      </c>
      <c r="N114" s="99">
        <v>975.8</v>
      </c>
      <c r="S114" t="str">
        <f t="shared" si="6"/>
        <v>95-096-14-58</v>
      </c>
      <c r="T114" s="121" t="s">
        <v>27366</v>
      </c>
      <c r="U114" s="104">
        <v>9</v>
      </c>
    </row>
    <row r="115" spans="1:21" x14ac:dyDescent="0.2">
      <c r="A115" s="99" t="s">
        <v>30433</v>
      </c>
      <c r="B115" s="99" t="s">
        <v>30455</v>
      </c>
      <c r="C115" s="99" t="s">
        <v>24</v>
      </c>
      <c r="D115" s="99" t="s">
        <v>30</v>
      </c>
      <c r="E115" s="99" t="s">
        <v>30461</v>
      </c>
      <c r="F115" s="99" t="s">
        <v>77</v>
      </c>
      <c r="G115" s="99" t="s">
        <v>28523</v>
      </c>
      <c r="H115" s="99" t="s">
        <v>30468</v>
      </c>
      <c r="I115" s="99" t="s">
        <v>17</v>
      </c>
      <c r="J115" s="99" t="s">
        <v>30471</v>
      </c>
      <c r="K115" s="99" t="s">
        <v>240</v>
      </c>
      <c r="L115" s="99" t="s">
        <v>25546</v>
      </c>
      <c r="M115" s="99" t="s">
        <v>25645</v>
      </c>
      <c r="N115" s="99">
        <v>975.8</v>
      </c>
      <c r="S115" t="str">
        <f t="shared" si="6"/>
        <v>95-096-14-59</v>
      </c>
      <c r="T115" s="121" t="s">
        <v>27320</v>
      </c>
      <c r="U115" s="104">
        <v>12</v>
      </c>
    </row>
    <row r="116" spans="1:21" x14ac:dyDescent="0.2">
      <c r="A116" s="99" t="s">
        <v>30433</v>
      </c>
      <c r="B116" s="99" t="s">
        <v>30455</v>
      </c>
      <c r="C116" s="99" t="s">
        <v>24</v>
      </c>
      <c r="D116" s="99" t="s">
        <v>30</v>
      </c>
      <c r="E116" s="99" t="s">
        <v>30461</v>
      </c>
      <c r="F116" s="99" t="s">
        <v>77</v>
      </c>
      <c r="G116" s="99" t="s">
        <v>28523</v>
      </c>
      <c r="H116" s="99" t="s">
        <v>30468</v>
      </c>
      <c r="I116" s="99" t="s">
        <v>17</v>
      </c>
      <c r="J116" s="99" t="s">
        <v>30471</v>
      </c>
      <c r="K116" s="99" t="s">
        <v>240</v>
      </c>
      <c r="L116" s="99" t="s">
        <v>25546</v>
      </c>
      <c r="M116" s="99" t="s">
        <v>25645</v>
      </c>
      <c r="N116" s="99">
        <v>975.8</v>
      </c>
      <c r="S116" t="str">
        <f t="shared" si="6"/>
        <v>95-096-14-60</v>
      </c>
      <c r="T116" s="121" t="s">
        <v>27243</v>
      </c>
      <c r="U116" s="104">
        <v>9</v>
      </c>
    </row>
    <row r="117" spans="1:21" x14ac:dyDescent="0.2">
      <c r="A117" s="99" t="s">
        <v>30433</v>
      </c>
      <c r="B117" s="99" t="s">
        <v>30455</v>
      </c>
      <c r="C117" s="99" t="s">
        <v>24</v>
      </c>
      <c r="D117" s="99" t="s">
        <v>30</v>
      </c>
      <c r="E117" s="99" t="s">
        <v>30461</v>
      </c>
      <c r="F117" s="99" t="s">
        <v>77</v>
      </c>
      <c r="G117" s="99" t="s">
        <v>28523</v>
      </c>
      <c r="H117" s="99" t="s">
        <v>30468</v>
      </c>
      <c r="I117" s="99" t="s">
        <v>17</v>
      </c>
      <c r="J117" s="99" t="s">
        <v>30471</v>
      </c>
      <c r="K117" s="99" t="s">
        <v>240</v>
      </c>
      <c r="L117" s="99" t="s">
        <v>25546</v>
      </c>
      <c r="M117" s="99" t="s">
        <v>25645</v>
      </c>
      <c r="N117" s="99">
        <v>975.8</v>
      </c>
      <c r="S117" t="str">
        <f t="shared" si="6"/>
        <v>95-096-14-61</v>
      </c>
      <c r="T117" s="121" t="s">
        <v>27325</v>
      </c>
      <c r="U117" s="104">
        <v>6</v>
      </c>
    </row>
    <row r="118" spans="1:21" x14ac:dyDescent="0.2">
      <c r="A118" s="99" t="s">
        <v>30433</v>
      </c>
      <c r="B118" s="99" t="s">
        <v>30455</v>
      </c>
      <c r="C118" s="99" t="s">
        <v>24</v>
      </c>
      <c r="D118" s="99" t="s">
        <v>30</v>
      </c>
      <c r="E118" s="99" t="s">
        <v>30461</v>
      </c>
      <c r="F118" s="99" t="s">
        <v>77</v>
      </c>
      <c r="G118" s="99" t="s">
        <v>28523</v>
      </c>
      <c r="H118" s="99" t="s">
        <v>30468</v>
      </c>
      <c r="I118" s="99" t="s">
        <v>17</v>
      </c>
      <c r="J118" s="99" t="s">
        <v>30471</v>
      </c>
      <c r="K118" s="99" t="s">
        <v>240</v>
      </c>
      <c r="L118" s="99" t="s">
        <v>25546</v>
      </c>
      <c r="M118" s="99" t="s">
        <v>25645</v>
      </c>
      <c r="N118" s="99">
        <v>975.8</v>
      </c>
      <c r="S118" t="str">
        <f t="shared" si="6"/>
        <v>95-096-14-62</v>
      </c>
      <c r="T118" s="121" t="s">
        <v>27207</v>
      </c>
      <c r="U118" s="104">
        <v>3</v>
      </c>
    </row>
    <row r="119" spans="1:21" x14ac:dyDescent="0.2">
      <c r="A119" s="99" t="s">
        <v>30434</v>
      </c>
      <c r="B119" s="99" t="s">
        <v>30456</v>
      </c>
      <c r="C119" s="99" t="s">
        <v>24</v>
      </c>
      <c r="D119" s="99" t="s">
        <v>30</v>
      </c>
      <c r="E119" s="99" t="s">
        <v>30461</v>
      </c>
      <c r="F119" s="99" t="s">
        <v>77</v>
      </c>
      <c r="G119" s="99" t="s">
        <v>28523</v>
      </c>
      <c r="H119" s="99" t="s">
        <v>30463</v>
      </c>
      <c r="I119" s="99" t="s">
        <v>152</v>
      </c>
      <c r="J119" s="99" t="s">
        <v>30471</v>
      </c>
      <c r="K119" s="99" t="s">
        <v>240</v>
      </c>
      <c r="L119" s="99" t="s">
        <v>25546</v>
      </c>
      <c r="M119" s="99" t="s">
        <v>25645</v>
      </c>
      <c r="N119" s="99">
        <v>975.8</v>
      </c>
      <c r="S119" t="str">
        <f t="shared" si="6"/>
        <v>95-097-72-56</v>
      </c>
      <c r="T119" s="121" t="s">
        <v>27240</v>
      </c>
      <c r="U119" s="104">
        <v>3</v>
      </c>
    </row>
    <row r="120" spans="1:21" x14ac:dyDescent="0.2">
      <c r="A120" s="99" t="s">
        <v>30434</v>
      </c>
      <c r="B120" s="99" t="s">
        <v>30456</v>
      </c>
      <c r="C120" s="99" t="s">
        <v>24</v>
      </c>
      <c r="D120" s="99" t="s">
        <v>30</v>
      </c>
      <c r="E120" s="99" t="s">
        <v>30461</v>
      </c>
      <c r="F120" s="99" t="s">
        <v>77</v>
      </c>
      <c r="G120" s="99" t="s">
        <v>28523</v>
      </c>
      <c r="H120" s="99" t="s">
        <v>30463</v>
      </c>
      <c r="I120" s="99" t="s">
        <v>152</v>
      </c>
      <c r="J120" s="99" t="s">
        <v>30471</v>
      </c>
      <c r="K120" s="99" t="s">
        <v>240</v>
      </c>
      <c r="L120" s="99" t="s">
        <v>25546</v>
      </c>
      <c r="M120" s="99" t="s">
        <v>25645</v>
      </c>
      <c r="N120" s="99">
        <v>975.8</v>
      </c>
      <c r="S120" t="str">
        <f t="shared" si="6"/>
        <v>95-097-72-57</v>
      </c>
      <c r="T120" s="121" t="s">
        <v>27324</v>
      </c>
      <c r="U120" s="104">
        <v>6</v>
      </c>
    </row>
    <row r="121" spans="1:21" x14ac:dyDescent="0.2">
      <c r="A121" s="99" t="s">
        <v>30434</v>
      </c>
      <c r="B121" s="99" t="s">
        <v>30456</v>
      </c>
      <c r="C121" s="99" t="s">
        <v>24</v>
      </c>
      <c r="D121" s="99" t="s">
        <v>30</v>
      </c>
      <c r="E121" s="99" t="s">
        <v>30461</v>
      </c>
      <c r="F121" s="99" t="s">
        <v>77</v>
      </c>
      <c r="G121" s="99" t="s">
        <v>28523</v>
      </c>
      <c r="H121" s="99" t="s">
        <v>30463</v>
      </c>
      <c r="I121" s="99" t="s">
        <v>152</v>
      </c>
      <c r="J121" s="99" t="s">
        <v>30471</v>
      </c>
      <c r="K121" s="99" t="s">
        <v>240</v>
      </c>
      <c r="L121" s="99" t="s">
        <v>25546</v>
      </c>
      <c r="M121" s="99" t="s">
        <v>25645</v>
      </c>
      <c r="N121" s="99">
        <v>975.8</v>
      </c>
      <c r="S121" t="str">
        <f t="shared" si="6"/>
        <v>95-097-72-58</v>
      </c>
      <c r="T121" s="121" t="s">
        <v>27366</v>
      </c>
      <c r="U121" s="104">
        <v>9</v>
      </c>
    </row>
    <row r="122" spans="1:21" x14ac:dyDescent="0.2">
      <c r="A122" s="99" t="s">
        <v>30434</v>
      </c>
      <c r="B122" s="99" t="s">
        <v>30456</v>
      </c>
      <c r="C122" s="99" t="s">
        <v>24</v>
      </c>
      <c r="D122" s="99" t="s">
        <v>30</v>
      </c>
      <c r="E122" s="99" t="s">
        <v>30461</v>
      </c>
      <c r="F122" s="99" t="s">
        <v>77</v>
      </c>
      <c r="G122" s="99" t="s">
        <v>28523</v>
      </c>
      <c r="H122" s="99" t="s">
        <v>30463</v>
      </c>
      <c r="I122" s="99" t="s">
        <v>152</v>
      </c>
      <c r="J122" s="99" t="s">
        <v>30471</v>
      </c>
      <c r="K122" s="99" t="s">
        <v>240</v>
      </c>
      <c r="L122" s="99" t="s">
        <v>25546</v>
      </c>
      <c r="M122" s="99" t="s">
        <v>25645</v>
      </c>
      <c r="N122" s="99">
        <v>975.8</v>
      </c>
      <c r="S122" t="str">
        <f t="shared" si="6"/>
        <v>95-097-72-59</v>
      </c>
      <c r="T122" s="121" t="s">
        <v>27320</v>
      </c>
      <c r="U122" s="104">
        <v>12</v>
      </c>
    </row>
    <row r="123" spans="1:21" x14ac:dyDescent="0.2">
      <c r="A123" s="99" t="s">
        <v>30434</v>
      </c>
      <c r="B123" s="99" t="s">
        <v>30456</v>
      </c>
      <c r="C123" s="99" t="s">
        <v>24</v>
      </c>
      <c r="D123" s="99" t="s">
        <v>30</v>
      </c>
      <c r="E123" s="99" t="s">
        <v>30461</v>
      </c>
      <c r="F123" s="99" t="s">
        <v>77</v>
      </c>
      <c r="G123" s="99" t="s">
        <v>28523</v>
      </c>
      <c r="H123" s="99" t="s">
        <v>30463</v>
      </c>
      <c r="I123" s="99" t="s">
        <v>152</v>
      </c>
      <c r="J123" s="99" t="s">
        <v>30471</v>
      </c>
      <c r="K123" s="99" t="s">
        <v>240</v>
      </c>
      <c r="L123" s="99" t="s">
        <v>25546</v>
      </c>
      <c r="M123" s="99" t="s">
        <v>25645</v>
      </c>
      <c r="N123" s="99">
        <v>975.8</v>
      </c>
      <c r="S123" t="str">
        <f t="shared" si="6"/>
        <v>95-097-72-60</v>
      </c>
      <c r="T123" s="121" t="s">
        <v>27243</v>
      </c>
      <c r="U123" s="104">
        <v>9</v>
      </c>
    </row>
    <row r="124" spans="1:21" x14ac:dyDescent="0.2">
      <c r="A124" s="99" t="s">
        <v>30434</v>
      </c>
      <c r="B124" s="99" t="s">
        <v>30456</v>
      </c>
      <c r="C124" s="99" t="s">
        <v>24</v>
      </c>
      <c r="D124" s="99" t="s">
        <v>30</v>
      </c>
      <c r="E124" s="99" t="s">
        <v>30461</v>
      </c>
      <c r="F124" s="99" t="s">
        <v>77</v>
      </c>
      <c r="G124" s="99" t="s">
        <v>28523</v>
      </c>
      <c r="H124" s="99" t="s">
        <v>30463</v>
      </c>
      <c r="I124" s="99" t="s">
        <v>152</v>
      </c>
      <c r="J124" s="99" t="s">
        <v>30471</v>
      </c>
      <c r="K124" s="99" t="s">
        <v>240</v>
      </c>
      <c r="L124" s="99" t="s">
        <v>25546</v>
      </c>
      <c r="M124" s="99" t="s">
        <v>25645</v>
      </c>
      <c r="N124" s="99">
        <v>975.8</v>
      </c>
      <c r="S124" t="str">
        <f t="shared" si="6"/>
        <v>95-097-72-61</v>
      </c>
      <c r="T124" s="121" t="s">
        <v>27325</v>
      </c>
      <c r="U124" s="104">
        <v>6</v>
      </c>
    </row>
    <row r="125" spans="1:21" x14ac:dyDescent="0.2">
      <c r="A125" s="99" t="s">
        <v>30434</v>
      </c>
      <c r="B125" s="99" t="s">
        <v>30456</v>
      </c>
      <c r="C125" s="99" t="s">
        <v>24</v>
      </c>
      <c r="D125" s="99" t="s">
        <v>30</v>
      </c>
      <c r="E125" s="99" t="s">
        <v>30461</v>
      </c>
      <c r="F125" s="99" t="s">
        <v>77</v>
      </c>
      <c r="G125" s="99" t="s">
        <v>28523</v>
      </c>
      <c r="H125" s="99" t="s">
        <v>30463</v>
      </c>
      <c r="I125" s="99" t="s">
        <v>152</v>
      </c>
      <c r="J125" s="99" t="s">
        <v>30471</v>
      </c>
      <c r="K125" s="99" t="s">
        <v>240</v>
      </c>
      <c r="L125" s="99" t="s">
        <v>25546</v>
      </c>
      <c r="M125" s="99" t="s">
        <v>25645</v>
      </c>
      <c r="N125" s="99">
        <v>975.8</v>
      </c>
      <c r="S125" t="str">
        <f t="shared" si="6"/>
        <v>95-097-72-62</v>
      </c>
      <c r="T125" s="121" t="s">
        <v>27207</v>
      </c>
      <c r="U125" s="104">
        <v>3</v>
      </c>
    </row>
    <row r="126" spans="1:21" x14ac:dyDescent="0.2">
      <c r="A126" s="99" t="s">
        <v>30435</v>
      </c>
      <c r="B126" s="99" t="s">
        <v>30457</v>
      </c>
      <c r="C126" s="99" t="s">
        <v>24</v>
      </c>
      <c r="D126" s="99" t="s">
        <v>30</v>
      </c>
      <c r="E126" s="99" t="s">
        <v>30461</v>
      </c>
      <c r="F126" s="99" t="s">
        <v>77</v>
      </c>
      <c r="G126" s="99" t="s">
        <v>28523</v>
      </c>
      <c r="H126" s="99" t="s">
        <v>30464</v>
      </c>
      <c r="I126" s="99" t="s">
        <v>0</v>
      </c>
      <c r="J126" s="99" t="s">
        <v>30471</v>
      </c>
      <c r="K126" s="99" t="s">
        <v>240</v>
      </c>
      <c r="L126" s="99" t="s">
        <v>25546</v>
      </c>
      <c r="M126" s="99" t="s">
        <v>25645</v>
      </c>
      <c r="N126" s="99">
        <v>975.8</v>
      </c>
      <c r="S126" t="str">
        <f t="shared" si="6"/>
        <v>95-098-09-56</v>
      </c>
      <c r="T126" s="121" t="s">
        <v>27240</v>
      </c>
      <c r="U126" s="104">
        <v>6</v>
      </c>
    </row>
    <row r="127" spans="1:21" x14ac:dyDescent="0.2">
      <c r="A127" s="99" t="s">
        <v>30435</v>
      </c>
      <c r="B127" s="99" t="s">
        <v>30457</v>
      </c>
      <c r="C127" s="99" t="s">
        <v>24</v>
      </c>
      <c r="D127" s="99" t="s">
        <v>30</v>
      </c>
      <c r="E127" s="99" t="s">
        <v>30461</v>
      </c>
      <c r="F127" s="99" t="s">
        <v>77</v>
      </c>
      <c r="G127" s="99" t="s">
        <v>28523</v>
      </c>
      <c r="H127" s="99" t="s">
        <v>30464</v>
      </c>
      <c r="I127" s="99" t="s">
        <v>0</v>
      </c>
      <c r="J127" s="99" t="s">
        <v>30471</v>
      </c>
      <c r="K127" s="99" t="s">
        <v>240</v>
      </c>
      <c r="L127" s="99" t="s">
        <v>25546</v>
      </c>
      <c r="M127" s="99" t="s">
        <v>25645</v>
      </c>
      <c r="N127" s="99">
        <v>975.8</v>
      </c>
      <c r="S127" t="str">
        <f t="shared" si="6"/>
        <v>95-098-09-57</v>
      </c>
      <c r="T127" s="121" t="s">
        <v>27324</v>
      </c>
      <c r="U127" s="104">
        <v>12</v>
      </c>
    </row>
    <row r="128" spans="1:21" x14ac:dyDescent="0.2">
      <c r="A128" s="99" t="s">
        <v>30435</v>
      </c>
      <c r="B128" s="99" t="s">
        <v>30457</v>
      </c>
      <c r="C128" s="99" t="s">
        <v>24</v>
      </c>
      <c r="D128" s="99" t="s">
        <v>30</v>
      </c>
      <c r="E128" s="99" t="s">
        <v>30461</v>
      </c>
      <c r="F128" s="99" t="s">
        <v>77</v>
      </c>
      <c r="G128" s="99" t="s">
        <v>28523</v>
      </c>
      <c r="H128" s="99" t="s">
        <v>30464</v>
      </c>
      <c r="I128" s="99" t="s">
        <v>0</v>
      </c>
      <c r="J128" s="99" t="s">
        <v>30471</v>
      </c>
      <c r="K128" s="99" t="s">
        <v>240</v>
      </c>
      <c r="L128" s="99" t="s">
        <v>25546</v>
      </c>
      <c r="M128" s="99" t="s">
        <v>25645</v>
      </c>
      <c r="N128" s="99">
        <v>975.8</v>
      </c>
      <c r="S128" t="str">
        <f t="shared" si="6"/>
        <v>95-098-09-58</v>
      </c>
      <c r="T128" s="121" t="s">
        <v>27366</v>
      </c>
      <c r="U128" s="104">
        <v>18</v>
      </c>
    </row>
    <row r="129" spans="1:21" x14ac:dyDescent="0.2">
      <c r="A129" s="99" t="s">
        <v>30435</v>
      </c>
      <c r="B129" s="99" t="s">
        <v>30457</v>
      </c>
      <c r="C129" s="99" t="s">
        <v>24</v>
      </c>
      <c r="D129" s="99" t="s">
        <v>30</v>
      </c>
      <c r="E129" s="99" t="s">
        <v>30461</v>
      </c>
      <c r="F129" s="99" t="s">
        <v>77</v>
      </c>
      <c r="G129" s="99" t="s">
        <v>28523</v>
      </c>
      <c r="H129" s="99" t="s">
        <v>30464</v>
      </c>
      <c r="I129" s="99" t="s">
        <v>0</v>
      </c>
      <c r="J129" s="99" t="s">
        <v>30471</v>
      </c>
      <c r="K129" s="99" t="s">
        <v>240</v>
      </c>
      <c r="L129" s="99" t="s">
        <v>25546</v>
      </c>
      <c r="M129" s="99" t="s">
        <v>25645</v>
      </c>
      <c r="N129" s="99">
        <v>975.8</v>
      </c>
      <c r="S129" t="str">
        <f t="shared" si="6"/>
        <v>95-098-09-59</v>
      </c>
      <c r="T129" s="121" t="s">
        <v>27320</v>
      </c>
      <c r="U129" s="104">
        <v>24</v>
      </c>
    </row>
    <row r="130" spans="1:21" x14ac:dyDescent="0.2">
      <c r="A130" s="99" t="s">
        <v>30435</v>
      </c>
      <c r="B130" s="99" t="s">
        <v>30457</v>
      </c>
      <c r="C130" s="99" t="s">
        <v>24</v>
      </c>
      <c r="D130" s="99" t="s">
        <v>30</v>
      </c>
      <c r="E130" s="99" t="s">
        <v>30461</v>
      </c>
      <c r="F130" s="99" t="s">
        <v>77</v>
      </c>
      <c r="G130" s="99" t="s">
        <v>28523</v>
      </c>
      <c r="H130" s="99" t="s">
        <v>30464</v>
      </c>
      <c r="I130" s="99" t="s">
        <v>0</v>
      </c>
      <c r="J130" s="99" t="s">
        <v>30471</v>
      </c>
      <c r="K130" s="99" t="s">
        <v>240</v>
      </c>
      <c r="L130" s="99" t="s">
        <v>25546</v>
      </c>
      <c r="M130" s="99" t="s">
        <v>25645</v>
      </c>
      <c r="N130" s="99">
        <v>975.8</v>
      </c>
      <c r="S130" t="str">
        <f t="shared" si="6"/>
        <v>95-098-09-60</v>
      </c>
      <c r="T130" s="121" t="s">
        <v>27243</v>
      </c>
      <c r="U130" s="104">
        <v>18</v>
      </c>
    </row>
    <row r="131" spans="1:21" x14ac:dyDescent="0.2">
      <c r="A131" s="99" t="s">
        <v>30435</v>
      </c>
      <c r="B131" s="99" t="s">
        <v>30457</v>
      </c>
      <c r="C131" s="99" t="s">
        <v>24</v>
      </c>
      <c r="D131" s="99" t="s">
        <v>30</v>
      </c>
      <c r="E131" s="99" t="s">
        <v>30461</v>
      </c>
      <c r="F131" s="99" t="s">
        <v>77</v>
      </c>
      <c r="G131" s="99" t="s">
        <v>28523</v>
      </c>
      <c r="H131" s="99" t="s">
        <v>30464</v>
      </c>
      <c r="I131" s="99" t="s">
        <v>0</v>
      </c>
      <c r="J131" s="99" t="s">
        <v>30471</v>
      </c>
      <c r="K131" s="99" t="s">
        <v>240</v>
      </c>
      <c r="L131" s="99" t="s">
        <v>25546</v>
      </c>
      <c r="M131" s="99" t="s">
        <v>25645</v>
      </c>
      <c r="N131" s="99">
        <v>975.8</v>
      </c>
      <c r="S131" t="str">
        <f t="shared" si="6"/>
        <v>95-098-09-61</v>
      </c>
      <c r="T131" s="121" t="s">
        <v>27325</v>
      </c>
      <c r="U131" s="104">
        <v>12</v>
      </c>
    </row>
    <row r="132" spans="1:21" x14ac:dyDescent="0.2">
      <c r="A132" s="99" t="s">
        <v>30435</v>
      </c>
      <c r="B132" s="99" t="s">
        <v>30457</v>
      </c>
      <c r="C132" s="99" t="s">
        <v>24</v>
      </c>
      <c r="D132" s="99" t="s">
        <v>30</v>
      </c>
      <c r="E132" s="99" t="s">
        <v>30461</v>
      </c>
      <c r="F132" s="99" t="s">
        <v>77</v>
      </c>
      <c r="G132" s="99" t="s">
        <v>28523</v>
      </c>
      <c r="H132" s="99" t="s">
        <v>30464</v>
      </c>
      <c r="I132" s="99" t="s">
        <v>0</v>
      </c>
      <c r="J132" s="99" t="s">
        <v>30471</v>
      </c>
      <c r="K132" s="99" t="s">
        <v>240</v>
      </c>
      <c r="L132" s="99" t="s">
        <v>25546</v>
      </c>
      <c r="M132" s="99" t="s">
        <v>25645</v>
      </c>
      <c r="N132" s="99">
        <v>975.8</v>
      </c>
      <c r="S132" t="str">
        <f t="shared" si="6"/>
        <v>95-098-09-62</v>
      </c>
      <c r="T132" s="121" t="s">
        <v>27207</v>
      </c>
      <c r="U132" s="104">
        <v>6</v>
      </c>
    </row>
    <row r="133" spans="1:21" x14ac:dyDescent="0.2">
      <c r="A133" s="99" t="s">
        <v>30436</v>
      </c>
      <c r="B133" s="99" t="s">
        <v>30458</v>
      </c>
      <c r="C133" s="99" t="s">
        <v>35</v>
      </c>
      <c r="D133" s="99" t="s">
        <v>36</v>
      </c>
      <c r="E133" s="99" t="s">
        <v>30461</v>
      </c>
      <c r="F133" s="99" t="s">
        <v>77</v>
      </c>
      <c r="G133" s="99" t="s">
        <v>28523</v>
      </c>
      <c r="H133" s="99" t="s">
        <v>30469</v>
      </c>
      <c r="I133" s="99" t="s">
        <v>0</v>
      </c>
      <c r="J133" s="99" t="s">
        <v>30470</v>
      </c>
      <c r="K133" s="99" t="s">
        <v>240</v>
      </c>
      <c r="L133" s="99" t="s">
        <v>25546</v>
      </c>
      <c r="M133" s="99" t="s">
        <v>25645</v>
      </c>
      <c r="N133" s="99">
        <v>975.8</v>
      </c>
      <c r="S133" t="str">
        <f t="shared" ref="S133:S146" si="7">A133&amp;"-"&amp;T133</f>
        <v>95-099-09-57</v>
      </c>
      <c r="T133" s="121" t="s">
        <v>27324</v>
      </c>
      <c r="U133" s="104">
        <v>2</v>
      </c>
    </row>
    <row r="134" spans="1:21" x14ac:dyDescent="0.2">
      <c r="A134" s="99" t="s">
        <v>30436</v>
      </c>
      <c r="B134" s="99" t="s">
        <v>30458</v>
      </c>
      <c r="C134" s="99" t="s">
        <v>35</v>
      </c>
      <c r="D134" s="99" t="s">
        <v>36</v>
      </c>
      <c r="E134" s="99" t="s">
        <v>30461</v>
      </c>
      <c r="F134" s="99" t="s">
        <v>77</v>
      </c>
      <c r="G134" s="99" t="s">
        <v>28523</v>
      </c>
      <c r="H134" s="99" t="s">
        <v>30469</v>
      </c>
      <c r="I134" s="99" t="s">
        <v>0</v>
      </c>
      <c r="J134" s="99" t="s">
        <v>30470</v>
      </c>
      <c r="K134" s="99" t="s">
        <v>240</v>
      </c>
      <c r="L134" s="99" t="s">
        <v>25546</v>
      </c>
      <c r="M134" s="99" t="s">
        <v>25645</v>
      </c>
      <c r="N134" s="99">
        <v>975.8</v>
      </c>
      <c r="S134" t="str">
        <f t="shared" si="7"/>
        <v>95-099-09-58</v>
      </c>
      <c r="T134" s="121" t="s">
        <v>27366</v>
      </c>
      <c r="U134" s="104">
        <v>4</v>
      </c>
    </row>
    <row r="135" spans="1:21" x14ac:dyDescent="0.2">
      <c r="A135" s="99" t="s">
        <v>30436</v>
      </c>
      <c r="B135" s="99" t="s">
        <v>30458</v>
      </c>
      <c r="C135" s="99" t="s">
        <v>35</v>
      </c>
      <c r="D135" s="99" t="s">
        <v>36</v>
      </c>
      <c r="E135" s="99" t="s">
        <v>30461</v>
      </c>
      <c r="F135" s="99" t="s">
        <v>77</v>
      </c>
      <c r="G135" s="99" t="s">
        <v>28523</v>
      </c>
      <c r="H135" s="99" t="s">
        <v>30469</v>
      </c>
      <c r="I135" s="99" t="s">
        <v>0</v>
      </c>
      <c r="J135" s="99" t="s">
        <v>30470</v>
      </c>
      <c r="K135" s="99" t="s">
        <v>240</v>
      </c>
      <c r="L135" s="99" t="s">
        <v>25546</v>
      </c>
      <c r="M135" s="99" t="s">
        <v>25645</v>
      </c>
      <c r="N135" s="99">
        <v>975.8</v>
      </c>
      <c r="S135" t="str">
        <f t="shared" si="7"/>
        <v>95-099-09-59</v>
      </c>
      <c r="T135" s="121" t="s">
        <v>27320</v>
      </c>
      <c r="U135" s="104">
        <v>5</v>
      </c>
    </row>
    <row r="136" spans="1:21" x14ac:dyDescent="0.2">
      <c r="A136" s="99" t="s">
        <v>30436</v>
      </c>
      <c r="B136" s="99" t="s">
        <v>30458</v>
      </c>
      <c r="C136" s="99" t="s">
        <v>35</v>
      </c>
      <c r="D136" s="99" t="s">
        <v>36</v>
      </c>
      <c r="E136" s="99" t="s">
        <v>30461</v>
      </c>
      <c r="F136" s="99" t="s">
        <v>77</v>
      </c>
      <c r="G136" s="99" t="s">
        <v>28523</v>
      </c>
      <c r="H136" s="99" t="s">
        <v>30469</v>
      </c>
      <c r="I136" s="99" t="s">
        <v>0</v>
      </c>
      <c r="J136" s="99" t="s">
        <v>30470</v>
      </c>
      <c r="K136" s="99" t="s">
        <v>240</v>
      </c>
      <c r="L136" s="99" t="s">
        <v>25546</v>
      </c>
      <c r="M136" s="99" t="s">
        <v>25645</v>
      </c>
      <c r="N136" s="99">
        <v>975.8</v>
      </c>
      <c r="S136" t="str">
        <f t="shared" si="7"/>
        <v>95-099-09-60</v>
      </c>
      <c r="T136" s="121" t="s">
        <v>27243</v>
      </c>
      <c r="U136" s="104">
        <v>4</v>
      </c>
    </row>
    <row r="137" spans="1:21" x14ac:dyDescent="0.2">
      <c r="A137" s="99" t="s">
        <v>30436</v>
      </c>
      <c r="B137" s="99" t="s">
        <v>30458</v>
      </c>
      <c r="C137" s="99" t="s">
        <v>35</v>
      </c>
      <c r="D137" s="99" t="s">
        <v>36</v>
      </c>
      <c r="E137" s="99" t="s">
        <v>30461</v>
      </c>
      <c r="F137" s="99" t="s">
        <v>77</v>
      </c>
      <c r="G137" s="99" t="s">
        <v>28523</v>
      </c>
      <c r="H137" s="99" t="s">
        <v>30469</v>
      </c>
      <c r="I137" s="99" t="s">
        <v>0</v>
      </c>
      <c r="J137" s="99" t="s">
        <v>30470</v>
      </c>
      <c r="K137" s="99" t="s">
        <v>240</v>
      </c>
      <c r="L137" s="99" t="s">
        <v>25546</v>
      </c>
      <c r="M137" s="99" t="s">
        <v>25645</v>
      </c>
      <c r="N137" s="99">
        <v>975.8</v>
      </c>
      <c r="S137" t="str">
        <f t="shared" si="7"/>
        <v>95-099-09-61</v>
      </c>
      <c r="T137" s="121" t="s">
        <v>27325</v>
      </c>
      <c r="U137" s="104">
        <v>2</v>
      </c>
    </row>
    <row r="138" spans="1:21" x14ac:dyDescent="0.2">
      <c r="A138" s="99" t="s">
        <v>30437</v>
      </c>
      <c r="B138" s="99" t="s">
        <v>30459</v>
      </c>
      <c r="C138" s="99" t="s">
        <v>35</v>
      </c>
      <c r="D138" s="99" t="s">
        <v>36</v>
      </c>
      <c r="E138" s="99" t="s">
        <v>30461</v>
      </c>
      <c r="F138" s="99" t="s">
        <v>77</v>
      </c>
      <c r="G138" s="99" t="s">
        <v>28523</v>
      </c>
      <c r="H138" s="99" t="s">
        <v>30468</v>
      </c>
      <c r="I138" s="99" t="s">
        <v>17</v>
      </c>
      <c r="J138" s="99" t="s">
        <v>30470</v>
      </c>
      <c r="K138" s="99" t="s">
        <v>240</v>
      </c>
      <c r="L138" s="99" t="s">
        <v>25546</v>
      </c>
      <c r="M138" s="99" t="s">
        <v>25645</v>
      </c>
      <c r="N138" s="99">
        <v>975.8</v>
      </c>
      <c r="S138" t="str">
        <f t="shared" si="7"/>
        <v>95-100-14-57</v>
      </c>
      <c r="T138" s="121" t="s">
        <v>27324</v>
      </c>
      <c r="U138" s="104">
        <v>2</v>
      </c>
    </row>
    <row r="139" spans="1:21" x14ac:dyDescent="0.2">
      <c r="A139" s="99" t="s">
        <v>30437</v>
      </c>
      <c r="B139" s="99" t="s">
        <v>30459</v>
      </c>
      <c r="C139" s="99" t="s">
        <v>35</v>
      </c>
      <c r="D139" s="99" t="s">
        <v>36</v>
      </c>
      <c r="E139" s="99" t="s">
        <v>30461</v>
      </c>
      <c r="F139" s="99" t="s">
        <v>77</v>
      </c>
      <c r="G139" s="99" t="s">
        <v>28523</v>
      </c>
      <c r="H139" s="99" t="s">
        <v>30468</v>
      </c>
      <c r="I139" s="99" t="s">
        <v>17</v>
      </c>
      <c r="J139" s="99" t="s">
        <v>30470</v>
      </c>
      <c r="K139" s="99" t="s">
        <v>240</v>
      </c>
      <c r="L139" s="99" t="s">
        <v>25546</v>
      </c>
      <c r="M139" s="99" t="s">
        <v>25645</v>
      </c>
      <c r="N139" s="99">
        <v>975.8</v>
      </c>
      <c r="S139" t="str">
        <f t="shared" si="7"/>
        <v>95-100-14-58</v>
      </c>
      <c r="T139" s="121" t="s">
        <v>27366</v>
      </c>
      <c r="U139" s="104">
        <v>4</v>
      </c>
    </row>
    <row r="140" spans="1:21" x14ac:dyDescent="0.2">
      <c r="A140" s="99" t="s">
        <v>30437</v>
      </c>
      <c r="B140" s="99" t="s">
        <v>30459</v>
      </c>
      <c r="C140" s="99" t="s">
        <v>35</v>
      </c>
      <c r="D140" s="99" t="s">
        <v>36</v>
      </c>
      <c r="E140" s="99" t="s">
        <v>30461</v>
      </c>
      <c r="F140" s="99" t="s">
        <v>77</v>
      </c>
      <c r="G140" s="99" t="s">
        <v>28523</v>
      </c>
      <c r="H140" s="99" t="s">
        <v>30468</v>
      </c>
      <c r="I140" s="99" t="s">
        <v>17</v>
      </c>
      <c r="J140" s="99" t="s">
        <v>30470</v>
      </c>
      <c r="K140" s="99" t="s">
        <v>240</v>
      </c>
      <c r="L140" s="99" t="s">
        <v>25546</v>
      </c>
      <c r="M140" s="99" t="s">
        <v>25645</v>
      </c>
      <c r="N140" s="99">
        <v>975.8</v>
      </c>
      <c r="S140" t="str">
        <f t="shared" si="7"/>
        <v>95-100-14-59</v>
      </c>
      <c r="T140" s="121" t="s">
        <v>27320</v>
      </c>
      <c r="U140" s="104">
        <v>5</v>
      </c>
    </row>
    <row r="141" spans="1:21" x14ac:dyDescent="0.2">
      <c r="A141" s="99" t="s">
        <v>30437</v>
      </c>
      <c r="B141" s="99" t="s">
        <v>30459</v>
      </c>
      <c r="C141" s="99" t="s">
        <v>35</v>
      </c>
      <c r="D141" s="99" t="s">
        <v>36</v>
      </c>
      <c r="E141" s="99" t="s">
        <v>30461</v>
      </c>
      <c r="F141" s="99" t="s">
        <v>77</v>
      </c>
      <c r="G141" s="99" t="s">
        <v>28523</v>
      </c>
      <c r="H141" s="99" t="s">
        <v>30468</v>
      </c>
      <c r="I141" s="99" t="s">
        <v>17</v>
      </c>
      <c r="J141" s="99" t="s">
        <v>30470</v>
      </c>
      <c r="K141" s="99" t="s">
        <v>240</v>
      </c>
      <c r="L141" s="99" t="s">
        <v>25546</v>
      </c>
      <c r="M141" s="99" t="s">
        <v>25645</v>
      </c>
      <c r="N141" s="99">
        <v>975.8</v>
      </c>
      <c r="S141" t="str">
        <f t="shared" si="7"/>
        <v>95-100-14-60</v>
      </c>
      <c r="T141" s="121" t="s">
        <v>27243</v>
      </c>
      <c r="U141" s="104">
        <v>4</v>
      </c>
    </row>
    <row r="142" spans="1:21" x14ac:dyDescent="0.2">
      <c r="A142" s="99" t="s">
        <v>30437</v>
      </c>
      <c r="B142" s="99" t="s">
        <v>30459</v>
      </c>
      <c r="C142" s="99" t="s">
        <v>35</v>
      </c>
      <c r="D142" s="99" t="s">
        <v>36</v>
      </c>
      <c r="E142" s="99" t="s">
        <v>30461</v>
      </c>
      <c r="F142" s="99" t="s">
        <v>77</v>
      </c>
      <c r="G142" s="99" t="s">
        <v>28523</v>
      </c>
      <c r="H142" s="99" t="s">
        <v>30468</v>
      </c>
      <c r="I142" s="99" t="s">
        <v>17</v>
      </c>
      <c r="J142" s="99" t="s">
        <v>30470</v>
      </c>
      <c r="K142" s="99" t="s">
        <v>240</v>
      </c>
      <c r="L142" s="99" t="s">
        <v>25546</v>
      </c>
      <c r="M142" s="99" t="s">
        <v>25645</v>
      </c>
      <c r="N142" s="99">
        <v>975.8</v>
      </c>
      <c r="S142" t="str">
        <f t="shared" si="7"/>
        <v>95-100-14-61</v>
      </c>
      <c r="T142" s="121" t="s">
        <v>27325</v>
      </c>
      <c r="U142" s="104">
        <v>2</v>
      </c>
    </row>
    <row r="143" spans="1:21" x14ac:dyDescent="0.2">
      <c r="A143" s="99" t="s">
        <v>30438</v>
      </c>
      <c r="B143" s="99" t="s">
        <v>30460</v>
      </c>
      <c r="C143" s="99" t="s">
        <v>175</v>
      </c>
      <c r="D143" s="99" t="s">
        <v>176</v>
      </c>
      <c r="E143" s="99" t="s">
        <v>30461</v>
      </c>
      <c r="F143" s="99" t="s">
        <v>77</v>
      </c>
      <c r="G143" s="99" t="s">
        <v>28523</v>
      </c>
      <c r="H143" s="99" t="s">
        <v>30464</v>
      </c>
      <c r="I143" s="99" t="s">
        <v>0</v>
      </c>
      <c r="J143" s="99" t="s">
        <v>30470</v>
      </c>
      <c r="K143" s="99" t="s">
        <v>240</v>
      </c>
      <c r="L143" s="99" t="s">
        <v>25546</v>
      </c>
      <c r="M143" s="99" t="s">
        <v>25645</v>
      </c>
      <c r="N143" s="99">
        <v>975.8</v>
      </c>
      <c r="S143" t="str">
        <f t="shared" si="7"/>
        <v>95-101-09-56</v>
      </c>
      <c r="T143" s="121" t="s">
        <v>27240</v>
      </c>
      <c r="U143" s="104">
        <v>1</v>
      </c>
    </row>
    <row r="144" spans="1:21" x14ac:dyDescent="0.2">
      <c r="A144" s="99" t="s">
        <v>30438</v>
      </c>
      <c r="B144" s="99" t="s">
        <v>30460</v>
      </c>
      <c r="C144" s="99" t="s">
        <v>175</v>
      </c>
      <c r="D144" s="99" t="s">
        <v>176</v>
      </c>
      <c r="E144" s="99" t="s">
        <v>30461</v>
      </c>
      <c r="F144" s="99" t="s">
        <v>77</v>
      </c>
      <c r="G144" s="99" t="s">
        <v>28523</v>
      </c>
      <c r="H144" s="99" t="s">
        <v>30464</v>
      </c>
      <c r="I144" s="99" t="s">
        <v>0</v>
      </c>
      <c r="J144" s="99" t="s">
        <v>30470</v>
      </c>
      <c r="K144" s="99" t="s">
        <v>240</v>
      </c>
      <c r="L144" s="99" t="s">
        <v>25546</v>
      </c>
      <c r="M144" s="99" t="s">
        <v>25645</v>
      </c>
      <c r="N144" s="99">
        <v>975.8</v>
      </c>
      <c r="S144" t="str">
        <f t="shared" si="7"/>
        <v>95-101-09-57</v>
      </c>
      <c r="T144" s="121" t="s">
        <v>27324</v>
      </c>
      <c r="U144" s="104">
        <v>2</v>
      </c>
    </row>
    <row r="145" spans="1:21" x14ac:dyDescent="0.2">
      <c r="A145" s="99" t="s">
        <v>30438</v>
      </c>
      <c r="B145" s="99" t="s">
        <v>30460</v>
      </c>
      <c r="C145" s="99" t="s">
        <v>175</v>
      </c>
      <c r="D145" s="99" t="s">
        <v>176</v>
      </c>
      <c r="E145" s="99" t="s">
        <v>30461</v>
      </c>
      <c r="F145" s="99" t="s">
        <v>77</v>
      </c>
      <c r="G145" s="99" t="s">
        <v>28523</v>
      </c>
      <c r="H145" s="99" t="s">
        <v>30464</v>
      </c>
      <c r="I145" s="99" t="s">
        <v>0</v>
      </c>
      <c r="J145" s="99" t="s">
        <v>30470</v>
      </c>
      <c r="K145" s="99" t="s">
        <v>240</v>
      </c>
      <c r="L145" s="99" t="s">
        <v>25546</v>
      </c>
      <c r="M145" s="99" t="s">
        <v>25645</v>
      </c>
      <c r="N145" s="99">
        <v>975.8</v>
      </c>
      <c r="S145" t="str">
        <f t="shared" si="7"/>
        <v>95-101-09-58</v>
      </c>
      <c r="T145" s="121" t="s">
        <v>27366</v>
      </c>
      <c r="U145" s="104">
        <v>4</v>
      </c>
    </row>
    <row r="146" spans="1:21" x14ac:dyDescent="0.2">
      <c r="A146" s="99" t="s">
        <v>30438</v>
      </c>
      <c r="B146" s="99" t="s">
        <v>30460</v>
      </c>
      <c r="C146" s="99" t="s">
        <v>175</v>
      </c>
      <c r="D146" s="99" t="s">
        <v>176</v>
      </c>
      <c r="E146" s="99" t="s">
        <v>30461</v>
      </c>
      <c r="F146" s="99" t="s">
        <v>77</v>
      </c>
      <c r="G146" s="99" t="s">
        <v>28523</v>
      </c>
      <c r="H146" s="99" t="s">
        <v>30464</v>
      </c>
      <c r="I146" s="99" t="s">
        <v>0</v>
      </c>
      <c r="J146" s="99" t="s">
        <v>30470</v>
      </c>
      <c r="K146" s="99" t="s">
        <v>240</v>
      </c>
      <c r="L146" s="99" t="s">
        <v>25546</v>
      </c>
      <c r="M146" s="99" t="s">
        <v>25645</v>
      </c>
      <c r="N146" s="99">
        <v>975.8</v>
      </c>
      <c r="S146" t="str">
        <f t="shared" si="7"/>
        <v>95-101-09-59</v>
      </c>
      <c r="T146" s="121" t="s">
        <v>27320</v>
      </c>
      <c r="U146" s="104">
        <v>5</v>
      </c>
    </row>
    <row r="147" spans="1:21" x14ac:dyDescent="0.2">
      <c r="A147" s="99" t="s">
        <v>30438</v>
      </c>
      <c r="B147" s="99" t="s">
        <v>30460</v>
      </c>
      <c r="C147" s="99" t="s">
        <v>175</v>
      </c>
      <c r="D147" s="99" t="s">
        <v>176</v>
      </c>
      <c r="E147" s="99" t="s">
        <v>30461</v>
      </c>
      <c r="F147" s="99" t="s">
        <v>77</v>
      </c>
      <c r="G147" s="99" t="s">
        <v>28523</v>
      </c>
      <c r="H147" s="99" t="s">
        <v>30464</v>
      </c>
      <c r="I147" s="99" t="s">
        <v>0</v>
      </c>
      <c r="J147" s="99" t="s">
        <v>30470</v>
      </c>
      <c r="K147" s="99" t="s">
        <v>240</v>
      </c>
      <c r="L147" s="99" t="s">
        <v>25546</v>
      </c>
      <c r="M147" s="99" t="s">
        <v>25645</v>
      </c>
      <c r="N147" s="99">
        <v>975.8</v>
      </c>
      <c r="S147" t="str">
        <f t="shared" ref="S147:S149" si="8">A147&amp;"-"&amp;T147</f>
        <v>95-101-09-60</v>
      </c>
      <c r="T147" s="121" t="s">
        <v>27243</v>
      </c>
      <c r="U147" s="104">
        <v>4</v>
      </c>
    </row>
    <row r="148" spans="1:21" x14ac:dyDescent="0.2">
      <c r="A148" s="99" t="s">
        <v>30438</v>
      </c>
      <c r="B148" s="99" t="s">
        <v>30460</v>
      </c>
      <c r="C148" s="99" t="s">
        <v>175</v>
      </c>
      <c r="D148" s="99" t="s">
        <v>176</v>
      </c>
      <c r="E148" s="99" t="s">
        <v>30461</v>
      </c>
      <c r="F148" s="99" t="s">
        <v>77</v>
      </c>
      <c r="G148" s="99" t="s">
        <v>28523</v>
      </c>
      <c r="H148" s="99" t="s">
        <v>30464</v>
      </c>
      <c r="I148" s="99" t="s">
        <v>0</v>
      </c>
      <c r="J148" s="99" t="s">
        <v>30470</v>
      </c>
      <c r="K148" s="99" t="s">
        <v>240</v>
      </c>
      <c r="L148" s="99" t="s">
        <v>25546</v>
      </c>
      <c r="M148" s="99" t="s">
        <v>25645</v>
      </c>
      <c r="N148" s="99">
        <v>975.8</v>
      </c>
      <c r="S148" t="str">
        <f t="shared" si="8"/>
        <v>95-101-09-61</v>
      </c>
      <c r="T148" s="121" t="s">
        <v>27325</v>
      </c>
      <c r="U148" s="104">
        <v>2</v>
      </c>
    </row>
    <row r="149" spans="1:21" x14ac:dyDescent="0.2">
      <c r="A149" s="99" t="s">
        <v>30438</v>
      </c>
      <c r="B149" s="99" t="s">
        <v>30460</v>
      </c>
      <c r="C149" s="99" t="s">
        <v>175</v>
      </c>
      <c r="D149" s="99" t="s">
        <v>176</v>
      </c>
      <c r="E149" s="99" t="s">
        <v>30461</v>
      </c>
      <c r="F149" s="99" t="s">
        <v>77</v>
      </c>
      <c r="G149" s="99" t="s">
        <v>28523</v>
      </c>
      <c r="H149" s="99" t="s">
        <v>30464</v>
      </c>
      <c r="I149" s="99" t="s">
        <v>0</v>
      </c>
      <c r="J149" s="99" t="s">
        <v>30470</v>
      </c>
      <c r="K149" s="99" t="s">
        <v>240</v>
      </c>
      <c r="L149" s="99" t="s">
        <v>25546</v>
      </c>
      <c r="M149" s="99" t="s">
        <v>25645</v>
      </c>
      <c r="N149" s="99">
        <v>975.8</v>
      </c>
      <c r="S149" t="str">
        <f t="shared" si="8"/>
        <v>95-101-09-62</v>
      </c>
      <c r="T149" s="121" t="s">
        <v>27207</v>
      </c>
      <c r="U149" s="104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4" t="s">
        <v>26554</v>
      </c>
      <c r="B1" s="154" t="s">
        <v>215</v>
      </c>
      <c r="C1" s="154" t="str">
        <f>Строчный!S1</f>
        <v>АртикулПолный</v>
      </c>
      <c r="D1" s="154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FREDRIKSON</v>
      </c>
      <c r="C2" s="65" t="str">
        <f>_xlfn.LET(_xlpm.Letter,LEFT(ADDRESS(1,COLUMN(Строчный!S1),4,1,)),"Строчный!"&amp;_xlpm.Letter&amp;"1:"&amp;_xlpm.Letter&amp;COUNTA(Строчный!S:S))</f>
        <v>Строчный!S1:S149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2022-07-20T13:24:29Z</dcterms:modified>
</cp:coreProperties>
</file>