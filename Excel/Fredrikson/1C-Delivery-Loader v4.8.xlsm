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Fredrikson\"/>
    </mc:Choice>
  </mc:AlternateContent>
  <xr:revisionPtr revIDLastSave="0" documentId="13_ncr:1_{4786A72B-5A59-4C21-8605-EE3C0DFCC657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56" i="42" l="1"/>
  <c r="S455" i="42"/>
  <c r="S454" i="42"/>
  <c r="S453" i="42"/>
  <c r="S452" i="42"/>
  <c r="S451" i="42"/>
  <c r="S450" i="42"/>
  <c r="S449" i="42"/>
  <c r="S448" i="42"/>
  <c r="S447" i="42"/>
  <c r="S446" i="42"/>
  <c r="S445" i="42"/>
  <c r="S444" i="42"/>
  <c r="S443" i="42"/>
  <c r="S442" i="42"/>
  <c r="S441" i="42"/>
  <c r="S440" i="42"/>
  <c r="S439" i="42"/>
  <c r="S438" i="42"/>
  <c r="S437" i="42"/>
  <c r="S436" i="42"/>
  <c r="S435" i="42"/>
  <c r="S434" i="42"/>
  <c r="S433" i="42"/>
  <c r="S432" i="42"/>
  <c r="S431" i="42"/>
  <c r="S430" i="42"/>
  <c r="S429" i="42"/>
  <c r="S428" i="42"/>
  <c r="S427" i="42"/>
  <c r="S426" i="42"/>
  <c r="S425" i="42"/>
  <c r="S424" i="42"/>
  <c r="S423" i="42"/>
  <c r="S422" i="42"/>
  <c r="S421" i="42"/>
  <c r="S420" i="42"/>
  <c r="S419" i="42"/>
  <c r="S418" i="42"/>
  <c r="S417" i="42"/>
  <c r="S416" i="42"/>
  <c r="S415" i="42"/>
  <c r="S414" i="42"/>
  <c r="S413" i="42"/>
  <c r="S412" i="42"/>
  <c r="S411" i="42"/>
  <c r="S410" i="42"/>
  <c r="S409" i="42"/>
  <c r="S408" i="42"/>
  <c r="S407" i="42"/>
  <c r="S406" i="42"/>
  <c r="S405" i="42"/>
  <c r="S404" i="42"/>
  <c r="S403" i="42"/>
  <c r="S402" i="42"/>
  <c r="S401" i="42"/>
  <c r="S400" i="42"/>
  <c r="S399" i="42"/>
  <c r="S398" i="42"/>
  <c r="S397" i="42"/>
  <c r="S396" i="42"/>
  <c r="S395" i="42"/>
  <c r="S394" i="42"/>
  <c r="S393" i="42"/>
  <c r="S392" i="42"/>
  <c r="S391" i="42"/>
  <c r="S390" i="42"/>
  <c r="S389" i="42"/>
  <c r="S388" i="42"/>
  <c r="S387" i="42"/>
  <c r="S386" i="42"/>
  <c r="S385" i="42"/>
  <c r="S384" i="42"/>
  <c r="S383" i="42"/>
  <c r="S382" i="42"/>
  <c r="S381" i="42"/>
  <c r="S380" i="42"/>
  <c r="S379" i="42"/>
  <c r="S378" i="42"/>
  <c r="S377" i="42"/>
  <c r="S376" i="42"/>
  <c r="S375" i="42"/>
  <c r="S374" i="42"/>
  <c r="S373" i="42"/>
  <c r="S372" i="42"/>
  <c r="S371" i="42"/>
  <c r="S370" i="42"/>
  <c r="S369" i="42"/>
  <c r="S368" i="42"/>
  <c r="S367" i="42"/>
  <c r="S366" i="42"/>
  <c r="S365" i="42"/>
  <c r="S364" i="42"/>
  <c r="S363" i="42"/>
  <c r="S362" i="42"/>
  <c r="S361" i="42"/>
  <c r="S360" i="42"/>
  <c r="S359" i="42"/>
  <c r="S358" i="42"/>
  <c r="S357" i="42"/>
  <c r="S356" i="42"/>
  <c r="S355" i="42"/>
  <c r="S354" i="42"/>
  <c r="S353" i="42"/>
  <c r="S352" i="42"/>
  <c r="S351" i="42"/>
  <c r="S350" i="42"/>
  <c r="S349" i="42"/>
  <c r="S348" i="42"/>
  <c r="S347" i="42"/>
  <c r="S346" i="42"/>
  <c r="S345" i="42"/>
  <c r="S344" i="42"/>
  <c r="S343" i="42"/>
  <c r="S342" i="42"/>
  <c r="S341" i="42"/>
  <c r="S340" i="42"/>
  <c r="S339" i="42"/>
  <c r="S338" i="42"/>
  <c r="S337" i="42"/>
  <c r="S336" i="42"/>
  <c r="S335" i="42"/>
  <c r="S334" i="42"/>
  <c r="S333" i="42"/>
  <c r="S332" i="42"/>
  <c r="S331" i="42"/>
  <c r="S330" i="42"/>
  <c r="S329" i="42"/>
  <c r="S328" i="42"/>
  <c r="S327" i="42"/>
  <c r="S326" i="42"/>
  <c r="S325" i="42"/>
  <c r="S324" i="42"/>
  <c r="S323" i="42"/>
  <c r="S322" i="42"/>
  <c r="S321" i="42"/>
  <c r="S320" i="42"/>
  <c r="S319" i="42"/>
  <c r="S318" i="42"/>
  <c r="S317" i="42"/>
  <c r="S316" i="42"/>
  <c r="S315" i="42"/>
  <c r="S314" i="42"/>
  <c r="S313" i="42"/>
  <c r="S312" i="42"/>
  <c r="S311" i="42"/>
  <c r="S310" i="42"/>
  <c r="S309" i="42"/>
  <c r="S308" i="42"/>
  <c r="S307" i="42"/>
  <c r="S306" i="42"/>
  <c r="S305" i="42"/>
  <c r="S304" i="42"/>
  <c r="S303" i="42"/>
  <c r="S302" i="42"/>
  <c r="S301" i="42"/>
  <c r="S300" i="42"/>
  <c r="S299" i="42"/>
  <c r="S298" i="42"/>
  <c r="S297" i="42"/>
  <c r="S296" i="42"/>
  <c r="S295" i="42"/>
  <c r="S294" i="42"/>
  <c r="S293" i="42"/>
  <c r="S292" i="42"/>
  <c r="S291" i="42"/>
  <c r="S290" i="42"/>
  <c r="S289" i="42"/>
  <c r="S288" i="42"/>
  <c r="S287" i="42"/>
  <c r="S286" i="42"/>
  <c r="S285" i="42"/>
  <c r="S284" i="42"/>
  <c r="S283" i="42"/>
  <c r="S282" i="42"/>
  <c r="S281" i="42"/>
  <c r="S280" i="42"/>
  <c r="S279" i="42"/>
  <c r="S278" i="42"/>
  <c r="S277" i="42"/>
  <c r="S276" i="42"/>
  <c r="S275" i="42"/>
  <c r="S274" i="42"/>
  <c r="S273" i="42"/>
  <c r="S272" i="42"/>
  <c r="S271" i="42"/>
  <c r="S270" i="42"/>
  <c r="S269" i="42"/>
  <c r="S268" i="42"/>
  <c r="S267" i="42"/>
  <c r="S266" i="42"/>
  <c r="S265" i="42"/>
  <c r="S264" i="42"/>
  <c r="S263" i="42"/>
  <c r="S262" i="42"/>
  <c r="S261" i="42"/>
  <c r="S260" i="42"/>
  <c r="S259" i="42"/>
  <c r="S258" i="42"/>
  <c r="S257" i="42"/>
  <c r="S256" i="42"/>
  <c r="S255" i="42"/>
  <c r="S254" i="42"/>
  <c r="S253" i="42"/>
  <c r="S252" i="42"/>
  <c r="S251" i="42"/>
  <c r="S250" i="42"/>
  <c r="S249" i="42"/>
  <c r="S248" i="42"/>
  <c r="S247" i="42"/>
  <c r="S246" i="42"/>
  <c r="S245" i="42"/>
  <c r="S244" i="42"/>
  <c r="S243" i="42"/>
  <c r="S242" i="42"/>
  <c r="S241" i="42"/>
  <c r="S240" i="42"/>
  <c r="S239" i="42"/>
  <c r="S238" i="42"/>
  <c r="S237" i="42"/>
  <c r="S236" i="42"/>
  <c r="S235" i="42"/>
  <c r="S234" i="42"/>
  <c r="S233" i="42"/>
  <c r="S232" i="42"/>
  <c r="S231" i="42"/>
  <c r="S230" i="42"/>
  <c r="S229" i="42"/>
  <c r="S228" i="42"/>
  <c r="S227" i="42"/>
  <c r="S226" i="42"/>
  <c r="S225" i="42"/>
  <c r="S224" i="42"/>
  <c r="S223" i="42"/>
  <c r="S222" i="42"/>
  <c r="S221" i="42"/>
  <c r="S220" i="42"/>
  <c r="S219" i="42"/>
  <c r="S218" i="42"/>
  <c r="S217" i="42"/>
  <c r="S216" i="42"/>
  <c r="S215" i="42"/>
  <c r="S214" i="42"/>
  <c r="S213" i="42"/>
  <c r="S212" i="42"/>
  <c r="S211" i="42"/>
  <c r="S210" i="42"/>
  <c r="S209" i="42"/>
  <c r="S208" i="42"/>
  <c r="S207" i="42"/>
  <c r="S206" i="42"/>
  <c r="S205" i="42"/>
  <c r="S204" i="42"/>
  <c r="S203" i="42"/>
  <c r="S202" i="42"/>
  <c r="S201" i="42"/>
  <c r="S200" i="42"/>
  <c r="S199" i="42"/>
  <c r="S198" i="42"/>
  <c r="S197" i="42"/>
  <c r="S196" i="42"/>
  <c r="S195" i="42"/>
  <c r="S194" i="42"/>
  <c r="S193" i="42"/>
  <c r="S192" i="42"/>
  <c r="S191" i="42"/>
  <c r="S190" i="42"/>
  <c r="S189" i="42"/>
  <c r="S188" i="42"/>
  <c r="S187" i="42"/>
  <c r="S186" i="42"/>
  <c r="S185" i="42"/>
  <c r="S184" i="42"/>
  <c r="S183" i="42"/>
  <c r="S182" i="42"/>
  <c r="S181" i="42"/>
  <c r="S180" i="42"/>
  <c r="S179" i="42"/>
  <c r="S178" i="42"/>
  <c r="S177" i="42"/>
  <c r="S176" i="42"/>
  <c r="S175" i="42"/>
  <c r="S174" i="42"/>
  <c r="S173" i="42"/>
  <c r="S172" i="42"/>
  <c r="S171" i="42"/>
  <c r="S170" i="42"/>
  <c r="S169" i="42"/>
  <c r="S168" i="42"/>
  <c r="S167" i="42"/>
  <c r="S166" i="42"/>
  <c r="S165" i="42"/>
  <c r="S164" i="42"/>
  <c r="S163" i="42"/>
  <c r="S162" i="42"/>
  <c r="S161" i="42"/>
  <c r="S160" i="42"/>
  <c r="S159" i="42"/>
  <c r="S158" i="42"/>
  <c r="S157" i="42"/>
  <c r="S156" i="42"/>
  <c r="S155" i="42"/>
  <c r="S154" i="42"/>
  <c r="S153" i="42"/>
  <c r="S152" i="42"/>
  <c r="S151" i="42"/>
  <c r="S150" i="42"/>
  <c r="S149" i="42"/>
  <c r="S148" i="42"/>
  <c r="S147" i="42"/>
  <c r="S146" i="42"/>
  <c r="S145" i="42"/>
  <c r="S144" i="42"/>
  <c r="S143" i="42"/>
  <c r="S142" i="42"/>
  <c r="S141" i="42"/>
  <c r="S140" i="42"/>
  <c r="S139" i="42"/>
  <c r="S138" i="42"/>
  <c r="S137" i="42"/>
  <c r="S136" i="42"/>
  <c r="S135" i="42"/>
  <c r="S134" i="42"/>
  <c r="S133" i="42"/>
  <c r="S132" i="42"/>
  <c r="S131" i="42"/>
  <c r="S130" i="42"/>
  <c r="S129" i="42"/>
  <c r="S128" i="42"/>
  <c r="S127" i="42"/>
  <c r="S126" i="42"/>
  <c r="S125" i="42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0" i="9" l="1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4" i="9" l="1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" i="9"/>
  <c r="C1" i="43"/>
  <c r="C2" i="43"/>
  <c r="AA1" i="39" a="1"/>
  <c r="T32" i="39" l="1"/>
  <c r="S33" i="39"/>
  <c r="A35" i="39"/>
  <c r="T40" i="39"/>
  <c r="S41" i="39"/>
  <c r="A43" i="39"/>
  <c r="T48" i="39"/>
  <c r="S49" i="39"/>
  <c r="A51" i="39"/>
  <c r="T56" i="39"/>
  <c r="S57" i="39"/>
  <c r="A59" i="39"/>
  <c r="T64" i="39"/>
  <c r="S65" i="39"/>
  <c r="A67" i="39"/>
  <c r="T72" i="39"/>
  <c r="S73" i="39"/>
  <c r="A75" i="39"/>
  <c r="T80" i="39"/>
  <c r="S81" i="39"/>
  <c r="A83" i="39"/>
  <c r="T88" i="39"/>
  <c r="S89" i="39"/>
  <c r="A91" i="39"/>
  <c r="T96" i="39"/>
  <c r="S97" i="39"/>
  <c r="A99" i="39"/>
  <c r="T33" i="39"/>
  <c r="S34" i="39"/>
  <c r="A36" i="39"/>
  <c r="T41" i="39"/>
  <c r="S42" i="39"/>
  <c r="A44" i="39"/>
  <c r="T49" i="39"/>
  <c r="S50" i="39"/>
  <c r="A52" i="39"/>
  <c r="T57" i="39"/>
  <c r="S58" i="39"/>
  <c r="A60" i="39"/>
  <c r="T65" i="39"/>
  <c r="S66" i="39"/>
  <c r="A68" i="39"/>
  <c r="T73" i="39"/>
  <c r="S74" i="39"/>
  <c r="A76" i="39"/>
  <c r="T81" i="39"/>
  <c r="S82" i="39"/>
  <c r="A84" i="39"/>
  <c r="T34" i="39"/>
  <c r="S35" i="39"/>
  <c r="A37" i="39"/>
  <c r="T42" i="39"/>
  <c r="S43" i="39"/>
  <c r="A45" i="39"/>
  <c r="T50" i="39"/>
  <c r="S51" i="39"/>
  <c r="A53" i="39"/>
  <c r="T58" i="39"/>
  <c r="S59" i="39"/>
  <c r="A61" i="39"/>
  <c r="T66" i="39"/>
  <c r="S67" i="39"/>
  <c r="A69" i="39"/>
  <c r="T74" i="39"/>
  <c r="S75" i="39"/>
  <c r="A77" i="39"/>
  <c r="T82" i="39"/>
  <c r="S83" i="39"/>
  <c r="A85" i="39"/>
  <c r="T90" i="39"/>
  <c r="S91" i="39"/>
  <c r="A30" i="39"/>
  <c r="T35" i="39"/>
  <c r="S36" i="39"/>
  <c r="A38" i="39"/>
  <c r="T43" i="39"/>
  <c r="S44" i="39"/>
  <c r="A46" i="39"/>
  <c r="T51" i="39"/>
  <c r="S52" i="39"/>
  <c r="A54" i="39"/>
  <c r="T59" i="39"/>
  <c r="S60" i="39"/>
  <c r="A62" i="39"/>
  <c r="T67" i="39"/>
  <c r="S68" i="39"/>
  <c r="A70" i="39"/>
  <c r="T75" i="39"/>
  <c r="S76" i="39"/>
  <c r="A78" i="39"/>
  <c r="T83" i="39"/>
  <c r="S84" i="39"/>
  <c r="A86" i="39"/>
  <c r="T91" i="39"/>
  <c r="A31" i="39"/>
  <c r="T36" i="39"/>
  <c r="S37" i="39"/>
  <c r="A39" i="39"/>
  <c r="T44" i="39"/>
  <c r="S45" i="39"/>
  <c r="A47" i="39"/>
  <c r="T52" i="39"/>
  <c r="S53" i="39"/>
  <c r="A55" i="39"/>
  <c r="T60" i="39"/>
  <c r="S61" i="39"/>
  <c r="A63" i="39"/>
  <c r="T68" i="39"/>
  <c r="S69" i="39"/>
  <c r="A71" i="39"/>
  <c r="T76" i="39"/>
  <c r="S77" i="39"/>
  <c r="A79" i="39"/>
  <c r="T84" i="39"/>
  <c r="S85" i="39"/>
  <c r="A87" i="39"/>
  <c r="T92" i="39"/>
  <c r="S93" i="39"/>
  <c r="A95" i="39"/>
  <c r="T100" i="39"/>
  <c r="S30" i="39"/>
  <c r="A32" i="39"/>
  <c r="T37" i="39"/>
  <c r="S38" i="39"/>
  <c r="A40" i="39"/>
  <c r="T45" i="39"/>
  <c r="S46" i="39"/>
  <c r="A48" i="39"/>
  <c r="T53" i="39"/>
  <c r="S54" i="39"/>
  <c r="A56" i="39"/>
  <c r="T61" i="39"/>
  <c r="S62" i="39"/>
  <c r="A64" i="39"/>
  <c r="T69" i="39"/>
  <c r="S70" i="39"/>
  <c r="A72" i="39"/>
  <c r="T77" i="39"/>
  <c r="S78" i="39"/>
  <c r="A80" i="39"/>
  <c r="T85" i="39"/>
  <c r="S86" i="39"/>
  <c r="A88" i="39"/>
  <c r="T93" i="39"/>
  <c r="S94" i="39"/>
  <c r="A96" i="39"/>
  <c r="T101" i="39"/>
  <c r="S102" i="39"/>
  <c r="A104" i="39"/>
  <c r="T30" i="39"/>
  <c r="S31" i="39"/>
  <c r="A33" i="39"/>
  <c r="T38" i="39"/>
  <c r="S39" i="39"/>
  <c r="A41" i="39"/>
  <c r="T46" i="39"/>
  <c r="S47" i="39"/>
  <c r="A49" i="39"/>
  <c r="T54" i="39"/>
  <c r="S55" i="39"/>
  <c r="A57" i="39"/>
  <c r="T62" i="39"/>
  <c r="S63" i="39"/>
  <c r="A65" i="39"/>
  <c r="T47" i="39"/>
  <c r="A58" i="39"/>
  <c r="T71" i="39"/>
  <c r="S80" i="39"/>
  <c r="A82" i="39"/>
  <c r="A92" i="39"/>
  <c r="S92" i="39"/>
  <c r="T104" i="39"/>
  <c r="S105" i="39"/>
  <c r="A107" i="39"/>
  <c r="S48" i="39"/>
  <c r="T78" i="39"/>
  <c r="S87" i="39"/>
  <c r="A89" i="39"/>
  <c r="T89" i="39"/>
  <c r="S56" i="39"/>
  <c r="A66" i="39"/>
  <c r="T87" i="39"/>
  <c r="S90" i="39"/>
  <c r="A34" i="39"/>
  <c r="S64" i="39"/>
  <c r="T86" i="39"/>
  <c r="A90" i="39"/>
  <c r="S98" i="39"/>
  <c r="S99" i="39"/>
  <c r="S100" i="39"/>
  <c r="T103" i="39"/>
  <c r="S32" i="39"/>
  <c r="S79" i="39"/>
  <c r="A101" i="39"/>
  <c r="T105" i="39"/>
  <c r="T111" i="39"/>
  <c r="S112" i="39"/>
  <c r="A114" i="39"/>
  <c r="T119" i="39"/>
  <c r="S120" i="39"/>
  <c r="A122" i="39"/>
  <c r="T127" i="39"/>
  <c r="S128" i="39"/>
  <c r="A130" i="39"/>
  <c r="T135" i="39"/>
  <c r="S136" i="39"/>
  <c r="A138" i="39"/>
  <c r="T143" i="39"/>
  <c r="S144" i="39"/>
  <c r="A146" i="39"/>
  <c r="T151" i="39"/>
  <c r="S152" i="39"/>
  <c r="A154" i="39"/>
  <c r="T159" i="39"/>
  <c r="S160" i="39"/>
  <c r="A162" i="39"/>
  <c r="T63" i="39"/>
  <c r="T79" i="39"/>
  <c r="A97" i="39"/>
  <c r="T102" i="39"/>
  <c r="T112" i="39"/>
  <c r="S113" i="39"/>
  <c r="A115" i="39"/>
  <c r="T120" i="39"/>
  <c r="S121" i="39"/>
  <c r="A123" i="39"/>
  <c r="T128" i="39"/>
  <c r="S129" i="39"/>
  <c r="A131" i="39"/>
  <c r="T136" i="39"/>
  <c r="S137" i="39"/>
  <c r="A139" i="39"/>
  <c r="T144" i="39"/>
  <c r="S145" i="39"/>
  <c r="A147" i="39"/>
  <c r="T152" i="39"/>
  <c r="S72" i="39"/>
  <c r="S95" i="39"/>
  <c r="T97" i="39"/>
  <c r="T99" i="39"/>
  <c r="A105" i="39"/>
  <c r="S106" i="39"/>
  <c r="A108" i="39"/>
  <c r="T113" i="39"/>
  <c r="S114" i="39"/>
  <c r="A116" i="39"/>
  <c r="T121" i="39"/>
  <c r="S122" i="39"/>
  <c r="A124" i="39"/>
  <c r="T129" i="39"/>
  <c r="S130" i="39"/>
  <c r="A132" i="39"/>
  <c r="T137" i="39"/>
  <c r="S138" i="39"/>
  <c r="A140" i="39"/>
  <c r="T145" i="39"/>
  <c r="S146" i="39"/>
  <c r="A148" i="39"/>
  <c r="T153" i="39"/>
  <c r="S154" i="39"/>
  <c r="A156" i="39"/>
  <c r="T161" i="39"/>
  <c r="S162" i="39"/>
  <c r="A164" i="39"/>
  <c r="T169" i="39"/>
  <c r="S170" i="39"/>
  <c r="A172" i="39"/>
  <c r="T177" i="39"/>
  <c r="S178" i="39"/>
  <c r="A180" i="39"/>
  <c r="T39" i="39"/>
  <c r="A50" i="39"/>
  <c r="A73" i="39"/>
  <c r="A93" i="39"/>
  <c r="T95" i="39"/>
  <c r="S101" i="39"/>
  <c r="T106" i="39"/>
  <c r="A109" i="39"/>
  <c r="T114" i="39"/>
  <c r="S115" i="39"/>
  <c r="A117" i="39"/>
  <c r="T122" i="39"/>
  <c r="S123" i="39"/>
  <c r="A125" i="39"/>
  <c r="T130" i="39"/>
  <c r="S131" i="39"/>
  <c r="A133" i="39"/>
  <c r="T138" i="39"/>
  <c r="S139" i="39"/>
  <c r="A141" i="39"/>
  <c r="T146" i="39"/>
  <c r="S147" i="39"/>
  <c r="A149" i="39"/>
  <c r="T154" i="39"/>
  <c r="S155" i="39"/>
  <c r="A157" i="39"/>
  <c r="T55" i="39"/>
  <c r="T70" i="39"/>
  <c r="A81" i="39"/>
  <c r="A100" i="39"/>
  <c r="S108" i="39"/>
  <c r="A110" i="39"/>
  <c r="T115" i="39"/>
  <c r="S116" i="39"/>
  <c r="A118" i="39"/>
  <c r="T123" i="39"/>
  <c r="S124" i="39"/>
  <c r="A126" i="39"/>
  <c r="T131" i="39"/>
  <c r="S132" i="39"/>
  <c r="A134" i="39"/>
  <c r="T139" i="39"/>
  <c r="S140" i="39"/>
  <c r="A142" i="39"/>
  <c r="T147" i="39"/>
  <c r="S148" i="39"/>
  <c r="A150" i="39"/>
  <c r="T155" i="39"/>
  <c r="S156" i="39"/>
  <c r="A158" i="39"/>
  <c r="T163" i="39"/>
  <c r="S164" i="39"/>
  <c r="A166" i="39"/>
  <c r="T171" i="39"/>
  <c r="S172" i="39"/>
  <c r="A174" i="39"/>
  <c r="T179" i="39"/>
  <c r="S180" i="39"/>
  <c r="A182" i="39"/>
  <c r="T187" i="39"/>
  <c r="S188" i="39"/>
  <c r="A190" i="39"/>
  <c r="T195" i="39"/>
  <c r="S196" i="39"/>
  <c r="S40" i="39"/>
  <c r="S88" i="39"/>
  <c r="A98" i="39"/>
  <c r="A103" i="39"/>
  <c r="S104" i="39"/>
  <c r="A106" i="39"/>
  <c r="S107" i="39"/>
  <c r="T108" i="39"/>
  <c r="S109" i="39"/>
  <c r="A111" i="39"/>
  <c r="T116" i="39"/>
  <c r="S117" i="39"/>
  <c r="A119" i="39"/>
  <c r="T124" i="39"/>
  <c r="S125" i="39"/>
  <c r="A127" i="39"/>
  <c r="T132" i="39"/>
  <c r="S133" i="39"/>
  <c r="A135" i="39"/>
  <c r="T140" i="39"/>
  <c r="S141" i="39"/>
  <c r="A143" i="39"/>
  <c r="T148" i="39"/>
  <c r="S149" i="39"/>
  <c r="A151" i="39"/>
  <c r="T156" i="39"/>
  <c r="S157" i="39"/>
  <c r="A159" i="39"/>
  <c r="T164" i="39"/>
  <c r="S165" i="39"/>
  <c r="A167" i="39"/>
  <c r="T172" i="39"/>
  <c r="T31" i="39"/>
  <c r="A42" i="39"/>
  <c r="A74" i="39"/>
  <c r="S96" i="39"/>
  <c r="T98" i="39"/>
  <c r="T107" i="39"/>
  <c r="T109" i="39"/>
  <c r="S110" i="39"/>
  <c r="A112" i="39"/>
  <c r="T117" i="39"/>
  <c r="S118" i="39"/>
  <c r="A120" i="39"/>
  <c r="T125" i="39"/>
  <c r="S126" i="39"/>
  <c r="A128" i="39"/>
  <c r="T133" i="39"/>
  <c r="S134" i="39"/>
  <c r="A136" i="39"/>
  <c r="T141" i="39"/>
  <c r="S142" i="39"/>
  <c r="A144" i="39"/>
  <c r="T149" i="39"/>
  <c r="S150" i="39"/>
  <c r="A152" i="39"/>
  <c r="T157" i="39"/>
  <c r="S158" i="39"/>
  <c r="A160" i="39"/>
  <c r="T165" i="39"/>
  <c r="S166" i="39"/>
  <c r="A168" i="39"/>
  <c r="T173" i="39"/>
  <c r="S174" i="39"/>
  <c r="A176" i="39"/>
  <c r="T181" i="39"/>
  <c r="S182" i="39"/>
  <c r="A184" i="39"/>
  <c r="T189" i="39"/>
  <c r="S190" i="39"/>
  <c r="A192" i="39"/>
  <c r="T197" i="39"/>
  <c r="S198" i="39"/>
  <c r="A200" i="39"/>
  <c r="S127" i="39"/>
  <c r="T150" i="39"/>
  <c r="T160" i="39"/>
  <c r="S161" i="39"/>
  <c r="S167" i="39"/>
  <c r="A169" i="39"/>
  <c r="A181" i="39"/>
  <c r="S185" i="39"/>
  <c r="A187" i="39"/>
  <c r="S191" i="39"/>
  <c r="A193" i="39"/>
  <c r="T205" i="39"/>
  <c r="S206" i="39"/>
  <c r="A208" i="39"/>
  <c r="T213" i="39"/>
  <c r="S214" i="39"/>
  <c r="A216" i="39"/>
  <c r="T221" i="39"/>
  <c r="S222" i="39"/>
  <c r="A224" i="39"/>
  <c r="T229" i="39"/>
  <c r="S230" i="39"/>
  <c r="A232" i="39"/>
  <c r="T237" i="39"/>
  <c r="S238" i="39"/>
  <c r="A240" i="39"/>
  <c r="S103" i="39"/>
  <c r="S135" i="39"/>
  <c r="S159" i="39"/>
  <c r="A161" i="39"/>
  <c r="T167" i="39"/>
  <c r="A177" i="39"/>
  <c r="A178" i="39"/>
  <c r="A179" i="39"/>
  <c r="T185" i="39"/>
  <c r="T188" i="39"/>
  <c r="T191" i="39"/>
  <c r="S194" i="39"/>
  <c r="A196" i="39"/>
  <c r="S197" i="39"/>
  <c r="A201" i="39"/>
  <c r="T206" i="39"/>
  <c r="S207" i="39"/>
  <c r="A209" i="39"/>
  <c r="T214" i="39"/>
  <c r="S215" i="39"/>
  <c r="A217" i="39"/>
  <c r="A94" i="39"/>
  <c r="A113" i="39"/>
  <c r="S143" i="39"/>
  <c r="T162" i="39"/>
  <c r="S169" i="39"/>
  <c r="A171" i="39"/>
  <c r="A175" i="39"/>
  <c r="S183" i="39"/>
  <c r="A185" i="39"/>
  <c r="T194" i="39"/>
  <c r="S200" i="39"/>
  <c r="A202" i="39"/>
  <c r="T207" i="39"/>
  <c r="S208" i="39"/>
  <c r="A210" i="39"/>
  <c r="T215" i="39"/>
  <c r="S216" i="39"/>
  <c r="A218" i="39"/>
  <c r="T223" i="39"/>
  <c r="S224" i="39"/>
  <c r="A226" i="39"/>
  <c r="T231" i="39"/>
  <c r="S232" i="39"/>
  <c r="A234" i="39"/>
  <c r="T239" i="39"/>
  <c r="S240" i="39"/>
  <c r="A242" i="39"/>
  <c r="T247" i="39"/>
  <c r="S248" i="39"/>
  <c r="A250" i="39"/>
  <c r="T255" i="39"/>
  <c r="S256" i="39"/>
  <c r="A258" i="39"/>
  <c r="T263" i="39"/>
  <c r="S264" i="39"/>
  <c r="A266" i="39"/>
  <c r="T271" i="39"/>
  <c r="S272" i="39"/>
  <c r="A274" i="39"/>
  <c r="T94" i="39"/>
  <c r="T110" i="39"/>
  <c r="A121" i="39"/>
  <c r="S151" i="39"/>
  <c r="T158" i="39"/>
  <c r="S163" i="39"/>
  <c r="S171" i="39"/>
  <c r="A173" i="39"/>
  <c r="S181" i="39"/>
  <c r="T182" i="39"/>
  <c r="T183" i="39"/>
  <c r="S186" i="39"/>
  <c r="A188" i="39"/>
  <c r="S189" i="39"/>
  <c r="A191" i="39"/>
  <c r="S192" i="39"/>
  <c r="A194" i="39"/>
  <c r="T200" i="39"/>
  <c r="S201" i="39"/>
  <c r="A203" i="39"/>
  <c r="T208" i="39"/>
  <c r="S209" i="39"/>
  <c r="A211" i="39"/>
  <c r="T216" i="39"/>
  <c r="S217" i="39"/>
  <c r="A219" i="39"/>
  <c r="T224" i="39"/>
  <c r="S225" i="39"/>
  <c r="T118" i="39"/>
  <c r="A129" i="39"/>
  <c r="S153" i="39"/>
  <c r="A155" i="39"/>
  <c r="A163" i="39"/>
  <c r="S179" i="39"/>
  <c r="T180" i="39"/>
  <c r="T186" i="39"/>
  <c r="T192" i="39"/>
  <c r="S195" i="39"/>
  <c r="A197" i="39"/>
  <c r="S199" i="39"/>
  <c r="T201" i="39"/>
  <c r="S202" i="39"/>
  <c r="A204" i="39"/>
  <c r="T209" i="39"/>
  <c r="S210" i="39"/>
  <c r="A212" i="39"/>
  <c r="T217" i="39"/>
  <c r="S218" i="39"/>
  <c r="A220" i="39"/>
  <c r="T225" i="39"/>
  <c r="S226" i="39"/>
  <c r="A228" i="39"/>
  <c r="T233" i="39"/>
  <c r="S234" i="39"/>
  <c r="A236" i="39"/>
  <c r="T241" i="39"/>
  <c r="S242" i="39"/>
  <c r="A244" i="39"/>
  <c r="T249" i="39"/>
  <c r="S250" i="39"/>
  <c r="A252" i="39"/>
  <c r="T126" i="39"/>
  <c r="A137" i="39"/>
  <c r="S168" i="39"/>
  <c r="A170" i="39"/>
  <c r="S175" i="39"/>
  <c r="S176" i="39"/>
  <c r="S177" i="39"/>
  <c r="T178" i="39"/>
  <c r="S184" i="39"/>
  <c r="A186" i="39"/>
  <c r="A199" i="39"/>
  <c r="T199" i="39"/>
  <c r="T202" i="39"/>
  <c r="S203" i="39"/>
  <c r="A205" i="39"/>
  <c r="T210" i="39"/>
  <c r="S211" i="39"/>
  <c r="A213" i="39"/>
  <c r="T218" i="39"/>
  <c r="S219" i="39"/>
  <c r="A221" i="39"/>
  <c r="T226" i="39"/>
  <c r="S227" i="39"/>
  <c r="A229" i="39"/>
  <c r="A102" i="39"/>
  <c r="S111" i="39"/>
  <c r="T134" i="39"/>
  <c r="A145" i="39"/>
  <c r="T168" i="39"/>
  <c r="S173" i="39"/>
  <c r="T174" i="39"/>
  <c r="T175" i="39"/>
  <c r="T176" i="39"/>
  <c r="T184" i="39"/>
  <c r="S187" i="39"/>
  <c r="A189" i="39"/>
  <c r="T190" i="39"/>
  <c r="S193" i="39"/>
  <c r="A195" i="39"/>
  <c r="T203" i="39"/>
  <c r="S204" i="39"/>
  <c r="A206" i="39"/>
  <c r="T211" i="39"/>
  <c r="S212" i="39"/>
  <c r="A214" i="39"/>
  <c r="T219" i="39"/>
  <c r="S220" i="39"/>
  <c r="A222" i="39"/>
  <c r="T227" i="39"/>
  <c r="S228" i="39"/>
  <c r="A230" i="39"/>
  <c r="T235" i="39"/>
  <c r="S236" i="39"/>
  <c r="A238" i="39"/>
  <c r="T243" i="39"/>
  <c r="S244" i="39"/>
  <c r="A246" i="39"/>
  <c r="T251" i="39"/>
  <c r="S252" i="39"/>
  <c r="A254" i="39"/>
  <c r="T259" i="39"/>
  <c r="S260" i="39"/>
  <c r="A262" i="39"/>
  <c r="T267" i="39"/>
  <c r="S268" i="39"/>
  <c r="A270" i="39"/>
  <c r="T275" i="39"/>
  <c r="S276" i="39"/>
  <c r="A278" i="39"/>
  <c r="T204" i="39"/>
  <c r="A215" i="39"/>
  <c r="S223" i="39"/>
  <c r="A225" i="39"/>
  <c r="T234" i="39"/>
  <c r="S245" i="39"/>
  <c r="S246" i="39"/>
  <c r="S247" i="39"/>
  <c r="T248" i="39"/>
  <c r="T262" i="39"/>
  <c r="T265" i="39"/>
  <c r="T268" i="39"/>
  <c r="S271" i="39"/>
  <c r="A273" i="39"/>
  <c r="S274" i="39"/>
  <c r="S277" i="39"/>
  <c r="A281" i="39"/>
  <c r="S281" i="39"/>
  <c r="T285" i="39"/>
  <c r="S286" i="39"/>
  <c r="A288" i="39"/>
  <c r="T293" i="39"/>
  <c r="S294" i="39"/>
  <c r="A296" i="39"/>
  <c r="T301" i="39"/>
  <c r="S302" i="39"/>
  <c r="A304" i="39"/>
  <c r="S71" i="39"/>
  <c r="A183" i="39"/>
  <c r="T196" i="39"/>
  <c r="T212" i="39"/>
  <c r="T230" i="39"/>
  <c r="T236" i="39"/>
  <c r="S243" i="39"/>
  <c r="T244" i="39"/>
  <c r="T245" i="39"/>
  <c r="T246" i="39"/>
  <c r="A255" i="39"/>
  <c r="A256" i="39"/>
  <c r="S257" i="39"/>
  <c r="A259" i="39"/>
  <c r="T274" i="39"/>
  <c r="A277" i="39"/>
  <c r="T277" i="39"/>
  <c r="T281" i="39"/>
  <c r="T286" i="39"/>
  <c r="S287" i="39"/>
  <c r="A289" i="39"/>
  <c r="T294" i="39"/>
  <c r="S295" i="39"/>
  <c r="A297" i="39"/>
  <c r="T302" i="39"/>
  <c r="S303" i="39"/>
  <c r="A305" i="39"/>
  <c r="T310" i="39"/>
  <c r="S311" i="39"/>
  <c r="A313" i="39"/>
  <c r="T318" i="39"/>
  <c r="S319" i="39"/>
  <c r="A321" i="39"/>
  <c r="S119" i="39"/>
  <c r="A165" i="39"/>
  <c r="T170" i="39"/>
  <c r="T193" i="39"/>
  <c r="T222" i="39"/>
  <c r="S231" i="39"/>
  <c r="T238" i="39"/>
  <c r="A253" i="39"/>
  <c r="T257" i="39"/>
  <c r="T260" i="39"/>
  <c r="S263" i="39"/>
  <c r="A265" i="39"/>
  <c r="S266" i="39"/>
  <c r="A268" i="39"/>
  <c r="S269" i="39"/>
  <c r="A271" i="39"/>
  <c r="A280" i="39"/>
  <c r="S280" i="39"/>
  <c r="T287" i="39"/>
  <c r="S288" i="39"/>
  <c r="A290" i="39"/>
  <c r="T295" i="39"/>
  <c r="S296" i="39"/>
  <c r="A298" i="39"/>
  <c r="T303" i="39"/>
  <c r="S304" i="39"/>
  <c r="A306" i="39"/>
  <c r="T311" i="39"/>
  <c r="S312" i="39"/>
  <c r="A314" i="39"/>
  <c r="T319" i="39"/>
  <c r="S320" i="39"/>
  <c r="A322" i="39"/>
  <c r="T142" i="39"/>
  <c r="S205" i="39"/>
  <c r="S221" i="39"/>
  <c r="A223" i="39"/>
  <c r="A231" i="39"/>
  <c r="A235" i="39"/>
  <c r="T240" i="39"/>
  <c r="A251" i="39"/>
  <c r="T266" i="39"/>
  <c r="T269" i="39"/>
  <c r="T272" i="39"/>
  <c r="A276" i="39"/>
  <c r="T276" i="39"/>
  <c r="T280" i="39"/>
  <c r="T288" i="39"/>
  <c r="S289" i="39"/>
  <c r="A291" i="39"/>
  <c r="T296" i="39"/>
  <c r="S297" i="39"/>
  <c r="A299" i="39"/>
  <c r="T304" i="39"/>
  <c r="S305" i="39"/>
  <c r="A307" i="39"/>
  <c r="T166" i="39"/>
  <c r="A198" i="39"/>
  <c r="S213" i="39"/>
  <c r="T232" i="39"/>
  <c r="S235" i="39"/>
  <c r="A237" i="39"/>
  <c r="T242" i="39"/>
  <c r="A247" i="39"/>
  <c r="A248" i="39"/>
  <c r="A249" i="39"/>
  <c r="A257" i="39"/>
  <c r="S258" i="39"/>
  <c r="A260" i="39"/>
  <c r="S261" i="39"/>
  <c r="A263" i="39"/>
  <c r="A279" i="39"/>
  <c r="S279" i="39"/>
  <c r="A283" i="39"/>
  <c r="A284" i="39"/>
  <c r="T289" i="39"/>
  <c r="S290" i="39"/>
  <c r="A292" i="39"/>
  <c r="T297" i="39"/>
  <c r="S298" i="39"/>
  <c r="A300" i="39"/>
  <c r="T305" i="39"/>
  <c r="S306" i="39"/>
  <c r="A308" i="39"/>
  <c r="T220" i="39"/>
  <c r="S233" i="39"/>
  <c r="S237" i="39"/>
  <c r="A239" i="39"/>
  <c r="A245" i="39"/>
  <c r="S253" i="39"/>
  <c r="S254" i="39"/>
  <c r="S255" i="39"/>
  <c r="T258" i="39"/>
  <c r="T261" i="39"/>
  <c r="T264" i="39"/>
  <c r="S267" i="39"/>
  <c r="A269" i="39"/>
  <c r="S270" i="39"/>
  <c r="A272" i="39"/>
  <c r="S273" i="39"/>
  <c r="A275" i="39"/>
  <c r="S275" i="39"/>
  <c r="T279" i="39"/>
  <c r="S283" i="39"/>
  <c r="A285" i="39"/>
  <c r="T290" i="39"/>
  <c r="S291" i="39"/>
  <c r="A293" i="39"/>
  <c r="T298" i="39"/>
  <c r="S299" i="39"/>
  <c r="A301" i="39"/>
  <c r="T306" i="39"/>
  <c r="S307" i="39"/>
  <c r="A309" i="39"/>
  <c r="T314" i="39"/>
  <c r="S315" i="39"/>
  <c r="A317" i="39"/>
  <c r="T198" i="39"/>
  <c r="A227" i="39"/>
  <c r="T228" i="39"/>
  <c r="A233" i="39"/>
  <c r="S239" i="39"/>
  <c r="A241" i="39"/>
  <c r="S251" i="39"/>
  <c r="T252" i="39"/>
  <c r="T253" i="39"/>
  <c r="T254" i="39"/>
  <c r="T270" i="39"/>
  <c r="T273" i="39"/>
  <c r="S278" i="39"/>
  <c r="A282" i="39"/>
  <c r="S282" i="39"/>
  <c r="T283" i="39"/>
  <c r="S284" i="39"/>
  <c r="A286" i="39"/>
  <c r="T291" i="39"/>
  <c r="S292" i="39"/>
  <c r="A294" i="39"/>
  <c r="T299" i="39"/>
  <c r="S300" i="39"/>
  <c r="A302" i="39"/>
  <c r="T307" i="39"/>
  <c r="S308" i="39"/>
  <c r="A310" i="39"/>
  <c r="T315" i="39"/>
  <c r="S316" i="39"/>
  <c r="A318" i="39"/>
  <c r="T323" i="39"/>
  <c r="S324" i="39"/>
  <c r="A326" i="39"/>
  <c r="T331" i="39"/>
  <c r="S332" i="39"/>
  <c r="A334" i="39"/>
  <c r="T339" i="39"/>
  <c r="A153" i="39"/>
  <c r="A207" i="39"/>
  <c r="S229" i="39"/>
  <c r="S241" i="39"/>
  <c r="A243" i="39"/>
  <c r="S249" i="39"/>
  <c r="T250" i="39"/>
  <c r="T256" i="39"/>
  <c r="S259" i="39"/>
  <c r="A261" i="39"/>
  <c r="S262" i="39"/>
  <c r="A264" i="39"/>
  <c r="S265" i="39"/>
  <c r="A267" i="39"/>
  <c r="T278" i="39"/>
  <c r="T282" i="39"/>
  <c r="T284" i="39"/>
  <c r="S285" i="39"/>
  <c r="A287" i="39"/>
  <c r="A295" i="39"/>
  <c r="S310" i="39"/>
  <c r="T313" i="39"/>
  <c r="A320" i="39"/>
  <c r="T329" i="39"/>
  <c r="A336" i="39"/>
  <c r="S336" i="39"/>
  <c r="A340" i="39"/>
  <c r="A341" i="39"/>
  <c r="T346" i="39"/>
  <c r="S347" i="39"/>
  <c r="A349" i="39"/>
  <c r="T354" i="39"/>
  <c r="S355" i="39"/>
  <c r="A357" i="39"/>
  <c r="T362" i="39"/>
  <c r="S363" i="39"/>
  <c r="A365" i="39"/>
  <c r="T370" i="39"/>
  <c r="S371" i="39"/>
  <c r="A373" i="39"/>
  <c r="T378" i="39"/>
  <c r="S379" i="39"/>
  <c r="A381" i="39"/>
  <c r="T386" i="39"/>
  <c r="S387" i="39"/>
  <c r="A389" i="39"/>
  <c r="T394" i="39"/>
  <c r="S395" i="39"/>
  <c r="A397" i="39"/>
  <c r="T402" i="39"/>
  <c r="S403" i="39"/>
  <c r="A405" i="39"/>
  <c r="T410" i="39"/>
  <c r="S411" i="39"/>
  <c r="A413" i="39"/>
  <c r="T292" i="39"/>
  <c r="A303" i="39"/>
  <c r="S309" i="39"/>
  <c r="A311" i="39"/>
  <c r="S317" i="39"/>
  <c r="A319" i="39"/>
  <c r="S325" i="39"/>
  <c r="A328" i="39"/>
  <c r="S328" i="39"/>
  <c r="A332" i="39"/>
  <c r="T332" i="39"/>
  <c r="T336" i="39"/>
  <c r="S340" i="39"/>
  <c r="A342" i="39"/>
  <c r="T347" i="39"/>
  <c r="S348" i="39"/>
  <c r="A350" i="39"/>
  <c r="T355" i="39"/>
  <c r="S356" i="39"/>
  <c r="A358" i="39"/>
  <c r="T363" i="39"/>
  <c r="S364" i="39"/>
  <c r="A366" i="39"/>
  <c r="T371" i="39"/>
  <c r="S372" i="39"/>
  <c r="A374" i="39"/>
  <c r="T379" i="39"/>
  <c r="S380" i="39"/>
  <c r="A382" i="39"/>
  <c r="T387" i="39"/>
  <c r="S388" i="39"/>
  <c r="A390" i="39"/>
  <c r="T395" i="39"/>
  <c r="S396" i="39"/>
  <c r="A398" i="39"/>
  <c r="T403" i="39"/>
  <c r="S404" i="39"/>
  <c r="A406" i="39"/>
  <c r="T300" i="39"/>
  <c r="T309" i="39"/>
  <c r="T317" i="39"/>
  <c r="S321" i="39"/>
  <c r="S322" i="39"/>
  <c r="S323" i="39"/>
  <c r="T324" i="39"/>
  <c r="T325" i="39"/>
  <c r="T328" i="39"/>
  <c r="A335" i="39"/>
  <c r="S335" i="39"/>
  <c r="A339" i="39"/>
  <c r="S339" i="39"/>
  <c r="T340" i="39"/>
  <c r="S341" i="39"/>
  <c r="A343" i="39"/>
  <c r="T348" i="39"/>
  <c r="S349" i="39"/>
  <c r="A351" i="39"/>
  <c r="T356" i="39"/>
  <c r="S357" i="39"/>
  <c r="A359" i="39"/>
  <c r="T364" i="39"/>
  <c r="S365" i="39"/>
  <c r="A367" i="39"/>
  <c r="T372" i="39"/>
  <c r="S373" i="39"/>
  <c r="A375" i="39"/>
  <c r="T380" i="39"/>
  <c r="S381" i="39"/>
  <c r="A383" i="39"/>
  <c r="T388" i="39"/>
  <c r="S389" i="39"/>
  <c r="A391" i="39"/>
  <c r="T396" i="39"/>
  <c r="S397" i="39"/>
  <c r="A399" i="39"/>
  <c r="T404" i="39"/>
  <c r="S405" i="39"/>
  <c r="A407" i="39"/>
  <c r="T412" i="39"/>
  <c r="S413" i="39"/>
  <c r="A415" i="39"/>
  <c r="T420" i="39"/>
  <c r="S421" i="39"/>
  <c r="A423" i="39"/>
  <c r="T428" i="39"/>
  <c r="S429" i="39"/>
  <c r="A431" i="39"/>
  <c r="T436" i="39"/>
  <c r="S437" i="39"/>
  <c r="A439" i="39"/>
  <c r="T308" i="39"/>
  <c r="A312" i="39"/>
  <c r="T312" i="39"/>
  <c r="T320" i="39"/>
  <c r="T321" i="39"/>
  <c r="T322" i="39"/>
  <c r="A327" i="39"/>
  <c r="S327" i="39"/>
  <c r="A331" i="39"/>
  <c r="S331" i="39"/>
  <c r="T335" i="39"/>
  <c r="T341" i="39"/>
  <c r="S342" i="39"/>
  <c r="A344" i="39"/>
  <c r="T349" i="39"/>
  <c r="S350" i="39"/>
  <c r="A352" i="39"/>
  <c r="T357" i="39"/>
  <c r="S358" i="39"/>
  <c r="A360" i="39"/>
  <c r="T365" i="39"/>
  <c r="S366" i="39"/>
  <c r="A368" i="39"/>
  <c r="T373" i="39"/>
  <c r="S374" i="39"/>
  <c r="A376" i="39"/>
  <c r="T381" i="39"/>
  <c r="S382" i="39"/>
  <c r="A384" i="39"/>
  <c r="T389" i="39"/>
  <c r="S390" i="39"/>
  <c r="A392" i="39"/>
  <c r="T397" i="39"/>
  <c r="S398" i="39"/>
  <c r="A400" i="39"/>
  <c r="T405" i="39"/>
  <c r="S406" i="39"/>
  <c r="A408" i="39"/>
  <c r="T413" i="39"/>
  <c r="S414" i="39"/>
  <c r="A416" i="39"/>
  <c r="T421" i="39"/>
  <c r="S422" i="39"/>
  <c r="A424" i="39"/>
  <c r="S293" i="39"/>
  <c r="S314" i="39"/>
  <c r="A316" i="39"/>
  <c r="T327" i="39"/>
  <c r="S334" i="39"/>
  <c r="A338" i="39"/>
  <c r="S338" i="39"/>
  <c r="T342" i="39"/>
  <c r="S343" i="39"/>
  <c r="A345" i="39"/>
  <c r="T350" i="39"/>
  <c r="S351" i="39"/>
  <c r="A353" i="39"/>
  <c r="T358" i="39"/>
  <c r="S359" i="39"/>
  <c r="A361" i="39"/>
  <c r="T366" i="39"/>
  <c r="S367" i="39"/>
  <c r="A369" i="39"/>
  <c r="T374" i="39"/>
  <c r="S375" i="39"/>
  <c r="A377" i="39"/>
  <c r="T382" i="39"/>
  <c r="S383" i="39"/>
  <c r="A385" i="39"/>
  <c r="T390" i="39"/>
  <c r="S391" i="39"/>
  <c r="A393" i="39"/>
  <c r="T398" i="39"/>
  <c r="S399" i="39"/>
  <c r="A401" i="39"/>
  <c r="T406" i="39"/>
  <c r="S407" i="39"/>
  <c r="A409" i="39"/>
  <c r="S301" i="39"/>
  <c r="T316" i="39"/>
  <c r="S326" i="39"/>
  <c r="A330" i="39"/>
  <c r="S330" i="39"/>
  <c r="T334" i="39"/>
  <c r="T338" i="39"/>
  <c r="T343" i="39"/>
  <c r="S344" i="39"/>
  <c r="A346" i="39"/>
  <c r="T351" i="39"/>
  <c r="S352" i="39"/>
  <c r="A354" i="39"/>
  <c r="T359" i="39"/>
  <c r="S360" i="39"/>
  <c r="A362" i="39"/>
  <c r="T367" i="39"/>
  <c r="S368" i="39"/>
  <c r="A370" i="39"/>
  <c r="T375" i="39"/>
  <c r="S376" i="39"/>
  <c r="A378" i="39"/>
  <c r="T383" i="39"/>
  <c r="S384" i="39"/>
  <c r="A386" i="39"/>
  <c r="T391" i="39"/>
  <c r="S392" i="39"/>
  <c r="A394" i="39"/>
  <c r="T399" i="39"/>
  <c r="S400" i="39"/>
  <c r="A402" i="39"/>
  <c r="T407" i="39"/>
  <c r="S408" i="39"/>
  <c r="A410" i="39"/>
  <c r="T415" i="39"/>
  <c r="S416" i="39"/>
  <c r="A418" i="39"/>
  <c r="T423" i="39"/>
  <c r="S424" i="39"/>
  <c r="A426" i="39"/>
  <c r="T431" i="39"/>
  <c r="S432" i="39"/>
  <c r="A434" i="39"/>
  <c r="T439" i="39"/>
  <c r="S440" i="39"/>
  <c r="S318" i="39"/>
  <c r="A323" i="39"/>
  <c r="A324" i="39"/>
  <c r="A325" i="39"/>
  <c r="T326" i="39"/>
  <c r="T330" i="39"/>
  <c r="S333" i="39"/>
  <c r="A337" i="39"/>
  <c r="S337" i="39"/>
  <c r="T344" i="39"/>
  <c r="S345" i="39"/>
  <c r="A347" i="39"/>
  <c r="T352" i="39"/>
  <c r="S353" i="39"/>
  <c r="A355" i="39"/>
  <c r="T360" i="39"/>
  <c r="S361" i="39"/>
  <c r="A363" i="39"/>
  <c r="T368" i="39"/>
  <c r="S369" i="39"/>
  <c r="A371" i="39"/>
  <c r="T376" i="39"/>
  <c r="S377" i="39"/>
  <c r="A379" i="39"/>
  <c r="T384" i="39"/>
  <c r="S385" i="39"/>
  <c r="A387" i="39"/>
  <c r="T392" i="39"/>
  <c r="S393" i="39"/>
  <c r="A395" i="39"/>
  <c r="T400" i="39"/>
  <c r="S401" i="39"/>
  <c r="A403" i="39"/>
  <c r="T408" i="39"/>
  <c r="S409" i="39"/>
  <c r="A411" i="39"/>
  <c r="T416" i="39"/>
  <c r="S417" i="39"/>
  <c r="A419" i="39"/>
  <c r="T424" i="39"/>
  <c r="S425" i="39"/>
  <c r="A427" i="39"/>
  <c r="T432" i="39"/>
  <c r="S433" i="39"/>
  <c r="A435" i="39"/>
  <c r="T440" i="39"/>
  <c r="S441" i="39"/>
  <c r="A443" i="39"/>
  <c r="T448" i="39"/>
  <c r="S449" i="39"/>
  <c r="A451" i="39"/>
  <c r="T456" i="39"/>
  <c r="A348" i="39"/>
  <c r="S378" i="39"/>
  <c r="T401" i="39"/>
  <c r="T411" i="39"/>
  <c r="S418" i="39"/>
  <c r="A420" i="39"/>
  <c r="T425" i="39"/>
  <c r="A442" i="39"/>
  <c r="S443" i="39"/>
  <c r="T447" i="39"/>
  <c r="S450" i="39"/>
  <c r="A454" i="39"/>
  <c r="S454" i="39"/>
  <c r="T427" i="39"/>
  <c r="A329" i="39"/>
  <c r="T337" i="39"/>
  <c r="T345" i="39"/>
  <c r="A356" i="39"/>
  <c r="S386" i="39"/>
  <c r="S412" i="39"/>
  <c r="T418" i="39"/>
  <c r="A432" i="39"/>
  <c r="A433" i="39"/>
  <c r="T443" i="39"/>
  <c r="A446" i="39"/>
  <c r="S446" i="39"/>
  <c r="A450" i="39"/>
  <c r="T450" i="39"/>
  <c r="T454" i="39"/>
  <c r="T426" i="39"/>
  <c r="T353" i="39"/>
  <c r="A364" i="39"/>
  <c r="S394" i="39"/>
  <c r="A412" i="39"/>
  <c r="S420" i="39"/>
  <c r="A422" i="39"/>
  <c r="A428" i="39"/>
  <c r="A429" i="39"/>
  <c r="A430" i="39"/>
  <c r="S438" i="39"/>
  <c r="S439" i="39"/>
  <c r="T446" i="39"/>
  <c r="A453" i="39"/>
  <c r="S453" i="39"/>
  <c r="A436" i="39"/>
  <c r="A438" i="39"/>
  <c r="S313" i="39"/>
  <c r="S329" i="39"/>
  <c r="T361" i="39"/>
  <c r="A372" i="39"/>
  <c r="S402" i="39"/>
  <c r="S415" i="39"/>
  <c r="A417" i="39"/>
  <c r="T422" i="39"/>
  <c r="S434" i="39"/>
  <c r="S435" i="39"/>
  <c r="S436" i="39"/>
  <c r="T437" i="39"/>
  <c r="T438" i="39"/>
  <c r="T441" i="39"/>
  <c r="A445" i="39"/>
  <c r="S445" i="39"/>
  <c r="A449" i="39"/>
  <c r="T449" i="39"/>
  <c r="T453" i="39"/>
  <c r="T451" i="39"/>
  <c r="T455" i="39"/>
  <c r="A333" i="39"/>
  <c r="S346" i="39"/>
  <c r="T369" i="39"/>
  <c r="A380" i="39"/>
  <c r="T417" i="39"/>
  <c r="T433" i="39"/>
  <c r="T434" i="39"/>
  <c r="T435" i="39"/>
  <c r="T445" i="39"/>
  <c r="A452" i="39"/>
  <c r="S452" i="39"/>
  <c r="A456" i="39"/>
  <c r="S456" i="39"/>
  <c r="A315" i="39"/>
  <c r="S354" i="39"/>
  <c r="T377" i="39"/>
  <c r="A388" i="39"/>
  <c r="T409" i="39"/>
  <c r="S419" i="39"/>
  <c r="A421" i="39"/>
  <c r="S430" i="39"/>
  <c r="S431" i="39"/>
  <c r="S442" i="39"/>
  <c r="A444" i="39"/>
  <c r="S444" i="39"/>
  <c r="A448" i="39"/>
  <c r="S448" i="39"/>
  <c r="T452" i="39"/>
  <c r="S370" i="39"/>
  <c r="T393" i="39"/>
  <c r="A404" i="39"/>
  <c r="T414" i="39"/>
  <c r="S423" i="39"/>
  <c r="A447" i="39"/>
  <c r="T333" i="39"/>
  <c r="S362" i="39"/>
  <c r="T385" i="39"/>
  <c r="A396" i="39"/>
  <c r="S410" i="39"/>
  <c r="A414" i="39"/>
  <c r="T419" i="39"/>
  <c r="S426" i="39"/>
  <c r="S427" i="39"/>
  <c r="S428" i="39"/>
  <c r="T429" i="39"/>
  <c r="T430" i="39"/>
  <c r="A440" i="39"/>
  <c r="A441" i="39"/>
  <c r="T442" i="39"/>
  <c r="T444" i="39"/>
  <c r="S451" i="39"/>
  <c r="A455" i="39"/>
  <c r="S455" i="39"/>
  <c r="A425" i="39"/>
  <c r="A437" i="39"/>
  <c r="S447" i="39"/>
  <c r="AA1" i="39"/>
  <c r="AE439" i="39" l="1"/>
  <c r="AC439" i="39"/>
  <c r="AL439" i="39"/>
  <c r="AC379" i="39"/>
  <c r="AL379" i="39"/>
  <c r="AE379" i="39"/>
  <c r="AU357" i="39"/>
  <c r="I357" i="39"/>
  <c r="Q357" i="39"/>
  <c r="B357" i="39"/>
  <c r="AF357" i="39" s="1"/>
  <c r="J357" i="39"/>
  <c r="AN357" i="39" s="1"/>
  <c r="C357" i="39"/>
  <c r="K357" i="39"/>
  <c r="AK357" i="39" s="1"/>
  <c r="D357" i="39"/>
  <c r="AJ357" i="39" s="1"/>
  <c r="L357" i="39"/>
  <c r="AQ357" i="39" s="1"/>
  <c r="E357" i="39"/>
  <c r="M357" i="39"/>
  <c r="AS357" i="39" s="1"/>
  <c r="F357" i="39"/>
  <c r="AM357" i="39" s="1"/>
  <c r="N357" i="39"/>
  <c r="G357" i="39"/>
  <c r="O357" i="39"/>
  <c r="H357" i="39"/>
  <c r="P357" i="39"/>
  <c r="AU261" i="39"/>
  <c r="F261" i="39"/>
  <c r="AM261" i="39" s="1"/>
  <c r="N261" i="39"/>
  <c r="B261" i="39"/>
  <c r="AF261" i="39" s="1"/>
  <c r="J261" i="39"/>
  <c r="AN261" i="39" s="1"/>
  <c r="C261" i="39"/>
  <c r="M261" i="39"/>
  <c r="AS261" i="39" s="1"/>
  <c r="D261" i="39"/>
  <c r="AJ261" i="39" s="1"/>
  <c r="O261" i="39"/>
  <c r="E261" i="39"/>
  <c r="P261" i="39"/>
  <c r="G261" i="39"/>
  <c r="Q261" i="39"/>
  <c r="H261" i="39"/>
  <c r="I261" i="39"/>
  <c r="K261" i="39"/>
  <c r="AK261" i="39" s="1"/>
  <c r="L261" i="39"/>
  <c r="AQ261" i="39" s="1"/>
  <c r="AE282" i="39"/>
  <c r="AC282" i="39"/>
  <c r="AL282" i="39"/>
  <c r="AC258" i="39"/>
  <c r="AE258" i="39"/>
  <c r="AL258" i="39"/>
  <c r="AE202" i="39"/>
  <c r="AL202" i="39"/>
  <c r="AC202" i="39"/>
  <c r="AU50" i="39"/>
  <c r="B50" i="39"/>
  <c r="AF50" i="39" s="1"/>
  <c r="J50" i="39"/>
  <c r="AN50" i="39" s="1"/>
  <c r="C50" i="39"/>
  <c r="K50" i="39"/>
  <c r="AK50" i="39" s="1"/>
  <c r="D50" i="39"/>
  <c r="AJ50" i="39" s="1"/>
  <c r="L50" i="39"/>
  <c r="AQ50" i="39" s="1"/>
  <c r="E50" i="39"/>
  <c r="M50" i="39"/>
  <c r="AS50" i="39" s="1"/>
  <c r="F50" i="39"/>
  <c r="AM50" i="39" s="1"/>
  <c r="N50" i="39"/>
  <c r="G50" i="39"/>
  <c r="O50" i="39"/>
  <c r="H50" i="39"/>
  <c r="P50" i="39"/>
  <c r="I50" i="39"/>
  <c r="Z50" i="39" s="1"/>
  <c r="Q50" i="39"/>
  <c r="AC445" i="39"/>
  <c r="AE445" i="39"/>
  <c r="AL445" i="39"/>
  <c r="AU420" i="39"/>
  <c r="D420" i="39"/>
  <c r="AJ420" i="39" s="1"/>
  <c r="L420" i="39"/>
  <c r="AQ420" i="39" s="1"/>
  <c r="E420" i="39"/>
  <c r="M420" i="39"/>
  <c r="AS420" i="39" s="1"/>
  <c r="G420" i="39"/>
  <c r="O420" i="39"/>
  <c r="H420" i="39"/>
  <c r="P420" i="39"/>
  <c r="Q420" i="39"/>
  <c r="B420" i="39"/>
  <c r="AF420" i="39" s="1"/>
  <c r="C420" i="39"/>
  <c r="F420" i="39"/>
  <c r="AM420" i="39" s="1"/>
  <c r="I420" i="39"/>
  <c r="J420" i="39"/>
  <c r="AN420" i="39" s="1"/>
  <c r="N420" i="39"/>
  <c r="K420" i="39"/>
  <c r="AK420" i="39" s="1"/>
  <c r="AC417" i="39"/>
  <c r="AL417" i="39"/>
  <c r="AE417" i="39"/>
  <c r="AC353" i="39"/>
  <c r="AL353" i="39"/>
  <c r="AE353" i="39"/>
  <c r="AC357" i="39"/>
  <c r="AL357" i="39"/>
  <c r="AE357" i="39"/>
  <c r="AU42" i="39"/>
  <c r="B42" i="39"/>
  <c r="AF42" i="39" s="1"/>
  <c r="J42" i="39"/>
  <c r="AN42" i="39" s="1"/>
  <c r="C42" i="39"/>
  <c r="K42" i="39"/>
  <c r="AK42" i="39" s="1"/>
  <c r="D42" i="39"/>
  <c r="AJ42" i="39" s="1"/>
  <c r="L42" i="39"/>
  <c r="AQ42" i="39" s="1"/>
  <c r="E42" i="39"/>
  <c r="M42" i="39"/>
  <c r="AS42" i="39" s="1"/>
  <c r="F42" i="39"/>
  <c r="AM42" i="39" s="1"/>
  <c r="N42" i="39"/>
  <c r="G42" i="39"/>
  <c r="O42" i="39"/>
  <c r="H42" i="39"/>
  <c r="P42" i="39"/>
  <c r="Q42" i="39"/>
  <c r="I42" i="39"/>
  <c r="AC133" i="39"/>
  <c r="AL133" i="39"/>
  <c r="AE133" i="39"/>
  <c r="AU111" i="39"/>
  <c r="D111" i="39"/>
  <c r="AJ111" i="39" s="1"/>
  <c r="L111" i="39"/>
  <c r="AQ111" i="39" s="1"/>
  <c r="E111" i="39"/>
  <c r="M111" i="39"/>
  <c r="AS111" i="39" s="1"/>
  <c r="F111" i="39"/>
  <c r="AM111" i="39" s="1"/>
  <c r="N111" i="39"/>
  <c r="G111" i="39"/>
  <c r="O111" i="39"/>
  <c r="H111" i="39"/>
  <c r="P111" i="39"/>
  <c r="I111" i="39"/>
  <c r="Q111" i="39"/>
  <c r="B111" i="39"/>
  <c r="AF111" i="39" s="1"/>
  <c r="J111" i="39"/>
  <c r="AN111" i="39" s="1"/>
  <c r="C111" i="39"/>
  <c r="K111" i="39"/>
  <c r="AK111" i="39" s="1"/>
  <c r="AC180" i="39"/>
  <c r="AL180" i="39"/>
  <c r="AE180" i="39"/>
  <c r="AU158" i="39"/>
  <c r="E158" i="39"/>
  <c r="M158" i="39"/>
  <c r="AS158" i="39" s="1"/>
  <c r="G158" i="39"/>
  <c r="O158" i="39"/>
  <c r="H158" i="39"/>
  <c r="P158" i="39"/>
  <c r="I158" i="39"/>
  <c r="Z158" i="39" s="1"/>
  <c r="Q158" i="39"/>
  <c r="B158" i="39"/>
  <c r="AF158" i="39" s="1"/>
  <c r="J158" i="39"/>
  <c r="AN158" i="39" s="1"/>
  <c r="C158" i="39"/>
  <c r="K158" i="39"/>
  <c r="AK158" i="39" s="1"/>
  <c r="F158" i="39"/>
  <c r="AM158" i="39" s="1"/>
  <c r="L158" i="39"/>
  <c r="AQ158" i="39" s="1"/>
  <c r="N158" i="39"/>
  <c r="D158" i="39"/>
  <c r="AJ158" i="39" s="1"/>
  <c r="AC116" i="39"/>
  <c r="AE116" i="39"/>
  <c r="AL116" i="39"/>
  <c r="AC115" i="39"/>
  <c r="AL115" i="39"/>
  <c r="AE115" i="39"/>
  <c r="AU164" i="39"/>
  <c r="G164" i="39"/>
  <c r="O164" i="39"/>
  <c r="I164" i="39"/>
  <c r="Z164" i="39" s="1"/>
  <c r="Q164" i="39"/>
  <c r="C164" i="39"/>
  <c r="K164" i="39"/>
  <c r="AK164" i="39" s="1"/>
  <c r="D164" i="39"/>
  <c r="AJ164" i="39" s="1"/>
  <c r="L164" i="39"/>
  <c r="AQ164" i="39" s="1"/>
  <c r="E164" i="39"/>
  <c r="M164" i="39"/>
  <c r="AS164" i="39" s="1"/>
  <c r="H164" i="39"/>
  <c r="J164" i="39"/>
  <c r="AN164" i="39" s="1"/>
  <c r="N164" i="39"/>
  <c r="P164" i="39"/>
  <c r="B164" i="39"/>
  <c r="AF164" i="39" s="1"/>
  <c r="F164" i="39"/>
  <c r="AM164" i="39" s="1"/>
  <c r="AE55" i="39"/>
  <c r="AC55" i="39"/>
  <c r="AL55" i="39"/>
  <c r="AU33" i="39"/>
  <c r="C33" i="39"/>
  <c r="K33" i="39"/>
  <c r="AK33" i="39" s="1"/>
  <c r="D33" i="39"/>
  <c r="AJ33" i="39" s="1"/>
  <c r="L33" i="39"/>
  <c r="AQ33" i="39" s="1"/>
  <c r="E33" i="39"/>
  <c r="M33" i="39"/>
  <c r="AS33" i="39" s="1"/>
  <c r="F33" i="39"/>
  <c r="AM33" i="39" s="1"/>
  <c r="N33" i="39"/>
  <c r="G33" i="39"/>
  <c r="O33" i="39"/>
  <c r="H33" i="39"/>
  <c r="P33" i="39"/>
  <c r="I33" i="39"/>
  <c r="Z33" i="39" s="1"/>
  <c r="Q33" i="39"/>
  <c r="J33" i="39"/>
  <c r="AN33" i="39" s="1"/>
  <c r="B33" i="39"/>
  <c r="AF33" i="39" s="1"/>
  <c r="AE52" i="39"/>
  <c r="AL52" i="39"/>
  <c r="AC52" i="39"/>
  <c r="AU30" i="39"/>
  <c r="F30" i="39"/>
  <c r="AM30" i="39" s="1"/>
  <c r="N30" i="39"/>
  <c r="G30" i="39"/>
  <c r="O30" i="39"/>
  <c r="H30" i="39"/>
  <c r="P30" i="39"/>
  <c r="I30" i="39"/>
  <c r="Z30" i="39" s="1"/>
  <c r="Q30" i="39"/>
  <c r="B30" i="39"/>
  <c r="AF30" i="39" s="1"/>
  <c r="J30" i="39"/>
  <c r="AN30" i="39" s="1"/>
  <c r="C30" i="39"/>
  <c r="K30" i="39"/>
  <c r="AK30" i="39" s="1"/>
  <c r="D30" i="39"/>
  <c r="AJ30" i="39" s="1"/>
  <c r="L30" i="39"/>
  <c r="AQ30" i="39" s="1"/>
  <c r="E30" i="39"/>
  <c r="M30" i="39"/>
  <c r="AS30" i="39" s="1"/>
  <c r="AC42" i="39"/>
  <c r="AL42" i="39"/>
  <c r="AE42" i="39"/>
  <c r="AU396" i="39"/>
  <c r="B396" i="39"/>
  <c r="AF396" i="39" s="1"/>
  <c r="J396" i="39"/>
  <c r="AN396" i="39" s="1"/>
  <c r="C396" i="39"/>
  <c r="K396" i="39"/>
  <c r="AK396" i="39" s="1"/>
  <c r="D396" i="39"/>
  <c r="AJ396" i="39" s="1"/>
  <c r="L396" i="39"/>
  <c r="AQ396" i="39" s="1"/>
  <c r="E396" i="39"/>
  <c r="M396" i="39"/>
  <c r="AS396" i="39" s="1"/>
  <c r="F396" i="39"/>
  <c r="AM396" i="39" s="1"/>
  <c r="N396" i="39"/>
  <c r="G396" i="39"/>
  <c r="O396" i="39"/>
  <c r="H396" i="39"/>
  <c r="P396" i="39"/>
  <c r="Q396" i="39"/>
  <c r="I396" i="39"/>
  <c r="AE423" i="39"/>
  <c r="AC423" i="39"/>
  <c r="AL423" i="39"/>
  <c r="AU448" i="39"/>
  <c r="D448" i="39"/>
  <c r="AJ448" i="39" s="1"/>
  <c r="L448" i="39"/>
  <c r="AQ448" i="39" s="1"/>
  <c r="E448" i="39"/>
  <c r="N448" i="39"/>
  <c r="F448" i="39"/>
  <c r="AM448" i="39" s="1"/>
  <c r="O448" i="39"/>
  <c r="G448" i="39"/>
  <c r="P448" i="39"/>
  <c r="H448" i="39"/>
  <c r="Q448" i="39"/>
  <c r="C448" i="39"/>
  <c r="I448" i="39"/>
  <c r="J448" i="39"/>
  <c r="AN448" i="39" s="1"/>
  <c r="M448" i="39"/>
  <c r="AS448" i="39" s="1"/>
  <c r="B448" i="39"/>
  <c r="AF448" i="39" s="1"/>
  <c r="K448" i="39"/>
  <c r="AK448" i="39" s="1"/>
  <c r="AU456" i="39"/>
  <c r="D456" i="39"/>
  <c r="AJ456" i="39" s="1"/>
  <c r="L456" i="39"/>
  <c r="AQ456" i="39" s="1"/>
  <c r="F456" i="39"/>
  <c r="AM456" i="39" s="1"/>
  <c r="O456" i="39"/>
  <c r="G456" i="39"/>
  <c r="P456" i="39"/>
  <c r="H456" i="39"/>
  <c r="Q456" i="39"/>
  <c r="I456" i="39"/>
  <c r="J456" i="39"/>
  <c r="AN456" i="39" s="1"/>
  <c r="B456" i="39"/>
  <c r="AF456" i="39" s="1"/>
  <c r="K456" i="39"/>
  <c r="AK456" i="39" s="1"/>
  <c r="E456" i="39"/>
  <c r="C456" i="39"/>
  <c r="M456" i="39"/>
  <c r="AS456" i="39" s="1"/>
  <c r="N456" i="39"/>
  <c r="AU380" i="39"/>
  <c r="B380" i="39"/>
  <c r="AF380" i="39" s="1"/>
  <c r="J380" i="39"/>
  <c r="AN380" i="39" s="1"/>
  <c r="C380" i="39"/>
  <c r="K380" i="39"/>
  <c r="AK380" i="39" s="1"/>
  <c r="D380" i="39"/>
  <c r="AJ380" i="39" s="1"/>
  <c r="L380" i="39"/>
  <c r="AQ380" i="39" s="1"/>
  <c r="E380" i="39"/>
  <c r="M380" i="39"/>
  <c r="AS380" i="39" s="1"/>
  <c r="F380" i="39"/>
  <c r="AM380" i="39" s="1"/>
  <c r="N380" i="39"/>
  <c r="G380" i="39"/>
  <c r="O380" i="39"/>
  <c r="H380" i="39"/>
  <c r="P380" i="39"/>
  <c r="I380" i="39"/>
  <c r="Q380" i="39"/>
  <c r="AU445" i="39"/>
  <c r="G445" i="39"/>
  <c r="O445" i="39"/>
  <c r="F445" i="39"/>
  <c r="AM445" i="39" s="1"/>
  <c r="P445" i="39"/>
  <c r="H445" i="39"/>
  <c r="Q445" i="39"/>
  <c r="I445" i="39"/>
  <c r="J445" i="39"/>
  <c r="AN445" i="39" s="1"/>
  <c r="E445" i="39"/>
  <c r="B445" i="39"/>
  <c r="AF445" i="39" s="1"/>
  <c r="K445" i="39"/>
  <c r="AK445" i="39" s="1"/>
  <c r="C445" i="39"/>
  <c r="L445" i="39"/>
  <c r="AQ445" i="39" s="1"/>
  <c r="D445" i="39"/>
  <c r="AJ445" i="39" s="1"/>
  <c r="M445" i="39"/>
  <c r="AS445" i="39" s="1"/>
  <c r="N445" i="39"/>
  <c r="AU417" i="39"/>
  <c r="G417" i="39"/>
  <c r="O417" i="39"/>
  <c r="H417" i="39"/>
  <c r="P417" i="39"/>
  <c r="B417" i="39"/>
  <c r="AF417" i="39" s="1"/>
  <c r="J417" i="39"/>
  <c r="AN417" i="39" s="1"/>
  <c r="C417" i="39"/>
  <c r="K417" i="39"/>
  <c r="AK417" i="39" s="1"/>
  <c r="L417" i="39"/>
  <c r="AQ417" i="39" s="1"/>
  <c r="M417" i="39"/>
  <c r="AS417" i="39" s="1"/>
  <c r="N417" i="39"/>
  <c r="Q417" i="39"/>
  <c r="D417" i="39"/>
  <c r="AJ417" i="39" s="1"/>
  <c r="E417" i="39"/>
  <c r="F417" i="39"/>
  <c r="AM417" i="39" s="1"/>
  <c r="I417" i="39"/>
  <c r="AU438" i="39"/>
  <c r="B438" i="39"/>
  <c r="AF438" i="39" s="1"/>
  <c r="J438" i="39"/>
  <c r="AN438" i="39" s="1"/>
  <c r="E438" i="39"/>
  <c r="M438" i="39"/>
  <c r="AS438" i="39" s="1"/>
  <c r="F438" i="39"/>
  <c r="AM438" i="39" s="1"/>
  <c r="N438" i="39"/>
  <c r="C438" i="39"/>
  <c r="P438" i="39"/>
  <c r="D438" i="39"/>
  <c r="AJ438" i="39" s="1"/>
  <c r="Q438" i="39"/>
  <c r="G438" i="39"/>
  <c r="H438" i="39"/>
  <c r="I438" i="39"/>
  <c r="Z438" i="39" s="1"/>
  <c r="AP438" i="39" s="1"/>
  <c r="K438" i="39"/>
  <c r="AK438" i="39" s="1"/>
  <c r="L438" i="39"/>
  <c r="AQ438" i="39" s="1"/>
  <c r="O438" i="39"/>
  <c r="AC438" i="39"/>
  <c r="AL438" i="39"/>
  <c r="AE438" i="39"/>
  <c r="AU364" i="39"/>
  <c r="B364" i="39"/>
  <c r="AF364" i="39" s="1"/>
  <c r="J364" i="39"/>
  <c r="AN364" i="39" s="1"/>
  <c r="C364" i="39"/>
  <c r="K364" i="39"/>
  <c r="AK364" i="39" s="1"/>
  <c r="D364" i="39"/>
  <c r="AJ364" i="39" s="1"/>
  <c r="L364" i="39"/>
  <c r="AQ364" i="39" s="1"/>
  <c r="E364" i="39"/>
  <c r="M364" i="39"/>
  <c r="AS364" i="39" s="1"/>
  <c r="F364" i="39"/>
  <c r="AM364" i="39" s="1"/>
  <c r="N364" i="39"/>
  <c r="G364" i="39"/>
  <c r="O364" i="39"/>
  <c r="H364" i="39"/>
  <c r="P364" i="39"/>
  <c r="I364" i="39"/>
  <c r="Q364" i="39"/>
  <c r="AC412" i="39"/>
  <c r="AL412" i="39"/>
  <c r="AE412" i="39"/>
  <c r="AC454" i="39"/>
  <c r="AL454" i="39"/>
  <c r="AE454" i="39"/>
  <c r="AE418" i="39"/>
  <c r="AC418" i="39"/>
  <c r="AL418" i="39"/>
  <c r="AU435" i="39"/>
  <c r="E435" i="39"/>
  <c r="M435" i="39"/>
  <c r="AS435" i="39" s="1"/>
  <c r="H435" i="39"/>
  <c r="P435" i="39"/>
  <c r="I435" i="39"/>
  <c r="Q435" i="39"/>
  <c r="B435" i="39"/>
  <c r="AF435" i="39" s="1"/>
  <c r="N435" i="39"/>
  <c r="C435" i="39"/>
  <c r="O435" i="39"/>
  <c r="D435" i="39"/>
  <c r="AJ435" i="39" s="1"/>
  <c r="F435" i="39"/>
  <c r="AM435" i="39" s="1"/>
  <c r="G435" i="39"/>
  <c r="J435" i="39"/>
  <c r="AN435" i="39" s="1"/>
  <c r="K435" i="39"/>
  <c r="AK435" i="39" s="1"/>
  <c r="L435" i="39"/>
  <c r="AQ435" i="39" s="1"/>
  <c r="AE393" i="39"/>
  <c r="AC393" i="39"/>
  <c r="AL393" i="39"/>
  <c r="AU371" i="39"/>
  <c r="C371" i="39"/>
  <c r="K371" i="39"/>
  <c r="AK371" i="39" s="1"/>
  <c r="D371" i="39"/>
  <c r="AJ371" i="39" s="1"/>
  <c r="L371" i="39"/>
  <c r="AQ371" i="39" s="1"/>
  <c r="E371" i="39"/>
  <c r="M371" i="39"/>
  <c r="AS371" i="39" s="1"/>
  <c r="F371" i="39"/>
  <c r="AM371" i="39" s="1"/>
  <c r="N371" i="39"/>
  <c r="G371" i="39"/>
  <c r="O371" i="39"/>
  <c r="H371" i="39"/>
  <c r="P371" i="39"/>
  <c r="I371" i="39"/>
  <c r="Q371" i="39"/>
  <c r="B371" i="39"/>
  <c r="AF371" i="39" s="1"/>
  <c r="J371" i="39"/>
  <c r="AN371" i="39" s="1"/>
  <c r="AC432" i="39"/>
  <c r="AL432" i="39"/>
  <c r="AE432" i="39"/>
  <c r="AU410" i="39"/>
  <c r="D410" i="39"/>
  <c r="AJ410" i="39" s="1"/>
  <c r="L410" i="39"/>
  <c r="AQ410" i="39" s="1"/>
  <c r="F410" i="39"/>
  <c r="AM410" i="39" s="1"/>
  <c r="N410" i="39"/>
  <c r="G410" i="39"/>
  <c r="O410" i="39"/>
  <c r="I410" i="39"/>
  <c r="Q410" i="39"/>
  <c r="B410" i="39"/>
  <c r="AF410" i="39" s="1"/>
  <c r="J410" i="39"/>
  <c r="AN410" i="39" s="1"/>
  <c r="C410" i="39"/>
  <c r="E410" i="39"/>
  <c r="H410" i="39"/>
  <c r="K410" i="39"/>
  <c r="AK410" i="39" s="1"/>
  <c r="M410" i="39"/>
  <c r="AS410" i="39" s="1"/>
  <c r="P410" i="39"/>
  <c r="AL368" i="39"/>
  <c r="AC368" i="39"/>
  <c r="AE368" i="39"/>
  <c r="AU346" i="39"/>
  <c r="D346" i="39"/>
  <c r="AJ346" i="39" s="1"/>
  <c r="L346" i="39"/>
  <c r="AQ346" i="39" s="1"/>
  <c r="E346" i="39"/>
  <c r="M346" i="39"/>
  <c r="AS346" i="39" s="1"/>
  <c r="F346" i="39"/>
  <c r="AM346" i="39" s="1"/>
  <c r="N346" i="39"/>
  <c r="G346" i="39"/>
  <c r="O346" i="39"/>
  <c r="H346" i="39"/>
  <c r="P346" i="39"/>
  <c r="I346" i="39"/>
  <c r="Q346" i="39"/>
  <c r="B346" i="39"/>
  <c r="AF346" i="39" s="1"/>
  <c r="J346" i="39"/>
  <c r="AN346" i="39" s="1"/>
  <c r="C346" i="39"/>
  <c r="K346" i="39"/>
  <c r="AK346" i="39" s="1"/>
  <c r="AU393" i="39"/>
  <c r="E393" i="39"/>
  <c r="M393" i="39"/>
  <c r="AS393" i="39" s="1"/>
  <c r="F393" i="39"/>
  <c r="AM393" i="39" s="1"/>
  <c r="N393" i="39"/>
  <c r="G393" i="39"/>
  <c r="O393" i="39"/>
  <c r="H393" i="39"/>
  <c r="P393" i="39"/>
  <c r="I393" i="39"/>
  <c r="Q393" i="39"/>
  <c r="B393" i="39"/>
  <c r="AF393" i="39" s="1"/>
  <c r="J393" i="39"/>
  <c r="AN393" i="39" s="1"/>
  <c r="C393" i="39"/>
  <c r="K393" i="39"/>
  <c r="AK393" i="39" s="1"/>
  <c r="D393" i="39"/>
  <c r="AJ393" i="39" s="1"/>
  <c r="L393" i="39"/>
  <c r="AQ393" i="39" s="1"/>
  <c r="AC351" i="39"/>
  <c r="AL351" i="39"/>
  <c r="AE351" i="39"/>
  <c r="AC414" i="39"/>
  <c r="AL414" i="39"/>
  <c r="AE414" i="39"/>
  <c r="AU392" i="39"/>
  <c r="F392" i="39"/>
  <c r="AM392" i="39" s="1"/>
  <c r="N392" i="39"/>
  <c r="G392" i="39"/>
  <c r="O392" i="39"/>
  <c r="H392" i="39"/>
  <c r="P392" i="39"/>
  <c r="I392" i="39"/>
  <c r="Q392" i="39"/>
  <c r="B392" i="39"/>
  <c r="AF392" i="39" s="1"/>
  <c r="J392" i="39"/>
  <c r="AN392" i="39" s="1"/>
  <c r="C392" i="39"/>
  <c r="K392" i="39"/>
  <c r="AK392" i="39" s="1"/>
  <c r="D392" i="39"/>
  <c r="AJ392" i="39" s="1"/>
  <c r="L392" i="39"/>
  <c r="AQ392" i="39" s="1"/>
  <c r="E392" i="39"/>
  <c r="M392" i="39"/>
  <c r="AS392" i="39" s="1"/>
  <c r="AC350" i="39"/>
  <c r="AE350" i="39"/>
  <c r="AL350" i="39"/>
  <c r="AC327" i="39"/>
  <c r="AL327" i="39"/>
  <c r="AE327" i="39"/>
  <c r="AU439" i="39"/>
  <c r="I439" i="39"/>
  <c r="Z439" i="39" s="1"/>
  <c r="Q439" i="39"/>
  <c r="D439" i="39"/>
  <c r="AJ439" i="39" s="1"/>
  <c r="L439" i="39"/>
  <c r="AQ439" i="39" s="1"/>
  <c r="E439" i="39"/>
  <c r="M439" i="39"/>
  <c r="AS439" i="39" s="1"/>
  <c r="C439" i="39"/>
  <c r="P439" i="39"/>
  <c r="F439" i="39"/>
  <c r="AM439" i="39" s="1"/>
  <c r="G439" i="39"/>
  <c r="B439" i="39"/>
  <c r="AF439" i="39" s="1"/>
  <c r="H439" i="39"/>
  <c r="J439" i="39"/>
  <c r="AN439" i="39" s="1"/>
  <c r="K439" i="39"/>
  <c r="AK439" i="39" s="1"/>
  <c r="O439" i="39"/>
  <c r="N439" i="39"/>
  <c r="AC397" i="39"/>
  <c r="AL397" i="39"/>
  <c r="AE397" i="39"/>
  <c r="AU375" i="39"/>
  <c r="G375" i="39"/>
  <c r="O375" i="39"/>
  <c r="H375" i="39"/>
  <c r="P375" i="39"/>
  <c r="I375" i="39"/>
  <c r="Q375" i="39"/>
  <c r="B375" i="39"/>
  <c r="AF375" i="39" s="1"/>
  <c r="J375" i="39"/>
  <c r="AN375" i="39" s="1"/>
  <c r="C375" i="39"/>
  <c r="K375" i="39"/>
  <c r="AK375" i="39" s="1"/>
  <c r="D375" i="39"/>
  <c r="AJ375" i="39" s="1"/>
  <c r="L375" i="39"/>
  <c r="AQ375" i="39" s="1"/>
  <c r="E375" i="39"/>
  <c r="M375" i="39"/>
  <c r="AS375" i="39" s="1"/>
  <c r="F375" i="39"/>
  <c r="AM375" i="39" s="1"/>
  <c r="N375" i="39"/>
  <c r="AU339" i="39"/>
  <c r="D339" i="39"/>
  <c r="AJ339" i="39" s="1"/>
  <c r="L339" i="39"/>
  <c r="AQ339" i="39" s="1"/>
  <c r="H339" i="39"/>
  <c r="Q339" i="39"/>
  <c r="I339" i="39"/>
  <c r="J339" i="39"/>
  <c r="AN339" i="39" s="1"/>
  <c r="B339" i="39"/>
  <c r="AF339" i="39" s="1"/>
  <c r="K339" i="39"/>
  <c r="AK339" i="39" s="1"/>
  <c r="C339" i="39"/>
  <c r="M339" i="39"/>
  <c r="AS339" i="39" s="1"/>
  <c r="E339" i="39"/>
  <c r="N339" i="39"/>
  <c r="F339" i="39"/>
  <c r="AM339" i="39" s="1"/>
  <c r="O339" i="39"/>
  <c r="G339" i="39"/>
  <c r="P339" i="39"/>
  <c r="AC321" i="39"/>
  <c r="AL321" i="39"/>
  <c r="AE321" i="39"/>
  <c r="AC396" i="39"/>
  <c r="AE396" i="39"/>
  <c r="AL396" i="39"/>
  <c r="AU374" i="39"/>
  <c r="H374" i="39"/>
  <c r="P374" i="39"/>
  <c r="I374" i="39"/>
  <c r="Q374" i="39"/>
  <c r="B374" i="39"/>
  <c r="AF374" i="39" s="1"/>
  <c r="J374" i="39"/>
  <c r="AN374" i="39" s="1"/>
  <c r="C374" i="39"/>
  <c r="K374" i="39"/>
  <c r="AK374" i="39" s="1"/>
  <c r="D374" i="39"/>
  <c r="AJ374" i="39" s="1"/>
  <c r="L374" i="39"/>
  <c r="AQ374" i="39" s="1"/>
  <c r="E374" i="39"/>
  <c r="M374" i="39"/>
  <c r="AS374" i="39" s="1"/>
  <c r="F374" i="39"/>
  <c r="AM374" i="39" s="1"/>
  <c r="N374" i="39"/>
  <c r="G374" i="39"/>
  <c r="O374" i="39"/>
  <c r="AU332" i="39"/>
  <c r="C332" i="39"/>
  <c r="K332" i="39"/>
  <c r="AK332" i="39" s="1"/>
  <c r="I332" i="39"/>
  <c r="J332" i="39"/>
  <c r="AN332" i="39" s="1"/>
  <c r="B332" i="39"/>
  <c r="AF332" i="39" s="1"/>
  <c r="L332" i="39"/>
  <c r="AQ332" i="39" s="1"/>
  <c r="D332" i="39"/>
  <c r="AJ332" i="39" s="1"/>
  <c r="M332" i="39"/>
  <c r="AS332" i="39" s="1"/>
  <c r="E332" i="39"/>
  <c r="N332" i="39"/>
  <c r="F332" i="39"/>
  <c r="AM332" i="39" s="1"/>
  <c r="O332" i="39"/>
  <c r="G332" i="39"/>
  <c r="P332" i="39"/>
  <c r="H332" i="39"/>
  <c r="Q332" i="39"/>
  <c r="AU303" i="39"/>
  <c r="B303" i="39"/>
  <c r="AF303" i="39" s="1"/>
  <c r="J303" i="39"/>
  <c r="AN303" i="39" s="1"/>
  <c r="C303" i="39"/>
  <c r="K303" i="39"/>
  <c r="AK303" i="39" s="1"/>
  <c r="D303" i="39"/>
  <c r="AJ303" i="39" s="1"/>
  <c r="L303" i="39"/>
  <c r="AQ303" i="39" s="1"/>
  <c r="E303" i="39"/>
  <c r="M303" i="39"/>
  <c r="AS303" i="39" s="1"/>
  <c r="F303" i="39"/>
  <c r="AM303" i="39" s="1"/>
  <c r="N303" i="39"/>
  <c r="G303" i="39"/>
  <c r="O303" i="39"/>
  <c r="H303" i="39"/>
  <c r="P303" i="39"/>
  <c r="I303" i="39"/>
  <c r="Q303" i="39"/>
  <c r="AU397" i="39"/>
  <c r="I397" i="39"/>
  <c r="Q397" i="39"/>
  <c r="B397" i="39"/>
  <c r="AF397" i="39" s="1"/>
  <c r="J397" i="39"/>
  <c r="AN397" i="39" s="1"/>
  <c r="C397" i="39"/>
  <c r="K397" i="39"/>
  <c r="AK397" i="39" s="1"/>
  <c r="D397" i="39"/>
  <c r="AJ397" i="39" s="1"/>
  <c r="L397" i="39"/>
  <c r="AQ397" i="39" s="1"/>
  <c r="E397" i="39"/>
  <c r="M397" i="39"/>
  <c r="AS397" i="39" s="1"/>
  <c r="F397" i="39"/>
  <c r="AM397" i="39" s="1"/>
  <c r="N397" i="39"/>
  <c r="G397" i="39"/>
  <c r="O397" i="39"/>
  <c r="H397" i="39"/>
  <c r="P397" i="39"/>
  <c r="AE355" i="39"/>
  <c r="AC355" i="39"/>
  <c r="AL355" i="39"/>
  <c r="AU336" i="39"/>
  <c r="G336" i="39"/>
  <c r="O336" i="39"/>
  <c r="J336" i="39"/>
  <c r="AN336" i="39" s="1"/>
  <c r="B336" i="39"/>
  <c r="AF336" i="39" s="1"/>
  <c r="K336" i="39"/>
  <c r="AK336" i="39" s="1"/>
  <c r="C336" i="39"/>
  <c r="L336" i="39"/>
  <c r="AQ336" i="39" s="1"/>
  <c r="D336" i="39"/>
  <c r="AJ336" i="39" s="1"/>
  <c r="M336" i="39"/>
  <c r="AS336" i="39" s="1"/>
  <c r="E336" i="39"/>
  <c r="N336" i="39"/>
  <c r="F336" i="39"/>
  <c r="AM336" i="39" s="1"/>
  <c r="P336" i="39"/>
  <c r="H336" i="39"/>
  <c r="Q336" i="39"/>
  <c r="I336" i="39"/>
  <c r="AC259" i="39"/>
  <c r="AL259" i="39"/>
  <c r="AE259" i="39"/>
  <c r="AU153" i="39"/>
  <c r="B153" i="39"/>
  <c r="AF153" i="39" s="1"/>
  <c r="J153" i="39"/>
  <c r="AN153" i="39" s="1"/>
  <c r="D153" i="39"/>
  <c r="AJ153" i="39" s="1"/>
  <c r="L153" i="39"/>
  <c r="AQ153" i="39" s="1"/>
  <c r="E153" i="39"/>
  <c r="M153" i="39"/>
  <c r="AS153" i="39" s="1"/>
  <c r="F153" i="39"/>
  <c r="AM153" i="39" s="1"/>
  <c r="N153" i="39"/>
  <c r="G153" i="39"/>
  <c r="O153" i="39"/>
  <c r="H153" i="39"/>
  <c r="P153" i="39"/>
  <c r="C153" i="39"/>
  <c r="I153" i="39"/>
  <c r="K153" i="39"/>
  <c r="AK153" i="39" s="1"/>
  <c r="Q153" i="39"/>
  <c r="AU318" i="39"/>
  <c r="D318" i="39"/>
  <c r="AJ318" i="39" s="1"/>
  <c r="L318" i="39"/>
  <c r="AQ318" i="39" s="1"/>
  <c r="E318" i="39"/>
  <c r="M318" i="39"/>
  <c r="AS318" i="39" s="1"/>
  <c r="H318" i="39"/>
  <c r="P318" i="39"/>
  <c r="I318" i="39"/>
  <c r="Q318" i="39"/>
  <c r="G318" i="39"/>
  <c r="J318" i="39"/>
  <c r="AN318" i="39" s="1"/>
  <c r="K318" i="39"/>
  <c r="AK318" i="39" s="1"/>
  <c r="N318" i="39"/>
  <c r="O318" i="39"/>
  <c r="B318" i="39"/>
  <c r="AF318" i="39" s="1"/>
  <c r="C318" i="39"/>
  <c r="F318" i="39"/>
  <c r="AM318" i="39" s="1"/>
  <c r="AU282" i="39"/>
  <c r="E282" i="39"/>
  <c r="M282" i="39"/>
  <c r="AS282" i="39" s="1"/>
  <c r="C282" i="39"/>
  <c r="L282" i="39"/>
  <c r="AQ282" i="39" s="1"/>
  <c r="D282" i="39"/>
  <c r="AJ282" i="39" s="1"/>
  <c r="N282" i="39"/>
  <c r="F282" i="39"/>
  <c r="AM282" i="39" s="1"/>
  <c r="O282" i="39"/>
  <c r="G282" i="39"/>
  <c r="P282" i="39"/>
  <c r="H282" i="39"/>
  <c r="Q282" i="39"/>
  <c r="I282" i="39"/>
  <c r="J282" i="39"/>
  <c r="AN282" i="39" s="1"/>
  <c r="B282" i="39"/>
  <c r="AF282" i="39" s="1"/>
  <c r="K282" i="39"/>
  <c r="AK282" i="39" s="1"/>
  <c r="AU241" i="39"/>
  <c r="H241" i="39"/>
  <c r="P241" i="39"/>
  <c r="B241" i="39"/>
  <c r="AF241" i="39" s="1"/>
  <c r="J241" i="39"/>
  <c r="AN241" i="39" s="1"/>
  <c r="D241" i="39"/>
  <c r="AJ241" i="39" s="1"/>
  <c r="L241" i="39"/>
  <c r="AQ241" i="39" s="1"/>
  <c r="F241" i="39"/>
  <c r="AM241" i="39" s="1"/>
  <c r="N241" i="39"/>
  <c r="E241" i="39"/>
  <c r="G241" i="39"/>
  <c r="I241" i="39"/>
  <c r="K241" i="39"/>
  <c r="AK241" i="39" s="1"/>
  <c r="M241" i="39"/>
  <c r="AS241" i="39" s="1"/>
  <c r="O241" i="39"/>
  <c r="Q241" i="39"/>
  <c r="C241" i="39"/>
  <c r="AE291" i="39"/>
  <c r="AC291" i="39"/>
  <c r="AL291" i="39"/>
  <c r="AU272" i="39"/>
  <c r="C272" i="39"/>
  <c r="K272" i="39"/>
  <c r="AK272" i="39" s="1"/>
  <c r="G272" i="39"/>
  <c r="O272" i="39"/>
  <c r="E272" i="39"/>
  <c r="P272" i="39"/>
  <c r="F272" i="39"/>
  <c r="AM272" i="39" s="1"/>
  <c r="Q272" i="39"/>
  <c r="H272" i="39"/>
  <c r="I272" i="39"/>
  <c r="J272" i="39"/>
  <c r="AN272" i="39" s="1"/>
  <c r="L272" i="39"/>
  <c r="AQ272" i="39" s="1"/>
  <c r="B272" i="39"/>
  <c r="AF272" i="39" s="1"/>
  <c r="M272" i="39"/>
  <c r="AS272" i="39" s="1"/>
  <c r="D272" i="39"/>
  <c r="AJ272" i="39" s="1"/>
  <c r="N272" i="39"/>
  <c r="AC254" i="39"/>
  <c r="AL254" i="39"/>
  <c r="AE254" i="39"/>
  <c r="AL306" i="39"/>
  <c r="AE306" i="39"/>
  <c r="AC306" i="39"/>
  <c r="AU284" i="39"/>
  <c r="E284" i="39"/>
  <c r="M284" i="39"/>
  <c r="AS284" i="39" s="1"/>
  <c r="F284" i="39"/>
  <c r="AM284" i="39" s="1"/>
  <c r="N284" i="39"/>
  <c r="G284" i="39"/>
  <c r="O284" i="39"/>
  <c r="H284" i="39"/>
  <c r="P284" i="39"/>
  <c r="I284" i="39"/>
  <c r="Q284" i="39"/>
  <c r="B284" i="39"/>
  <c r="AF284" i="39" s="1"/>
  <c r="J284" i="39"/>
  <c r="AN284" i="39" s="1"/>
  <c r="C284" i="39"/>
  <c r="K284" i="39"/>
  <c r="AK284" i="39" s="1"/>
  <c r="D284" i="39"/>
  <c r="AJ284" i="39" s="1"/>
  <c r="L284" i="39"/>
  <c r="AQ284" i="39" s="1"/>
  <c r="AU257" i="39"/>
  <c r="B257" i="39"/>
  <c r="AF257" i="39" s="1"/>
  <c r="J257" i="39"/>
  <c r="AN257" i="39" s="1"/>
  <c r="F257" i="39"/>
  <c r="AM257" i="39" s="1"/>
  <c r="N257" i="39"/>
  <c r="G257" i="39"/>
  <c r="Q257" i="39"/>
  <c r="H257" i="39"/>
  <c r="I257" i="39"/>
  <c r="K257" i="39"/>
  <c r="AK257" i="39" s="1"/>
  <c r="L257" i="39"/>
  <c r="AQ257" i="39" s="1"/>
  <c r="C257" i="39"/>
  <c r="M257" i="39"/>
  <c r="AS257" i="39" s="1"/>
  <c r="D257" i="39"/>
  <c r="AJ257" i="39" s="1"/>
  <c r="O257" i="39"/>
  <c r="E257" i="39"/>
  <c r="P257" i="39"/>
  <c r="AC213" i="39"/>
  <c r="AL213" i="39"/>
  <c r="AE213" i="39"/>
  <c r="AC205" i="39"/>
  <c r="AL205" i="39"/>
  <c r="AE205" i="39"/>
  <c r="AU306" i="39"/>
  <c r="G306" i="39"/>
  <c r="O306" i="39"/>
  <c r="H306" i="39"/>
  <c r="P306" i="39"/>
  <c r="I306" i="39"/>
  <c r="AP306" i="39" s="1"/>
  <c r="Q306" i="39"/>
  <c r="B306" i="39"/>
  <c r="AF306" i="39" s="1"/>
  <c r="J306" i="39"/>
  <c r="AN306" i="39" s="1"/>
  <c r="C306" i="39"/>
  <c r="K306" i="39"/>
  <c r="AK306" i="39" s="1"/>
  <c r="D306" i="39"/>
  <c r="AJ306" i="39" s="1"/>
  <c r="L306" i="39"/>
  <c r="AQ306" i="39" s="1"/>
  <c r="E306" i="39"/>
  <c r="M306" i="39"/>
  <c r="AS306" i="39" s="1"/>
  <c r="F306" i="39"/>
  <c r="AM306" i="39" s="1"/>
  <c r="N306" i="39"/>
  <c r="AL263" i="39"/>
  <c r="AC263" i="39"/>
  <c r="AE263" i="39"/>
  <c r="AC287" i="39"/>
  <c r="AE287" i="39"/>
  <c r="AL287" i="39"/>
  <c r="AU256" i="39"/>
  <c r="C256" i="39"/>
  <c r="K256" i="39"/>
  <c r="AK256" i="39" s="1"/>
  <c r="G256" i="39"/>
  <c r="O256" i="39"/>
  <c r="J256" i="39"/>
  <c r="AN256" i="39" s="1"/>
  <c r="L256" i="39"/>
  <c r="AQ256" i="39" s="1"/>
  <c r="B256" i="39"/>
  <c r="AF256" i="39" s="1"/>
  <c r="M256" i="39"/>
  <c r="AS256" i="39" s="1"/>
  <c r="D256" i="39"/>
  <c r="AJ256" i="39" s="1"/>
  <c r="N256" i="39"/>
  <c r="E256" i="39"/>
  <c r="P256" i="39"/>
  <c r="F256" i="39"/>
  <c r="AM256" i="39" s="1"/>
  <c r="Q256" i="39"/>
  <c r="H256" i="39"/>
  <c r="I256" i="39"/>
  <c r="AE294" i="39"/>
  <c r="AC294" i="39"/>
  <c r="AL294" i="39"/>
  <c r="AC274" i="39"/>
  <c r="AE274" i="39"/>
  <c r="AL274" i="39"/>
  <c r="AC246" i="39"/>
  <c r="AL246" i="39"/>
  <c r="AE246" i="39"/>
  <c r="AC276" i="39"/>
  <c r="AE276" i="39"/>
  <c r="AL276" i="39"/>
  <c r="AU254" i="39"/>
  <c r="E254" i="39"/>
  <c r="M254" i="39"/>
  <c r="AS254" i="39" s="1"/>
  <c r="G254" i="39"/>
  <c r="O254" i="39"/>
  <c r="I254" i="39"/>
  <c r="Q254" i="39"/>
  <c r="K254" i="39"/>
  <c r="AK254" i="39" s="1"/>
  <c r="L254" i="39"/>
  <c r="AQ254" i="39" s="1"/>
  <c r="B254" i="39"/>
  <c r="AF254" i="39" s="1"/>
  <c r="N254" i="39"/>
  <c r="C254" i="39"/>
  <c r="P254" i="39"/>
  <c r="D254" i="39"/>
  <c r="AJ254" i="39" s="1"/>
  <c r="F254" i="39"/>
  <c r="AM254" i="39" s="1"/>
  <c r="H254" i="39"/>
  <c r="J254" i="39"/>
  <c r="AN254" i="39" s="1"/>
  <c r="AL212" i="39"/>
  <c r="AC212" i="39"/>
  <c r="AE212" i="39"/>
  <c r="AU189" i="39"/>
  <c r="B189" i="39"/>
  <c r="AF189" i="39" s="1"/>
  <c r="J189" i="39"/>
  <c r="AN189" i="39" s="1"/>
  <c r="D189" i="39"/>
  <c r="AJ189" i="39" s="1"/>
  <c r="L189" i="39"/>
  <c r="AQ189" i="39" s="1"/>
  <c r="E189" i="39"/>
  <c r="O189" i="39"/>
  <c r="F189" i="39"/>
  <c r="AM189" i="39" s="1"/>
  <c r="P189" i="39"/>
  <c r="G189" i="39"/>
  <c r="Q189" i="39"/>
  <c r="H189" i="39"/>
  <c r="I189" i="39"/>
  <c r="K189" i="39"/>
  <c r="AK189" i="39" s="1"/>
  <c r="M189" i="39"/>
  <c r="AS189" i="39" s="1"/>
  <c r="N189" i="39"/>
  <c r="C189" i="39"/>
  <c r="AU145" i="39"/>
  <c r="B145" i="39"/>
  <c r="AF145" i="39" s="1"/>
  <c r="J145" i="39"/>
  <c r="AN145" i="39" s="1"/>
  <c r="C145" i="39"/>
  <c r="K145" i="39"/>
  <c r="AK145" i="39" s="1"/>
  <c r="D145" i="39"/>
  <c r="AJ145" i="39" s="1"/>
  <c r="L145" i="39"/>
  <c r="AQ145" i="39" s="1"/>
  <c r="E145" i="39"/>
  <c r="M145" i="39"/>
  <c r="AS145" i="39" s="1"/>
  <c r="F145" i="39"/>
  <c r="AM145" i="39" s="1"/>
  <c r="N145" i="39"/>
  <c r="G145" i="39"/>
  <c r="O145" i="39"/>
  <c r="H145" i="39"/>
  <c r="P145" i="39"/>
  <c r="Q145" i="39"/>
  <c r="I145" i="39"/>
  <c r="Z145" i="39" s="1"/>
  <c r="AE219" i="39"/>
  <c r="AC219" i="39"/>
  <c r="AL219" i="39"/>
  <c r="AU170" i="39"/>
  <c r="C170" i="39"/>
  <c r="K170" i="39"/>
  <c r="AK170" i="39" s="1"/>
  <c r="E170" i="39"/>
  <c r="M170" i="39"/>
  <c r="AS170" i="39" s="1"/>
  <c r="F170" i="39"/>
  <c r="AM170" i="39" s="1"/>
  <c r="N170" i="39"/>
  <c r="G170" i="39"/>
  <c r="O170" i="39"/>
  <c r="H170" i="39"/>
  <c r="I170" i="39"/>
  <c r="J170" i="39"/>
  <c r="AN170" i="39" s="1"/>
  <c r="L170" i="39"/>
  <c r="AQ170" i="39" s="1"/>
  <c r="P170" i="39"/>
  <c r="Q170" i="39"/>
  <c r="B170" i="39"/>
  <c r="AF170" i="39" s="1"/>
  <c r="D170" i="39"/>
  <c r="AJ170" i="39" s="1"/>
  <c r="AC242" i="39"/>
  <c r="AE242" i="39"/>
  <c r="AL242" i="39"/>
  <c r="AU220" i="39"/>
  <c r="E220" i="39"/>
  <c r="M220" i="39"/>
  <c r="AS220" i="39" s="1"/>
  <c r="G220" i="39"/>
  <c r="O220" i="39"/>
  <c r="H220" i="39"/>
  <c r="P220" i="39"/>
  <c r="I220" i="39"/>
  <c r="Q220" i="39"/>
  <c r="B220" i="39"/>
  <c r="AF220" i="39" s="1"/>
  <c r="J220" i="39"/>
  <c r="AN220" i="39" s="1"/>
  <c r="C220" i="39"/>
  <c r="K220" i="39"/>
  <c r="AK220" i="39" s="1"/>
  <c r="D220" i="39"/>
  <c r="AJ220" i="39" s="1"/>
  <c r="F220" i="39"/>
  <c r="AM220" i="39" s="1"/>
  <c r="L220" i="39"/>
  <c r="AQ220" i="39" s="1"/>
  <c r="N220" i="39"/>
  <c r="AU163" i="39"/>
  <c r="H163" i="39"/>
  <c r="P163" i="39"/>
  <c r="B163" i="39"/>
  <c r="AF163" i="39" s="1"/>
  <c r="J163" i="39"/>
  <c r="AN163" i="39" s="1"/>
  <c r="D163" i="39"/>
  <c r="AJ163" i="39" s="1"/>
  <c r="L163" i="39"/>
  <c r="AQ163" i="39" s="1"/>
  <c r="E163" i="39"/>
  <c r="M163" i="39"/>
  <c r="AS163" i="39" s="1"/>
  <c r="F163" i="39"/>
  <c r="AM163" i="39" s="1"/>
  <c r="N163" i="39"/>
  <c r="K163" i="39"/>
  <c r="AK163" i="39" s="1"/>
  <c r="O163" i="39"/>
  <c r="Q163" i="39"/>
  <c r="C163" i="39"/>
  <c r="G163" i="39"/>
  <c r="I163" i="39"/>
  <c r="Z163" i="39" s="1"/>
  <c r="AC217" i="39"/>
  <c r="AL217" i="39"/>
  <c r="AE217" i="39"/>
  <c r="AU194" i="39"/>
  <c r="E194" i="39"/>
  <c r="M194" i="39"/>
  <c r="AS194" i="39" s="1"/>
  <c r="G194" i="39"/>
  <c r="O194" i="39"/>
  <c r="H194" i="39"/>
  <c r="I194" i="39"/>
  <c r="J194" i="39"/>
  <c r="AN194" i="39" s="1"/>
  <c r="K194" i="39"/>
  <c r="AK194" i="39" s="1"/>
  <c r="B194" i="39"/>
  <c r="AF194" i="39" s="1"/>
  <c r="L194" i="39"/>
  <c r="AQ194" i="39" s="1"/>
  <c r="C194" i="39"/>
  <c r="N194" i="39"/>
  <c r="D194" i="39"/>
  <c r="AJ194" i="39" s="1"/>
  <c r="P194" i="39"/>
  <c r="F194" i="39"/>
  <c r="AM194" i="39" s="1"/>
  <c r="Q194" i="39"/>
  <c r="AE181" i="39"/>
  <c r="AL181" i="39"/>
  <c r="AC181" i="39"/>
  <c r="AC256" i="39"/>
  <c r="AL256" i="39"/>
  <c r="AE256" i="39"/>
  <c r="AU234" i="39"/>
  <c r="G234" i="39"/>
  <c r="O234" i="39"/>
  <c r="I234" i="39"/>
  <c r="Q234" i="39"/>
  <c r="C234" i="39"/>
  <c r="K234" i="39"/>
  <c r="AK234" i="39" s="1"/>
  <c r="D234" i="39"/>
  <c r="AJ234" i="39" s="1"/>
  <c r="E234" i="39"/>
  <c r="M234" i="39"/>
  <c r="AS234" i="39" s="1"/>
  <c r="B234" i="39"/>
  <c r="AF234" i="39" s="1"/>
  <c r="F234" i="39"/>
  <c r="AM234" i="39" s="1"/>
  <c r="H234" i="39"/>
  <c r="J234" i="39"/>
  <c r="AN234" i="39" s="1"/>
  <c r="L234" i="39"/>
  <c r="AQ234" i="39" s="1"/>
  <c r="N234" i="39"/>
  <c r="P234" i="39"/>
  <c r="AC183" i="39"/>
  <c r="AL183" i="39"/>
  <c r="AE183" i="39"/>
  <c r="AU217" i="39"/>
  <c r="H217" i="39"/>
  <c r="P217" i="39"/>
  <c r="B217" i="39"/>
  <c r="AF217" i="39" s="1"/>
  <c r="J217" i="39"/>
  <c r="AN217" i="39" s="1"/>
  <c r="C217" i="39"/>
  <c r="K217" i="39"/>
  <c r="AK217" i="39" s="1"/>
  <c r="D217" i="39"/>
  <c r="AJ217" i="39" s="1"/>
  <c r="L217" i="39"/>
  <c r="AQ217" i="39" s="1"/>
  <c r="E217" i="39"/>
  <c r="M217" i="39"/>
  <c r="AS217" i="39" s="1"/>
  <c r="F217" i="39"/>
  <c r="AM217" i="39" s="1"/>
  <c r="N217" i="39"/>
  <c r="I217" i="39"/>
  <c r="O217" i="39"/>
  <c r="Q217" i="39"/>
  <c r="G217" i="39"/>
  <c r="AU196" i="39"/>
  <c r="C196" i="39"/>
  <c r="K196" i="39"/>
  <c r="AK196" i="39" s="1"/>
  <c r="E196" i="39"/>
  <c r="M196" i="39"/>
  <c r="AS196" i="39" s="1"/>
  <c r="J196" i="39"/>
  <c r="AN196" i="39" s="1"/>
  <c r="L196" i="39"/>
  <c r="AQ196" i="39" s="1"/>
  <c r="B196" i="39"/>
  <c r="AF196" i="39" s="1"/>
  <c r="N196" i="39"/>
  <c r="D196" i="39"/>
  <c r="AJ196" i="39" s="1"/>
  <c r="O196" i="39"/>
  <c r="F196" i="39"/>
  <c r="AM196" i="39" s="1"/>
  <c r="P196" i="39"/>
  <c r="G196" i="39"/>
  <c r="Q196" i="39"/>
  <c r="H196" i="39"/>
  <c r="I196" i="39"/>
  <c r="AU232" i="39"/>
  <c r="I232" i="39"/>
  <c r="Q232" i="39"/>
  <c r="C232" i="39"/>
  <c r="K232" i="39"/>
  <c r="AK232" i="39" s="1"/>
  <c r="E232" i="39"/>
  <c r="M232" i="39"/>
  <c r="AS232" i="39" s="1"/>
  <c r="F232" i="39"/>
  <c r="AM232" i="39" s="1"/>
  <c r="N232" i="39"/>
  <c r="G232" i="39"/>
  <c r="O232" i="39"/>
  <c r="J232" i="39"/>
  <c r="AN232" i="39" s="1"/>
  <c r="L232" i="39"/>
  <c r="AQ232" i="39" s="1"/>
  <c r="P232" i="39"/>
  <c r="B232" i="39"/>
  <c r="AF232" i="39" s="1"/>
  <c r="D232" i="39"/>
  <c r="AJ232" i="39" s="1"/>
  <c r="H232" i="39"/>
  <c r="AU181" i="39"/>
  <c r="H181" i="39"/>
  <c r="P181" i="39"/>
  <c r="B181" i="39"/>
  <c r="AF181" i="39" s="1"/>
  <c r="J181" i="39"/>
  <c r="AN181" i="39" s="1"/>
  <c r="D181" i="39"/>
  <c r="AJ181" i="39" s="1"/>
  <c r="L181" i="39"/>
  <c r="AQ181" i="39" s="1"/>
  <c r="N181" i="39"/>
  <c r="C181" i="39"/>
  <c r="O181" i="39"/>
  <c r="E181" i="39"/>
  <c r="Q181" i="39"/>
  <c r="F181" i="39"/>
  <c r="AM181" i="39" s="1"/>
  <c r="G181" i="39"/>
  <c r="I181" i="39"/>
  <c r="Z181" i="39" s="1"/>
  <c r="K181" i="39"/>
  <c r="AK181" i="39" s="1"/>
  <c r="M181" i="39"/>
  <c r="AS181" i="39" s="1"/>
  <c r="AC198" i="39"/>
  <c r="AL198" i="39"/>
  <c r="AE198" i="39"/>
  <c r="AU176" i="39"/>
  <c r="E176" i="39"/>
  <c r="M176" i="39"/>
  <c r="AS176" i="39" s="1"/>
  <c r="G176" i="39"/>
  <c r="O176" i="39"/>
  <c r="I176" i="39"/>
  <c r="Q176" i="39"/>
  <c r="K176" i="39"/>
  <c r="AK176" i="39" s="1"/>
  <c r="L176" i="39"/>
  <c r="AQ176" i="39" s="1"/>
  <c r="B176" i="39"/>
  <c r="AF176" i="39" s="1"/>
  <c r="N176" i="39"/>
  <c r="C176" i="39"/>
  <c r="P176" i="39"/>
  <c r="D176" i="39"/>
  <c r="AJ176" i="39" s="1"/>
  <c r="F176" i="39"/>
  <c r="AM176" i="39" s="1"/>
  <c r="H176" i="39"/>
  <c r="J176" i="39"/>
  <c r="AN176" i="39" s="1"/>
  <c r="AL134" i="39"/>
  <c r="AC134" i="39"/>
  <c r="AE134" i="39"/>
  <c r="AU112" i="39"/>
  <c r="C112" i="39"/>
  <c r="K112" i="39"/>
  <c r="AK112" i="39" s="1"/>
  <c r="D112" i="39"/>
  <c r="AJ112" i="39" s="1"/>
  <c r="L112" i="39"/>
  <c r="AQ112" i="39" s="1"/>
  <c r="E112" i="39"/>
  <c r="M112" i="39"/>
  <c r="AS112" i="39" s="1"/>
  <c r="F112" i="39"/>
  <c r="AM112" i="39" s="1"/>
  <c r="N112" i="39"/>
  <c r="G112" i="39"/>
  <c r="O112" i="39"/>
  <c r="H112" i="39"/>
  <c r="P112" i="39"/>
  <c r="I112" i="39"/>
  <c r="Q112" i="39"/>
  <c r="J112" i="39"/>
  <c r="AN112" i="39" s="1"/>
  <c r="B112" i="39"/>
  <c r="AF112" i="39" s="1"/>
  <c r="AU151" i="39"/>
  <c r="D151" i="39"/>
  <c r="AJ151" i="39" s="1"/>
  <c r="L151" i="39"/>
  <c r="AQ151" i="39" s="1"/>
  <c r="E151" i="39"/>
  <c r="M151" i="39"/>
  <c r="AS151" i="39" s="1"/>
  <c r="F151" i="39"/>
  <c r="AM151" i="39" s="1"/>
  <c r="N151" i="39"/>
  <c r="G151" i="39"/>
  <c r="O151" i="39"/>
  <c r="H151" i="39"/>
  <c r="P151" i="39"/>
  <c r="I151" i="39"/>
  <c r="Q151" i="39"/>
  <c r="B151" i="39"/>
  <c r="AF151" i="39" s="1"/>
  <c r="J151" i="39"/>
  <c r="AN151" i="39" s="1"/>
  <c r="C151" i="39"/>
  <c r="K151" i="39"/>
  <c r="AK151" i="39" s="1"/>
  <c r="AC109" i="39"/>
  <c r="AL109" i="39"/>
  <c r="AE109" i="39"/>
  <c r="AC40" i="39"/>
  <c r="AL40" i="39"/>
  <c r="AE40" i="39"/>
  <c r="AE156" i="39"/>
  <c r="AL156" i="39"/>
  <c r="AC156" i="39"/>
  <c r="AU134" i="39"/>
  <c r="E134" i="39"/>
  <c r="M134" i="39"/>
  <c r="AS134" i="39" s="1"/>
  <c r="F134" i="39"/>
  <c r="AM134" i="39" s="1"/>
  <c r="N134" i="39"/>
  <c r="G134" i="39"/>
  <c r="O134" i="39"/>
  <c r="H134" i="39"/>
  <c r="P134" i="39"/>
  <c r="I134" i="39"/>
  <c r="Q134" i="39"/>
  <c r="B134" i="39"/>
  <c r="AF134" i="39" s="1"/>
  <c r="J134" i="39"/>
  <c r="AN134" i="39" s="1"/>
  <c r="C134" i="39"/>
  <c r="K134" i="39"/>
  <c r="AK134" i="39" s="1"/>
  <c r="D134" i="39"/>
  <c r="AJ134" i="39" s="1"/>
  <c r="L134" i="39"/>
  <c r="AQ134" i="39" s="1"/>
  <c r="AE155" i="39"/>
  <c r="AL155" i="39"/>
  <c r="AC155" i="39"/>
  <c r="AU133" i="39"/>
  <c r="F133" i="39"/>
  <c r="AM133" i="39" s="1"/>
  <c r="N133" i="39"/>
  <c r="G133" i="39"/>
  <c r="O133" i="39"/>
  <c r="H133" i="39"/>
  <c r="P133" i="39"/>
  <c r="I133" i="39"/>
  <c r="Z133" i="39" s="1"/>
  <c r="Q133" i="39"/>
  <c r="B133" i="39"/>
  <c r="AF133" i="39" s="1"/>
  <c r="J133" i="39"/>
  <c r="AN133" i="39" s="1"/>
  <c r="C133" i="39"/>
  <c r="K133" i="39"/>
  <c r="AK133" i="39" s="1"/>
  <c r="D133" i="39"/>
  <c r="AJ133" i="39" s="1"/>
  <c r="L133" i="39"/>
  <c r="AQ133" i="39" s="1"/>
  <c r="E133" i="39"/>
  <c r="M133" i="39"/>
  <c r="AS133" i="39" s="1"/>
  <c r="AC162" i="39"/>
  <c r="AE162" i="39"/>
  <c r="AL162" i="39"/>
  <c r="AU140" i="39"/>
  <c r="G140" i="39"/>
  <c r="O140" i="39"/>
  <c r="H140" i="39"/>
  <c r="P140" i="39"/>
  <c r="I140" i="39"/>
  <c r="Q140" i="39"/>
  <c r="B140" i="39"/>
  <c r="AF140" i="39" s="1"/>
  <c r="J140" i="39"/>
  <c r="AN140" i="39" s="1"/>
  <c r="C140" i="39"/>
  <c r="K140" i="39"/>
  <c r="AK140" i="39" s="1"/>
  <c r="D140" i="39"/>
  <c r="AJ140" i="39" s="1"/>
  <c r="L140" i="39"/>
  <c r="AQ140" i="39" s="1"/>
  <c r="E140" i="39"/>
  <c r="M140" i="39"/>
  <c r="AS140" i="39" s="1"/>
  <c r="N140" i="39"/>
  <c r="F140" i="39"/>
  <c r="AM140" i="39" s="1"/>
  <c r="AE137" i="39"/>
  <c r="AC137" i="39"/>
  <c r="AL137" i="39"/>
  <c r="AU115" i="39"/>
  <c r="H115" i="39"/>
  <c r="P115" i="39"/>
  <c r="I115" i="39"/>
  <c r="Q115" i="39"/>
  <c r="B115" i="39"/>
  <c r="AF115" i="39" s="1"/>
  <c r="J115" i="39"/>
  <c r="AN115" i="39" s="1"/>
  <c r="C115" i="39"/>
  <c r="K115" i="39"/>
  <c r="AK115" i="39" s="1"/>
  <c r="D115" i="39"/>
  <c r="AJ115" i="39" s="1"/>
  <c r="L115" i="39"/>
  <c r="AQ115" i="39" s="1"/>
  <c r="E115" i="39"/>
  <c r="M115" i="39"/>
  <c r="AS115" i="39" s="1"/>
  <c r="F115" i="39"/>
  <c r="AM115" i="39" s="1"/>
  <c r="N115" i="39"/>
  <c r="G115" i="39"/>
  <c r="O115" i="39"/>
  <c r="AE160" i="39"/>
  <c r="AL160" i="39"/>
  <c r="AC160" i="39"/>
  <c r="AU138" i="39"/>
  <c r="I138" i="39"/>
  <c r="Q138" i="39"/>
  <c r="B138" i="39"/>
  <c r="AF138" i="39" s="1"/>
  <c r="J138" i="39"/>
  <c r="AN138" i="39" s="1"/>
  <c r="C138" i="39"/>
  <c r="K138" i="39"/>
  <c r="AK138" i="39" s="1"/>
  <c r="D138" i="39"/>
  <c r="AJ138" i="39" s="1"/>
  <c r="L138" i="39"/>
  <c r="AQ138" i="39" s="1"/>
  <c r="E138" i="39"/>
  <c r="M138" i="39"/>
  <c r="AS138" i="39" s="1"/>
  <c r="F138" i="39"/>
  <c r="AM138" i="39" s="1"/>
  <c r="N138" i="39"/>
  <c r="G138" i="39"/>
  <c r="O138" i="39"/>
  <c r="H138" i="39"/>
  <c r="P138" i="39"/>
  <c r="AC90" i="39"/>
  <c r="AL90" i="39"/>
  <c r="AE90" i="39"/>
  <c r="AC48" i="39"/>
  <c r="AL48" i="39"/>
  <c r="AE48" i="39"/>
  <c r="AE31" i="39"/>
  <c r="AC31" i="39"/>
  <c r="AL31" i="39"/>
  <c r="AU88" i="39"/>
  <c r="D88" i="39"/>
  <c r="AJ88" i="39" s="1"/>
  <c r="L88" i="39"/>
  <c r="AQ88" i="39" s="1"/>
  <c r="E88" i="39"/>
  <c r="M88" i="39"/>
  <c r="AS88" i="39" s="1"/>
  <c r="F88" i="39"/>
  <c r="AM88" i="39" s="1"/>
  <c r="N88" i="39"/>
  <c r="G88" i="39"/>
  <c r="O88" i="39"/>
  <c r="H88" i="39"/>
  <c r="P88" i="39"/>
  <c r="I88" i="39"/>
  <c r="Q88" i="39"/>
  <c r="K88" i="39"/>
  <c r="AK88" i="39" s="1"/>
  <c r="B88" i="39"/>
  <c r="AF88" i="39" s="1"/>
  <c r="C88" i="39"/>
  <c r="J88" i="39"/>
  <c r="AN88" i="39" s="1"/>
  <c r="AC46" i="39"/>
  <c r="AL46" i="39"/>
  <c r="AE46" i="39"/>
  <c r="AU95" i="39"/>
  <c r="E95" i="39"/>
  <c r="M95" i="39"/>
  <c r="AS95" i="39" s="1"/>
  <c r="I95" i="39"/>
  <c r="Q95" i="39"/>
  <c r="B95" i="39"/>
  <c r="AF95" i="39" s="1"/>
  <c r="J95" i="39"/>
  <c r="AN95" i="39" s="1"/>
  <c r="H95" i="39"/>
  <c r="D95" i="39"/>
  <c r="AJ95" i="39" s="1"/>
  <c r="P95" i="39"/>
  <c r="N95" i="39"/>
  <c r="O95" i="39"/>
  <c r="C95" i="39"/>
  <c r="F95" i="39"/>
  <c r="AM95" i="39" s="1"/>
  <c r="G95" i="39"/>
  <c r="K95" i="39"/>
  <c r="AK95" i="39" s="1"/>
  <c r="L95" i="39"/>
  <c r="AQ95" i="39" s="1"/>
  <c r="AC53" i="39"/>
  <c r="AL53" i="39"/>
  <c r="AE53" i="39"/>
  <c r="AU31" i="39"/>
  <c r="E31" i="39"/>
  <c r="M31" i="39"/>
  <c r="AS31" i="39" s="1"/>
  <c r="F31" i="39"/>
  <c r="AM31" i="39" s="1"/>
  <c r="N31" i="39"/>
  <c r="G31" i="39"/>
  <c r="O31" i="39"/>
  <c r="H31" i="39"/>
  <c r="P31" i="39"/>
  <c r="I31" i="39"/>
  <c r="Z31" i="39" s="1"/>
  <c r="Q31" i="39"/>
  <c r="B31" i="39"/>
  <c r="AF31" i="39" s="1"/>
  <c r="J31" i="39"/>
  <c r="AN31" i="39" s="1"/>
  <c r="C31" i="39"/>
  <c r="K31" i="39"/>
  <c r="AK31" i="39" s="1"/>
  <c r="D31" i="39"/>
  <c r="AJ31" i="39" s="1"/>
  <c r="L31" i="39"/>
  <c r="AQ31" i="39" s="1"/>
  <c r="AU70" i="39"/>
  <c r="F70" i="39"/>
  <c r="AM70" i="39" s="1"/>
  <c r="N70" i="39"/>
  <c r="G70" i="39"/>
  <c r="O70" i="39"/>
  <c r="H70" i="39"/>
  <c r="P70" i="39"/>
  <c r="I70" i="39"/>
  <c r="Q70" i="39"/>
  <c r="B70" i="39"/>
  <c r="AF70" i="39" s="1"/>
  <c r="J70" i="39"/>
  <c r="AN70" i="39" s="1"/>
  <c r="C70" i="39"/>
  <c r="K70" i="39"/>
  <c r="AK70" i="39" s="1"/>
  <c r="M70" i="39"/>
  <c r="AS70" i="39" s="1"/>
  <c r="D70" i="39"/>
  <c r="AJ70" i="39" s="1"/>
  <c r="E70" i="39"/>
  <c r="L70" i="39"/>
  <c r="AQ70" i="39" s="1"/>
  <c r="AE91" i="39"/>
  <c r="AL91" i="39"/>
  <c r="AC91" i="39"/>
  <c r="AU69" i="39"/>
  <c r="G69" i="39"/>
  <c r="O69" i="39"/>
  <c r="H69" i="39"/>
  <c r="P69" i="39"/>
  <c r="I69" i="39"/>
  <c r="Z69" i="39" s="1"/>
  <c r="Q69" i="39"/>
  <c r="B69" i="39"/>
  <c r="AF69" i="39" s="1"/>
  <c r="J69" i="39"/>
  <c r="AN69" i="39" s="1"/>
  <c r="C69" i="39"/>
  <c r="K69" i="39"/>
  <c r="AK69" i="39" s="1"/>
  <c r="D69" i="39"/>
  <c r="AJ69" i="39" s="1"/>
  <c r="L69" i="39"/>
  <c r="AQ69" i="39" s="1"/>
  <c r="F69" i="39"/>
  <c r="AM69" i="39" s="1"/>
  <c r="M69" i="39"/>
  <c r="AS69" i="39" s="1"/>
  <c r="N69" i="39"/>
  <c r="E69" i="39"/>
  <c r="AC82" i="39"/>
  <c r="AL82" i="39"/>
  <c r="AE82" i="39"/>
  <c r="AU60" i="39"/>
  <c r="H60" i="39"/>
  <c r="P60" i="39"/>
  <c r="I60" i="39"/>
  <c r="Q60" i="39"/>
  <c r="B60" i="39"/>
  <c r="AF60" i="39" s="1"/>
  <c r="J60" i="39"/>
  <c r="AN60" i="39" s="1"/>
  <c r="C60" i="39"/>
  <c r="K60" i="39"/>
  <c r="AK60" i="39" s="1"/>
  <c r="D60" i="39"/>
  <c r="AJ60" i="39" s="1"/>
  <c r="L60" i="39"/>
  <c r="AQ60" i="39" s="1"/>
  <c r="E60" i="39"/>
  <c r="M60" i="39"/>
  <c r="AS60" i="39" s="1"/>
  <c r="F60" i="39"/>
  <c r="AM60" i="39" s="1"/>
  <c r="N60" i="39"/>
  <c r="O60" i="39"/>
  <c r="G60" i="39"/>
  <c r="AL89" i="39"/>
  <c r="AC89" i="39"/>
  <c r="AE89" i="39"/>
  <c r="AU67" i="39"/>
  <c r="I67" i="39"/>
  <c r="Q67" i="39"/>
  <c r="B67" i="39"/>
  <c r="AF67" i="39" s="1"/>
  <c r="J67" i="39"/>
  <c r="AN67" i="39" s="1"/>
  <c r="C67" i="39"/>
  <c r="K67" i="39"/>
  <c r="AK67" i="39" s="1"/>
  <c r="D67" i="39"/>
  <c r="AJ67" i="39" s="1"/>
  <c r="L67" i="39"/>
  <c r="AQ67" i="39" s="1"/>
  <c r="E67" i="39"/>
  <c r="M67" i="39"/>
  <c r="AS67" i="39" s="1"/>
  <c r="F67" i="39"/>
  <c r="AM67" i="39" s="1"/>
  <c r="N67" i="39"/>
  <c r="G67" i="39"/>
  <c r="H67" i="39"/>
  <c r="O67" i="39"/>
  <c r="P67" i="39"/>
  <c r="AU447" i="39"/>
  <c r="E447" i="39"/>
  <c r="M447" i="39"/>
  <c r="AS447" i="39" s="1"/>
  <c r="B447" i="39"/>
  <c r="AF447" i="39" s="1"/>
  <c r="K447" i="39"/>
  <c r="AK447" i="39" s="1"/>
  <c r="C447" i="39"/>
  <c r="L447" i="39"/>
  <c r="AQ447" i="39" s="1"/>
  <c r="D447" i="39"/>
  <c r="AJ447" i="39" s="1"/>
  <c r="N447" i="39"/>
  <c r="J447" i="39"/>
  <c r="AN447" i="39" s="1"/>
  <c r="F447" i="39"/>
  <c r="AM447" i="39" s="1"/>
  <c r="O447" i="39"/>
  <c r="G447" i="39"/>
  <c r="P447" i="39"/>
  <c r="H447" i="39"/>
  <c r="Q447" i="39"/>
  <c r="I447" i="39"/>
  <c r="Z447" i="39" s="1"/>
  <c r="AP447" i="39" s="1"/>
  <c r="AC255" i="39"/>
  <c r="AL255" i="39"/>
  <c r="AE255" i="39"/>
  <c r="AE216" i="39"/>
  <c r="AC216" i="39"/>
  <c r="AL216" i="39"/>
  <c r="AC185" i="39"/>
  <c r="AE185" i="39"/>
  <c r="AL185" i="39"/>
  <c r="AC122" i="39"/>
  <c r="AL122" i="39"/>
  <c r="AE122" i="39"/>
  <c r="AU162" i="39"/>
  <c r="I162" i="39"/>
  <c r="Q162" i="39"/>
  <c r="C162" i="39"/>
  <c r="K162" i="39"/>
  <c r="AK162" i="39" s="1"/>
  <c r="E162" i="39"/>
  <c r="M162" i="39"/>
  <c r="AS162" i="39" s="1"/>
  <c r="F162" i="39"/>
  <c r="AM162" i="39" s="1"/>
  <c r="N162" i="39"/>
  <c r="G162" i="39"/>
  <c r="O162" i="39"/>
  <c r="P162" i="39"/>
  <c r="B162" i="39"/>
  <c r="AF162" i="39" s="1"/>
  <c r="D162" i="39"/>
  <c r="AJ162" i="39" s="1"/>
  <c r="H162" i="39"/>
  <c r="J162" i="39"/>
  <c r="AN162" i="39" s="1"/>
  <c r="L162" i="39"/>
  <c r="AQ162" i="39" s="1"/>
  <c r="AC77" i="39"/>
  <c r="AL77" i="39"/>
  <c r="AE77" i="39"/>
  <c r="AU55" i="39"/>
  <c r="E55" i="39"/>
  <c r="M55" i="39"/>
  <c r="AS55" i="39" s="1"/>
  <c r="F55" i="39"/>
  <c r="AM55" i="39" s="1"/>
  <c r="N55" i="39"/>
  <c r="G55" i="39"/>
  <c r="O55" i="39"/>
  <c r="H55" i="39"/>
  <c r="P55" i="39"/>
  <c r="I55" i="39"/>
  <c r="Z55" i="39" s="1"/>
  <c r="Q55" i="39"/>
  <c r="B55" i="39"/>
  <c r="AF55" i="39" s="1"/>
  <c r="J55" i="39"/>
  <c r="AN55" i="39" s="1"/>
  <c r="C55" i="39"/>
  <c r="K55" i="39"/>
  <c r="AK55" i="39" s="1"/>
  <c r="L55" i="39"/>
  <c r="AQ55" i="39" s="1"/>
  <c r="D55" i="39"/>
  <c r="AJ55" i="39" s="1"/>
  <c r="AC444" i="39"/>
  <c r="AL444" i="39"/>
  <c r="AE444" i="39"/>
  <c r="AU388" i="39"/>
  <c r="B388" i="39"/>
  <c r="AF388" i="39" s="1"/>
  <c r="J388" i="39"/>
  <c r="AN388" i="39" s="1"/>
  <c r="C388" i="39"/>
  <c r="K388" i="39"/>
  <c r="AK388" i="39" s="1"/>
  <c r="D388" i="39"/>
  <c r="AJ388" i="39" s="1"/>
  <c r="L388" i="39"/>
  <c r="AQ388" i="39" s="1"/>
  <c r="E388" i="39"/>
  <c r="M388" i="39"/>
  <c r="AS388" i="39" s="1"/>
  <c r="F388" i="39"/>
  <c r="AM388" i="39" s="1"/>
  <c r="N388" i="39"/>
  <c r="G388" i="39"/>
  <c r="O388" i="39"/>
  <c r="H388" i="39"/>
  <c r="P388" i="39"/>
  <c r="Q388" i="39"/>
  <c r="I388" i="39"/>
  <c r="AP388" i="39" s="1"/>
  <c r="AC452" i="39"/>
  <c r="AL452" i="39"/>
  <c r="AE452" i="39"/>
  <c r="AE415" i="39"/>
  <c r="AL415" i="39"/>
  <c r="AC415" i="39"/>
  <c r="AU436" i="39"/>
  <c r="D436" i="39"/>
  <c r="AJ436" i="39" s="1"/>
  <c r="L436" i="39"/>
  <c r="AQ436" i="39" s="1"/>
  <c r="G436" i="39"/>
  <c r="O436" i="39"/>
  <c r="H436" i="39"/>
  <c r="P436" i="39"/>
  <c r="B436" i="39"/>
  <c r="AF436" i="39" s="1"/>
  <c r="N436" i="39"/>
  <c r="C436" i="39"/>
  <c r="Q436" i="39"/>
  <c r="E436" i="39"/>
  <c r="F436" i="39"/>
  <c r="AM436" i="39" s="1"/>
  <c r="I436" i="39"/>
  <c r="Z436" i="39" s="1"/>
  <c r="J436" i="39"/>
  <c r="AN436" i="39" s="1"/>
  <c r="M436" i="39"/>
  <c r="AS436" i="39" s="1"/>
  <c r="K436" i="39"/>
  <c r="AK436" i="39" s="1"/>
  <c r="AU430" i="39"/>
  <c r="B430" i="39"/>
  <c r="AF430" i="39" s="1"/>
  <c r="J430" i="39"/>
  <c r="AN430" i="39" s="1"/>
  <c r="E430" i="39"/>
  <c r="M430" i="39"/>
  <c r="AS430" i="39" s="1"/>
  <c r="F430" i="39"/>
  <c r="AM430" i="39" s="1"/>
  <c r="N430" i="39"/>
  <c r="K430" i="39"/>
  <c r="AK430" i="39" s="1"/>
  <c r="L430" i="39"/>
  <c r="AQ430" i="39" s="1"/>
  <c r="O430" i="39"/>
  <c r="C430" i="39"/>
  <c r="P430" i="39"/>
  <c r="D430" i="39"/>
  <c r="AJ430" i="39" s="1"/>
  <c r="Q430" i="39"/>
  <c r="G430" i="39"/>
  <c r="I430" i="39"/>
  <c r="Z430" i="39" s="1"/>
  <c r="H430" i="39"/>
  <c r="AU450" i="39"/>
  <c r="B450" i="39"/>
  <c r="AF450" i="39" s="1"/>
  <c r="J450" i="39"/>
  <c r="AN450" i="39" s="1"/>
  <c r="I450" i="39"/>
  <c r="Z450" i="39" s="1"/>
  <c r="K450" i="39"/>
  <c r="AK450" i="39" s="1"/>
  <c r="C450" i="39"/>
  <c r="L450" i="39"/>
  <c r="AQ450" i="39" s="1"/>
  <c r="D450" i="39"/>
  <c r="AJ450" i="39" s="1"/>
  <c r="M450" i="39"/>
  <c r="AS450" i="39" s="1"/>
  <c r="E450" i="39"/>
  <c r="N450" i="39"/>
  <c r="F450" i="39"/>
  <c r="AM450" i="39" s="1"/>
  <c r="O450" i="39"/>
  <c r="Q450" i="39"/>
  <c r="G450" i="39"/>
  <c r="P450" i="39"/>
  <c r="H450" i="39"/>
  <c r="AC386" i="39"/>
  <c r="AL386" i="39"/>
  <c r="AE386" i="39"/>
  <c r="AU454" i="39"/>
  <c r="F454" i="39"/>
  <c r="AM454" i="39" s="1"/>
  <c r="N454" i="39"/>
  <c r="J454" i="39"/>
  <c r="AN454" i="39" s="1"/>
  <c r="I454" i="39"/>
  <c r="B454" i="39"/>
  <c r="AF454" i="39" s="1"/>
  <c r="K454" i="39"/>
  <c r="AK454" i="39" s="1"/>
  <c r="C454" i="39"/>
  <c r="L454" i="39"/>
  <c r="AQ454" i="39" s="1"/>
  <c r="D454" i="39"/>
  <c r="AJ454" i="39" s="1"/>
  <c r="M454" i="39"/>
  <c r="AS454" i="39" s="1"/>
  <c r="E454" i="39"/>
  <c r="O454" i="39"/>
  <c r="G454" i="39"/>
  <c r="P454" i="39"/>
  <c r="H454" i="39"/>
  <c r="Q454" i="39"/>
  <c r="AC433" i="39"/>
  <c r="AL433" i="39"/>
  <c r="AE433" i="39"/>
  <c r="AU411" i="39"/>
  <c r="C411" i="39"/>
  <c r="K411" i="39"/>
  <c r="AK411" i="39" s="1"/>
  <c r="E411" i="39"/>
  <c r="M411" i="39"/>
  <c r="AS411" i="39" s="1"/>
  <c r="F411" i="39"/>
  <c r="AM411" i="39" s="1"/>
  <c r="N411" i="39"/>
  <c r="H411" i="39"/>
  <c r="P411" i="39"/>
  <c r="I411" i="39"/>
  <c r="Q411" i="39"/>
  <c r="B411" i="39"/>
  <c r="AF411" i="39" s="1"/>
  <c r="D411" i="39"/>
  <c r="AJ411" i="39" s="1"/>
  <c r="G411" i="39"/>
  <c r="J411" i="39"/>
  <c r="AN411" i="39" s="1"/>
  <c r="L411" i="39"/>
  <c r="AQ411" i="39" s="1"/>
  <c r="O411" i="39"/>
  <c r="AC369" i="39"/>
  <c r="AL369" i="39"/>
  <c r="AE369" i="39"/>
  <c r="AU347" i="39"/>
  <c r="C347" i="39"/>
  <c r="K347" i="39"/>
  <c r="AK347" i="39" s="1"/>
  <c r="D347" i="39"/>
  <c r="AJ347" i="39" s="1"/>
  <c r="L347" i="39"/>
  <c r="AQ347" i="39" s="1"/>
  <c r="E347" i="39"/>
  <c r="M347" i="39"/>
  <c r="AS347" i="39" s="1"/>
  <c r="F347" i="39"/>
  <c r="AM347" i="39" s="1"/>
  <c r="N347" i="39"/>
  <c r="G347" i="39"/>
  <c r="O347" i="39"/>
  <c r="H347" i="39"/>
  <c r="P347" i="39"/>
  <c r="I347" i="39"/>
  <c r="Q347" i="39"/>
  <c r="B347" i="39"/>
  <c r="AF347" i="39" s="1"/>
  <c r="J347" i="39"/>
  <c r="AN347" i="39" s="1"/>
  <c r="AU325" i="39"/>
  <c r="E325" i="39"/>
  <c r="M325" i="39"/>
  <c r="AS325" i="39" s="1"/>
  <c r="F325" i="39"/>
  <c r="AM325" i="39" s="1"/>
  <c r="N325" i="39"/>
  <c r="B325" i="39"/>
  <c r="AF325" i="39" s="1"/>
  <c r="J325" i="39"/>
  <c r="AN325" i="39" s="1"/>
  <c r="D325" i="39"/>
  <c r="AJ325" i="39" s="1"/>
  <c r="Q325" i="39"/>
  <c r="G325" i="39"/>
  <c r="H325" i="39"/>
  <c r="I325" i="39"/>
  <c r="K325" i="39"/>
  <c r="AK325" i="39" s="1"/>
  <c r="L325" i="39"/>
  <c r="AQ325" i="39" s="1"/>
  <c r="O325" i="39"/>
  <c r="P325" i="39"/>
  <c r="C325" i="39"/>
  <c r="AL408" i="39"/>
  <c r="AC408" i="39"/>
  <c r="AE408" i="39"/>
  <c r="AU386" i="39"/>
  <c r="D386" i="39"/>
  <c r="AJ386" i="39" s="1"/>
  <c r="L386" i="39"/>
  <c r="AQ386" i="39" s="1"/>
  <c r="E386" i="39"/>
  <c r="M386" i="39"/>
  <c r="AS386" i="39" s="1"/>
  <c r="F386" i="39"/>
  <c r="AM386" i="39" s="1"/>
  <c r="N386" i="39"/>
  <c r="G386" i="39"/>
  <c r="O386" i="39"/>
  <c r="H386" i="39"/>
  <c r="P386" i="39"/>
  <c r="I386" i="39"/>
  <c r="Q386" i="39"/>
  <c r="B386" i="39"/>
  <c r="AF386" i="39" s="1"/>
  <c r="J386" i="39"/>
  <c r="AN386" i="39" s="1"/>
  <c r="K386" i="39"/>
  <c r="AK386" i="39" s="1"/>
  <c r="C386" i="39"/>
  <c r="AE344" i="39"/>
  <c r="AC344" i="39"/>
  <c r="AL344" i="39"/>
  <c r="AC301" i="39"/>
  <c r="AL301" i="39"/>
  <c r="AE301" i="39"/>
  <c r="AC391" i="39"/>
  <c r="AL391" i="39"/>
  <c r="AE391" i="39"/>
  <c r="AU369" i="39"/>
  <c r="E369" i="39"/>
  <c r="M369" i="39"/>
  <c r="AS369" i="39" s="1"/>
  <c r="F369" i="39"/>
  <c r="AM369" i="39" s="1"/>
  <c r="N369" i="39"/>
  <c r="G369" i="39"/>
  <c r="O369" i="39"/>
  <c r="H369" i="39"/>
  <c r="P369" i="39"/>
  <c r="I369" i="39"/>
  <c r="Q369" i="39"/>
  <c r="B369" i="39"/>
  <c r="AF369" i="39" s="1"/>
  <c r="J369" i="39"/>
  <c r="AN369" i="39" s="1"/>
  <c r="C369" i="39"/>
  <c r="K369" i="39"/>
  <c r="AK369" i="39" s="1"/>
  <c r="D369" i="39"/>
  <c r="AJ369" i="39" s="1"/>
  <c r="L369" i="39"/>
  <c r="AQ369" i="39" s="1"/>
  <c r="AU316" i="39"/>
  <c r="F316" i="39"/>
  <c r="AM316" i="39" s="1"/>
  <c r="N316" i="39"/>
  <c r="G316" i="39"/>
  <c r="O316" i="39"/>
  <c r="B316" i="39"/>
  <c r="AF316" i="39" s="1"/>
  <c r="J316" i="39"/>
  <c r="AN316" i="39" s="1"/>
  <c r="C316" i="39"/>
  <c r="K316" i="39"/>
  <c r="AK316" i="39" s="1"/>
  <c r="I316" i="39"/>
  <c r="L316" i="39"/>
  <c r="AQ316" i="39" s="1"/>
  <c r="M316" i="39"/>
  <c r="AS316" i="39" s="1"/>
  <c r="P316" i="39"/>
  <c r="Q316" i="39"/>
  <c r="D316" i="39"/>
  <c r="AJ316" i="39" s="1"/>
  <c r="E316" i="39"/>
  <c r="H316" i="39"/>
  <c r="AC390" i="39"/>
  <c r="AE390" i="39"/>
  <c r="AL390" i="39"/>
  <c r="AU368" i="39"/>
  <c r="F368" i="39"/>
  <c r="AM368" i="39" s="1"/>
  <c r="N368" i="39"/>
  <c r="G368" i="39"/>
  <c r="O368" i="39"/>
  <c r="H368" i="39"/>
  <c r="P368" i="39"/>
  <c r="I368" i="39"/>
  <c r="Q368" i="39"/>
  <c r="B368" i="39"/>
  <c r="AF368" i="39" s="1"/>
  <c r="J368" i="39"/>
  <c r="AN368" i="39" s="1"/>
  <c r="C368" i="39"/>
  <c r="K368" i="39"/>
  <c r="AK368" i="39" s="1"/>
  <c r="D368" i="39"/>
  <c r="AJ368" i="39" s="1"/>
  <c r="L368" i="39"/>
  <c r="AQ368" i="39" s="1"/>
  <c r="M368" i="39"/>
  <c r="AS368" i="39" s="1"/>
  <c r="E368" i="39"/>
  <c r="AU327" i="39"/>
  <c r="H327" i="39"/>
  <c r="P327" i="39"/>
  <c r="F327" i="39"/>
  <c r="AM327" i="39" s="1"/>
  <c r="O327" i="39"/>
  <c r="G327" i="39"/>
  <c r="Q327" i="39"/>
  <c r="I327" i="39"/>
  <c r="J327" i="39"/>
  <c r="AN327" i="39" s="1"/>
  <c r="B327" i="39"/>
  <c r="AF327" i="39" s="1"/>
  <c r="K327" i="39"/>
  <c r="AK327" i="39" s="1"/>
  <c r="C327" i="39"/>
  <c r="L327" i="39"/>
  <c r="AQ327" i="39" s="1"/>
  <c r="D327" i="39"/>
  <c r="AJ327" i="39" s="1"/>
  <c r="M327" i="39"/>
  <c r="AS327" i="39" s="1"/>
  <c r="E327" i="39"/>
  <c r="N327" i="39"/>
  <c r="AC437" i="39"/>
  <c r="AL437" i="39"/>
  <c r="AE437" i="39"/>
  <c r="AU415" i="39"/>
  <c r="I415" i="39"/>
  <c r="Q415" i="39"/>
  <c r="B415" i="39"/>
  <c r="AF415" i="39" s="1"/>
  <c r="J415" i="39"/>
  <c r="AN415" i="39" s="1"/>
  <c r="D415" i="39"/>
  <c r="AJ415" i="39" s="1"/>
  <c r="L415" i="39"/>
  <c r="AQ415" i="39" s="1"/>
  <c r="E415" i="39"/>
  <c r="M415" i="39"/>
  <c r="AS415" i="39" s="1"/>
  <c r="N415" i="39"/>
  <c r="O415" i="39"/>
  <c r="P415" i="39"/>
  <c r="C415" i="39"/>
  <c r="F415" i="39"/>
  <c r="AM415" i="39" s="1"/>
  <c r="G415" i="39"/>
  <c r="H415" i="39"/>
  <c r="K415" i="39"/>
  <c r="AK415" i="39" s="1"/>
  <c r="AC373" i="39"/>
  <c r="AL373" i="39"/>
  <c r="AE373" i="39"/>
  <c r="AU351" i="39"/>
  <c r="G351" i="39"/>
  <c r="O351" i="39"/>
  <c r="H351" i="39"/>
  <c r="P351" i="39"/>
  <c r="I351" i="39"/>
  <c r="Q351" i="39"/>
  <c r="B351" i="39"/>
  <c r="AF351" i="39" s="1"/>
  <c r="J351" i="39"/>
  <c r="AN351" i="39" s="1"/>
  <c r="C351" i="39"/>
  <c r="K351" i="39"/>
  <c r="AK351" i="39" s="1"/>
  <c r="D351" i="39"/>
  <c r="AJ351" i="39" s="1"/>
  <c r="L351" i="39"/>
  <c r="AQ351" i="39" s="1"/>
  <c r="E351" i="39"/>
  <c r="M351" i="39"/>
  <c r="AS351" i="39" s="1"/>
  <c r="F351" i="39"/>
  <c r="AM351" i="39" s="1"/>
  <c r="N351" i="39"/>
  <c r="AC335" i="39"/>
  <c r="AL335" i="39"/>
  <c r="AE335" i="39"/>
  <c r="AC372" i="39"/>
  <c r="AE372" i="39"/>
  <c r="AL372" i="39"/>
  <c r="AU350" i="39"/>
  <c r="H350" i="39"/>
  <c r="P350" i="39"/>
  <c r="I350" i="39"/>
  <c r="Q350" i="39"/>
  <c r="B350" i="39"/>
  <c r="AF350" i="39" s="1"/>
  <c r="J350" i="39"/>
  <c r="AN350" i="39" s="1"/>
  <c r="C350" i="39"/>
  <c r="K350" i="39"/>
  <c r="AK350" i="39" s="1"/>
  <c r="D350" i="39"/>
  <c r="AJ350" i="39" s="1"/>
  <c r="L350" i="39"/>
  <c r="AQ350" i="39" s="1"/>
  <c r="E350" i="39"/>
  <c r="M350" i="39"/>
  <c r="AS350" i="39" s="1"/>
  <c r="F350" i="39"/>
  <c r="AM350" i="39" s="1"/>
  <c r="N350" i="39"/>
  <c r="O350" i="39"/>
  <c r="G350" i="39"/>
  <c r="AE328" i="39"/>
  <c r="AC328" i="39"/>
  <c r="AL328" i="39"/>
  <c r="AC395" i="39"/>
  <c r="AL395" i="39"/>
  <c r="AE395" i="39"/>
  <c r="AU373" i="39"/>
  <c r="I373" i="39"/>
  <c r="Q373" i="39"/>
  <c r="B373" i="39"/>
  <c r="AF373" i="39" s="1"/>
  <c r="J373" i="39"/>
  <c r="AN373" i="39" s="1"/>
  <c r="C373" i="39"/>
  <c r="K373" i="39"/>
  <c r="AK373" i="39" s="1"/>
  <c r="D373" i="39"/>
  <c r="AJ373" i="39" s="1"/>
  <c r="L373" i="39"/>
  <c r="AQ373" i="39" s="1"/>
  <c r="E373" i="39"/>
  <c r="M373" i="39"/>
  <c r="AS373" i="39" s="1"/>
  <c r="F373" i="39"/>
  <c r="AM373" i="39" s="1"/>
  <c r="N373" i="39"/>
  <c r="G373" i="39"/>
  <c r="O373" i="39"/>
  <c r="P373" i="39"/>
  <c r="H373" i="39"/>
  <c r="AC316" i="39"/>
  <c r="AL316" i="39"/>
  <c r="AE316" i="39"/>
  <c r="AU294" i="39"/>
  <c r="C294" i="39"/>
  <c r="K294" i="39"/>
  <c r="AK294" i="39" s="1"/>
  <c r="D294" i="39"/>
  <c r="AJ294" i="39" s="1"/>
  <c r="L294" i="39"/>
  <c r="AQ294" i="39" s="1"/>
  <c r="E294" i="39"/>
  <c r="M294" i="39"/>
  <c r="AS294" i="39" s="1"/>
  <c r="F294" i="39"/>
  <c r="AM294" i="39" s="1"/>
  <c r="N294" i="39"/>
  <c r="G294" i="39"/>
  <c r="O294" i="39"/>
  <c r="H294" i="39"/>
  <c r="P294" i="39"/>
  <c r="I294" i="39"/>
  <c r="Q294" i="39"/>
  <c r="B294" i="39"/>
  <c r="AF294" i="39" s="1"/>
  <c r="J294" i="39"/>
  <c r="AN294" i="39" s="1"/>
  <c r="AE278" i="39"/>
  <c r="AC278" i="39"/>
  <c r="AL278" i="39"/>
  <c r="AE239" i="39"/>
  <c r="AL239" i="39"/>
  <c r="AC239" i="39"/>
  <c r="AU309" i="39"/>
  <c r="E309" i="39"/>
  <c r="M309" i="39"/>
  <c r="AS309" i="39" s="1"/>
  <c r="F309" i="39"/>
  <c r="AM309" i="39" s="1"/>
  <c r="N309" i="39"/>
  <c r="G309" i="39"/>
  <c r="O309" i="39"/>
  <c r="H309" i="39"/>
  <c r="P309" i="39"/>
  <c r="I309" i="39"/>
  <c r="Q309" i="39"/>
  <c r="B309" i="39"/>
  <c r="AF309" i="39" s="1"/>
  <c r="J309" i="39"/>
  <c r="AN309" i="39" s="1"/>
  <c r="L309" i="39"/>
  <c r="AQ309" i="39" s="1"/>
  <c r="C309" i="39"/>
  <c r="D309" i="39"/>
  <c r="AJ309" i="39" s="1"/>
  <c r="K309" i="39"/>
  <c r="AK309" i="39" s="1"/>
  <c r="AC270" i="39"/>
  <c r="AL270" i="39"/>
  <c r="AE270" i="39"/>
  <c r="AE253" i="39"/>
  <c r="AC253" i="39"/>
  <c r="AL253" i="39"/>
  <c r="AU283" i="39"/>
  <c r="D283" i="39"/>
  <c r="AJ283" i="39" s="1"/>
  <c r="F283" i="39"/>
  <c r="AM283" i="39" s="1"/>
  <c r="N283" i="39"/>
  <c r="G283" i="39"/>
  <c r="O283" i="39"/>
  <c r="H283" i="39"/>
  <c r="P283" i="39"/>
  <c r="I283" i="39"/>
  <c r="Q283" i="39"/>
  <c r="J283" i="39"/>
  <c r="AN283" i="39" s="1"/>
  <c r="B283" i="39"/>
  <c r="AF283" i="39" s="1"/>
  <c r="K283" i="39"/>
  <c r="AK283" i="39" s="1"/>
  <c r="C283" i="39"/>
  <c r="L283" i="39"/>
  <c r="AQ283" i="39" s="1"/>
  <c r="E283" i="39"/>
  <c r="M283" i="39"/>
  <c r="AS283" i="39" s="1"/>
  <c r="AU249" i="39"/>
  <c r="B249" i="39"/>
  <c r="AF249" i="39" s="1"/>
  <c r="J249" i="39"/>
  <c r="AN249" i="39" s="1"/>
  <c r="D249" i="39"/>
  <c r="AJ249" i="39" s="1"/>
  <c r="L249" i="39"/>
  <c r="AQ249" i="39" s="1"/>
  <c r="F249" i="39"/>
  <c r="AM249" i="39" s="1"/>
  <c r="N249" i="39"/>
  <c r="H249" i="39"/>
  <c r="I249" i="39"/>
  <c r="K249" i="39"/>
  <c r="AK249" i="39" s="1"/>
  <c r="M249" i="39"/>
  <c r="AS249" i="39" s="1"/>
  <c r="O249" i="39"/>
  <c r="C249" i="39"/>
  <c r="P249" i="39"/>
  <c r="E249" i="39"/>
  <c r="Q249" i="39"/>
  <c r="G249" i="39"/>
  <c r="AU198" i="39"/>
  <c r="C198" i="39"/>
  <c r="K198" i="39"/>
  <c r="AK198" i="39" s="1"/>
  <c r="B198" i="39"/>
  <c r="AF198" i="39" s="1"/>
  <c r="L198" i="39"/>
  <c r="AQ198" i="39" s="1"/>
  <c r="D198" i="39"/>
  <c r="AJ198" i="39" s="1"/>
  <c r="M198" i="39"/>
  <c r="AS198" i="39" s="1"/>
  <c r="E198" i="39"/>
  <c r="N198" i="39"/>
  <c r="F198" i="39"/>
  <c r="AM198" i="39" s="1"/>
  <c r="O198" i="39"/>
  <c r="G198" i="39"/>
  <c r="P198" i="39"/>
  <c r="H198" i="39"/>
  <c r="Q198" i="39"/>
  <c r="I198" i="39"/>
  <c r="J198" i="39"/>
  <c r="AN198" i="39" s="1"/>
  <c r="AU291" i="39"/>
  <c r="F291" i="39"/>
  <c r="AM291" i="39" s="1"/>
  <c r="N291" i="39"/>
  <c r="G291" i="39"/>
  <c r="O291" i="39"/>
  <c r="H291" i="39"/>
  <c r="P291" i="39"/>
  <c r="I291" i="39"/>
  <c r="Q291" i="39"/>
  <c r="B291" i="39"/>
  <c r="AF291" i="39" s="1"/>
  <c r="J291" i="39"/>
  <c r="AN291" i="39" s="1"/>
  <c r="C291" i="39"/>
  <c r="K291" i="39"/>
  <c r="AK291" i="39" s="1"/>
  <c r="D291" i="39"/>
  <c r="AJ291" i="39" s="1"/>
  <c r="L291" i="39"/>
  <c r="AQ291" i="39" s="1"/>
  <c r="E291" i="39"/>
  <c r="M291" i="39"/>
  <c r="AS291" i="39" s="1"/>
  <c r="AC304" i="39"/>
  <c r="AL304" i="39"/>
  <c r="AE304" i="39"/>
  <c r="AC280" i="39"/>
  <c r="AL280" i="39"/>
  <c r="AE280" i="39"/>
  <c r="AU165" i="39"/>
  <c r="F165" i="39"/>
  <c r="AM165" i="39" s="1"/>
  <c r="N165" i="39"/>
  <c r="H165" i="39"/>
  <c r="P165" i="39"/>
  <c r="B165" i="39"/>
  <c r="AF165" i="39" s="1"/>
  <c r="J165" i="39"/>
  <c r="AN165" i="39" s="1"/>
  <c r="C165" i="39"/>
  <c r="K165" i="39"/>
  <c r="AK165" i="39" s="1"/>
  <c r="D165" i="39"/>
  <c r="AJ165" i="39" s="1"/>
  <c r="L165" i="39"/>
  <c r="AQ165" i="39" s="1"/>
  <c r="E165" i="39"/>
  <c r="G165" i="39"/>
  <c r="I165" i="39"/>
  <c r="M165" i="39"/>
  <c r="AS165" i="39" s="1"/>
  <c r="O165" i="39"/>
  <c r="Q165" i="39"/>
  <c r="AU305" i="39"/>
  <c r="H305" i="39"/>
  <c r="P305" i="39"/>
  <c r="I305" i="39"/>
  <c r="Q305" i="39"/>
  <c r="B305" i="39"/>
  <c r="AF305" i="39" s="1"/>
  <c r="J305" i="39"/>
  <c r="AN305" i="39" s="1"/>
  <c r="C305" i="39"/>
  <c r="K305" i="39"/>
  <c r="AK305" i="39" s="1"/>
  <c r="D305" i="39"/>
  <c r="AJ305" i="39" s="1"/>
  <c r="L305" i="39"/>
  <c r="AQ305" i="39" s="1"/>
  <c r="E305" i="39"/>
  <c r="M305" i="39"/>
  <c r="AS305" i="39" s="1"/>
  <c r="F305" i="39"/>
  <c r="AM305" i="39" s="1"/>
  <c r="N305" i="39"/>
  <c r="G305" i="39"/>
  <c r="O305" i="39"/>
  <c r="AU255" i="39"/>
  <c r="D255" i="39"/>
  <c r="AJ255" i="39" s="1"/>
  <c r="L255" i="39"/>
  <c r="AQ255" i="39" s="1"/>
  <c r="F255" i="39"/>
  <c r="AM255" i="39" s="1"/>
  <c r="N255" i="39"/>
  <c r="H255" i="39"/>
  <c r="P255" i="39"/>
  <c r="K255" i="39"/>
  <c r="AK255" i="39" s="1"/>
  <c r="M255" i="39"/>
  <c r="AS255" i="39" s="1"/>
  <c r="B255" i="39"/>
  <c r="AF255" i="39" s="1"/>
  <c r="O255" i="39"/>
  <c r="C255" i="39"/>
  <c r="Q255" i="39"/>
  <c r="E255" i="39"/>
  <c r="G255" i="39"/>
  <c r="I255" i="39"/>
  <c r="J255" i="39"/>
  <c r="AN255" i="39" s="1"/>
  <c r="AU273" i="39"/>
  <c r="B273" i="39"/>
  <c r="AF273" i="39" s="1"/>
  <c r="J273" i="39"/>
  <c r="AN273" i="39" s="1"/>
  <c r="F273" i="39"/>
  <c r="AM273" i="39" s="1"/>
  <c r="N273" i="39"/>
  <c r="L273" i="39"/>
  <c r="AQ273" i="39" s="1"/>
  <c r="C273" i="39"/>
  <c r="M273" i="39"/>
  <c r="AS273" i="39" s="1"/>
  <c r="D273" i="39"/>
  <c r="AJ273" i="39" s="1"/>
  <c r="O273" i="39"/>
  <c r="E273" i="39"/>
  <c r="P273" i="39"/>
  <c r="G273" i="39"/>
  <c r="Q273" i="39"/>
  <c r="H273" i="39"/>
  <c r="I273" i="39"/>
  <c r="K273" i="39"/>
  <c r="AK273" i="39" s="1"/>
  <c r="AE245" i="39"/>
  <c r="AC245" i="39"/>
  <c r="AL245" i="39"/>
  <c r="AE252" i="39"/>
  <c r="AC252" i="39"/>
  <c r="AL252" i="39"/>
  <c r="AU230" i="39"/>
  <c r="C230" i="39"/>
  <c r="K230" i="39"/>
  <c r="AK230" i="39" s="1"/>
  <c r="E230" i="39"/>
  <c r="M230" i="39"/>
  <c r="AS230" i="39" s="1"/>
  <c r="G230" i="39"/>
  <c r="O230" i="39"/>
  <c r="H230" i="39"/>
  <c r="P230" i="39"/>
  <c r="I230" i="39"/>
  <c r="Q230" i="39"/>
  <c r="B230" i="39"/>
  <c r="AF230" i="39" s="1"/>
  <c r="D230" i="39"/>
  <c r="AJ230" i="39" s="1"/>
  <c r="F230" i="39"/>
  <c r="AM230" i="39" s="1"/>
  <c r="J230" i="39"/>
  <c r="AN230" i="39" s="1"/>
  <c r="L230" i="39"/>
  <c r="AQ230" i="39" s="1"/>
  <c r="N230" i="39"/>
  <c r="AL187" i="39"/>
  <c r="AC187" i="39"/>
  <c r="AE187" i="39"/>
  <c r="AU199" i="39"/>
  <c r="B199" i="39"/>
  <c r="AF199" i="39" s="1"/>
  <c r="J199" i="39"/>
  <c r="AN199" i="39" s="1"/>
  <c r="E199" i="39"/>
  <c r="N199" i="39"/>
  <c r="F199" i="39"/>
  <c r="AM199" i="39" s="1"/>
  <c r="O199" i="39"/>
  <c r="G199" i="39"/>
  <c r="P199" i="39"/>
  <c r="H199" i="39"/>
  <c r="Q199" i="39"/>
  <c r="I199" i="39"/>
  <c r="K199" i="39"/>
  <c r="AK199" i="39" s="1"/>
  <c r="C199" i="39"/>
  <c r="L199" i="39"/>
  <c r="AQ199" i="39" s="1"/>
  <c r="M199" i="39"/>
  <c r="AS199" i="39" s="1"/>
  <c r="D199" i="39"/>
  <c r="AJ199" i="39" s="1"/>
  <c r="AL168" i="39"/>
  <c r="AC168" i="39"/>
  <c r="AE168" i="39"/>
  <c r="AC218" i="39"/>
  <c r="AL218" i="39"/>
  <c r="AE218" i="39"/>
  <c r="AC199" i="39"/>
  <c r="AL199" i="39"/>
  <c r="AE199" i="39"/>
  <c r="AU155" i="39"/>
  <c r="H155" i="39"/>
  <c r="P155" i="39"/>
  <c r="B155" i="39"/>
  <c r="AF155" i="39" s="1"/>
  <c r="J155" i="39"/>
  <c r="AN155" i="39" s="1"/>
  <c r="C155" i="39"/>
  <c r="K155" i="39"/>
  <c r="AK155" i="39" s="1"/>
  <c r="D155" i="39"/>
  <c r="AJ155" i="39" s="1"/>
  <c r="L155" i="39"/>
  <c r="AQ155" i="39" s="1"/>
  <c r="E155" i="39"/>
  <c r="M155" i="39"/>
  <c r="AS155" i="39" s="1"/>
  <c r="F155" i="39"/>
  <c r="AM155" i="39" s="1"/>
  <c r="N155" i="39"/>
  <c r="Q155" i="39"/>
  <c r="G155" i="39"/>
  <c r="I155" i="39"/>
  <c r="O155" i="39"/>
  <c r="AE192" i="39"/>
  <c r="AC192" i="39"/>
  <c r="AL192" i="39"/>
  <c r="AU173" i="39"/>
  <c r="H173" i="39"/>
  <c r="P173" i="39"/>
  <c r="B173" i="39"/>
  <c r="AF173" i="39" s="1"/>
  <c r="J173" i="39"/>
  <c r="AN173" i="39" s="1"/>
  <c r="D173" i="39"/>
  <c r="AJ173" i="39" s="1"/>
  <c r="L173" i="39"/>
  <c r="AQ173" i="39" s="1"/>
  <c r="I173" i="39"/>
  <c r="K173" i="39"/>
  <c r="AK173" i="39" s="1"/>
  <c r="M173" i="39"/>
  <c r="AS173" i="39" s="1"/>
  <c r="N173" i="39"/>
  <c r="C173" i="39"/>
  <c r="O173" i="39"/>
  <c r="E173" i="39"/>
  <c r="Q173" i="39"/>
  <c r="F173" i="39"/>
  <c r="AM173" i="39" s="1"/>
  <c r="G173" i="39"/>
  <c r="AU274" i="39"/>
  <c r="I274" i="39"/>
  <c r="Q274" i="39"/>
  <c r="E274" i="39"/>
  <c r="M274" i="39"/>
  <c r="AS274" i="39" s="1"/>
  <c r="H274" i="39"/>
  <c r="J274" i="39"/>
  <c r="AN274" i="39" s="1"/>
  <c r="K274" i="39"/>
  <c r="AK274" i="39" s="1"/>
  <c r="B274" i="39"/>
  <c r="AF274" i="39" s="1"/>
  <c r="L274" i="39"/>
  <c r="AQ274" i="39" s="1"/>
  <c r="C274" i="39"/>
  <c r="N274" i="39"/>
  <c r="D274" i="39"/>
  <c r="AJ274" i="39" s="1"/>
  <c r="O274" i="39"/>
  <c r="F274" i="39"/>
  <c r="AM274" i="39" s="1"/>
  <c r="P274" i="39"/>
  <c r="G274" i="39"/>
  <c r="AL232" i="39"/>
  <c r="AC232" i="39"/>
  <c r="AE232" i="39"/>
  <c r="AU210" i="39"/>
  <c r="G210" i="39"/>
  <c r="O210" i="39"/>
  <c r="H210" i="39"/>
  <c r="P210" i="39"/>
  <c r="I210" i="39"/>
  <c r="Q210" i="39"/>
  <c r="B210" i="39"/>
  <c r="AF210" i="39" s="1"/>
  <c r="J210" i="39"/>
  <c r="AN210" i="39" s="1"/>
  <c r="C210" i="39"/>
  <c r="K210" i="39"/>
  <c r="AK210" i="39" s="1"/>
  <c r="D210" i="39"/>
  <c r="AJ210" i="39" s="1"/>
  <c r="L210" i="39"/>
  <c r="AQ210" i="39" s="1"/>
  <c r="E210" i="39"/>
  <c r="M210" i="39"/>
  <c r="AS210" i="39" s="1"/>
  <c r="F210" i="39"/>
  <c r="AM210" i="39" s="1"/>
  <c r="N210" i="39"/>
  <c r="AU175" i="39"/>
  <c r="F175" i="39"/>
  <c r="AM175" i="39" s="1"/>
  <c r="N175" i="39"/>
  <c r="H175" i="39"/>
  <c r="P175" i="39"/>
  <c r="B175" i="39"/>
  <c r="AF175" i="39" s="1"/>
  <c r="J175" i="39"/>
  <c r="AN175" i="39" s="1"/>
  <c r="K175" i="39"/>
  <c r="AK175" i="39" s="1"/>
  <c r="L175" i="39"/>
  <c r="AQ175" i="39" s="1"/>
  <c r="M175" i="39"/>
  <c r="AS175" i="39" s="1"/>
  <c r="C175" i="39"/>
  <c r="O175" i="39"/>
  <c r="D175" i="39"/>
  <c r="AJ175" i="39" s="1"/>
  <c r="Q175" i="39"/>
  <c r="E175" i="39"/>
  <c r="G175" i="39"/>
  <c r="I175" i="39"/>
  <c r="AE215" i="39"/>
  <c r="AL215" i="39"/>
  <c r="AC215" i="39"/>
  <c r="AE194" i="39"/>
  <c r="AL194" i="39"/>
  <c r="AC194" i="39"/>
  <c r="AU161" i="39"/>
  <c r="B161" i="39"/>
  <c r="AF161" i="39" s="1"/>
  <c r="J161" i="39"/>
  <c r="AN161" i="39" s="1"/>
  <c r="D161" i="39"/>
  <c r="AJ161" i="39" s="1"/>
  <c r="L161" i="39"/>
  <c r="AQ161" i="39" s="1"/>
  <c r="F161" i="39"/>
  <c r="AM161" i="39" s="1"/>
  <c r="N161" i="39"/>
  <c r="G161" i="39"/>
  <c r="O161" i="39"/>
  <c r="H161" i="39"/>
  <c r="P161" i="39"/>
  <c r="C161" i="39"/>
  <c r="E161" i="39"/>
  <c r="I161" i="39"/>
  <c r="K161" i="39"/>
  <c r="AK161" i="39" s="1"/>
  <c r="M161" i="39"/>
  <c r="AS161" i="39" s="1"/>
  <c r="Q161" i="39"/>
  <c r="AL230" i="39"/>
  <c r="AC230" i="39"/>
  <c r="AE230" i="39"/>
  <c r="AU208" i="39"/>
  <c r="I208" i="39"/>
  <c r="Q208" i="39"/>
  <c r="B208" i="39"/>
  <c r="AF208" i="39" s="1"/>
  <c r="J208" i="39"/>
  <c r="AN208" i="39" s="1"/>
  <c r="C208" i="39"/>
  <c r="K208" i="39"/>
  <c r="AK208" i="39" s="1"/>
  <c r="D208" i="39"/>
  <c r="AJ208" i="39" s="1"/>
  <c r="L208" i="39"/>
  <c r="AQ208" i="39" s="1"/>
  <c r="E208" i="39"/>
  <c r="M208" i="39"/>
  <c r="AS208" i="39" s="1"/>
  <c r="F208" i="39"/>
  <c r="AM208" i="39" s="1"/>
  <c r="N208" i="39"/>
  <c r="G208" i="39"/>
  <c r="O208" i="39"/>
  <c r="H208" i="39"/>
  <c r="P208" i="39"/>
  <c r="AU169" i="39"/>
  <c r="D169" i="39"/>
  <c r="AJ169" i="39" s="1"/>
  <c r="L169" i="39"/>
  <c r="AQ169" i="39" s="1"/>
  <c r="F169" i="39"/>
  <c r="AM169" i="39" s="1"/>
  <c r="N169" i="39"/>
  <c r="G169" i="39"/>
  <c r="O169" i="39"/>
  <c r="H169" i="39"/>
  <c r="P169" i="39"/>
  <c r="Q169" i="39"/>
  <c r="B169" i="39"/>
  <c r="AF169" i="39" s="1"/>
  <c r="C169" i="39"/>
  <c r="E169" i="39"/>
  <c r="I169" i="39"/>
  <c r="Z169" i="39" s="1"/>
  <c r="J169" i="39"/>
  <c r="AN169" i="39" s="1"/>
  <c r="K169" i="39"/>
  <c r="AK169" i="39" s="1"/>
  <c r="M169" i="39"/>
  <c r="AS169" i="39" s="1"/>
  <c r="AC174" i="39"/>
  <c r="AL174" i="39"/>
  <c r="AE174" i="39"/>
  <c r="AU152" i="39"/>
  <c r="C152" i="39"/>
  <c r="K152" i="39"/>
  <c r="AK152" i="39" s="1"/>
  <c r="D152" i="39"/>
  <c r="AJ152" i="39" s="1"/>
  <c r="L152" i="39"/>
  <c r="AQ152" i="39" s="1"/>
  <c r="E152" i="39"/>
  <c r="M152" i="39"/>
  <c r="AS152" i="39" s="1"/>
  <c r="F152" i="39"/>
  <c r="AM152" i="39" s="1"/>
  <c r="N152" i="39"/>
  <c r="G152" i="39"/>
  <c r="O152" i="39"/>
  <c r="H152" i="39"/>
  <c r="P152" i="39"/>
  <c r="I152" i="39"/>
  <c r="Q152" i="39"/>
  <c r="B152" i="39"/>
  <c r="AF152" i="39" s="1"/>
  <c r="J152" i="39"/>
  <c r="AN152" i="39" s="1"/>
  <c r="AL110" i="39"/>
  <c r="AC110" i="39"/>
  <c r="AE110" i="39"/>
  <c r="AL149" i="39"/>
  <c r="AC149" i="39"/>
  <c r="AE149" i="39"/>
  <c r="AU127" i="39"/>
  <c r="D127" i="39"/>
  <c r="AJ127" i="39" s="1"/>
  <c r="L127" i="39"/>
  <c r="AQ127" i="39" s="1"/>
  <c r="E127" i="39"/>
  <c r="M127" i="39"/>
  <c r="AS127" i="39" s="1"/>
  <c r="F127" i="39"/>
  <c r="AM127" i="39" s="1"/>
  <c r="N127" i="39"/>
  <c r="G127" i="39"/>
  <c r="O127" i="39"/>
  <c r="H127" i="39"/>
  <c r="P127" i="39"/>
  <c r="I127" i="39"/>
  <c r="Z127" i="39" s="1"/>
  <c r="AP127" i="39" s="1"/>
  <c r="Q127" i="39"/>
  <c r="B127" i="39"/>
  <c r="AF127" i="39" s="1"/>
  <c r="J127" i="39"/>
  <c r="AN127" i="39" s="1"/>
  <c r="C127" i="39"/>
  <c r="K127" i="39"/>
  <c r="AK127" i="39" s="1"/>
  <c r="AE196" i="39"/>
  <c r="AC196" i="39"/>
  <c r="AL196" i="39"/>
  <c r="AU174" i="39"/>
  <c r="G174" i="39"/>
  <c r="O174" i="39"/>
  <c r="I174" i="39"/>
  <c r="Q174" i="39"/>
  <c r="C174" i="39"/>
  <c r="K174" i="39"/>
  <c r="AK174" i="39" s="1"/>
  <c r="J174" i="39"/>
  <c r="AN174" i="39" s="1"/>
  <c r="L174" i="39"/>
  <c r="AQ174" i="39" s="1"/>
  <c r="M174" i="39"/>
  <c r="AS174" i="39" s="1"/>
  <c r="B174" i="39"/>
  <c r="AF174" i="39" s="1"/>
  <c r="N174" i="39"/>
  <c r="D174" i="39"/>
  <c r="AJ174" i="39" s="1"/>
  <c r="P174" i="39"/>
  <c r="E174" i="39"/>
  <c r="F174" i="39"/>
  <c r="AM174" i="39" s="1"/>
  <c r="H174" i="39"/>
  <c r="AC132" i="39"/>
  <c r="AE132" i="39"/>
  <c r="AL132" i="39"/>
  <c r="AU110" i="39"/>
  <c r="E110" i="39"/>
  <c r="M110" i="39"/>
  <c r="AS110" i="39" s="1"/>
  <c r="F110" i="39"/>
  <c r="AM110" i="39" s="1"/>
  <c r="N110" i="39"/>
  <c r="G110" i="39"/>
  <c r="O110" i="39"/>
  <c r="H110" i="39"/>
  <c r="P110" i="39"/>
  <c r="I110" i="39"/>
  <c r="Q110" i="39"/>
  <c r="B110" i="39"/>
  <c r="AF110" i="39" s="1"/>
  <c r="J110" i="39"/>
  <c r="AN110" i="39" s="1"/>
  <c r="C110" i="39"/>
  <c r="K110" i="39"/>
  <c r="AK110" i="39" s="1"/>
  <c r="D110" i="39"/>
  <c r="AJ110" i="39" s="1"/>
  <c r="L110" i="39"/>
  <c r="AQ110" i="39" s="1"/>
  <c r="AC131" i="39"/>
  <c r="AL131" i="39"/>
  <c r="AE131" i="39"/>
  <c r="AU109" i="39"/>
  <c r="F109" i="39"/>
  <c r="AM109" i="39" s="1"/>
  <c r="N109" i="39"/>
  <c r="G109" i="39"/>
  <c r="O109" i="39"/>
  <c r="H109" i="39"/>
  <c r="P109" i="39"/>
  <c r="I109" i="39"/>
  <c r="Q109" i="39"/>
  <c r="B109" i="39"/>
  <c r="AF109" i="39" s="1"/>
  <c r="J109" i="39"/>
  <c r="AN109" i="39" s="1"/>
  <c r="C109" i="39"/>
  <c r="K109" i="39"/>
  <c r="AK109" i="39" s="1"/>
  <c r="D109" i="39"/>
  <c r="AJ109" i="39" s="1"/>
  <c r="L109" i="39"/>
  <c r="AQ109" i="39" s="1"/>
  <c r="E109" i="39"/>
  <c r="M109" i="39"/>
  <c r="AS109" i="39" s="1"/>
  <c r="AU180" i="39"/>
  <c r="I180" i="39"/>
  <c r="Z180" i="39" s="1"/>
  <c r="Q180" i="39"/>
  <c r="C180" i="39"/>
  <c r="K180" i="39"/>
  <c r="AK180" i="39" s="1"/>
  <c r="E180" i="39"/>
  <c r="M180" i="39"/>
  <c r="AS180" i="39" s="1"/>
  <c r="N180" i="39"/>
  <c r="B180" i="39"/>
  <c r="AF180" i="39" s="1"/>
  <c r="O180" i="39"/>
  <c r="D180" i="39"/>
  <c r="AJ180" i="39" s="1"/>
  <c r="P180" i="39"/>
  <c r="F180" i="39"/>
  <c r="AM180" i="39" s="1"/>
  <c r="G180" i="39"/>
  <c r="H180" i="39"/>
  <c r="J180" i="39"/>
  <c r="AN180" i="39" s="1"/>
  <c r="L180" i="39"/>
  <c r="AQ180" i="39" s="1"/>
  <c r="AC138" i="39"/>
  <c r="AL138" i="39"/>
  <c r="AE138" i="39"/>
  <c r="AU116" i="39"/>
  <c r="G116" i="39"/>
  <c r="O116" i="39"/>
  <c r="H116" i="39"/>
  <c r="P116" i="39"/>
  <c r="I116" i="39"/>
  <c r="Q116" i="39"/>
  <c r="B116" i="39"/>
  <c r="AF116" i="39" s="1"/>
  <c r="J116" i="39"/>
  <c r="AN116" i="39" s="1"/>
  <c r="C116" i="39"/>
  <c r="K116" i="39"/>
  <c r="AK116" i="39" s="1"/>
  <c r="D116" i="39"/>
  <c r="AJ116" i="39" s="1"/>
  <c r="L116" i="39"/>
  <c r="AQ116" i="39" s="1"/>
  <c r="E116" i="39"/>
  <c r="M116" i="39"/>
  <c r="AS116" i="39" s="1"/>
  <c r="F116" i="39"/>
  <c r="AM116" i="39" s="1"/>
  <c r="N116" i="39"/>
  <c r="AC95" i="39"/>
  <c r="AL95" i="39"/>
  <c r="AE95" i="39"/>
  <c r="AE113" i="39"/>
  <c r="AL113" i="39"/>
  <c r="AC113" i="39"/>
  <c r="AE136" i="39"/>
  <c r="AL136" i="39"/>
  <c r="AC136" i="39"/>
  <c r="AU114" i="39"/>
  <c r="I114" i="39"/>
  <c r="AP114" i="39" s="1"/>
  <c r="Q114" i="39"/>
  <c r="B114" i="39"/>
  <c r="AF114" i="39" s="1"/>
  <c r="J114" i="39"/>
  <c r="AN114" i="39" s="1"/>
  <c r="C114" i="39"/>
  <c r="K114" i="39"/>
  <c r="AK114" i="39" s="1"/>
  <c r="D114" i="39"/>
  <c r="AJ114" i="39" s="1"/>
  <c r="L114" i="39"/>
  <c r="AQ114" i="39" s="1"/>
  <c r="E114" i="39"/>
  <c r="M114" i="39"/>
  <c r="AS114" i="39" s="1"/>
  <c r="F114" i="39"/>
  <c r="AM114" i="39" s="1"/>
  <c r="N114" i="39"/>
  <c r="G114" i="39"/>
  <c r="O114" i="39"/>
  <c r="H114" i="39"/>
  <c r="P114" i="39"/>
  <c r="AL100" i="39"/>
  <c r="AC100" i="39"/>
  <c r="AE100" i="39"/>
  <c r="AU107" i="39"/>
  <c r="I107" i="39"/>
  <c r="Q107" i="39"/>
  <c r="F107" i="39"/>
  <c r="AM107" i="39" s="1"/>
  <c r="N107" i="39"/>
  <c r="B107" i="39"/>
  <c r="AF107" i="39" s="1"/>
  <c r="L107" i="39"/>
  <c r="AQ107" i="39" s="1"/>
  <c r="C107" i="39"/>
  <c r="M107" i="39"/>
  <c r="AS107" i="39" s="1"/>
  <c r="D107" i="39"/>
  <c r="AJ107" i="39" s="1"/>
  <c r="O107" i="39"/>
  <c r="E107" i="39"/>
  <c r="P107" i="39"/>
  <c r="G107" i="39"/>
  <c r="H107" i="39"/>
  <c r="J107" i="39"/>
  <c r="AN107" i="39" s="1"/>
  <c r="K107" i="39"/>
  <c r="AK107" i="39" s="1"/>
  <c r="AU58" i="39"/>
  <c r="B58" i="39"/>
  <c r="AF58" i="39" s="1"/>
  <c r="J58" i="39"/>
  <c r="AN58" i="39" s="1"/>
  <c r="C58" i="39"/>
  <c r="K58" i="39"/>
  <c r="AK58" i="39" s="1"/>
  <c r="D58" i="39"/>
  <c r="AJ58" i="39" s="1"/>
  <c r="L58" i="39"/>
  <c r="AQ58" i="39" s="1"/>
  <c r="E58" i="39"/>
  <c r="M58" i="39"/>
  <c r="AS58" i="39" s="1"/>
  <c r="F58" i="39"/>
  <c r="AM58" i="39" s="1"/>
  <c r="N58" i="39"/>
  <c r="G58" i="39"/>
  <c r="O58" i="39"/>
  <c r="H58" i="39"/>
  <c r="P58" i="39"/>
  <c r="I58" i="39"/>
  <c r="Z58" i="39" s="1"/>
  <c r="Q58" i="39"/>
  <c r="AU49" i="39"/>
  <c r="C49" i="39"/>
  <c r="K49" i="39"/>
  <c r="AK49" i="39" s="1"/>
  <c r="D49" i="39"/>
  <c r="AJ49" i="39" s="1"/>
  <c r="L49" i="39"/>
  <c r="AQ49" i="39" s="1"/>
  <c r="E49" i="39"/>
  <c r="M49" i="39"/>
  <c r="AS49" i="39" s="1"/>
  <c r="F49" i="39"/>
  <c r="AM49" i="39" s="1"/>
  <c r="N49" i="39"/>
  <c r="G49" i="39"/>
  <c r="O49" i="39"/>
  <c r="H49" i="39"/>
  <c r="P49" i="39"/>
  <c r="I49" i="39"/>
  <c r="Q49" i="39"/>
  <c r="B49" i="39"/>
  <c r="AF49" i="39" s="1"/>
  <c r="J49" i="39"/>
  <c r="AN49" i="39" s="1"/>
  <c r="AC86" i="39"/>
  <c r="AL86" i="39"/>
  <c r="AE86" i="39"/>
  <c r="AU64" i="39"/>
  <c r="D64" i="39"/>
  <c r="AJ64" i="39" s="1"/>
  <c r="L64" i="39"/>
  <c r="AQ64" i="39" s="1"/>
  <c r="E64" i="39"/>
  <c r="M64" i="39"/>
  <c r="AS64" i="39" s="1"/>
  <c r="F64" i="39"/>
  <c r="AM64" i="39" s="1"/>
  <c r="N64" i="39"/>
  <c r="G64" i="39"/>
  <c r="O64" i="39"/>
  <c r="H64" i="39"/>
  <c r="P64" i="39"/>
  <c r="I64" i="39"/>
  <c r="Q64" i="39"/>
  <c r="B64" i="39"/>
  <c r="AF64" i="39" s="1"/>
  <c r="J64" i="39"/>
  <c r="AN64" i="39" s="1"/>
  <c r="C64" i="39"/>
  <c r="K64" i="39"/>
  <c r="AK64" i="39" s="1"/>
  <c r="AE93" i="39"/>
  <c r="AL93" i="39"/>
  <c r="AC93" i="39"/>
  <c r="AU71" i="39"/>
  <c r="E71" i="39"/>
  <c r="M71" i="39"/>
  <c r="AS71" i="39" s="1"/>
  <c r="F71" i="39"/>
  <c r="AM71" i="39" s="1"/>
  <c r="N71" i="39"/>
  <c r="G71" i="39"/>
  <c r="O71" i="39"/>
  <c r="H71" i="39"/>
  <c r="P71" i="39"/>
  <c r="I71" i="39"/>
  <c r="Q71" i="39"/>
  <c r="B71" i="39"/>
  <c r="AF71" i="39" s="1"/>
  <c r="J71" i="39"/>
  <c r="AN71" i="39" s="1"/>
  <c r="C71" i="39"/>
  <c r="D71" i="39"/>
  <c r="AJ71" i="39" s="1"/>
  <c r="K71" i="39"/>
  <c r="AK71" i="39" s="1"/>
  <c r="L71" i="39"/>
  <c r="AQ71" i="39" s="1"/>
  <c r="AE68" i="39"/>
  <c r="AC68" i="39"/>
  <c r="AL68" i="39"/>
  <c r="AU46" i="39"/>
  <c r="F46" i="39"/>
  <c r="AM46" i="39" s="1"/>
  <c r="N46" i="39"/>
  <c r="G46" i="39"/>
  <c r="O46" i="39"/>
  <c r="H46" i="39"/>
  <c r="P46" i="39"/>
  <c r="I46" i="39"/>
  <c r="Q46" i="39"/>
  <c r="B46" i="39"/>
  <c r="AF46" i="39" s="1"/>
  <c r="J46" i="39"/>
  <c r="AN46" i="39" s="1"/>
  <c r="C46" i="39"/>
  <c r="K46" i="39"/>
  <c r="AK46" i="39" s="1"/>
  <c r="D46" i="39"/>
  <c r="AJ46" i="39" s="1"/>
  <c r="L46" i="39"/>
  <c r="AQ46" i="39" s="1"/>
  <c r="E46" i="39"/>
  <c r="M46" i="39"/>
  <c r="AS46" i="39" s="1"/>
  <c r="AC67" i="39"/>
  <c r="AL67" i="39"/>
  <c r="AE67" i="39"/>
  <c r="AU45" i="39"/>
  <c r="G45" i="39"/>
  <c r="O45" i="39"/>
  <c r="H45" i="39"/>
  <c r="P45" i="39"/>
  <c r="I45" i="39"/>
  <c r="Z45" i="39" s="1"/>
  <c r="Q45" i="39"/>
  <c r="B45" i="39"/>
  <c r="AF45" i="39" s="1"/>
  <c r="J45" i="39"/>
  <c r="AN45" i="39" s="1"/>
  <c r="C45" i="39"/>
  <c r="K45" i="39"/>
  <c r="AK45" i="39" s="1"/>
  <c r="D45" i="39"/>
  <c r="AJ45" i="39" s="1"/>
  <c r="L45" i="39"/>
  <c r="AQ45" i="39" s="1"/>
  <c r="E45" i="39"/>
  <c r="M45" i="39"/>
  <c r="AS45" i="39" s="1"/>
  <c r="F45" i="39"/>
  <c r="AM45" i="39" s="1"/>
  <c r="N45" i="39"/>
  <c r="AC58" i="39"/>
  <c r="AL58" i="39"/>
  <c r="AE58" i="39"/>
  <c r="AU36" i="39"/>
  <c r="H36" i="39"/>
  <c r="P36" i="39"/>
  <c r="I36" i="39"/>
  <c r="Z36" i="39" s="1"/>
  <c r="Q36" i="39"/>
  <c r="B36" i="39"/>
  <c r="AF36" i="39" s="1"/>
  <c r="J36" i="39"/>
  <c r="AN36" i="39" s="1"/>
  <c r="C36" i="39"/>
  <c r="K36" i="39"/>
  <c r="AK36" i="39" s="1"/>
  <c r="D36" i="39"/>
  <c r="AJ36" i="39" s="1"/>
  <c r="L36" i="39"/>
  <c r="AQ36" i="39" s="1"/>
  <c r="E36" i="39"/>
  <c r="M36" i="39"/>
  <c r="AS36" i="39" s="1"/>
  <c r="F36" i="39"/>
  <c r="AM36" i="39" s="1"/>
  <c r="N36" i="39"/>
  <c r="G36" i="39"/>
  <c r="O36" i="39"/>
  <c r="AE65" i="39"/>
  <c r="AC65" i="39"/>
  <c r="AL65" i="39"/>
  <c r="AU43" i="39"/>
  <c r="I43" i="39"/>
  <c r="Z43" i="39" s="1"/>
  <c r="Q43" i="39"/>
  <c r="B43" i="39"/>
  <c r="AF43" i="39" s="1"/>
  <c r="J43" i="39"/>
  <c r="AN43" i="39" s="1"/>
  <c r="C43" i="39"/>
  <c r="K43" i="39"/>
  <c r="AK43" i="39" s="1"/>
  <c r="D43" i="39"/>
  <c r="AJ43" i="39" s="1"/>
  <c r="L43" i="39"/>
  <c r="AQ43" i="39" s="1"/>
  <c r="E43" i="39"/>
  <c r="M43" i="39"/>
  <c r="AS43" i="39" s="1"/>
  <c r="F43" i="39"/>
  <c r="AM43" i="39" s="1"/>
  <c r="N43" i="39"/>
  <c r="G43" i="39"/>
  <c r="O43" i="39"/>
  <c r="P43" i="39"/>
  <c r="H43" i="39"/>
  <c r="AU434" i="39"/>
  <c r="F434" i="39"/>
  <c r="AM434" i="39" s="1"/>
  <c r="N434" i="39"/>
  <c r="I434" i="39"/>
  <c r="Z434" i="39" s="1"/>
  <c r="Q434" i="39"/>
  <c r="B434" i="39"/>
  <c r="AF434" i="39" s="1"/>
  <c r="J434" i="39"/>
  <c r="AN434" i="39" s="1"/>
  <c r="M434" i="39"/>
  <c r="AS434" i="39" s="1"/>
  <c r="C434" i="39"/>
  <c r="O434" i="39"/>
  <c r="D434" i="39"/>
  <c r="AJ434" i="39" s="1"/>
  <c r="P434" i="39"/>
  <c r="E434" i="39"/>
  <c r="L434" i="39"/>
  <c r="AQ434" i="39" s="1"/>
  <c r="G434" i="39"/>
  <c r="H434" i="39"/>
  <c r="K434" i="39"/>
  <c r="AK434" i="39" s="1"/>
  <c r="AE392" i="39"/>
  <c r="AC392" i="39"/>
  <c r="AL392" i="39"/>
  <c r="AU370" i="39"/>
  <c r="D370" i="39"/>
  <c r="AJ370" i="39" s="1"/>
  <c r="L370" i="39"/>
  <c r="AQ370" i="39" s="1"/>
  <c r="E370" i="39"/>
  <c r="M370" i="39"/>
  <c r="AS370" i="39" s="1"/>
  <c r="F370" i="39"/>
  <c r="AM370" i="39" s="1"/>
  <c r="N370" i="39"/>
  <c r="G370" i="39"/>
  <c r="O370" i="39"/>
  <c r="H370" i="39"/>
  <c r="P370" i="39"/>
  <c r="I370" i="39"/>
  <c r="Q370" i="39"/>
  <c r="B370" i="39"/>
  <c r="AF370" i="39" s="1"/>
  <c r="J370" i="39"/>
  <c r="AN370" i="39" s="1"/>
  <c r="C370" i="39"/>
  <c r="K370" i="39"/>
  <c r="AK370" i="39" s="1"/>
  <c r="AC326" i="39"/>
  <c r="AE326" i="39"/>
  <c r="AL326" i="39"/>
  <c r="AC334" i="39"/>
  <c r="AE334" i="39"/>
  <c r="AL334" i="39"/>
  <c r="AL322" i="39"/>
  <c r="AC322" i="39"/>
  <c r="AE322" i="39"/>
  <c r="AU398" i="39"/>
  <c r="H398" i="39"/>
  <c r="P398" i="39"/>
  <c r="I398" i="39"/>
  <c r="Q398" i="39"/>
  <c r="B398" i="39"/>
  <c r="AF398" i="39" s="1"/>
  <c r="J398" i="39"/>
  <c r="AN398" i="39" s="1"/>
  <c r="C398" i="39"/>
  <c r="K398" i="39"/>
  <c r="AK398" i="39" s="1"/>
  <c r="D398" i="39"/>
  <c r="AJ398" i="39" s="1"/>
  <c r="L398" i="39"/>
  <c r="AQ398" i="39" s="1"/>
  <c r="E398" i="39"/>
  <c r="M398" i="39"/>
  <c r="AS398" i="39" s="1"/>
  <c r="F398" i="39"/>
  <c r="AM398" i="39" s="1"/>
  <c r="N398" i="39"/>
  <c r="G398" i="39"/>
  <c r="O398" i="39"/>
  <c r="AC309" i="39"/>
  <c r="AL309" i="39"/>
  <c r="AE309" i="39"/>
  <c r="AE285" i="39"/>
  <c r="AC285" i="39"/>
  <c r="AL285" i="39"/>
  <c r="AU207" i="39"/>
  <c r="B207" i="39"/>
  <c r="AF207" i="39" s="1"/>
  <c r="J207" i="39"/>
  <c r="AN207" i="39" s="1"/>
  <c r="C207" i="39"/>
  <c r="K207" i="39"/>
  <c r="AK207" i="39" s="1"/>
  <c r="D207" i="39"/>
  <c r="AJ207" i="39" s="1"/>
  <c r="L207" i="39"/>
  <c r="AQ207" i="39" s="1"/>
  <c r="E207" i="39"/>
  <c r="M207" i="39"/>
  <c r="AS207" i="39" s="1"/>
  <c r="F207" i="39"/>
  <c r="AM207" i="39" s="1"/>
  <c r="N207" i="39"/>
  <c r="G207" i="39"/>
  <c r="O207" i="39"/>
  <c r="H207" i="39"/>
  <c r="P207" i="39"/>
  <c r="I207" i="39"/>
  <c r="Z207" i="39" s="1"/>
  <c r="Q207" i="39"/>
  <c r="AC251" i="39"/>
  <c r="AL251" i="39"/>
  <c r="AE251" i="39"/>
  <c r="AU293" i="39"/>
  <c r="D293" i="39"/>
  <c r="AJ293" i="39" s="1"/>
  <c r="L293" i="39"/>
  <c r="AQ293" i="39" s="1"/>
  <c r="E293" i="39"/>
  <c r="M293" i="39"/>
  <c r="AS293" i="39" s="1"/>
  <c r="F293" i="39"/>
  <c r="AM293" i="39" s="1"/>
  <c r="N293" i="39"/>
  <c r="G293" i="39"/>
  <c r="O293" i="39"/>
  <c r="H293" i="39"/>
  <c r="P293" i="39"/>
  <c r="I293" i="39"/>
  <c r="AP293" i="39" s="1"/>
  <c r="Q293" i="39"/>
  <c r="B293" i="39"/>
  <c r="AF293" i="39" s="1"/>
  <c r="J293" i="39"/>
  <c r="AN293" i="39" s="1"/>
  <c r="C293" i="39"/>
  <c r="K293" i="39"/>
  <c r="AK293" i="39" s="1"/>
  <c r="AC288" i="39"/>
  <c r="AL288" i="39"/>
  <c r="AE288" i="39"/>
  <c r="AE277" i="39"/>
  <c r="AC277" i="39"/>
  <c r="AL277" i="39"/>
  <c r="AC247" i="39"/>
  <c r="AL247" i="39"/>
  <c r="AE247" i="39"/>
  <c r="AU278" i="39"/>
  <c r="I278" i="39"/>
  <c r="Q278" i="39"/>
  <c r="C278" i="39"/>
  <c r="L278" i="39"/>
  <c r="AQ278" i="39" s="1"/>
  <c r="D278" i="39"/>
  <c r="AJ278" i="39" s="1"/>
  <c r="M278" i="39"/>
  <c r="AS278" i="39" s="1"/>
  <c r="E278" i="39"/>
  <c r="N278" i="39"/>
  <c r="F278" i="39"/>
  <c r="AM278" i="39" s="1"/>
  <c r="O278" i="39"/>
  <c r="G278" i="39"/>
  <c r="P278" i="39"/>
  <c r="H278" i="39"/>
  <c r="J278" i="39"/>
  <c r="AN278" i="39" s="1"/>
  <c r="B278" i="39"/>
  <c r="AF278" i="39" s="1"/>
  <c r="K278" i="39"/>
  <c r="AK278" i="39" s="1"/>
  <c r="AL236" i="39"/>
  <c r="AC236" i="39"/>
  <c r="AE236" i="39"/>
  <c r="AU214" i="39"/>
  <c r="C214" i="39"/>
  <c r="K214" i="39"/>
  <c r="AK214" i="39" s="1"/>
  <c r="D214" i="39"/>
  <c r="AJ214" i="39" s="1"/>
  <c r="L214" i="39"/>
  <c r="AQ214" i="39" s="1"/>
  <c r="E214" i="39"/>
  <c r="M214" i="39"/>
  <c r="AS214" i="39" s="1"/>
  <c r="F214" i="39"/>
  <c r="AM214" i="39" s="1"/>
  <c r="N214" i="39"/>
  <c r="G214" i="39"/>
  <c r="O214" i="39"/>
  <c r="H214" i="39"/>
  <c r="P214" i="39"/>
  <c r="I214" i="39"/>
  <c r="Q214" i="39"/>
  <c r="B214" i="39"/>
  <c r="AF214" i="39" s="1"/>
  <c r="J214" i="39"/>
  <c r="AN214" i="39" s="1"/>
  <c r="AU157" i="39"/>
  <c r="F157" i="39"/>
  <c r="AM157" i="39" s="1"/>
  <c r="N157" i="39"/>
  <c r="H157" i="39"/>
  <c r="P157" i="39"/>
  <c r="I157" i="39"/>
  <c r="Z157" i="39" s="1"/>
  <c r="Q157" i="39"/>
  <c r="B157" i="39"/>
  <c r="AF157" i="39" s="1"/>
  <c r="J157" i="39"/>
  <c r="AN157" i="39" s="1"/>
  <c r="C157" i="39"/>
  <c r="K157" i="39"/>
  <c r="AK157" i="39" s="1"/>
  <c r="D157" i="39"/>
  <c r="AJ157" i="39" s="1"/>
  <c r="L157" i="39"/>
  <c r="AQ157" i="39" s="1"/>
  <c r="E157" i="39"/>
  <c r="G157" i="39"/>
  <c r="M157" i="39"/>
  <c r="AS157" i="39" s="1"/>
  <c r="O157" i="39"/>
  <c r="AU139" i="39"/>
  <c r="H139" i="39"/>
  <c r="P139" i="39"/>
  <c r="I139" i="39"/>
  <c r="Q139" i="39"/>
  <c r="B139" i="39"/>
  <c r="AF139" i="39" s="1"/>
  <c r="J139" i="39"/>
  <c r="AN139" i="39" s="1"/>
  <c r="C139" i="39"/>
  <c r="K139" i="39"/>
  <c r="AK139" i="39" s="1"/>
  <c r="D139" i="39"/>
  <c r="AJ139" i="39" s="1"/>
  <c r="L139" i="39"/>
  <c r="AQ139" i="39" s="1"/>
  <c r="E139" i="39"/>
  <c r="M139" i="39"/>
  <c r="AS139" i="39" s="1"/>
  <c r="F139" i="39"/>
  <c r="AM139" i="39" s="1"/>
  <c r="N139" i="39"/>
  <c r="G139" i="39"/>
  <c r="O139" i="39"/>
  <c r="AC51" i="39"/>
  <c r="AL51" i="39"/>
  <c r="AE51" i="39"/>
  <c r="AU84" i="39"/>
  <c r="H84" i="39"/>
  <c r="P84" i="39"/>
  <c r="I84" i="39"/>
  <c r="Z84" i="39" s="1"/>
  <c r="Q84" i="39"/>
  <c r="B84" i="39"/>
  <c r="AF84" i="39" s="1"/>
  <c r="J84" i="39"/>
  <c r="AN84" i="39" s="1"/>
  <c r="C84" i="39"/>
  <c r="K84" i="39"/>
  <c r="AK84" i="39" s="1"/>
  <c r="D84" i="39"/>
  <c r="AJ84" i="39" s="1"/>
  <c r="L84" i="39"/>
  <c r="AQ84" i="39" s="1"/>
  <c r="E84" i="39"/>
  <c r="M84" i="39"/>
  <c r="AS84" i="39" s="1"/>
  <c r="O84" i="39"/>
  <c r="F84" i="39"/>
  <c r="AM84" i="39" s="1"/>
  <c r="G84" i="39"/>
  <c r="N84" i="39"/>
  <c r="AC49" i="39"/>
  <c r="AL49" i="39"/>
  <c r="AE49" i="39"/>
  <c r="AE455" i="39"/>
  <c r="AL455" i="39"/>
  <c r="AC455" i="39"/>
  <c r="AU455" i="39"/>
  <c r="E455" i="39"/>
  <c r="M455" i="39"/>
  <c r="AS455" i="39" s="1"/>
  <c r="C455" i="39"/>
  <c r="L455" i="39"/>
  <c r="AQ455" i="39" s="1"/>
  <c r="D455" i="39"/>
  <c r="AJ455" i="39" s="1"/>
  <c r="N455" i="39"/>
  <c r="F455" i="39"/>
  <c r="AM455" i="39" s="1"/>
  <c r="O455" i="39"/>
  <c r="G455" i="39"/>
  <c r="P455" i="39"/>
  <c r="H455" i="39"/>
  <c r="Q455" i="39"/>
  <c r="K455" i="39"/>
  <c r="AK455" i="39" s="1"/>
  <c r="I455" i="39"/>
  <c r="J455" i="39"/>
  <c r="AN455" i="39" s="1"/>
  <c r="B455" i="39"/>
  <c r="AF455" i="39" s="1"/>
  <c r="AC428" i="39"/>
  <c r="AL428" i="39"/>
  <c r="AE428" i="39"/>
  <c r="AE362" i="39"/>
  <c r="AC362" i="39"/>
  <c r="AL362" i="39"/>
  <c r="AU404" i="39"/>
  <c r="B404" i="39"/>
  <c r="AF404" i="39" s="1"/>
  <c r="J404" i="39"/>
  <c r="AN404" i="39" s="1"/>
  <c r="C404" i="39"/>
  <c r="K404" i="39"/>
  <c r="AK404" i="39" s="1"/>
  <c r="D404" i="39"/>
  <c r="AJ404" i="39" s="1"/>
  <c r="L404" i="39"/>
  <c r="AQ404" i="39" s="1"/>
  <c r="E404" i="39"/>
  <c r="M404" i="39"/>
  <c r="AS404" i="39" s="1"/>
  <c r="F404" i="39"/>
  <c r="AM404" i="39" s="1"/>
  <c r="N404" i="39"/>
  <c r="G404" i="39"/>
  <c r="O404" i="39"/>
  <c r="H404" i="39"/>
  <c r="P404" i="39"/>
  <c r="I404" i="39"/>
  <c r="Q404" i="39"/>
  <c r="AU444" i="39"/>
  <c r="H444" i="39"/>
  <c r="P444" i="39"/>
  <c r="D444" i="39"/>
  <c r="AJ444" i="39" s="1"/>
  <c r="M444" i="39"/>
  <c r="AS444" i="39" s="1"/>
  <c r="E444" i="39"/>
  <c r="N444" i="39"/>
  <c r="F444" i="39"/>
  <c r="AM444" i="39" s="1"/>
  <c r="O444" i="39"/>
  <c r="G444" i="39"/>
  <c r="Q444" i="39"/>
  <c r="I444" i="39"/>
  <c r="J444" i="39"/>
  <c r="AN444" i="39" s="1"/>
  <c r="C444" i="39"/>
  <c r="B444" i="39"/>
  <c r="AF444" i="39" s="1"/>
  <c r="K444" i="39"/>
  <c r="AK444" i="39" s="1"/>
  <c r="L444" i="39"/>
  <c r="AQ444" i="39" s="1"/>
  <c r="AU452" i="39"/>
  <c r="H452" i="39"/>
  <c r="P452" i="39"/>
  <c r="E452" i="39"/>
  <c r="N452" i="39"/>
  <c r="F452" i="39"/>
  <c r="AM452" i="39" s="1"/>
  <c r="O452" i="39"/>
  <c r="M452" i="39"/>
  <c r="AS452" i="39" s="1"/>
  <c r="G452" i="39"/>
  <c r="Q452" i="39"/>
  <c r="I452" i="39"/>
  <c r="J452" i="39"/>
  <c r="AN452" i="39" s="1"/>
  <c r="B452" i="39"/>
  <c r="AF452" i="39" s="1"/>
  <c r="K452" i="39"/>
  <c r="AK452" i="39" s="1"/>
  <c r="C452" i="39"/>
  <c r="L452" i="39"/>
  <c r="AQ452" i="39" s="1"/>
  <c r="D452" i="39"/>
  <c r="AJ452" i="39" s="1"/>
  <c r="AC402" i="39"/>
  <c r="AL402" i="39"/>
  <c r="AE402" i="39"/>
  <c r="AC446" i="39"/>
  <c r="AL446" i="39"/>
  <c r="AE446" i="39"/>
  <c r="AU356" i="39"/>
  <c r="B356" i="39"/>
  <c r="AF356" i="39" s="1"/>
  <c r="J356" i="39"/>
  <c r="AN356" i="39" s="1"/>
  <c r="C356" i="39"/>
  <c r="K356" i="39"/>
  <c r="AK356" i="39" s="1"/>
  <c r="D356" i="39"/>
  <c r="AJ356" i="39" s="1"/>
  <c r="L356" i="39"/>
  <c r="AQ356" i="39" s="1"/>
  <c r="E356" i="39"/>
  <c r="M356" i="39"/>
  <c r="AS356" i="39" s="1"/>
  <c r="F356" i="39"/>
  <c r="AM356" i="39" s="1"/>
  <c r="N356" i="39"/>
  <c r="G356" i="39"/>
  <c r="O356" i="39"/>
  <c r="H356" i="39"/>
  <c r="P356" i="39"/>
  <c r="I356" i="39"/>
  <c r="AP356" i="39" s="1"/>
  <c r="Q356" i="39"/>
  <c r="AE450" i="39"/>
  <c r="AC450" i="39"/>
  <c r="AL450" i="39"/>
  <c r="AU451" i="39"/>
  <c r="I451" i="39"/>
  <c r="Q451" i="39"/>
  <c r="C451" i="39"/>
  <c r="L451" i="39"/>
  <c r="AQ451" i="39" s="1"/>
  <c r="D451" i="39"/>
  <c r="AJ451" i="39" s="1"/>
  <c r="M451" i="39"/>
  <c r="AS451" i="39" s="1"/>
  <c r="E451" i="39"/>
  <c r="N451" i="39"/>
  <c r="B451" i="39"/>
  <c r="AF451" i="39" s="1"/>
  <c r="F451" i="39"/>
  <c r="AM451" i="39" s="1"/>
  <c r="O451" i="39"/>
  <c r="G451" i="39"/>
  <c r="P451" i="39"/>
  <c r="K451" i="39"/>
  <c r="AK451" i="39" s="1"/>
  <c r="H451" i="39"/>
  <c r="J451" i="39"/>
  <c r="AN451" i="39" s="1"/>
  <c r="AE409" i="39"/>
  <c r="AC409" i="39"/>
  <c r="AL409" i="39"/>
  <c r="AU387" i="39"/>
  <c r="C387" i="39"/>
  <c r="K387" i="39"/>
  <c r="AK387" i="39" s="1"/>
  <c r="D387" i="39"/>
  <c r="AJ387" i="39" s="1"/>
  <c r="L387" i="39"/>
  <c r="AQ387" i="39" s="1"/>
  <c r="E387" i="39"/>
  <c r="M387" i="39"/>
  <c r="AS387" i="39" s="1"/>
  <c r="F387" i="39"/>
  <c r="AM387" i="39" s="1"/>
  <c r="N387" i="39"/>
  <c r="G387" i="39"/>
  <c r="O387" i="39"/>
  <c r="H387" i="39"/>
  <c r="P387" i="39"/>
  <c r="I387" i="39"/>
  <c r="Q387" i="39"/>
  <c r="B387" i="39"/>
  <c r="AF387" i="39" s="1"/>
  <c r="J387" i="39"/>
  <c r="AN387" i="39" s="1"/>
  <c r="AC345" i="39"/>
  <c r="AL345" i="39"/>
  <c r="AE345" i="39"/>
  <c r="AU324" i="39"/>
  <c r="F324" i="39"/>
  <c r="AM324" i="39" s="1"/>
  <c r="N324" i="39"/>
  <c r="G324" i="39"/>
  <c r="O324" i="39"/>
  <c r="C324" i="39"/>
  <c r="K324" i="39"/>
  <c r="AK324" i="39" s="1"/>
  <c r="D324" i="39"/>
  <c r="AJ324" i="39" s="1"/>
  <c r="Q324" i="39"/>
  <c r="E324" i="39"/>
  <c r="H324" i="39"/>
  <c r="I324" i="39"/>
  <c r="J324" i="39"/>
  <c r="AN324" i="39" s="1"/>
  <c r="L324" i="39"/>
  <c r="AQ324" i="39" s="1"/>
  <c r="M324" i="39"/>
  <c r="AS324" i="39" s="1"/>
  <c r="B324" i="39"/>
  <c r="AF324" i="39" s="1"/>
  <c r="P324" i="39"/>
  <c r="AU426" i="39"/>
  <c r="F426" i="39"/>
  <c r="AM426" i="39" s="1"/>
  <c r="N426" i="39"/>
  <c r="I426" i="39"/>
  <c r="Z426" i="39" s="1"/>
  <c r="Q426" i="39"/>
  <c r="B426" i="39"/>
  <c r="AF426" i="39" s="1"/>
  <c r="J426" i="39"/>
  <c r="AN426" i="39" s="1"/>
  <c r="H426" i="39"/>
  <c r="K426" i="39"/>
  <c r="AK426" i="39" s="1"/>
  <c r="L426" i="39"/>
  <c r="AQ426" i="39" s="1"/>
  <c r="M426" i="39"/>
  <c r="AS426" i="39" s="1"/>
  <c r="C426" i="39"/>
  <c r="O426" i="39"/>
  <c r="D426" i="39"/>
  <c r="AJ426" i="39" s="1"/>
  <c r="P426" i="39"/>
  <c r="E426" i="39"/>
  <c r="G426" i="39"/>
  <c r="AE384" i="39"/>
  <c r="AC384" i="39"/>
  <c r="AL384" i="39"/>
  <c r="AU362" i="39"/>
  <c r="D362" i="39"/>
  <c r="AJ362" i="39" s="1"/>
  <c r="L362" i="39"/>
  <c r="AQ362" i="39" s="1"/>
  <c r="E362" i="39"/>
  <c r="M362" i="39"/>
  <c r="AS362" i="39" s="1"/>
  <c r="F362" i="39"/>
  <c r="AM362" i="39" s="1"/>
  <c r="N362" i="39"/>
  <c r="G362" i="39"/>
  <c r="O362" i="39"/>
  <c r="H362" i="39"/>
  <c r="P362" i="39"/>
  <c r="I362" i="39"/>
  <c r="Q362" i="39"/>
  <c r="B362" i="39"/>
  <c r="AF362" i="39" s="1"/>
  <c r="J362" i="39"/>
  <c r="AN362" i="39" s="1"/>
  <c r="C362" i="39"/>
  <c r="K362" i="39"/>
  <c r="AK362" i="39" s="1"/>
  <c r="AU409" i="39"/>
  <c r="E409" i="39"/>
  <c r="M409" i="39"/>
  <c r="AS409" i="39" s="1"/>
  <c r="G409" i="39"/>
  <c r="O409" i="39"/>
  <c r="H409" i="39"/>
  <c r="P409" i="39"/>
  <c r="B409" i="39"/>
  <c r="AF409" i="39" s="1"/>
  <c r="J409" i="39"/>
  <c r="AN409" i="39" s="1"/>
  <c r="C409" i="39"/>
  <c r="K409" i="39"/>
  <c r="AK409" i="39" s="1"/>
  <c r="F409" i="39"/>
  <c r="AM409" i="39" s="1"/>
  <c r="I409" i="39"/>
  <c r="L409" i="39"/>
  <c r="AQ409" i="39" s="1"/>
  <c r="N409" i="39"/>
  <c r="Q409" i="39"/>
  <c r="D409" i="39"/>
  <c r="AJ409" i="39" s="1"/>
  <c r="AE367" i="39"/>
  <c r="AL367" i="39"/>
  <c r="AC367" i="39"/>
  <c r="AU345" i="39"/>
  <c r="E345" i="39"/>
  <c r="M345" i="39"/>
  <c r="AS345" i="39" s="1"/>
  <c r="F345" i="39"/>
  <c r="AM345" i="39" s="1"/>
  <c r="N345" i="39"/>
  <c r="G345" i="39"/>
  <c r="O345" i="39"/>
  <c r="H345" i="39"/>
  <c r="P345" i="39"/>
  <c r="I345" i="39"/>
  <c r="AP345" i="39" s="1"/>
  <c r="Q345" i="39"/>
  <c r="B345" i="39"/>
  <c r="AF345" i="39" s="1"/>
  <c r="J345" i="39"/>
  <c r="AN345" i="39" s="1"/>
  <c r="C345" i="39"/>
  <c r="K345" i="39"/>
  <c r="AK345" i="39" s="1"/>
  <c r="L345" i="39"/>
  <c r="AQ345" i="39" s="1"/>
  <c r="D345" i="39"/>
  <c r="AJ345" i="39" s="1"/>
  <c r="AC314" i="39"/>
  <c r="AL314" i="39"/>
  <c r="AE314" i="39"/>
  <c r="AU408" i="39"/>
  <c r="F408" i="39"/>
  <c r="AM408" i="39" s="1"/>
  <c r="N408" i="39"/>
  <c r="G408" i="39"/>
  <c r="O408" i="39"/>
  <c r="H408" i="39"/>
  <c r="P408" i="39"/>
  <c r="I408" i="39"/>
  <c r="Q408" i="39"/>
  <c r="B408" i="39"/>
  <c r="AF408" i="39" s="1"/>
  <c r="J408" i="39"/>
  <c r="AN408" i="39" s="1"/>
  <c r="C408" i="39"/>
  <c r="K408" i="39"/>
  <c r="AK408" i="39" s="1"/>
  <c r="D408" i="39"/>
  <c r="AJ408" i="39" s="1"/>
  <c r="L408" i="39"/>
  <c r="AQ408" i="39" s="1"/>
  <c r="E408" i="39"/>
  <c r="M408" i="39"/>
  <c r="AS408" i="39" s="1"/>
  <c r="AL366" i="39"/>
  <c r="AC366" i="39"/>
  <c r="AE366" i="39"/>
  <c r="AU344" i="39"/>
  <c r="F344" i="39"/>
  <c r="AM344" i="39" s="1"/>
  <c r="N344" i="39"/>
  <c r="G344" i="39"/>
  <c r="O344" i="39"/>
  <c r="H344" i="39"/>
  <c r="P344" i="39"/>
  <c r="I344" i="39"/>
  <c r="Q344" i="39"/>
  <c r="B344" i="39"/>
  <c r="AF344" i="39" s="1"/>
  <c r="J344" i="39"/>
  <c r="AN344" i="39" s="1"/>
  <c r="C344" i="39"/>
  <c r="K344" i="39"/>
  <c r="AK344" i="39" s="1"/>
  <c r="D344" i="39"/>
  <c r="AJ344" i="39" s="1"/>
  <c r="L344" i="39"/>
  <c r="AQ344" i="39" s="1"/>
  <c r="E344" i="39"/>
  <c r="M344" i="39"/>
  <c r="AS344" i="39" s="1"/>
  <c r="AC413" i="39"/>
  <c r="AL413" i="39"/>
  <c r="AE413" i="39"/>
  <c r="AU391" i="39"/>
  <c r="G391" i="39"/>
  <c r="O391" i="39"/>
  <c r="H391" i="39"/>
  <c r="P391" i="39"/>
  <c r="I391" i="39"/>
  <c r="Q391" i="39"/>
  <c r="B391" i="39"/>
  <c r="AF391" i="39" s="1"/>
  <c r="J391" i="39"/>
  <c r="AN391" i="39" s="1"/>
  <c r="C391" i="39"/>
  <c r="K391" i="39"/>
  <c r="AK391" i="39" s="1"/>
  <c r="D391" i="39"/>
  <c r="AJ391" i="39" s="1"/>
  <c r="L391" i="39"/>
  <c r="AQ391" i="39" s="1"/>
  <c r="E391" i="39"/>
  <c r="M391" i="39"/>
  <c r="AS391" i="39" s="1"/>
  <c r="N391" i="39"/>
  <c r="F391" i="39"/>
  <c r="AM391" i="39" s="1"/>
  <c r="AC349" i="39"/>
  <c r="AL349" i="39"/>
  <c r="AE349" i="39"/>
  <c r="AU335" i="39"/>
  <c r="H335" i="39"/>
  <c r="P335" i="39"/>
  <c r="G335" i="39"/>
  <c r="Q335" i="39"/>
  <c r="I335" i="39"/>
  <c r="J335" i="39"/>
  <c r="AN335" i="39" s="1"/>
  <c r="B335" i="39"/>
  <c r="AF335" i="39" s="1"/>
  <c r="K335" i="39"/>
  <c r="AK335" i="39" s="1"/>
  <c r="C335" i="39"/>
  <c r="L335" i="39"/>
  <c r="AQ335" i="39" s="1"/>
  <c r="D335" i="39"/>
  <c r="AJ335" i="39" s="1"/>
  <c r="M335" i="39"/>
  <c r="AS335" i="39" s="1"/>
  <c r="E335" i="39"/>
  <c r="N335" i="39"/>
  <c r="F335" i="39"/>
  <c r="AM335" i="39" s="1"/>
  <c r="O335" i="39"/>
  <c r="AU390" i="39"/>
  <c r="H390" i="39"/>
  <c r="P390" i="39"/>
  <c r="I390" i="39"/>
  <c r="Q390" i="39"/>
  <c r="B390" i="39"/>
  <c r="AF390" i="39" s="1"/>
  <c r="J390" i="39"/>
  <c r="AN390" i="39" s="1"/>
  <c r="C390" i="39"/>
  <c r="K390" i="39"/>
  <c r="AK390" i="39" s="1"/>
  <c r="D390" i="39"/>
  <c r="AJ390" i="39" s="1"/>
  <c r="L390" i="39"/>
  <c r="AQ390" i="39" s="1"/>
  <c r="E390" i="39"/>
  <c r="M390" i="39"/>
  <c r="AS390" i="39" s="1"/>
  <c r="F390" i="39"/>
  <c r="AM390" i="39" s="1"/>
  <c r="N390" i="39"/>
  <c r="G390" i="39"/>
  <c r="O390" i="39"/>
  <c r="AC348" i="39"/>
  <c r="AL348" i="39"/>
  <c r="AE348" i="39"/>
  <c r="AU328" i="39"/>
  <c r="G328" i="39"/>
  <c r="O328" i="39"/>
  <c r="I328" i="39"/>
  <c r="J328" i="39"/>
  <c r="AN328" i="39" s="1"/>
  <c r="B328" i="39"/>
  <c r="AF328" i="39" s="1"/>
  <c r="K328" i="39"/>
  <c r="AK328" i="39" s="1"/>
  <c r="C328" i="39"/>
  <c r="L328" i="39"/>
  <c r="AQ328" i="39" s="1"/>
  <c r="D328" i="39"/>
  <c r="AJ328" i="39" s="1"/>
  <c r="M328" i="39"/>
  <c r="AS328" i="39" s="1"/>
  <c r="E328" i="39"/>
  <c r="N328" i="39"/>
  <c r="F328" i="39"/>
  <c r="AM328" i="39" s="1"/>
  <c r="P328" i="39"/>
  <c r="Q328" i="39"/>
  <c r="H328" i="39"/>
  <c r="AU413" i="39"/>
  <c r="I413" i="39"/>
  <c r="Q413" i="39"/>
  <c r="C413" i="39"/>
  <c r="K413" i="39"/>
  <c r="AK413" i="39" s="1"/>
  <c r="D413" i="39"/>
  <c r="AJ413" i="39" s="1"/>
  <c r="L413" i="39"/>
  <c r="AQ413" i="39" s="1"/>
  <c r="F413" i="39"/>
  <c r="AM413" i="39" s="1"/>
  <c r="N413" i="39"/>
  <c r="G413" i="39"/>
  <c r="O413" i="39"/>
  <c r="M413" i="39"/>
  <c r="AS413" i="39" s="1"/>
  <c r="P413" i="39"/>
  <c r="B413" i="39"/>
  <c r="AF413" i="39" s="1"/>
  <c r="E413" i="39"/>
  <c r="H413" i="39"/>
  <c r="J413" i="39"/>
  <c r="AN413" i="39" s="1"/>
  <c r="AC371" i="39"/>
  <c r="AL371" i="39"/>
  <c r="AE371" i="39"/>
  <c r="AU349" i="39"/>
  <c r="I349" i="39"/>
  <c r="Q349" i="39"/>
  <c r="B349" i="39"/>
  <c r="AF349" i="39" s="1"/>
  <c r="J349" i="39"/>
  <c r="AN349" i="39" s="1"/>
  <c r="C349" i="39"/>
  <c r="K349" i="39"/>
  <c r="AK349" i="39" s="1"/>
  <c r="D349" i="39"/>
  <c r="AJ349" i="39" s="1"/>
  <c r="L349" i="39"/>
  <c r="AQ349" i="39" s="1"/>
  <c r="E349" i="39"/>
  <c r="M349" i="39"/>
  <c r="AS349" i="39" s="1"/>
  <c r="F349" i="39"/>
  <c r="AM349" i="39" s="1"/>
  <c r="N349" i="39"/>
  <c r="G349" i="39"/>
  <c r="O349" i="39"/>
  <c r="H349" i="39"/>
  <c r="P349" i="39"/>
  <c r="AU320" i="39"/>
  <c r="B320" i="39"/>
  <c r="AF320" i="39" s="1"/>
  <c r="J320" i="39"/>
  <c r="AN320" i="39" s="1"/>
  <c r="C320" i="39"/>
  <c r="K320" i="39"/>
  <c r="AK320" i="39" s="1"/>
  <c r="G320" i="39"/>
  <c r="O320" i="39"/>
  <c r="N320" i="39"/>
  <c r="D320" i="39"/>
  <c r="AJ320" i="39" s="1"/>
  <c r="P320" i="39"/>
  <c r="E320" i="39"/>
  <c r="Q320" i="39"/>
  <c r="F320" i="39"/>
  <c r="AM320" i="39" s="1"/>
  <c r="H320" i="39"/>
  <c r="I320" i="39"/>
  <c r="L320" i="39"/>
  <c r="AQ320" i="39" s="1"/>
  <c r="M320" i="39"/>
  <c r="AS320" i="39" s="1"/>
  <c r="AU334" i="39"/>
  <c r="I334" i="39"/>
  <c r="Q334" i="39"/>
  <c r="E334" i="39"/>
  <c r="N334" i="39"/>
  <c r="F334" i="39"/>
  <c r="AM334" i="39" s="1"/>
  <c r="O334" i="39"/>
  <c r="G334" i="39"/>
  <c r="P334" i="39"/>
  <c r="H334" i="39"/>
  <c r="J334" i="39"/>
  <c r="AN334" i="39" s="1"/>
  <c r="B334" i="39"/>
  <c r="AF334" i="39" s="1"/>
  <c r="K334" i="39"/>
  <c r="AK334" i="39" s="1"/>
  <c r="C334" i="39"/>
  <c r="L334" i="39"/>
  <c r="AQ334" i="39" s="1"/>
  <c r="M334" i="39"/>
  <c r="AS334" i="39" s="1"/>
  <c r="D334" i="39"/>
  <c r="AJ334" i="39" s="1"/>
  <c r="AE292" i="39"/>
  <c r="AC292" i="39"/>
  <c r="AL292" i="39"/>
  <c r="AU233" i="39"/>
  <c r="H233" i="39"/>
  <c r="P233" i="39"/>
  <c r="B233" i="39"/>
  <c r="AF233" i="39" s="1"/>
  <c r="J233" i="39"/>
  <c r="AN233" i="39" s="1"/>
  <c r="D233" i="39"/>
  <c r="AJ233" i="39" s="1"/>
  <c r="L233" i="39"/>
  <c r="AQ233" i="39" s="1"/>
  <c r="E233" i="39"/>
  <c r="M233" i="39"/>
  <c r="AS233" i="39" s="1"/>
  <c r="F233" i="39"/>
  <c r="AM233" i="39" s="1"/>
  <c r="N233" i="39"/>
  <c r="G233" i="39"/>
  <c r="I233" i="39"/>
  <c r="K233" i="39"/>
  <c r="AK233" i="39" s="1"/>
  <c r="O233" i="39"/>
  <c r="Q233" i="39"/>
  <c r="C233" i="39"/>
  <c r="AE307" i="39"/>
  <c r="AL307" i="39"/>
  <c r="AC307" i="39"/>
  <c r="AU285" i="39"/>
  <c r="D285" i="39"/>
  <c r="AJ285" i="39" s="1"/>
  <c r="L285" i="39"/>
  <c r="AQ285" i="39" s="1"/>
  <c r="E285" i="39"/>
  <c r="M285" i="39"/>
  <c r="AS285" i="39" s="1"/>
  <c r="F285" i="39"/>
  <c r="AM285" i="39" s="1"/>
  <c r="N285" i="39"/>
  <c r="G285" i="39"/>
  <c r="O285" i="39"/>
  <c r="H285" i="39"/>
  <c r="P285" i="39"/>
  <c r="I285" i="39"/>
  <c r="Q285" i="39"/>
  <c r="B285" i="39"/>
  <c r="AF285" i="39" s="1"/>
  <c r="J285" i="39"/>
  <c r="AN285" i="39" s="1"/>
  <c r="C285" i="39"/>
  <c r="K285" i="39"/>
  <c r="AK285" i="39" s="1"/>
  <c r="AU269" i="39"/>
  <c r="F269" i="39"/>
  <c r="AM269" i="39" s="1"/>
  <c r="N269" i="39"/>
  <c r="B269" i="39"/>
  <c r="AF269" i="39" s="1"/>
  <c r="J269" i="39"/>
  <c r="AN269" i="39" s="1"/>
  <c r="E269" i="39"/>
  <c r="P269" i="39"/>
  <c r="G269" i="39"/>
  <c r="Q269" i="39"/>
  <c r="H269" i="39"/>
  <c r="I269" i="39"/>
  <c r="K269" i="39"/>
  <c r="AK269" i="39" s="1"/>
  <c r="L269" i="39"/>
  <c r="AQ269" i="39" s="1"/>
  <c r="C269" i="39"/>
  <c r="M269" i="39"/>
  <c r="AS269" i="39" s="1"/>
  <c r="D269" i="39"/>
  <c r="AJ269" i="39" s="1"/>
  <c r="O269" i="39"/>
  <c r="AU245" i="39"/>
  <c r="F245" i="39"/>
  <c r="AM245" i="39" s="1"/>
  <c r="N245" i="39"/>
  <c r="H245" i="39"/>
  <c r="P245" i="39"/>
  <c r="B245" i="39"/>
  <c r="AF245" i="39" s="1"/>
  <c r="J245" i="39"/>
  <c r="AN245" i="39" s="1"/>
  <c r="E245" i="39"/>
  <c r="G245" i="39"/>
  <c r="I245" i="39"/>
  <c r="K245" i="39"/>
  <c r="AK245" i="39" s="1"/>
  <c r="L245" i="39"/>
  <c r="AQ245" i="39" s="1"/>
  <c r="M245" i="39"/>
  <c r="AS245" i="39" s="1"/>
  <c r="C245" i="39"/>
  <c r="O245" i="39"/>
  <c r="D245" i="39"/>
  <c r="AJ245" i="39" s="1"/>
  <c r="Q245" i="39"/>
  <c r="AU300" i="39"/>
  <c r="E300" i="39"/>
  <c r="M300" i="39"/>
  <c r="AS300" i="39" s="1"/>
  <c r="F300" i="39"/>
  <c r="AM300" i="39" s="1"/>
  <c r="N300" i="39"/>
  <c r="G300" i="39"/>
  <c r="O300" i="39"/>
  <c r="H300" i="39"/>
  <c r="P300" i="39"/>
  <c r="I300" i="39"/>
  <c r="Q300" i="39"/>
  <c r="B300" i="39"/>
  <c r="AF300" i="39" s="1"/>
  <c r="J300" i="39"/>
  <c r="AN300" i="39" s="1"/>
  <c r="C300" i="39"/>
  <c r="K300" i="39"/>
  <c r="AK300" i="39" s="1"/>
  <c r="D300" i="39"/>
  <c r="AJ300" i="39" s="1"/>
  <c r="L300" i="39"/>
  <c r="AQ300" i="39" s="1"/>
  <c r="AC279" i="39"/>
  <c r="AL279" i="39"/>
  <c r="AE279" i="39"/>
  <c r="AU248" i="39"/>
  <c r="C248" i="39"/>
  <c r="K248" i="39"/>
  <c r="AK248" i="39" s="1"/>
  <c r="E248" i="39"/>
  <c r="M248" i="39"/>
  <c r="AS248" i="39" s="1"/>
  <c r="G248" i="39"/>
  <c r="O248" i="39"/>
  <c r="H248" i="39"/>
  <c r="I248" i="39"/>
  <c r="J248" i="39"/>
  <c r="AN248" i="39" s="1"/>
  <c r="L248" i="39"/>
  <c r="AQ248" i="39" s="1"/>
  <c r="N248" i="39"/>
  <c r="B248" i="39"/>
  <c r="AF248" i="39" s="1"/>
  <c r="P248" i="39"/>
  <c r="D248" i="39"/>
  <c r="AJ248" i="39" s="1"/>
  <c r="Q248" i="39"/>
  <c r="F248" i="39"/>
  <c r="AM248" i="39" s="1"/>
  <c r="AC289" i="39"/>
  <c r="AL289" i="39"/>
  <c r="AE289" i="39"/>
  <c r="AU251" i="39"/>
  <c r="H251" i="39"/>
  <c r="P251" i="39"/>
  <c r="B251" i="39"/>
  <c r="AF251" i="39" s="1"/>
  <c r="J251" i="39"/>
  <c r="AN251" i="39" s="1"/>
  <c r="D251" i="39"/>
  <c r="AJ251" i="39" s="1"/>
  <c r="L251" i="39"/>
  <c r="AQ251" i="39" s="1"/>
  <c r="I251" i="39"/>
  <c r="K251" i="39"/>
  <c r="AK251" i="39" s="1"/>
  <c r="M251" i="39"/>
  <c r="AS251" i="39" s="1"/>
  <c r="N251" i="39"/>
  <c r="C251" i="39"/>
  <c r="O251" i="39"/>
  <c r="E251" i="39"/>
  <c r="Q251" i="39"/>
  <c r="F251" i="39"/>
  <c r="AM251" i="39" s="1"/>
  <c r="G251" i="39"/>
  <c r="AU322" i="39"/>
  <c r="H322" i="39"/>
  <c r="P322" i="39"/>
  <c r="I322" i="39"/>
  <c r="Q322" i="39"/>
  <c r="E322" i="39"/>
  <c r="M322" i="39"/>
  <c r="AS322" i="39" s="1"/>
  <c r="C322" i="39"/>
  <c r="O322" i="39"/>
  <c r="D322" i="39"/>
  <c r="AJ322" i="39" s="1"/>
  <c r="F322" i="39"/>
  <c r="AM322" i="39" s="1"/>
  <c r="G322" i="39"/>
  <c r="J322" i="39"/>
  <c r="AN322" i="39" s="1"/>
  <c r="K322" i="39"/>
  <c r="AK322" i="39" s="1"/>
  <c r="L322" i="39"/>
  <c r="AQ322" i="39" s="1"/>
  <c r="B322" i="39"/>
  <c r="AF322" i="39" s="1"/>
  <c r="N322" i="39"/>
  <c r="AU280" i="39"/>
  <c r="G280" i="39"/>
  <c r="O280" i="39"/>
  <c r="H280" i="39"/>
  <c r="Q280" i="39"/>
  <c r="I280" i="39"/>
  <c r="J280" i="39"/>
  <c r="AN280" i="39" s="1"/>
  <c r="B280" i="39"/>
  <c r="AF280" i="39" s="1"/>
  <c r="K280" i="39"/>
  <c r="AK280" i="39" s="1"/>
  <c r="C280" i="39"/>
  <c r="L280" i="39"/>
  <c r="AQ280" i="39" s="1"/>
  <c r="D280" i="39"/>
  <c r="AJ280" i="39" s="1"/>
  <c r="M280" i="39"/>
  <c r="AS280" i="39" s="1"/>
  <c r="E280" i="39"/>
  <c r="N280" i="39"/>
  <c r="F280" i="39"/>
  <c r="AM280" i="39" s="1"/>
  <c r="P280" i="39"/>
  <c r="AL119" i="39"/>
  <c r="AC119" i="39"/>
  <c r="AE119" i="39"/>
  <c r="AE303" i="39"/>
  <c r="AC303" i="39"/>
  <c r="AL303" i="39"/>
  <c r="AU183" i="39"/>
  <c r="F183" i="39"/>
  <c r="AM183" i="39" s="1"/>
  <c r="N183" i="39"/>
  <c r="H183" i="39"/>
  <c r="P183" i="39"/>
  <c r="B183" i="39"/>
  <c r="AF183" i="39" s="1"/>
  <c r="J183" i="39"/>
  <c r="AN183" i="39" s="1"/>
  <c r="C183" i="39"/>
  <c r="O183" i="39"/>
  <c r="D183" i="39"/>
  <c r="AJ183" i="39" s="1"/>
  <c r="Q183" i="39"/>
  <c r="E183" i="39"/>
  <c r="G183" i="39"/>
  <c r="I183" i="39"/>
  <c r="K183" i="39"/>
  <c r="AK183" i="39" s="1"/>
  <c r="L183" i="39"/>
  <c r="AQ183" i="39" s="1"/>
  <c r="M183" i="39"/>
  <c r="AS183" i="39" s="1"/>
  <c r="AU288" i="39"/>
  <c r="I288" i="39"/>
  <c r="Q288" i="39"/>
  <c r="B288" i="39"/>
  <c r="AF288" i="39" s="1"/>
  <c r="J288" i="39"/>
  <c r="AN288" i="39" s="1"/>
  <c r="C288" i="39"/>
  <c r="K288" i="39"/>
  <c r="AK288" i="39" s="1"/>
  <c r="D288" i="39"/>
  <c r="AJ288" i="39" s="1"/>
  <c r="L288" i="39"/>
  <c r="AQ288" i="39" s="1"/>
  <c r="E288" i="39"/>
  <c r="M288" i="39"/>
  <c r="AS288" i="39" s="1"/>
  <c r="F288" i="39"/>
  <c r="AM288" i="39" s="1"/>
  <c r="N288" i="39"/>
  <c r="G288" i="39"/>
  <c r="O288" i="39"/>
  <c r="H288" i="39"/>
  <c r="P288" i="39"/>
  <c r="AE271" i="39"/>
  <c r="AL271" i="39"/>
  <c r="AC271" i="39"/>
  <c r="AU270" i="39"/>
  <c r="E270" i="39"/>
  <c r="M270" i="39"/>
  <c r="AS270" i="39" s="1"/>
  <c r="I270" i="39"/>
  <c r="Q270" i="39"/>
  <c r="B270" i="39"/>
  <c r="AF270" i="39" s="1"/>
  <c r="L270" i="39"/>
  <c r="AQ270" i="39" s="1"/>
  <c r="C270" i="39"/>
  <c r="N270" i="39"/>
  <c r="D270" i="39"/>
  <c r="AJ270" i="39" s="1"/>
  <c r="O270" i="39"/>
  <c r="F270" i="39"/>
  <c r="AM270" i="39" s="1"/>
  <c r="P270" i="39"/>
  <c r="G270" i="39"/>
  <c r="H270" i="39"/>
  <c r="J270" i="39"/>
  <c r="AN270" i="39" s="1"/>
  <c r="K270" i="39"/>
  <c r="AK270" i="39" s="1"/>
  <c r="AL228" i="39"/>
  <c r="AC228" i="39"/>
  <c r="AE228" i="39"/>
  <c r="AU206" i="39"/>
  <c r="C206" i="39"/>
  <c r="K206" i="39"/>
  <c r="AK206" i="39" s="1"/>
  <c r="D206" i="39"/>
  <c r="AJ206" i="39" s="1"/>
  <c r="L206" i="39"/>
  <c r="AQ206" i="39" s="1"/>
  <c r="E206" i="39"/>
  <c r="M206" i="39"/>
  <c r="AS206" i="39" s="1"/>
  <c r="F206" i="39"/>
  <c r="AM206" i="39" s="1"/>
  <c r="N206" i="39"/>
  <c r="G206" i="39"/>
  <c r="O206" i="39"/>
  <c r="H206" i="39"/>
  <c r="P206" i="39"/>
  <c r="I206" i="39"/>
  <c r="Q206" i="39"/>
  <c r="B206" i="39"/>
  <c r="AF206" i="39" s="1"/>
  <c r="J206" i="39"/>
  <c r="AN206" i="39" s="1"/>
  <c r="AC111" i="39"/>
  <c r="AE111" i="39"/>
  <c r="AL111" i="39"/>
  <c r="AU213" i="39"/>
  <c r="D213" i="39"/>
  <c r="AJ213" i="39" s="1"/>
  <c r="L213" i="39"/>
  <c r="AQ213" i="39" s="1"/>
  <c r="E213" i="39"/>
  <c r="M213" i="39"/>
  <c r="AS213" i="39" s="1"/>
  <c r="F213" i="39"/>
  <c r="AM213" i="39" s="1"/>
  <c r="N213" i="39"/>
  <c r="G213" i="39"/>
  <c r="O213" i="39"/>
  <c r="H213" i="39"/>
  <c r="P213" i="39"/>
  <c r="I213" i="39"/>
  <c r="Q213" i="39"/>
  <c r="B213" i="39"/>
  <c r="AF213" i="39" s="1"/>
  <c r="J213" i="39"/>
  <c r="AN213" i="39" s="1"/>
  <c r="C213" i="39"/>
  <c r="K213" i="39"/>
  <c r="AK213" i="39" s="1"/>
  <c r="AU186" i="39"/>
  <c r="E186" i="39"/>
  <c r="M186" i="39"/>
  <c r="AS186" i="39" s="1"/>
  <c r="G186" i="39"/>
  <c r="O186" i="39"/>
  <c r="D186" i="39"/>
  <c r="AJ186" i="39" s="1"/>
  <c r="P186" i="39"/>
  <c r="F186" i="39"/>
  <c r="AM186" i="39" s="1"/>
  <c r="Q186" i="39"/>
  <c r="H186" i="39"/>
  <c r="I186" i="39"/>
  <c r="J186" i="39"/>
  <c r="AN186" i="39" s="1"/>
  <c r="K186" i="39"/>
  <c r="AK186" i="39" s="1"/>
  <c r="B186" i="39"/>
  <c r="AF186" i="39" s="1"/>
  <c r="L186" i="39"/>
  <c r="AQ186" i="39" s="1"/>
  <c r="C186" i="39"/>
  <c r="N186" i="39"/>
  <c r="AU137" i="39"/>
  <c r="B137" i="39"/>
  <c r="AF137" i="39" s="1"/>
  <c r="J137" i="39"/>
  <c r="AN137" i="39" s="1"/>
  <c r="C137" i="39"/>
  <c r="K137" i="39"/>
  <c r="AK137" i="39" s="1"/>
  <c r="D137" i="39"/>
  <c r="AJ137" i="39" s="1"/>
  <c r="L137" i="39"/>
  <c r="AQ137" i="39" s="1"/>
  <c r="E137" i="39"/>
  <c r="M137" i="39"/>
  <c r="AS137" i="39" s="1"/>
  <c r="F137" i="39"/>
  <c r="AM137" i="39" s="1"/>
  <c r="N137" i="39"/>
  <c r="G137" i="39"/>
  <c r="O137" i="39"/>
  <c r="H137" i="39"/>
  <c r="P137" i="39"/>
  <c r="I137" i="39"/>
  <c r="Q137" i="39"/>
  <c r="AU236" i="39"/>
  <c r="E236" i="39"/>
  <c r="M236" i="39"/>
  <c r="AS236" i="39" s="1"/>
  <c r="G236" i="39"/>
  <c r="O236" i="39"/>
  <c r="I236" i="39"/>
  <c r="Q236" i="39"/>
  <c r="C236" i="39"/>
  <c r="K236" i="39"/>
  <c r="AK236" i="39" s="1"/>
  <c r="B236" i="39"/>
  <c r="AF236" i="39" s="1"/>
  <c r="D236" i="39"/>
  <c r="AJ236" i="39" s="1"/>
  <c r="F236" i="39"/>
  <c r="AM236" i="39" s="1"/>
  <c r="H236" i="39"/>
  <c r="J236" i="39"/>
  <c r="AN236" i="39" s="1"/>
  <c r="L236" i="39"/>
  <c r="AQ236" i="39" s="1"/>
  <c r="N236" i="39"/>
  <c r="P236" i="39"/>
  <c r="AU197" i="39"/>
  <c r="B197" i="39"/>
  <c r="AF197" i="39" s="1"/>
  <c r="J197" i="39"/>
  <c r="AN197" i="39" s="1"/>
  <c r="D197" i="39"/>
  <c r="AJ197" i="39" s="1"/>
  <c r="L197" i="39"/>
  <c r="AQ197" i="39" s="1"/>
  <c r="G197" i="39"/>
  <c r="Q197" i="39"/>
  <c r="H197" i="39"/>
  <c r="I197" i="39"/>
  <c r="K197" i="39"/>
  <c r="AK197" i="39" s="1"/>
  <c r="M197" i="39"/>
  <c r="AS197" i="39" s="1"/>
  <c r="C197" i="39"/>
  <c r="N197" i="39"/>
  <c r="E197" i="39"/>
  <c r="O197" i="39"/>
  <c r="F197" i="39"/>
  <c r="AM197" i="39" s="1"/>
  <c r="P197" i="39"/>
  <c r="AE153" i="39"/>
  <c r="AL153" i="39"/>
  <c r="AC153" i="39"/>
  <c r="AU211" i="39"/>
  <c r="F211" i="39"/>
  <c r="AM211" i="39" s="1"/>
  <c r="N211" i="39"/>
  <c r="G211" i="39"/>
  <c r="O211" i="39"/>
  <c r="H211" i="39"/>
  <c r="P211" i="39"/>
  <c r="I211" i="39"/>
  <c r="Q211" i="39"/>
  <c r="B211" i="39"/>
  <c r="AF211" i="39" s="1"/>
  <c r="J211" i="39"/>
  <c r="AN211" i="39" s="1"/>
  <c r="C211" i="39"/>
  <c r="K211" i="39"/>
  <c r="AK211" i="39" s="1"/>
  <c r="D211" i="39"/>
  <c r="AJ211" i="39" s="1"/>
  <c r="L211" i="39"/>
  <c r="AQ211" i="39" s="1"/>
  <c r="E211" i="39"/>
  <c r="M211" i="39"/>
  <c r="AS211" i="39" s="1"/>
  <c r="AU191" i="39"/>
  <c r="H191" i="39"/>
  <c r="P191" i="39"/>
  <c r="B191" i="39"/>
  <c r="AF191" i="39" s="1"/>
  <c r="J191" i="39"/>
  <c r="AN191" i="39" s="1"/>
  <c r="G191" i="39"/>
  <c r="I191" i="39"/>
  <c r="K191" i="39"/>
  <c r="AK191" i="39" s="1"/>
  <c r="L191" i="39"/>
  <c r="AQ191" i="39" s="1"/>
  <c r="C191" i="39"/>
  <c r="M191" i="39"/>
  <c r="AS191" i="39" s="1"/>
  <c r="D191" i="39"/>
  <c r="AJ191" i="39" s="1"/>
  <c r="N191" i="39"/>
  <c r="E191" i="39"/>
  <c r="O191" i="39"/>
  <c r="F191" i="39"/>
  <c r="AM191" i="39" s="1"/>
  <c r="Q191" i="39"/>
  <c r="AE171" i="39"/>
  <c r="AL171" i="39"/>
  <c r="AC171" i="39"/>
  <c r="AC272" i="39"/>
  <c r="AL272" i="39"/>
  <c r="AE272" i="39"/>
  <c r="AU250" i="39"/>
  <c r="I250" i="39"/>
  <c r="Q250" i="39"/>
  <c r="C250" i="39"/>
  <c r="K250" i="39"/>
  <c r="AK250" i="39" s="1"/>
  <c r="E250" i="39"/>
  <c r="M250" i="39"/>
  <c r="AS250" i="39" s="1"/>
  <c r="H250" i="39"/>
  <c r="J250" i="39"/>
  <c r="AN250" i="39" s="1"/>
  <c r="L250" i="39"/>
  <c r="AQ250" i="39" s="1"/>
  <c r="N250" i="39"/>
  <c r="B250" i="39"/>
  <c r="AF250" i="39" s="1"/>
  <c r="O250" i="39"/>
  <c r="D250" i="39"/>
  <c r="AJ250" i="39" s="1"/>
  <c r="P250" i="39"/>
  <c r="F250" i="39"/>
  <c r="AM250" i="39" s="1"/>
  <c r="G250" i="39"/>
  <c r="AE208" i="39"/>
  <c r="AC208" i="39"/>
  <c r="AL208" i="39"/>
  <c r="AU171" i="39"/>
  <c r="B171" i="39"/>
  <c r="AF171" i="39" s="1"/>
  <c r="J171" i="39"/>
  <c r="AN171" i="39" s="1"/>
  <c r="D171" i="39"/>
  <c r="AJ171" i="39" s="1"/>
  <c r="L171" i="39"/>
  <c r="AQ171" i="39" s="1"/>
  <c r="E171" i="39"/>
  <c r="M171" i="39"/>
  <c r="AS171" i="39" s="1"/>
  <c r="F171" i="39"/>
  <c r="AM171" i="39" s="1"/>
  <c r="N171" i="39"/>
  <c r="O171" i="39"/>
  <c r="P171" i="39"/>
  <c r="Q171" i="39"/>
  <c r="C171" i="39"/>
  <c r="G171" i="39"/>
  <c r="H171" i="39"/>
  <c r="I171" i="39"/>
  <c r="K171" i="39"/>
  <c r="AK171" i="39" s="1"/>
  <c r="AL159" i="39"/>
  <c r="AC159" i="39"/>
  <c r="AE159" i="39"/>
  <c r="AC206" i="39"/>
  <c r="AE206" i="39"/>
  <c r="AL206" i="39"/>
  <c r="AL167" i="39"/>
  <c r="AC167" i="39"/>
  <c r="AE167" i="39"/>
  <c r="AU192" i="39"/>
  <c r="G192" i="39"/>
  <c r="O192" i="39"/>
  <c r="I192" i="39"/>
  <c r="Q192" i="39"/>
  <c r="D192" i="39"/>
  <c r="AJ192" i="39" s="1"/>
  <c r="N192" i="39"/>
  <c r="E192" i="39"/>
  <c r="P192" i="39"/>
  <c r="F192" i="39"/>
  <c r="AM192" i="39" s="1"/>
  <c r="H192" i="39"/>
  <c r="J192" i="39"/>
  <c r="AN192" i="39" s="1"/>
  <c r="K192" i="39"/>
  <c r="AK192" i="39" s="1"/>
  <c r="B192" i="39"/>
  <c r="AF192" i="39" s="1"/>
  <c r="L192" i="39"/>
  <c r="AQ192" i="39" s="1"/>
  <c r="C192" i="39"/>
  <c r="M192" i="39"/>
  <c r="AS192" i="39" s="1"/>
  <c r="AL150" i="39"/>
  <c r="AC150" i="39"/>
  <c r="AE150" i="39"/>
  <c r="AU128" i="39"/>
  <c r="C128" i="39"/>
  <c r="K128" i="39"/>
  <c r="AK128" i="39" s="1"/>
  <c r="D128" i="39"/>
  <c r="AJ128" i="39" s="1"/>
  <c r="L128" i="39"/>
  <c r="AQ128" i="39" s="1"/>
  <c r="E128" i="39"/>
  <c r="M128" i="39"/>
  <c r="AS128" i="39" s="1"/>
  <c r="F128" i="39"/>
  <c r="AM128" i="39" s="1"/>
  <c r="N128" i="39"/>
  <c r="G128" i="39"/>
  <c r="O128" i="39"/>
  <c r="H128" i="39"/>
  <c r="P128" i="39"/>
  <c r="I128" i="39"/>
  <c r="Q128" i="39"/>
  <c r="B128" i="39"/>
  <c r="AF128" i="39" s="1"/>
  <c r="J128" i="39"/>
  <c r="AN128" i="39" s="1"/>
  <c r="AU167" i="39"/>
  <c r="D167" i="39"/>
  <c r="AJ167" i="39" s="1"/>
  <c r="L167" i="39"/>
  <c r="AQ167" i="39" s="1"/>
  <c r="F167" i="39"/>
  <c r="AM167" i="39" s="1"/>
  <c r="N167" i="39"/>
  <c r="H167" i="39"/>
  <c r="P167" i="39"/>
  <c r="I167" i="39"/>
  <c r="Z167" i="39" s="1"/>
  <c r="Q167" i="39"/>
  <c r="B167" i="39"/>
  <c r="AF167" i="39" s="1"/>
  <c r="J167" i="39"/>
  <c r="AN167" i="39" s="1"/>
  <c r="C167" i="39"/>
  <c r="E167" i="39"/>
  <c r="G167" i="39"/>
  <c r="K167" i="39"/>
  <c r="AK167" i="39" s="1"/>
  <c r="M167" i="39"/>
  <c r="AS167" i="39" s="1"/>
  <c r="O167" i="39"/>
  <c r="AC125" i="39"/>
  <c r="AL125" i="39"/>
  <c r="AE125" i="39"/>
  <c r="AL107" i="39"/>
  <c r="AE107" i="39"/>
  <c r="AC107" i="39"/>
  <c r="AE172" i="39"/>
  <c r="AL172" i="39"/>
  <c r="AC172" i="39"/>
  <c r="AU150" i="39"/>
  <c r="E150" i="39"/>
  <c r="M150" i="39"/>
  <c r="AS150" i="39" s="1"/>
  <c r="F150" i="39"/>
  <c r="AM150" i="39" s="1"/>
  <c r="N150" i="39"/>
  <c r="G150" i="39"/>
  <c r="O150" i="39"/>
  <c r="H150" i="39"/>
  <c r="P150" i="39"/>
  <c r="I150" i="39"/>
  <c r="Q150" i="39"/>
  <c r="B150" i="39"/>
  <c r="AF150" i="39" s="1"/>
  <c r="J150" i="39"/>
  <c r="AN150" i="39" s="1"/>
  <c r="C150" i="39"/>
  <c r="K150" i="39"/>
  <c r="AK150" i="39" s="1"/>
  <c r="D150" i="39"/>
  <c r="AJ150" i="39" s="1"/>
  <c r="L150" i="39"/>
  <c r="AQ150" i="39" s="1"/>
  <c r="AC108" i="39"/>
  <c r="AE108" i="39"/>
  <c r="AL108" i="39"/>
  <c r="AU149" i="39"/>
  <c r="F149" i="39"/>
  <c r="AM149" i="39" s="1"/>
  <c r="N149" i="39"/>
  <c r="G149" i="39"/>
  <c r="O149" i="39"/>
  <c r="H149" i="39"/>
  <c r="P149" i="39"/>
  <c r="I149" i="39"/>
  <c r="Q149" i="39"/>
  <c r="B149" i="39"/>
  <c r="AF149" i="39" s="1"/>
  <c r="J149" i="39"/>
  <c r="AN149" i="39" s="1"/>
  <c r="C149" i="39"/>
  <c r="K149" i="39"/>
  <c r="AK149" i="39" s="1"/>
  <c r="D149" i="39"/>
  <c r="AJ149" i="39" s="1"/>
  <c r="L149" i="39"/>
  <c r="AQ149" i="39" s="1"/>
  <c r="E149" i="39"/>
  <c r="M149" i="39"/>
  <c r="AS149" i="39" s="1"/>
  <c r="AE178" i="39"/>
  <c r="AL178" i="39"/>
  <c r="AC178" i="39"/>
  <c r="AU156" i="39"/>
  <c r="G156" i="39"/>
  <c r="O156" i="39"/>
  <c r="I156" i="39"/>
  <c r="Q156" i="39"/>
  <c r="B156" i="39"/>
  <c r="AF156" i="39" s="1"/>
  <c r="J156" i="39"/>
  <c r="AN156" i="39" s="1"/>
  <c r="C156" i="39"/>
  <c r="K156" i="39"/>
  <c r="AK156" i="39" s="1"/>
  <c r="D156" i="39"/>
  <c r="AJ156" i="39" s="1"/>
  <c r="L156" i="39"/>
  <c r="AQ156" i="39" s="1"/>
  <c r="E156" i="39"/>
  <c r="M156" i="39"/>
  <c r="AS156" i="39" s="1"/>
  <c r="F156" i="39"/>
  <c r="AM156" i="39" s="1"/>
  <c r="H156" i="39"/>
  <c r="N156" i="39"/>
  <c r="P156" i="39"/>
  <c r="AC114" i="39"/>
  <c r="AL114" i="39"/>
  <c r="AE114" i="39"/>
  <c r="AC72" i="39"/>
  <c r="AL72" i="39"/>
  <c r="AE72" i="39"/>
  <c r="AU131" i="39"/>
  <c r="H131" i="39"/>
  <c r="P131" i="39"/>
  <c r="I131" i="39"/>
  <c r="Z131" i="39" s="1"/>
  <c r="Q131" i="39"/>
  <c r="B131" i="39"/>
  <c r="AF131" i="39" s="1"/>
  <c r="J131" i="39"/>
  <c r="AN131" i="39" s="1"/>
  <c r="C131" i="39"/>
  <c r="K131" i="39"/>
  <c r="AK131" i="39" s="1"/>
  <c r="D131" i="39"/>
  <c r="AJ131" i="39" s="1"/>
  <c r="L131" i="39"/>
  <c r="AQ131" i="39" s="1"/>
  <c r="E131" i="39"/>
  <c r="M131" i="39"/>
  <c r="AS131" i="39" s="1"/>
  <c r="F131" i="39"/>
  <c r="AM131" i="39" s="1"/>
  <c r="N131" i="39"/>
  <c r="G131" i="39"/>
  <c r="O131" i="39"/>
  <c r="AU154" i="39"/>
  <c r="I154" i="39"/>
  <c r="Q154" i="39"/>
  <c r="C154" i="39"/>
  <c r="K154" i="39"/>
  <c r="AK154" i="39" s="1"/>
  <c r="D154" i="39"/>
  <c r="AJ154" i="39" s="1"/>
  <c r="L154" i="39"/>
  <c r="AQ154" i="39" s="1"/>
  <c r="E154" i="39"/>
  <c r="M154" i="39"/>
  <c r="AS154" i="39" s="1"/>
  <c r="F154" i="39"/>
  <c r="AM154" i="39" s="1"/>
  <c r="N154" i="39"/>
  <c r="G154" i="39"/>
  <c r="O154" i="39"/>
  <c r="J154" i="39"/>
  <c r="AN154" i="39" s="1"/>
  <c r="P154" i="39"/>
  <c r="B154" i="39"/>
  <c r="AF154" i="39" s="1"/>
  <c r="H154" i="39"/>
  <c r="AE112" i="39"/>
  <c r="AC112" i="39"/>
  <c r="AL112" i="39"/>
  <c r="AC99" i="39"/>
  <c r="AE99" i="39"/>
  <c r="AL99" i="39"/>
  <c r="AU66" i="39"/>
  <c r="B66" i="39"/>
  <c r="AF66" i="39" s="1"/>
  <c r="J66" i="39"/>
  <c r="AN66" i="39" s="1"/>
  <c r="C66" i="39"/>
  <c r="K66" i="39"/>
  <c r="AK66" i="39" s="1"/>
  <c r="D66" i="39"/>
  <c r="AJ66" i="39" s="1"/>
  <c r="L66" i="39"/>
  <c r="AQ66" i="39" s="1"/>
  <c r="E66" i="39"/>
  <c r="M66" i="39"/>
  <c r="AS66" i="39" s="1"/>
  <c r="F66" i="39"/>
  <c r="AM66" i="39" s="1"/>
  <c r="N66" i="39"/>
  <c r="G66" i="39"/>
  <c r="O66" i="39"/>
  <c r="Q66" i="39"/>
  <c r="H66" i="39"/>
  <c r="I66" i="39"/>
  <c r="P66" i="39"/>
  <c r="AL105" i="39"/>
  <c r="AC105" i="39"/>
  <c r="AE105" i="39"/>
  <c r="AE47" i="39"/>
  <c r="AC47" i="39"/>
  <c r="AL47" i="39"/>
  <c r="AU104" i="39"/>
  <c r="D104" i="39"/>
  <c r="AJ104" i="39" s="1"/>
  <c r="L104" i="39"/>
  <c r="AQ104" i="39" s="1"/>
  <c r="I104" i="39"/>
  <c r="Q104" i="39"/>
  <c r="J104" i="39"/>
  <c r="AN104" i="39" s="1"/>
  <c r="F104" i="39"/>
  <c r="AM104" i="39" s="1"/>
  <c r="P104" i="39"/>
  <c r="K104" i="39"/>
  <c r="AK104" i="39" s="1"/>
  <c r="M104" i="39"/>
  <c r="AS104" i="39" s="1"/>
  <c r="N104" i="39"/>
  <c r="B104" i="39"/>
  <c r="AF104" i="39" s="1"/>
  <c r="O104" i="39"/>
  <c r="C104" i="39"/>
  <c r="E104" i="39"/>
  <c r="G104" i="39"/>
  <c r="H104" i="39"/>
  <c r="AL62" i="39"/>
  <c r="AC62" i="39"/>
  <c r="AE62" i="39"/>
  <c r="AU40" i="39"/>
  <c r="D40" i="39"/>
  <c r="AJ40" i="39" s="1"/>
  <c r="L40" i="39"/>
  <c r="AQ40" i="39" s="1"/>
  <c r="E40" i="39"/>
  <c r="M40" i="39"/>
  <c r="AS40" i="39" s="1"/>
  <c r="F40" i="39"/>
  <c r="AM40" i="39" s="1"/>
  <c r="N40" i="39"/>
  <c r="G40" i="39"/>
  <c r="O40" i="39"/>
  <c r="H40" i="39"/>
  <c r="P40" i="39"/>
  <c r="I40" i="39"/>
  <c r="Z40" i="39" s="1"/>
  <c r="Q40" i="39"/>
  <c r="B40" i="39"/>
  <c r="AF40" i="39" s="1"/>
  <c r="J40" i="39"/>
  <c r="AN40" i="39" s="1"/>
  <c r="C40" i="39"/>
  <c r="K40" i="39"/>
  <c r="AK40" i="39" s="1"/>
  <c r="AC69" i="39"/>
  <c r="AL69" i="39"/>
  <c r="AE69" i="39"/>
  <c r="AU47" i="39"/>
  <c r="E47" i="39"/>
  <c r="M47" i="39"/>
  <c r="AS47" i="39" s="1"/>
  <c r="F47" i="39"/>
  <c r="AM47" i="39" s="1"/>
  <c r="N47" i="39"/>
  <c r="G47" i="39"/>
  <c r="O47" i="39"/>
  <c r="H47" i="39"/>
  <c r="P47" i="39"/>
  <c r="I47" i="39"/>
  <c r="Q47" i="39"/>
  <c r="B47" i="39"/>
  <c r="AF47" i="39" s="1"/>
  <c r="J47" i="39"/>
  <c r="AN47" i="39" s="1"/>
  <c r="C47" i="39"/>
  <c r="K47" i="39"/>
  <c r="AK47" i="39" s="1"/>
  <c r="D47" i="39"/>
  <c r="AJ47" i="39" s="1"/>
  <c r="L47" i="39"/>
  <c r="AQ47" i="39" s="1"/>
  <c r="AU86" i="39"/>
  <c r="F86" i="39"/>
  <c r="AM86" i="39" s="1"/>
  <c r="N86" i="39"/>
  <c r="G86" i="39"/>
  <c r="O86" i="39"/>
  <c r="H86" i="39"/>
  <c r="P86" i="39"/>
  <c r="I86" i="39"/>
  <c r="Q86" i="39"/>
  <c r="B86" i="39"/>
  <c r="AF86" i="39" s="1"/>
  <c r="J86" i="39"/>
  <c r="AN86" i="39" s="1"/>
  <c r="C86" i="39"/>
  <c r="K86" i="39"/>
  <c r="AK86" i="39" s="1"/>
  <c r="L86" i="39"/>
  <c r="AQ86" i="39" s="1"/>
  <c r="M86" i="39"/>
  <c r="AS86" i="39" s="1"/>
  <c r="D86" i="39"/>
  <c r="AJ86" i="39" s="1"/>
  <c r="E86" i="39"/>
  <c r="AE44" i="39"/>
  <c r="AC44" i="39"/>
  <c r="AL44" i="39"/>
  <c r="AU85" i="39"/>
  <c r="G85" i="39"/>
  <c r="O85" i="39"/>
  <c r="H85" i="39"/>
  <c r="P85" i="39"/>
  <c r="I85" i="39"/>
  <c r="Q85" i="39"/>
  <c r="B85" i="39"/>
  <c r="AF85" i="39" s="1"/>
  <c r="J85" i="39"/>
  <c r="AN85" i="39" s="1"/>
  <c r="C85" i="39"/>
  <c r="K85" i="39"/>
  <c r="AK85" i="39" s="1"/>
  <c r="D85" i="39"/>
  <c r="AJ85" i="39" s="1"/>
  <c r="L85" i="39"/>
  <c r="AQ85" i="39" s="1"/>
  <c r="E85" i="39"/>
  <c r="F85" i="39"/>
  <c r="AM85" i="39" s="1"/>
  <c r="M85" i="39"/>
  <c r="AS85" i="39" s="1"/>
  <c r="N85" i="39"/>
  <c r="AC43" i="39"/>
  <c r="AL43" i="39"/>
  <c r="AE43" i="39"/>
  <c r="AU76" i="39"/>
  <c r="H76" i="39"/>
  <c r="P76" i="39"/>
  <c r="I76" i="39"/>
  <c r="Z76" i="39" s="1"/>
  <c r="Q76" i="39"/>
  <c r="B76" i="39"/>
  <c r="AF76" i="39" s="1"/>
  <c r="J76" i="39"/>
  <c r="AN76" i="39" s="1"/>
  <c r="C76" i="39"/>
  <c r="K76" i="39"/>
  <c r="AK76" i="39" s="1"/>
  <c r="D76" i="39"/>
  <c r="AJ76" i="39" s="1"/>
  <c r="L76" i="39"/>
  <c r="AQ76" i="39" s="1"/>
  <c r="E76" i="39"/>
  <c r="M76" i="39"/>
  <c r="AS76" i="39" s="1"/>
  <c r="F76" i="39"/>
  <c r="AM76" i="39" s="1"/>
  <c r="G76" i="39"/>
  <c r="N76" i="39"/>
  <c r="O76" i="39"/>
  <c r="AC34" i="39"/>
  <c r="AL34" i="39"/>
  <c r="AE34" i="39"/>
  <c r="AU83" i="39"/>
  <c r="I83" i="39"/>
  <c r="Q83" i="39"/>
  <c r="B83" i="39"/>
  <c r="AF83" i="39" s="1"/>
  <c r="J83" i="39"/>
  <c r="AN83" i="39" s="1"/>
  <c r="C83" i="39"/>
  <c r="K83" i="39"/>
  <c r="AK83" i="39" s="1"/>
  <c r="D83" i="39"/>
  <c r="AJ83" i="39" s="1"/>
  <c r="L83" i="39"/>
  <c r="AQ83" i="39" s="1"/>
  <c r="E83" i="39"/>
  <c r="M83" i="39"/>
  <c r="AS83" i="39" s="1"/>
  <c r="F83" i="39"/>
  <c r="AM83" i="39" s="1"/>
  <c r="N83" i="39"/>
  <c r="H83" i="39"/>
  <c r="G83" i="39"/>
  <c r="O83" i="39"/>
  <c r="P83" i="39"/>
  <c r="AC41" i="39"/>
  <c r="AL41" i="39"/>
  <c r="AE41" i="39"/>
  <c r="AU440" i="39"/>
  <c r="H440" i="39"/>
  <c r="P440" i="39"/>
  <c r="C440" i="39"/>
  <c r="K440" i="39"/>
  <c r="AK440" i="39" s="1"/>
  <c r="D440" i="39"/>
  <c r="AJ440" i="39" s="1"/>
  <c r="L440" i="39"/>
  <c r="AQ440" i="39" s="1"/>
  <c r="E440" i="39"/>
  <c r="Q440" i="39"/>
  <c r="F440" i="39"/>
  <c r="AM440" i="39" s="1"/>
  <c r="G440" i="39"/>
  <c r="I440" i="39"/>
  <c r="J440" i="39"/>
  <c r="AN440" i="39" s="1"/>
  <c r="O440" i="39"/>
  <c r="M440" i="39"/>
  <c r="AS440" i="39" s="1"/>
  <c r="N440" i="39"/>
  <c r="B440" i="39"/>
  <c r="AF440" i="39" s="1"/>
  <c r="AC448" i="39"/>
  <c r="AL448" i="39"/>
  <c r="AE448" i="39"/>
  <c r="AU416" i="39"/>
  <c r="H416" i="39"/>
  <c r="P416" i="39"/>
  <c r="I416" i="39"/>
  <c r="Q416" i="39"/>
  <c r="C416" i="39"/>
  <c r="K416" i="39"/>
  <c r="AK416" i="39" s="1"/>
  <c r="D416" i="39"/>
  <c r="AJ416" i="39" s="1"/>
  <c r="L416" i="39"/>
  <c r="AQ416" i="39" s="1"/>
  <c r="E416" i="39"/>
  <c r="F416" i="39"/>
  <c r="AM416" i="39" s="1"/>
  <c r="G416" i="39"/>
  <c r="J416" i="39"/>
  <c r="AN416" i="39" s="1"/>
  <c r="M416" i="39"/>
  <c r="AS416" i="39" s="1"/>
  <c r="N416" i="39"/>
  <c r="B416" i="39"/>
  <c r="AF416" i="39" s="1"/>
  <c r="O416" i="39"/>
  <c r="AU136" i="39"/>
  <c r="C136" i="39"/>
  <c r="K136" i="39"/>
  <c r="AK136" i="39" s="1"/>
  <c r="D136" i="39"/>
  <c r="AJ136" i="39" s="1"/>
  <c r="L136" i="39"/>
  <c r="AQ136" i="39" s="1"/>
  <c r="E136" i="39"/>
  <c r="M136" i="39"/>
  <c r="AS136" i="39" s="1"/>
  <c r="F136" i="39"/>
  <c r="AM136" i="39" s="1"/>
  <c r="N136" i="39"/>
  <c r="G136" i="39"/>
  <c r="O136" i="39"/>
  <c r="H136" i="39"/>
  <c r="P136" i="39"/>
  <c r="I136" i="39"/>
  <c r="Q136" i="39"/>
  <c r="B136" i="39"/>
  <c r="AF136" i="39" s="1"/>
  <c r="J136" i="39"/>
  <c r="AN136" i="39" s="1"/>
  <c r="AE120" i="39"/>
  <c r="AL120" i="39"/>
  <c r="AC120" i="39"/>
  <c r="AC32" i="39"/>
  <c r="AL32" i="39"/>
  <c r="AE32" i="39"/>
  <c r="AU34" i="39"/>
  <c r="B34" i="39"/>
  <c r="AF34" i="39" s="1"/>
  <c r="J34" i="39"/>
  <c r="AN34" i="39" s="1"/>
  <c r="C34" i="39"/>
  <c r="K34" i="39"/>
  <c r="AK34" i="39" s="1"/>
  <c r="D34" i="39"/>
  <c r="AJ34" i="39" s="1"/>
  <c r="L34" i="39"/>
  <c r="AQ34" i="39" s="1"/>
  <c r="E34" i="39"/>
  <c r="M34" i="39"/>
  <c r="AS34" i="39" s="1"/>
  <c r="F34" i="39"/>
  <c r="AM34" i="39" s="1"/>
  <c r="N34" i="39"/>
  <c r="G34" i="39"/>
  <c r="O34" i="39"/>
  <c r="H34" i="39"/>
  <c r="P34" i="39"/>
  <c r="I34" i="39"/>
  <c r="Q34" i="39"/>
  <c r="AC80" i="39"/>
  <c r="AE80" i="39"/>
  <c r="AL80" i="39"/>
  <c r="AC70" i="39"/>
  <c r="AL70" i="39"/>
  <c r="AE70" i="39"/>
  <c r="AU48" i="39"/>
  <c r="D48" i="39"/>
  <c r="AJ48" i="39" s="1"/>
  <c r="L48" i="39"/>
  <c r="AQ48" i="39" s="1"/>
  <c r="E48" i="39"/>
  <c r="M48" i="39"/>
  <c r="AS48" i="39" s="1"/>
  <c r="F48" i="39"/>
  <c r="AM48" i="39" s="1"/>
  <c r="N48" i="39"/>
  <c r="G48" i="39"/>
  <c r="O48" i="39"/>
  <c r="H48" i="39"/>
  <c r="P48" i="39"/>
  <c r="I48" i="39"/>
  <c r="Z48" i="39" s="1"/>
  <c r="Q48" i="39"/>
  <c r="B48" i="39"/>
  <c r="AF48" i="39" s="1"/>
  <c r="J48" i="39"/>
  <c r="AN48" i="39" s="1"/>
  <c r="C48" i="39"/>
  <c r="K48" i="39"/>
  <c r="AK48" i="39" s="1"/>
  <c r="AU91" i="39"/>
  <c r="I91" i="39"/>
  <c r="Q91" i="39"/>
  <c r="C91" i="39"/>
  <c r="K91" i="39"/>
  <c r="AK91" i="39" s="1"/>
  <c r="D91" i="39"/>
  <c r="AJ91" i="39" s="1"/>
  <c r="L91" i="39"/>
  <c r="AQ91" i="39" s="1"/>
  <c r="E91" i="39"/>
  <c r="M91" i="39"/>
  <c r="AS91" i="39" s="1"/>
  <c r="F91" i="39"/>
  <c r="AM91" i="39" s="1"/>
  <c r="N91" i="39"/>
  <c r="G91" i="39"/>
  <c r="O91" i="39"/>
  <c r="P91" i="39"/>
  <c r="H91" i="39"/>
  <c r="J91" i="39"/>
  <c r="AN91" i="39" s="1"/>
  <c r="B91" i="39"/>
  <c r="AF91" i="39" s="1"/>
  <c r="AC346" i="39"/>
  <c r="AL346" i="39"/>
  <c r="AE346" i="39"/>
  <c r="AU429" i="39"/>
  <c r="C429" i="39"/>
  <c r="K429" i="39"/>
  <c r="AK429" i="39" s="1"/>
  <c r="F429" i="39"/>
  <c r="AM429" i="39" s="1"/>
  <c r="N429" i="39"/>
  <c r="G429" i="39"/>
  <c r="O429" i="39"/>
  <c r="J429" i="39"/>
  <c r="AN429" i="39" s="1"/>
  <c r="L429" i="39"/>
  <c r="AQ429" i="39" s="1"/>
  <c r="M429" i="39"/>
  <c r="AS429" i="39" s="1"/>
  <c r="I429" i="39"/>
  <c r="B429" i="39"/>
  <c r="AF429" i="39" s="1"/>
  <c r="P429" i="39"/>
  <c r="D429" i="39"/>
  <c r="AJ429" i="39" s="1"/>
  <c r="Q429" i="39"/>
  <c r="E429" i="39"/>
  <c r="H429" i="39"/>
  <c r="AC451" i="39"/>
  <c r="AL451" i="39"/>
  <c r="AE451" i="39"/>
  <c r="AC427" i="39"/>
  <c r="AL427" i="39"/>
  <c r="AE427" i="39"/>
  <c r="AE442" i="39"/>
  <c r="AC442" i="39"/>
  <c r="AL442" i="39"/>
  <c r="AC354" i="39"/>
  <c r="AL354" i="39"/>
  <c r="AE354" i="39"/>
  <c r="AU333" i="39"/>
  <c r="B333" i="39"/>
  <c r="AF333" i="39" s="1"/>
  <c r="J333" i="39"/>
  <c r="AN333" i="39" s="1"/>
  <c r="C333" i="39"/>
  <c r="L333" i="39"/>
  <c r="AQ333" i="39" s="1"/>
  <c r="D333" i="39"/>
  <c r="AJ333" i="39" s="1"/>
  <c r="M333" i="39"/>
  <c r="AS333" i="39" s="1"/>
  <c r="E333" i="39"/>
  <c r="N333" i="39"/>
  <c r="F333" i="39"/>
  <c r="AM333" i="39" s="1"/>
  <c r="O333" i="39"/>
  <c r="G333" i="39"/>
  <c r="P333" i="39"/>
  <c r="H333" i="39"/>
  <c r="Q333" i="39"/>
  <c r="I333" i="39"/>
  <c r="K333" i="39"/>
  <c r="AK333" i="39" s="1"/>
  <c r="AU372" i="39"/>
  <c r="B372" i="39"/>
  <c r="AF372" i="39" s="1"/>
  <c r="J372" i="39"/>
  <c r="AN372" i="39" s="1"/>
  <c r="C372" i="39"/>
  <c r="K372" i="39"/>
  <c r="AK372" i="39" s="1"/>
  <c r="D372" i="39"/>
  <c r="AJ372" i="39" s="1"/>
  <c r="L372" i="39"/>
  <c r="AQ372" i="39" s="1"/>
  <c r="E372" i="39"/>
  <c r="M372" i="39"/>
  <c r="AS372" i="39" s="1"/>
  <c r="F372" i="39"/>
  <c r="AM372" i="39" s="1"/>
  <c r="N372" i="39"/>
  <c r="G372" i="39"/>
  <c r="O372" i="39"/>
  <c r="H372" i="39"/>
  <c r="P372" i="39"/>
  <c r="I372" i="39"/>
  <c r="Q372" i="39"/>
  <c r="AU428" i="39"/>
  <c r="D428" i="39"/>
  <c r="AJ428" i="39" s="1"/>
  <c r="L428" i="39"/>
  <c r="AQ428" i="39" s="1"/>
  <c r="G428" i="39"/>
  <c r="O428" i="39"/>
  <c r="H428" i="39"/>
  <c r="P428" i="39"/>
  <c r="J428" i="39"/>
  <c r="AN428" i="39" s="1"/>
  <c r="K428" i="39"/>
  <c r="AK428" i="39" s="1"/>
  <c r="M428" i="39"/>
  <c r="AS428" i="39" s="1"/>
  <c r="B428" i="39"/>
  <c r="AF428" i="39" s="1"/>
  <c r="N428" i="39"/>
  <c r="C428" i="39"/>
  <c r="Q428" i="39"/>
  <c r="E428" i="39"/>
  <c r="F428" i="39"/>
  <c r="AM428" i="39" s="1"/>
  <c r="I428" i="39"/>
  <c r="Z428" i="39" s="1"/>
  <c r="AU446" i="39"/>
  <c r="F446" i="39"/>
  <c r="AM446" i="39" s="1"/>
  <c r="N446" i="39"/>
  <c r="I446" i="39"/>
  <c r="J446" i="39"/>
  <c r="AN446" i="39" s="1"/>
  <c r="B446" i="39"/>
  <c r="AF446" i="39" s="1"/>
  <c r="K446" i="39"/>
  <c r="AK446" i="39" s="1"/>
  <c r="C446" i="39"/>
  <c r="L446" i="39"/>
  <c r="AQ446" i="39" s="1"/>
  <c r="D446" i="39"/>
  <c r="AJ446" i="39" s="1"/>
  <c r="M446" i="39"/>
  <c r="AS446" i="39" s="1"/>
  <c r="E446" i="39"/>
  <c r="O446" i="39"/>
  <c r="H446" i="39"/>
  <c r="G446" i="39"/>
  <c r="P446" i="39"/>
  <c r="Q446" i="39"/>
  <c r="AC378" i="39"/>
  <c r="AL378" i="39"/>
  <c r="AE378" i="39"/>
  <c r="AC449" i="39"/>
  <c r="AL449" i="39"/>
  <c r="AE449" i="39"/>
  <c r="AU427" i="39"/>
  <c r="E427" i="39"/>
  <c r="M427" i="39"/>
  <c r="AS427" i="39" s="1"/>
  <c r="H427" i="39"/>
  <c r="P427" i="39"/>
  <c r="I427" i="39"/>
  <c r="Q427" i="39"/>
  <c r="J427" i="39"/>
  <c r="AN427" i="39" s="1"/>
  <c r="K427" i="39"/>
  <c r="AK427" i="39" s="1"/>
  <c r="L427" i="39"/>
  <c r="AQ427" i="39" s="1"/>
  <c r="B427" i="39"/>
  <c r="AF427" i="39" s="1"/>
  <c r="N427" i="39"/>
  <c r="C427" i="39"/>
  <c r="O427" i="39"/>
  <c r="D427" i="39"/>
  <c r="AJ427" i="39" s="1"/>
  <c r="G427" i="39"/>
  <c r="F427" i="39"/>
  <c r="AM427" i="39" s="1"/>
  <c r="AE385" i="39"/>
  <c r="AC385" i="39"/>
  <c r="AL385" i="39"/>
  <c r="AU363" i="39"/>
  <c r="C363" i="39"/>
  <c r="K363" i="39"/>
  <c r="AK363" i="39" s="1"/>
  <c r="D363" i="39"/>
  <c r="AJ363" i="39" s="1"/>
  <c r="L363" i="39"/>
  <c r="AQ363" i="39" s="1"/>
  <c r="E363" i="39"/>
  <c r="M363" i="39"/>
  <c r="AS363" i="39" s="1"/>
  <c r="F363" i="39"/>
  <c r="AM363" i="39" s="1"/>
  <c r="N363" i="39"/>
  <c r="G363" i="39"/>
  <c r="O363" i="39"/>
  <c r="H363" i="39"/>
  <c r="P363" i="39"/>
  <c r="I363" i="39"/>
  <c r="Q363" i="39"/>
  <c r="J363" i="39"/>
  <c r="AN363" i="39" s="1"/>
  <c r="B363" i="39"/>
  <c r="AF363" i="39" s="1"/>
  <c r="AU323" i="39"/>
  <c r="G323" i="39"/>
  <c r="O323" i="39"/>
  <c r="H323" i="39"/>
  <c r="P323" i="39"/>
  <c r="D323" i="39"/>
  <c r="AJ323" i="39" s="1"/>
  <c r="L323" i="39"/>
  <c r="AQ323" i="39" s="1"/>
  <c r="C323" i="39"/>
  <c r="Q323" i="39"/>
  <c r="E323" i="39"/>
  <c r="F323" i="39"/>
  <c r="AM323" i="39" s="1"/>
  <c r="I323" i="39"/>
  <c r="J323" i="39"/>
  <c r="AN323" i="39" s="1"/>
  <c r="K323" i="39"/>
  <c r="AK323" i="39" s="1"/>
  <c r="M323" i="39"/>
  <c r="AS323" i="39" s="1"/>
  <c r="B323" i="39"/>
  <c r="AF323" i="39" s="1"/>
  <c r="N323" i="39"/>
  <c r="AC424" i="39"/>
  <c r="AL424" i="39"/>
  <c r="AE424" i="39"/>
  <c r="AU402" i="39"/>
  <c r="D402" i="39"/>
  <c r="AJ402" i="39" s="1"/>
  <c r="L402" i="39"/>
  <c r="AQ402" i="39" s="1"/>
  <c r="E402" i="39"/>
  <c r="M402" i="39"/>
  <c r="AS402" i="39" s="1"/>
  <c r="F402" i="39"/>
  <c r="AM402" i="39" s="1"/>
  <c r="N402" i="39"/>
  <c r="G402" i="39"/>
  <c r="O402" i="39"/>
  <c r="H402" i="39"/>
  <c r="P402" i="39"/>
  <c r="I402" i="39"/>
  <c r="Q402" i="39"/>
  <c r="B402" i="39"/>
  <c r="AF402" i="39" s="1"/>
  <c r="J402" i="39"/>
  <c r="AN402" i="39" s="1"/>
  <c r="C402" i="39"/>
  <c r="K402" i="39"/>
  <c r="AK402" i="39" s="1"/>
  <c r="AC360" i="39"/>
  <c r="AE360" i="39"/>
  <c r="AL360" i="39"/>
  <c r="AE407" i="39"/>
  <c r="AL407" i="39"/>
  <c r="AC407" i="39"/>
  <c r="AU385" i="39"/>
  <c r="E385" i="39"/>
  <c r="M385" i="39"/>
  <c r="AS385" i="39" s="1"/>
  <c r="F385" i="39"/>
  <c r="AM385" i="39" s="1"/>
  <c r="N385" i="39"/>
  <c r="G385" i="39"/>
  <c r="O385" i="39"/>
  <c r="H385" i="39"/>
  <c r="P385" i="39"/>
  <c r="I385" i="39"/>
  <c r="Q385" i="39"/>
  <c r="B385" i="39"/>
  <c r="AF385" i="39" s="1"/>
  <c r="J385" i="39"/>
  <c r="AN385" i="39" s="1"/>
  <c r="C385" i="39"/>
  <c r="K385" i="39"/>
  <c r="AK385" i="39" s="1"/>
  <c r="D385" i="39"/>
  <c r="AJ385" i="39" s="1"/>
  <c r="L385" i="39"/>
  <c r="AQ385" i="39" s="1"/>
  <c r="AC343" i="39"/>
  <c r="AL343" i="39"/>
  <c r="AE343" i="39"/>
  <c r="AC293" i="39"/>
  <c r="AL293" i="39"/>
  <c r="AE293" i="39"/>
  <c r="AL406" i="39"/>
  <c r="AC406" i="39"/>
  <c r="AE406" i="39"/>
  <c r="AU384" i="39"/>
  <c r="F384" i="39"/>
  <c r="AM384" i="39" s="1"/>
  <c r="N384" i="39"/>
  <c r="G384" i="39"/>
  <c r="O384" i="39"/>
  <c r="H384" i="39"/>
  <c r="P384" i="39"/>
  <c r="I384" i="39"/>
  <c r="Q384" i="39"/>
  <c r="B384" i="39"/>
  <c r="AF384" i="39" s="1"/>
  <c r="J384" i="39"/>
  <c r="AN384" i="39" s="1"/>
  <c r="C384" i="39"/>
  <c r="K384" i="39"/>
  <c r="AK384" i="39" s="1"/>
  <c r="D384" i="39"/>
  <c r="AJ384" i="39" s="1"/>
  <c r="L384" i="39"/>
  <c r="AQ384" i="39" s="1"/>
  <c r="E384" i="39"/>
  <c r="M384" i="39"/>
  <c r="AS384" i="39" s="1"/>
  <c r="AC342" i="39"/>
  <c r="AE342" i="39"/>
  <c r="AL342" i="39"/>
  <c r="AU431" i="39"/>
  <c r="I431" i="39"/>
  <c r="Z431" i="39" s="1"/>
  <c r="Q431" i="39"/>
  <c r="D431" i="39"/>
  <c r="AJ431" i="39" s="1"/>
  <c r="L431" i="39"/>
  <c r="AQ431" i="39" s="1"/>
  <c r="E431" i="39"/>
  <c r="M431" i="39"/>
  <c r="AS431" i="39" s="1"/>
  <c r="K431" i="39"/>
  <c r="AK431" i="39" s="1"/>
  <c r="N431" i="39"/>
  <c r="B431" i="39"/>
  <c r="AF431" i="39" s="1"/>
  <c r="O431" i="39"/>
  <c r="C431" i="39"/>
  <c r="P431" i="39"/>
  <c r="F431" i="39"/>
  <c r="AM431" i="39" s="1"/>
  <c r="G431" i="39"/>
  <c r="J431" i="39"/>
  <c r="AN431" i="39" s="1"/>
  <c r="H431" i="39"/>
  <c r="AC389" i="39"/>
  <c r="AL389" i="39"/>
  <c r="AE389" i="39"/>
  <c r="AU367" i="39"/>
  <c r="G367" i="39"/>
  <c r="O367" i="39"/>
  <c r="H367" i="39"/>
  <c r="P367" i="39"/>
  <c r="I367" i="39"/>
  <c r="Q367" i="39"/>
  <c r="B367" i="39"/>
  <c r="AF367" i="39" s="1"/>
  <c r="J367" i="39"/>
  <c r="AN367" i="39" s="1"/>
  <c r="C367" i="39"/>
  <c r="K367" i="39"/>
  <c r="AK367" i="39" s="1"/>
  <c r="D367" i="39"/>
  <c r="AJ367" i="39" s="1"/>
  <c r="L367" i="39"/>
  <c r="AQ367" i="39" s="1"/>
  <c r="E367" i="39"/>
  <c r="M367" i="39"/>
  <c r="AS367" i="39" s="1"/>
  <c r="F367" i="39"/>
  <c r="AM367" i="39" s="1"/>
  <c r="N367" i="39"/>
  <c r="AC388" i="39"/>
  <c r="AE388" i="39"/>
  <c r="AL388" i="39"/>
  <c r="AU366" i="39"/>
  <c r="H366" i="39"/>
  <c r="P366" i="39"/>
  <c r="I366" i="39"/>
  <c r="Q366" i="39"/>
  <c r="B366" i="39"/>
  <c r="AF366" i="39" s="1"/>
  <c r="J366" i="39"/>
  <c r="AN366" i="39" s="1"/>
  <c r="C366" i="39"/>
  <c r="K366" i="39"/>
  <c r="AK366" i="39" s="1"/>
  <c r="D366" i="39"/>
  <c r="AJ366" i="39" s="1"/>
  <c r="L366" i="39"/>
  <c r="AQ366" i="39" s="1"/>
  <c r="E366" i="39"/>
  <c r="M366" i="39"/>
  <c r="AS366" i="39" s="1"/>
  <c r="F366" i="39"/>
  <c r="AM366" i="39" s="1"/>
  <c r="N366" i="39"/>
  <c r="G366" i="39"/>
  <c r="O366" i="39"/>
  <c r="AC325" i="39"/>
  <c r="AL325" i="39"/>
  <c r="AE325" i="39"/>
  <c r="AC411" i="39"/>
  <c r="AL411" i="39"/>
  <c r="AE411" i="39"/>
  <c r="AU389" i="39"/>
  <c r="I389" i="39"/>
  <c r="Q389" i="39"/>
  <c r="B389" i="39"/>
  <c r="AF389" i="39" s="1"/>
  <c r="J389" i="39"/>
  <c r="AN389" i="39" s="1"/>
  <c r="C389" i="39"/>
  <c r="K389" i="39"/>
  <c r="AK389" i="39" s="1"/>
  <c r="D389" i="39"/>
  <c r="AJ389" i="39" s="1"/>
  <c r="L389" i="39"/>
  <c r="AQ389" i="39" s="1"/>
  <c r="E389" i="39"/>
  <c r="M389" i="39"/>
  <c r="AS389" i="39" s="1"/>
  <c r="F389" i="39"/>
  <c r="AM389" i="39" s="1"/>
  <c r="N389" i="39"/>
  <c r="G389" i="39"/>
  <c r="O389" i="39"/>
  <c r="H389" i="39"/>
  <c r="P389" i="39"/>
  <c r="AE347" i="39"/>
  <c r="AC347" i="39"/>
  <c r="AL347" i="39"/>
  <c r="AU267" i="39"/>
  <c r="H267" i="39"/>
  <c r="P267" i="39"/>
  <c r="D267" i="39"/>
  <c r="AJ267" i="39" s="1"/>
  <c r="L267" i="39"/>
  <c r="AQ267" i="39" s="1"/>
  <c r="B267" i="39"/>
  <c r="AF267" i="39" s="1"/>
  <c r="M267" i="39"/>
  <c r="AS267" i="39" s="1"/>
  <c r="C267" i="39"/>
  <c r="N267" i="39"/>
  <c r="E267" i="39"/>
  <c r="O267" i="39"/>
  <c r="F267" i="39"/>
  <c r="AM267" i="39" s="1"/>
  <c r="Q267" i="39"/>
  <c r="G267" i="39"/>
  <c r="I267" i="39"/>
  <c r="J267" i="39"/>
  <c r="AN267" i="39" s="1"/>
  <c r="K267" i="39"/>
  <c r="AK267" i="39" s="1"/>
  <c r="AC249" i="39"/>
  <c r="AL249" i="39"/>
  <c r="AE249" i="39"/>
  <c r="AC332" i="39"/>
  <c r="AL332" i="39"/>
  <c r="AE332" i="39"/>
  <c r="AU310" i="39"/>
  <c r="D310" i="39"/>
  <c r="AJ310" i="39" s="1"/>
  <c r="L310" i="39"/>
  <c r="AQ310" i="39" s="1"/>
  <c r="E310" i="39"/>
  <c r="M310" i="39"/>
  <c r="AS310" i="39" s="1"/>
  <c r="F310" i="39"/>
  <c r="AM310" i="39" s="1"/>
  <c r="N310" i="39"/>
  <c r="G310" i="39"/>
  <c r="O310" i="39"/>
  <c r="H310" i="39"/>
  <c r="P310" i="39"/>
  <c r="I310" i="39"/>
  <c r="Q310" i="39"/>
  <c r="B310" i="39"/>
  <c r="AF310" i="39" s="1"/>
  <c r="C310" i="39"/>
  <c r="J310" i="39"/>
  <c r="AN310" i="39" s="1"/>
  <c r="K310" i="39"/>
  <c r="AK310" i="39" s="1"/>
  <c r="AC283" i="39"/>
  <c r="AL283" i="39"/>
  <c r="AE283" i="39"/>
  <c r="AC267" i="39"/>
  <c r="AL267" i="39"/>
  <c r="AE267" i="39"/>
  <c r="AU239" i="39"/>
  <c r="B239" i="39"/>
  <c r="AF239" i="39" s="1"/>
  <c r="J239" i="39"/>
  <c r="AN239" i="39" s="1"/>
  <c r="D239" i="39"/>
  <c r="AJ239" i="39" s="1"/>
  <c r="L239" i="39"/>
  <c r="AQ239" i="39" s="1"/>
  <c r="F239" i="39"/>
  <c r="AM239" i="39" s="1"/>
  <c r="N239" i="39"/>
  <c r="H239" i="39"/>
  <c r="P239" i="39"/>
  <c r="G239" i="39"/>
  <c r="I239" i="39"/>
  <c r="K239" i="39"/>
  <c r="AK239" i="39" s="1"/>
  <c r="M239" i="39"/>
  <c r="AS239" i="39" s="1"/>
  <c r="O239" i="39"/>
  <c r="Q239" i="39"/>
  <c r="C239" i="39"/>
  <c r="E239" i="39"/>
  <c r="AC298" i="39"/>
  <c r="AL298" i="39"/>
  <c r="AE298" i="39"/>
  <c r="AU279" i="39"/>
  <c r="H279" i="39"/>
  <c r="P279" i="39"/>
  <c r="E279" i="39"/>
  <c r="N279" i="39"/>
  <c r="F279" i="39"/>
  <c r="AM279" i="39" s="1"/>
  <c r="O279" i="39"/>
  <c r="G279" i="39"/>
  <c r="Q279" i="39"/>
  <c r="I279" i="39"/>
  <c r="J279" i="39"/>
  <c r="AN279" i="39" s="1"/>
  <c r="B279" i="39"/>
  <c r="AF279" i="39" s="1"/>
  <c r="K279" i="39"/>
  <c r="AK279" i="39" s="1"/>
  <c r="C279" i="39"/>
  <c r="L279" i="39"/>
  <c r="AQ279" i="39" s="1"/>
  <c r="D279" i="39"/>
  <c r="AJ279" i="39" s="1"/>
  <c r="M279" i="39"/>
  <c r="AS279" i="39" s="1"/>
  <c r="AU247" i="39"/>
  <c r="D247" i="39"/>
  <c r="AJ247" i="39" s="1"/>
  <c r="L247" i="39"/>
  <c r="AQ247" i="39" s="1"/>
  <c r="F247" i="39"/>
  <c r="AM247" i="39" s="1"/>
  <c r="N247" i="39"/>
  <c r="H247" i="39"/>
  <c r="P247" i="39"/>
  <c r="G247" i="39"/>
  <c r="I247" i="39"/>
  <c r="J247" i="39"/>
  <c r="AN247" i="39" s="1"/>
  <c r="K247" i="39"/>
  <c r="AK247" i="39" s="1"/>
  <c r="M247" i="39"/>
  <c r="AS247" i="39" s="1"/>
  <c r="B247" i="39"/>
  <c r="AF247" i="39" s="1"/>
  <c r="O247" i="39"/>
  <c r="C247" i="39"/>
  <c r="Q247" i="39"/>
  <c r="E247" i="39"/>
  <c r="AU307" i="39"/>
  <c r="F307" i="39"/>
  <c r="AM307" i="39" s="1"/>
  <c r="N307" i="39"/>
  <c r="G307" i="39"/>
  <c r="O307" i="39"/>
  <c r="H307" i="39"/>
  <c r="P307" i="39"/>
  <c r="I307" i="39"/>
  <c r="Q307" i="39"/>
  <c r="B307" i="39"/>
  <c r="AF307" i="39" s="1"/>
  <c r="J307" i="39"/>
  <c r="AN307" i="39" s="1"/>
  <c r="C307" i="39"/>
  <c r="K307" i="39"/>
  <c r="AK307" i="39" s="1"/>
  <c r="D307" i="39"/>
  <c r="AJ307" i="39" s="1"/>
  <c r="L307" i="39"/>
  <c r="AQ307" i="39" s="1"/>
  <c r="E307" i="39"/>
  <c r="M307" i="39"/>
  <c r="AS307" i="39" s="1"/>
  <c r="AL320" i="39"/>
  <c r="AC320" i="39"/>
  <c r="AE320" i="39"/>
  <c r="AU298" i="39"/>
  <c r="G298" i="39"/>
  <c r="O298" i="39"/>
  <c r="H298" i="39"/>
  <c r="P298" i="39"/>
  <c r="I298" i="39"/>
  <c r="Q298" i="39"/>
  <c r="B298" i="39"/>
  <c r="AF298" i="39" s="1"/>
  <c r="J298" i="39"/>
  <c r="AN298" i="39" s="1"/>
  <c r="C298" i="39"/>
  <c r="K298" i="39"/>
  <c r="AK298" i="39" s="1"/>
  <c r="D298" i="39"/>
  <c r="AJ298" i="39" s="1"/>
  <c r="L298" i="39"/>
  <c r="AQ298" i="39" s="1"/>
  <c r="E298" i="39"/>
  <c r="M298" i="39"/>
  <c r="AS298" i="39" s="1"/>
  <c r="F298" i="39"/>
  <c r="AM298" i="39" s="1"/>
  <c r="N298" i="39"/>
  <c r="AU271" i="39"/>
  <c r="D271" i="39"/>
  <c r="AJ271" i="39" s="1"/>
  <c r="L271" i="39"/>
  <c r="AQ271" i="39" s="1"/>
  <c r="H271" i="39"/>
  <c r="P271" i="39"/>
  <c r="I271" i="39"/>
  <c r="J271" i="39"/>
  <c r="AN271" i="39" s="1"/>
  <c r="K271" i="39"/>
  <c r="AK271" i="39" s="1"/>
  <c r="B271" i="39"/>
  <c r="AF271" i="39" s="1"/>
  <c r="M271" i="39"/>
  <c r="AS271" i="39" s="1"/>
  <c r="C271" i="39"/>
  <c r="N271" i="39"/>
  <c r="E271" i="39"/>
  <c r="O271" i="39"/>
  <c r="F271" i="39"/>
  <c r="AM271" i="39" s="1"/>
  <c r="Q271" i="39"/>
  <c r="G271" i="39"/>
  <c r="AU253" i="39"/>
  <c r="F253" i="39"/>
  <c r="AM253" i="39" s="1"/>
  <c r="N253" i="39"/>
  <c r="H253" i="39"/>
  <c r="P253" i="39"/>
  <c r="B253" i="39"/>
  <c r="AF253" i="39" s="1"/>
  <c r="J253" i="39"/>
  <c r="AN253" i="39" s="1"/>
  <c r="K253" i="39"/>
  <c r="AK253" i="39" s="1"/>
  <c r="L253" i="39"/>
  <c r="AQ253" i="39" s="1"/>
  <c r="M253" i="39"/>
  <c r="AS253" i="39" s="1"/>
  <c r="C253" i="39"/>
  <c r="O253" i="39"/>
  <c r="D253" i="39"/>
  <c r="AJ253" i="39" s="1"/>
  <c r="Q253" i="39"/>
  <c r="E253" i="39"/>
  <c r="G253" i="39"/>
  <c r="I253" i="39"/>
  <c r="AU321" i="39"/>
  <c r="I321" i="39"/>
  <c r="Q321" i="39"/>
  <c r="B321" i="39"/>
  <c r="AF321" i="39" s="1"/>
  <c r="J321" i="39"/>
  <c r="AN321" i="39" s="1"/>
  <c r="F321" i="39"/>
  <c r="AM321" i="39" s="1"/>
  <c r="N321" i="39"/>
  <c r="C321" i="39"/>
  <c r="O321" i="39"/>
  <c r="D321" i="39"/>
  <c r="AJ321" i="39" s="1"/>
  <c r="P321" i="39"/>
  <c r="E321" i="39"/>
  <c r="G321" i="39"/>
  <c r="H321" i="39"/>
  <c r="K321" i="39"/>
  <c r="AK321" i="39" s="1"/>
  <c r="L321" i="39"/>
  <c r="AQ321" i="39" s="1"/>
  <c r="M321" i="39"/>
  <c r="AS321" i="39" s="1"/>
  <c r="AC71" i="39"/>
  <c r="AE71" i="39"/>
  <c r="AL71" i="39"/>
  <c r="AE286" i="39"/>
  <c r="AC286" i="39"/>
  <c r="AL286" i="39"/>
  <c r="AU225" i="39"/>
  <c r="H225" i="39"/>
  <c r="P225" i="39"/>
  <c r="B225" i="39"/>
  <c r="AF225" i="39" s="1"/>
  <c r="J225" i="39"/>
  <c r="AN225" i="39" s="1"/>
  <c r="C225" i="39"/>
  <c r="K225" i="39"/>
  <c r="AK225" i="39" s="1"/>
  <c r="D225" i="39"/>
  <c r="AJ225" i="39" s="1"/>
  <c r="L225" i="39"/>
  <c r="AQ225" i="39" s="1"/>
  <c r="E225" i="39"/>
  <c r="M225" i="39"/>
  <c r="AS225" i="39" s="1"/>
  <c r="F225" i="39"/>
  <c r="AM225" i="39" s="1"/>
  <c r="N225" i="39"/>
  <c r="G225" i="39"/>
  <c r="I225" i="39"/>
  <c r="O225" i="39"/>
  <c r="Q225" i="39"/>
  <c r="AE268" i="39"/>
  <c r="AL268" i="39"/>
  <c r="AC268" i="39"/>
  <c r="AU246" i="39"/>
  <c r="E246" i="39"/>
  <c r="M246" i="39"/>
  <c r="AS246" i="39" s="1"/>
  <c r="G246" i="39"/>
  <c r="O246" i="39"/>
  <c r="I246" i="39"/>
  <c r="Q246" i="39"/>
  <c r="F246" i="39"/>
  <c r="AM246" i="39" s="1"/>
  <c r="H246" i="39"/>
  <c r="J246" i="39"/>
  <c r="AN246" i="39" s="1"/>
  <c r="K246" i="39"/>
  <c r="AK246" i="39" s="1"/>
  <c r="L246" i="39"/>
  <c r="AQ246" i="39" s="1"/>
  <c r="B246" i="39"/>
  <c r="AF246" i="39" s="1"/>
  <c r="N246" i="39"/>
  <c r="C246" i="39"/>
  <c r="P246" i="39"/>
  <c r="D246" i="39"/>
  <c r="AJ246" i="39" s="1"/>
  <c r="AE204" i="39"/>
  <c r="AL204" i="39"/>
  <c r="AC204" i="39"/>
  <c r="AU102" i="39"/>
  <c r="F102" i="39"/>
  <c r="AM102" i="39" s="1"/>
  <c r="N102" i="39"/>
  <c r="C102" i="39"/>
  <c r="K102" i="39"/>
  <c r="AK102" i="39" s="1"/>
  <c r="G102" i="39"/>
  <c r="Q102" i="39"/>
  <c r="B102" i="39"/>
  <c r="AF102" i="39" s="1"/>
  <c r="M102" i="39"/>
  <c r="AS102" i="39" s="1"/>
  <c r="D102" i="39"/>
  <c r="AJ102" i="39" s="1"/>
  <c r="E102" i="39"/>
  <c r="H102" i="39"/>
  <c r="I102" i="39"/>
  <c r="J102" i="39"/>
  <c r="AN102" i="39" s="1"/>
  <c r="AP102" i="39"/>
  <c r="L102" i="39"/>
  <c r="AQ102" i="39" s="1"/>
  <c r="O102" i="39"/>
  <c r="P102" i="39"/>
  <c r="AE211" i="39"/>
  <c r="AC211" i="39"/>
  <c r="AL211" i="39"/>
  <c r="AC184" i="39"/>
  <c r="AE184" i="39"/>
  <c r="AL184" i="39"/>
  <c r="AL234" i="39"/>
  <c r="AC234" i="39"/>
  <c r="AE234" i="39"/>
  <c r="AU212" i="39"/>
  <c r="E212" i="39"/>
  <c r="M212" i="39"/>
  <c r="AS212" i="39" s="1"/>
  <c r="F212" i="39"/>
  <c r="AM212" i="39" s="1"/>
  <c r="N212" i="39"/>
  <c r="G212" i="39"/>
  <c r="O212" i="39"/>
  <c r="H212" i="39"/>
  <c r="P212" i="39"/>
  <c r="I212" i="39"/>
  <c r="Q212" i="39"/>
  <c r="AP212" i="39"/>
  <c r="B212" i="39"/>
  <c r="AF212" i="39" s="1"/>
  <c r="J212" i="39"/>
  <c r="AN212" i="39" s="1"/>
  <c r="C212" i="39"/>
  <c r="K212" i="39"/>
  <c r="AK212" i="39" s="1"/>
  <c r="L212" i="39"/>
  <c r="AQ212" i="39" s="1"/>
  <c r="D212" i="39"/>
  <c r="AJ212" i="39" s="1"/>
  <c r="AC195" i="39"/>
  <c r="AE195" i="39"/>
  <c r="AL195" i="39"/>
  <c r="AU129" i="39"/>
  <c r="B129" i="39"/>
  <c r="AF129" i="39" s="1"/>
  <c r="J129" i="39"/>
  <c r="AN129" i="39" s="1"/>
  <c r="C129" i="39"/>
  <c r="K129" i="39"/>
  <c r="AK129" i="39" s="1"/>
  <c r="D129" i="39"/>
  <c r="AJ129" i="39" s="1"/>
  <c r="L129" i="39"/>
  <c r="AQ129" i="39" s="1"/>
  <c r="E129" i="39"/>
  <c r="M129" i="39"/>
  <c r="AS129" i="39" s="1"/>
  <c r="F129" i="39"/>
  <c r="AM129" i="39" s="1"/>
  <c r="N129" i="39"/>
  <c r="G129" i="39"/>
  <c r="O129" i="39"/>
  <c r="H129" i="39"/>
  <c r="P129" i="39"/>
  <c r="I129" i="39"/>
  <c r="Q129" i="39"/>
  <c r="AC209" i="39"/>
  <c r="AL209" i="39"/>
  <c r="AE209" i="39"/>
  <c r="AE189" i="39"/>
  <c r="AL189" i="39"/>
  <c r="AC189" i="39"/>
  <c r="AE163" i="39"/>
  <c r="AL163" i="39"/>
  <c r="AC163" i="39"/>
  <c r="AC248" i="39"/>
  <c r="AL248" i="39"/>
  <c r="AE248" i="39"/>
  <c r="AU226" i="39"/>
  <c r="G226" i="39"/>
  <c r="O226" i="39"/>
  <c r="I226" i="39"/>
  <c r="Q226" i="39"/>
  <c r="B226" i="39"/>
  <c r="AF226" i="39" s="1"/>
  <c r="J226" i="39"/>
  <c r="AN226" i="39" s="1"/>
  <c r="C226" i="39"/>
  <c r="K226" i="39"/>
  <c r="AK226" i="39" s="1"/>
  <c r="D226" i="39"/>
  <c r="AJ226" i="39" s="1"/>
  <c r="L226" i="39"/>
  <c r="AQ226" i="39" s="1"/>
  <c r="E226" i="39"/>
  <c r="M226" i="39"/>
  <c r="AS226" i="39" s="1"/>
  <c r="H226" i="39"/>
  <c r="N226" i="39"/>
  <c r="P226" i="39"/>
  <c r="F226" i="39"/>
  <c r="AM226" i="39" s="1"/>
  <c r="AL169" i="39"/>
  <c r="AE169" i="39"/>
  <c r="AC169" i="39"/>
  <c r="AU209" i="39"/>
  <c r="H209" i="39"/>
  <c r="P209" i="39"/>
  <c r="I209" i="39"/>
  <c r="Q209" i="39"/>
  <c r="B209" i="39"/>
  <c r="AF209" i="39" s="1"/>
  <c r="J209" i="39"/>
  <c r="AN209" i="39" s="1"/>
  <c r="C209" i="39"/>
  <c r="K209" i="39"/>
  <c r="AK209" i="39" s="1"/>
  <c r="D209" i="39"/>
  <c r="AJ209" i="39" s="1"/>
  <c r="L209" i="39"/>
  <c r="AQ209" i="39" s="1"/>
  <c r="E209" i="39"/>
  <c r="M209" i="39"/>
  <c r="AS209" i="39" s="1"/>
  <c r="F209" i="39"/>
  <c r="AM209" i="39" s="1"/>
  <c r="N209" i="39"/>
  <c r="G209" i="39"/>
  <c r="O209" i="39"/>
  <c r="AE135" i="39"/>
  <c r="AC135" i="39"/>
  <c r="AL135" i="39"/>
  <c r="AU224" i="39"/>
  <c r="I224" i="39"/>
  <c r="Q224" i="39"/>
  <c r="C224" i="39"/>
  <c r="K224" i="39"/>
  <c r="AK224" i="39" s="1"/>
  <c r="D224" i="39"/>
  <c r="AJ224" i="39" s="1"/>
  <c r="L224" i="39"/>
  <c r="AQ224" i="39" s="1"/>
  <c r="E224" i="39"/>
  <c r="M224" i="39"/>
  <c r="AS224" i="39" s="1"/>
  <c r="F224" i="39"/>
  <c r="AM224" i="39" s="1"/>
  <c r="N224" i="39"/>
  <c r="G224" i="39"/>
  <c r="O224" i="39"/>
  <c r="B224" i="39"/>
  <c r="AF224" i="39" s="1"/>
  <c r="H224" i="39"/>
  <c r="J224" i="39"/>
  <c r="AN224" i="39" s="1"/>
  <c r="P224" i="39"/>
  <c r="AL161" i="39"/>
  <c r="AC161" i="39"/>
  <c r="AE161" i="39"/>
  <c r="AC190" i="39"/>
  <c r="AL190" i="39"/>
  <c r="AE190" i="39"/>
  <c r="AU168" i="39"/>
  <c r="E168" i="39"/>
  <c r="M168" i="39"/>
  <c r="AS168" i="39" s="1"/>
  <c r="G168" i="39"/>
  <c r="O168" i="39"/>
  <c r="H168" i="39"/>
  <c r="P168" i="39"/>
  <c r="I168" i="39"/>
  <c r="Z168" i="39" s="1"/>
  <c r="Q168" i="39"/>
  <c r="AP168" i="39"/>
  <c r="J168" i="39"/>
  <c r="AN168" i="39" s="1"/>
  <c r="K168" i="39"/>
  <c r="AK168" i="39" s="1"/>
  <c r="L168" i="39"/>
  <c r="AQ168" i="39" s="1"/>
  <c r="N168" i="39"/>
  <c r="B168" i="39"/>
  <c r="AF168" i="39" s="1"/>
  <c r="C168" i="39"/>
  <c r="D168" i="39"/>
  <c r="AJ168" i="39" s="1"/>
  <c r="F168" i="39"/>
  <c r="AM168" i="39" s="1"/>
  <c r="AE126" i="39"/>
  <c r="AC126" i="39"/>
  <c r="AL126" i="39"/>
  <c r="AC165" i="39"/>
  <c r="AL165" i="39"/>
  <c r="AE165" i="39"/>
  <c r="AU143" i="39"/>
  <c r="D143" i="39"/>
  <c r="AJ143" i="39" s="1"/>
  <c r="L143" i="39"/>
  <c r="AQ143" i="39" s="1"/>
  <c r="E143" i="39"/>
  <c r="M143" i="39"/>
  <c r="AS143" i="39" s="1"/>
  <c r="F143" i="39"/>
  <c r="AM143" i="39" s="1"/>
  <c r="N143" i="39"/>
  <c r="G143" i="39"/>
  <c r="O143" i="39"/>
  <c r="H143" i="39"/>
  <c r="P143" i="39"/>
  <c r="I143" i="39"/>
  <c r="Q143" i="39"/>
  <c r="B143" i="39"/>
  <c r="AF143" i="39" s="1"/>
  <c r="J143" i="39"/>
  <c r="AN143" i="39" s="1"/>
  <c r="C143" i="39"/>
  <c r="K143" i="39"/>
  <c r="AK143" i="39" s="1"/>
  <c r="AU106" i="39"/>
  <c r="B106" i="39"/>
  <c r="AF106" i="39" s="1"/>
  <c r="J106" i="39"/>
  <c r="AN106" i="39" s="1"/>
  <c r="G106" i="39"/>
  <c r="O106" i="39"/>
  <c r="E106" i="39"/>
  <c r="P106" i="39"/>
  <c r="F106" i="39"/>
  <c r="AM106" i="39" s="1"/>
  <c r="Q106" i="39"/>
  <c r="H106" i="39"/>
  <c r="I106" i="39"/>
  <c r="K106" i="39"/>
  <c r="AK106" i="39" s="1"/>
  <c r="L106" i="39"/>
  <c r="AQ106" i="39" s="1"/>
  <c r="C106" i="39"/>
  <c r="M106" i="39"/>
  <c r="AS106" i="39" s="1"/>
  <c r="D106" i="39"/>
  <c r="AJ106" i="39" s="1"/>
  <c r="N106" i="39"/>
  <c r="AU190" i="39"/>
  <c r="I190" i="39"/>
  <c r="Q190" i="39"/>
  <c r="C190" i="39"/>
  <c r="K190" i="39"/>
  <c r="AK190" i="39" s="1"/>
  <c r="L190" i="39"/>
  <c r="AQ190" i="39" s="1"/>
  <c r="B190" i="39"/>
  <c r="AF190" i="39" s="1"/>
  <c r="M190" i="39"/>
  <c r="AS190" i="39" s="1"/>
  <c r="D190" i="39"/>
  <c r="AJ190" i="39" s="1"/>
  <c r="N190" i="39"/>
  <c r="E190" i="39"/>
  <c r="O190" i="39"/>
  <c r="F190" i="39"/>
  <c r="AM190" i="39" s="1"/>
  <c r="P190" i="39"/>
  <c r="G190" i="39"/>
  <c r="H190" i="39"/>
  <c r="J190" i="39"/>
  <c r="AN190" i="39" s="1"/>
  <c r="AL148" i="39"/>
  <c r="AC148" i="39"/>
  <c r="AE148" i="39"/>
  <c r="AU126" i="39"/>
  <c r="E126" i="39"/>
  <c r="M126" i="39"/>
  <c r="AS126" i="39" s="1"/>
  <c r="F126" i="39"/>
  <c r="AM126" i="39" s="1"/>
  <c r="N126" i="39"/>
  <c r="G126" i="39"/>
  <c r="O126" i="39"/>
  <c r="H126" i="39"/>
  <c r="P126" i="39"/>
  <c r="I126" i="39"/>
  <c r="Q126" i="39"/>
  <c r="B126" i="39"/>
  <c r="AF126" i="39" s="1"/>
  <c r="J126" i="39"/>
  <c r="AN126" i="39" s="1"/>
  <c r="C126" i="39"/>
  <c r="K126" i="39"/>
  <c r="AK126" i="39" s="1"/>
  <c r="D126" i="39"/>
  <c r="AJ126" i="39" s="1"/>
  <c r="L126" i="39"/>
  <c r="AQ126" i="39" s="1"/>
  <c r="AU100" i="39"/>
  <c r="H100" i="39"/>
  <c r="P100" i="39"/>
  <c r="D100" i="39"/>
  <c r="AJ100" i="39" s="1"/>
  <c r="L100" i="39"/>
  <c r="AQ100" i="39" s="1"/>
  <c r="E100" i="39"/>
  <c r="M100" i="39"/>
  <c r="AS100" i="39" s="1"/>
  <c r="K100" i="39"/>
  <c r="AK100" i="39" s="1"/>
  <c r="G100" i="39"/>
  <c r="I100" i="39"/>
  <c r="J100" i="39"/>
  <c r="AN100" i="39" s="1"/>
  <c r="N100" i="39"/>
  <c r="O100" i="39"/>
  <c r="Q100" i="39"/>
  <c r="B100" i="39"/>
  <c r="AF100" i="39" s="1"/>
  <c r="C100" i="39"/>
  <c r="F100" i="39"/>
  <c r="AM100" i="39" s="1"/>
  <c r="AC147" i="39"/>
  <c r="AL147" i="39"/>
  <c r="AE147" i="39"/>
  <c r="AU125" i="39"/>
  <c r="F125" i="39"/>
  <c r="AM125" i="39" s="1"/>
  <c r="N125" i="39"/>
  <c r="G125" i="39"/>
  <c r="O125" i="39"/>
  <c r="H125" i="39"/>
  <c r="P125" i="39"/>
  <c r="I125" i="39"/>
  <c r="Q125" i="39"/>
  <c r="B125" i="39"/>
  <c r="AF125" i="39" s="1"/>
  <c r="J125" i="39"/>
  <c r="AN125" i="39" s="1"/>
  <c r="C125" i="39"/>
  <c r="K125" i="39"/>
  <c r="AK125" i="39" s="1"/>
  <c r="D125" i="39"/>
  <c r="AJ125" i="39" s="1"/>
  <c r="L125" i="39"/>
  <c r="AQ125" i="39" s="1"/>
  <c r="E125" i="39"/>
  <c r="M125" i="39"/>
  <c r="AS125" i="39" s="1"/>
  <c r="AE101" i="39"/>
  <c r="AL101" i="39"/>
  <c r="AC101" i="39"/>
  <c r="AC154" i="39"/>
  <c r="AE154" i="39"/>
  <c r="AL154" i="39"/>
  <c r="AU132" i="39"/>
  <c r="G132" i="39"/>
  <c r="O132" i="39"/>
  <c r="H132" i="39"/>
  <c r="P132" i="39"/>
  <c r="I132" i="39"/>
  <c r="Q132" i="39"/>
  <c r="B132" i="39"/>
  <c r="AF132" i="39" s="1"/>
  <c r="J132" i="39"/>
  <c r="AN132" i="39" s="1"/>
  <c r="C132" i="39"/>
  <c r="K132" i="39"/>
  <c r="AK132" i="39" s="1"/>
  <c r="D132" i="39"/>
  <c r="AJ132" i="39" s="1"/>
  <c r="L132" i="39"/>
  <c r="AQ132" i="39" s="1"/>
  <c r="E132" i="39"/>
  <c r="M132" i="39"/>
  <c r="AS132" i="39" s="1"/>
  <c r="F132" i="39"/>
  <c r="AM132" i="39" s="1"/>
  <c r="N132" i="39"/>
  <c r="AE129" i="39"/>
  <c r="AL129" i="39"/>
  <c r="AC129" i="39"/>
  <c r="AC152" i="39"/>
  <c r="AL152" i="39"/>
  <c r="AE152" i="39"/>
  <c r="AU130" i="39"/>
  <c r="I130" i="39"/>
  <c r="Q130" i="39"/>
  <c r="B130" i="39"/>
  <c r="AF130" i="39" s="1"/>
  <c r="J130" i="39"/>
  <c r="AN130" i="39" s="1"/>
  <c r="C130" i="39"/>
  <c r="K130" i="39"/>
  <c r="AK130" i="39" s="1"/>
  <c r="D130" i="39"/>
  <c r="AJ130" i="39" s="1"/>
  <c r="L130" i="39"/>
  <c r="AQ130" i="39" s="1"/>
  <c r="E130" i="39"/>
  <c r="M130" i="39"/>
  <c r="AS130" i="39" s="1"/>
  <c r="F130" i="39"/>
  <c r="AM130" i="39" s="1"/>
  <c r="N130" i="39"/>
  <c r="G130" i="39"/>
  <c r="O130" i="39"/>
  <c r="H130" i="39"/>
  <c r="P130" i="39"/>
  <c r="AE98" i="39"/>
  <c r="AL98" i="39"/>
  <c r="AC98" i="39"/>
  <c r="AC56" i="39"/>
  <c r="AL56" i="39"/>
  <c r="AE56" i="39"/>
  <c r="AU65" i="39"/>
  <c r="C65" i="39"/>
  <c r="K65" i="39"/>
  <c r="AK65" i="39" s="1"/>
  <c r="D65" i="39"/>
  <c r="AJ65" i="39" s="1"/>
  <c r="L65" i="39"/>
  <c r="AQ65" i="39" s="1"/>
  <c r="E65" i="39"/>
  <c r="M65" i="39"/>
  <c r="AS65" i="39" s="1"/>
  <c r="F65" i="39"/>
  <c r="AM65" i="39" s="1"/>
  <c r="N65" i="39"/>
  <c r="G65" i="39"/>
  <c r="O65" i="39"/>
  <c r="H65" i="39"/>
  <c r="P65" i="39"/>
  <c r="J65" i="39"/>
  <c r="AN65" i="39" s="1"/>
  <c r="B65" i="39"/>
  <c r="AF65" i="39" s="1"/>
  <c r="I65" i="39"/>
  <c r="Z65" i="39" s="1"/>
  <c r="Q65" i="39"/>
  <c r="AE102" i="39"/>
  <c r="AL102" i="39"/>
  <c r="AC102" i="39"/>
  <c r="AU80" i="39"/>
  <c r="D80" i="39"/>
  <c r="AJ80" i="39" s="1"/>
  <c r="L80" i="39"/>
  <c r="AQ80" i="39" s="1"/>
  <c r="E80" i="39"/>
  <c r="M80" i="39"/>
  <c r="AS80" i="39" s="1"/>
  <c r="F80" i="39"/>
  <c r="AM80" i="39" s="1"/>
  <c r="N80" i="39"/>
  <c r="G80" i="39"/>
  <c r="O80" i="39"/>
  <c r="H80" i="39"/>
  <c r="P80" i="39"/>
  <c r="I80" i="39"/>
  <c r="Q80" i="39"/>
  <c r="B80" i="39"/>
  <c r="AF80" i="39" s="1"/>
  <c r="C80" i="39"/>
  <c r="J80" i="39"/>
  <c r="AN80" i="39" s="1"/>
  <c r="K80" i="39"/>
  <c r="AK80" i="39" s="1"/>
  <c r="AC38" i="39"/>
  <c r="AL38" i="39"/>
  <c r="AE38" i="39"/>
  <c r="AU87" i="39"/>
  <c r="E87" i="39"/>
  <c r="M87" i="39"/>
  <c r="AS87" i="39" s="1"/>
  <c r="F87" i="39"/>
  <c r="AM87" i="39" s="1"/>
  <c r="N87" i="39"/>
  <c r="G87" i="39"/>
  <c r="O87" i="39"/>
  <c r="H87" i="39"/>
  <c r="P87" i="39"/>
  <c r="I87" i="39"/>
  <c r="Q87" i="39"/>
  <c r="B87" i="39"/>
  <c r="AF87" i="39" s="1"/>
  <c r="J87" i="39"/>
  <c r="AN87" i="39" s="1"/>
  <c r="D87" i="39"/>
  <c r="AJ87" i="39" s="1"/>
  <c r="K87" i="39"/>
  <c r="AK87" i="39" s="1"/>
  <c r="L87" i="39"/>
  <c r="AQ87" i="39" s="1"/>
  <c r="C87" i="39"/>
  <c r="AC45" i="39"/>
  <c r="AL45" i="39"/>
  <c r="AE45" i="39"/>
  <c r="AE84" i="39"/>
  <c r="AL84" i="39"/>
  <c r="AC84" i="39"/>
  <c r="AU62" i="39"/>
  <c r="F62" i="39"/>
  <c r="AM62" i="39" s="1"/>
  <c r="N62" i="39"/>
  <c r="G62" i="39"/>
  <c r="O62" i="39"/>
  <c r="H62" i="39"/>
  <c r="P62" i="39"/>
  <c r="I62" i="39"/>
  <c r="Q62" i="39"/>
  <c r="B62" i="39"/>
  <c r="AF62" i="39" s="1"/>
  <c r="J62" i="39"/>
  <c r="AN62" i="39" s="1"/>
  <c r="C62" i="39"/>
  <c r="K62" i="39"/>
  <c r="AK62" i="39" s="1"/>
  <c r="D62" i="39"/>
  <c r="AJ62" i="39" s="1"/>
  <c r="L62" i="39"/>
  <c r="AQ62" i="39" s="1"/>
  <c r="E62" i="39"/>
  <c r="M62" i="39"/>
  <c r="AS62" i="39" s="1"/>
  <c r="AE83" i="39"/>
  <c r="AC83" i="39"/>
  <c r="AL83" i="39"/>
  <c r="AU61" i="39"/>
  <c r="G61" i="39"/>
  <c r="O61" i="39"/>
  <c r="H61" i="39"/>
  <c r="P61" i="39"/>
  <c r="I61" i="39"/>
  <c r="Z61" i="39" s="1"/>
  <c r="Q61" i="39"/>
  <c r="B61" i="39"/>
  <c r="AF61" i="39" s="1"/>
  <c r="J61" i="39"/>
  <c r="AN61" i="39" s="1"/>
  <c r="C61" i="39"/>
  <c r="K61" i="39"/>
  <c r="AK61" i="39" s="1"/>
  <c r="D61" i="39"/>
  <c r="AJ61" i="39" s="1"/>
  <c r="L61" i="39"/>
  <c r="AQ61" i="39" s="1"/>
  <c r="E61" i="39"/>
  <c r="M61" i="39"/>
  <c r="AS61" i="39" s="1"/>
  <c r="N61" i="39"/>
  <c r="F61" i="39"/>
  <c r="AM61" i="39" s="1"/>
  <c r="AC74" i="39"/>
  <c r="AL74" i="39"/>
  <c r="AE74" i="39"/>
  <c r="AU52" i="39"/>
  <c r="H52" i="39"/>
  <c r="P52" i="39"/>
  <c r="I52" i="39"/>
  <c r="Q52" i="39"/>
  <c r="B52" i="39"/>
  <c r="AF52" i="39" s="1"/>
  <c r="J52" i="39"/>
  <c r="AN52" i="39" s="1"/>
  <c r="C52" i="39"/>
  <c r="K52" i="39"/>
  <c r="AK52" i="39" s="1"/>
  <c r="D52" i="39"/>
  <c r="AJ52" i="39" s="1"/>
  <c r="L52" i="39"/>
  <c r="AQ52" i="39" s="1"/>
  <c r="E52" i="39"/>
  <c r="M52" i="39"/>
  <c r="AS52" i="39" s="1"/>
  <c r="F52" i="39"/>
  <c r="AM52" i="39" s="1"/>
  <c r="N52" i="39"/>
  <c r="G52" i="39"/>
  <c r="O52" i="39"/>
  <c r="AL81" i="39"/>
  <c r="AE81" i="39"/>
  <c r="AC81" i="39"/>
  <c r="AU59" i="39"/>
  <c r="I59" i="39"/>
  <c r="Q59" i="39"/>
  <c r="B59" i="39"/>
  <c r="AF59" i="39" s="1"/>
  <c r="J59" i="39"/>
  <c r="AN59" i="39" s="1"/>
  <c r="C59" i="39"/>
  <c r="K59" i="39"/>
  <c r="AK59" i="39" s="1"/>
  <c r="D59" i="39"/>
  <c r="AJ59" i="39" s="1"/>
  <c r="L59" i="39"/>
  <c r="AQ59" i="39" s="1"/>
  <c r="E59" i="39"/>
  <c r="M59" i="39"/>
  <c r="AS59" i="39" s="1"/>
  <c r="F59" i="39"/>
  <c r="AM59" i="39" s="1"/>
  <c r="N59" i="39"/>
  <c r="G59" i="39"/>
  <c r="O59" i="39"/>
  <c r="H59" i="39"/>
  <c r="P59" i="39"/>
  <c r="AC394" i="39"/>
  <c r="AL394" i="39"/>
  <c r="AE394" i="39"/>
  <c r="AE311" i="39"/>
  <c r="AC311" i="39"/>
  <c r="AL311" i="39"/>
  <c r="AC257" i="39"/>
  <c r="AL257" i="39"/>
  <c r="AE257" i="39"/>
  <c r="AU296" i="39"/>
  <c r="I296" i="39"/>
  <c r="Q296" i="39"/>
  <c r="B296" i="39"/>
  <c r="AF296" i="39" s="1"/>
  <c r="J296" i="39"/>
  <c r="AN296" i="39" s="1"/>
  <c r="C296" i="39"/>
  <c r="K296" i="39"/>
  <c r="AK296" i="39" s="1"/>
  <c r="D296" i="39"/>
  <c r="AJ296" i="39" s="1"/>
  <c r="L296" i="39"/>
  <c r="AQ296" i="39" s="1"/>
  <c r="E296" i="39"/>
  <c r="M296" i="39"/>
  <c r="AS296" i="39" s="1"/>
  <c r="F296" i="39"/>
  <c r="AM296" i="39" s="1"/>
  <c r="N296" i="39"/>
  <c r="G296" i="39"/>
  <c r="O296" i="39"/>
  <c r="H296" i="39"/>
  <c r="P296" i="39"/>
  <c r="AU221" i="39"/>
  <c r="D221" i="39"/>
  <c r="AJ221" i="39" s="1"/>
  <c r="L221" i="39"/>
  <c r="AQ221" i="39" s="1"/>
  <c r="F221" i="39"/>
  <c r="AM221" i="39" s="1"/>
  <c r="N221" i="39"/>
  <c r="G221" i="39"/>
  <c r="O221" i="39"/>
  <c r="H221" i="39"/>
  <c r="P221" i="39"/>
  <c r="I221" i="39"/>
  <c r="Q221" i="39"/>
  <c r="B221" i="39"/>
  <c r="AF221" i="39" s="1"/>
  <c r="J221" i="39"/>
  <c r="AN221" i="39" s="1"/>
  <c r="E221" i="39"/>
  <c r="K221" i="39"/>
  <c r="AK221" i="39" s="1"/>
  <c r="M221" i="39"/>
  <c r="AS221" i="39" s="1"/>
  <c r="C221" i="39"/>
  <c r="AL175" i="39"/>
  <c r="AC175" i="39"/>
  <c r="AE175" i="39"/>
  <c r="AU244" i="39"/>
  <c r="G244" i="39"/>
  <c r="O244" i="39"/>
  <c r="I244" i="39"/>
  <c r="Q244" i="39"/>
  <c r="C244" i="39"/>
  <c r="K244" i="39"/>
  <c r="AK244" i="39" s="1"/>
  <c r="E244" i="39"/>
  <c r="F244" i="39"/>
  <c r="AM244" i="39" s="1"/>
  <c r="H244" i="39"/>
  <c r="J244" i="39"/>
  <c r="AN244" i="39" s="1"/>
  <c r="L244" i="39"/>
  <c r="AQ244" i="39" s="1"/>
  <c r="M244" i="39"/>
  <c r="AS244" i="39" s="1"/>
  <c r="B244" i="39"/>
  <c r="AF244" i="39" s="1"/>
  <c r="N244" i="39"/>
  <c r="D244" i="39"/>
  <c r="AJ244" i="39" s="1"/>
  <c r="P244" i="39"/>
  <c r="AC179" i="39"/>
  <c r="AE179" i="39"/>
  <c r="AL179" i="39"/>
  <c r="AU219" i="39"/>
  <c r="F219" i="39"/>
  <c r="AM219" i="39" s="1"/>
  <c r="N219" i="39"/>
  <c r="H219" i="39"/>
  <c r="P219" i="39"/>
  <c r="I219" i="39"/>
  <c r="Q219" i="39"/>
  <c r="B219" i="39"/>
  <c r="AF219" i="39" s="1"/>
  <c r="J219" i="39"/>
  <c r="AN219" i="39" s="1"/>
  <c r="C219" i="39"/>
  <c r="K219" i="39"/>
  <c r="AK219" i="39" s="1"/>
  <c r="D219" i="39"/>
  <c r="AJ219" i="39" s="1"/>
  <c r="L219" i="39"/>
  <c r="AQ219" i="39" s="1"/>
  <c r="E219" i="39"/>
  <c r="G219" i="39"/>
  <c r="M219" i="39"/>
  <c r="AS219" i="39" s="1"/>
  <c r="O219" i="39"/>
  <c r="AU185" i="39"/>
  <c r="F185" i="39"/>
  <c r="AM185" i="39" s="1"/>
  <c r="N185" i="39"/>
  <c r="H185" i="39"/>
  <c r="P185" i="39"/>
  <c r="I185" i="39"/>
  <c r="J185" i="39"/>
  <c r="AN185" i="39" s="1"/>
  <c r="K185" i="39"/>
  <c r="AK185" i="39" s="1"/>
  <c r="B185" i="39"/>
  <c r="AF185" i="39" s="1"/>
  <c r="L185" i="39"/>
  <c r="AQ185" i="39" s="1"/>
  <c r="C185" i="39"/>
  <c r="M185" i="39"/>
  <c r="AS185" i="39" s="1"/>
  <c r="D185" i="39"/>
  <c r="AJ185" i="39" s="1"/>
  <c r="O185" i="39"/>
  <c r="E185" i="39"/>
  <c r="Q185" i="39"/>
  <c r="G185" i="39"/>
  <c r="AU94" i="39"/>
  <c r="F94" i="39"/>
  <c r="AM94" i="39" s="1"/>
  <c r="N94" i="39"/>
  <c r="B94" i="39"/>
  <c r="AF94" i="39" s="1"/>
  <c r="J94" i="39"/>
  <c r="AN94" i="39" s="1"/>
  <c r="C94" i="39"/>
  <c r="K94" i="39"/>
  <c r="AK94" i="39" s="1"/>
  <c r="H94" i="39"/>
  <c r="D94" i="39"/>
  <c r="AJ94" i="39" s="1"/>
  <c r="P94" i="39"/>
  <c r="E94" i="39"/>
  <c r="G94" i="39"/>
  <c r="I94" i="39"/>
  <c r="L94" i="39"/>
  <c r="AQ94" i="39" s="1"/>
  <c r="M94" i="39"/>
  <c r="AS94" i="39" s="1"/>
  <c r="O94" i="39"/>
  <c r="Q94" i="39"/>
  <c r="AU177" i="39"/>
  <c r="D177" i="39"/>
  <c r="AJ177" i="39" s="1"/>
  <c r="L177" i="39"/>
  <c r="AQ177" i="39" s="1"/>
  <c r="F177" i="39"/>
  <c r="AM177" i="39" s="1"/>
  <c r="N177" i="39"/>
  <c r="H177" i="39"/>
  <c r="P177" i="39"/>
  <c r="K177" i="39"/>
  <c r="AK177" i="39" s="1"/>
  <c r="M177" i="39"/>
  <c r="AS177" i="39" s="1"/>
  <c r="B177" i="39"/>
  <c r="AF177" i="39" s="1"/>
  <c r="O177" i="39"/>
  <c r="C177" i="39"/>
  <c r="Q177" i="39"/>
  <c r="E177" i="39"/>
  <c r="G177" i="39"/>
  <c r="I177" i="39"/>
  <c r="Z177" i="39" s="1"/>
  <c r="J177" i="39"/>
  <c r="AN177" i="39" s="1"/>
  <c r="AE214" i="39"/>
  <c r="AL214" i="39"/>
  <c r="AC214" i="39"/>
  <c r="AU200" i="39"/>
  <c r="I200" i="39"/>
  <c r="Q200" i="39"/>
  <c r="G200" i="39"/>
  <c r="P200" i="39"/>
  <c r="H200" i="39"/>
  <c r="J200" i="39"/>
  <c r="AN200" i="39" s="1"/>
  <c r="B200" i="39"/>
  <c r="AF200" i="39" s="1"/>
  <c r="K200" i="39"/>
  <c r="AK200" i="39" s="1"/>
  <c r="C200" i="39"/>
  <c r="L200" i="39"/>
  <c r="AQ200" i="39" s="1"/>
  <c r="D200" i="39"/>
  <c r="AJ200" i="39" s="1"/>
  <c r="M200" i="39"/>
  <c r="AS200" i="39" s="1"/>
  <c r="E200" i="39"/>
  <c r="N200" i="39"/>
  <c r="F200" i="39"/>
  <c r="AM200" i="39" s="1"/>
  <c r="O200" i="39"/>
  <c r="AC158" i="39"/>
  <c r="AL158" i="39"/>
  <c r="AE158" i="39"/>
  <c r="AE88" i="39"/>
  <c r="AL88" i="39"/>
  <c r="AC88" i="39"/>
  <c r="AE453" i="39"/>
  <c r="AL453" i="39"/>
  <c r="AC453" i="39"/>
  <c r="AU422" i="39"/>
  <c r="B422" i="39"/>
  <c r="AF422" i="39" s="1"/>
  <c r="J422" i="39"/>
  <c r="AN422" i="39" s="1"/>
  <c r="C422" i="39"/>
  <c r="K422" i="39"/>
  <c r="AK422" i="39" s="1"/>
  <c r="E422" i="39"/>
  <c r="M422" i="39"/>
  <c r="AS422" i="39" s="1"/>
  <c r="F422" i="39"/>
  <c r="AM422" i="39" s="1"/>
  <c r="N422" i="39"/>
  <c r="O422" i="39"/>
  <c r="P422" i="39"/>
  <c r="Q422" i="39"/>
  <c r="D422" i="39"/>
  <c r="AJ422" i="39" s="1"/>
  <c r="G422" i="39"/>
  <c r="H422" i="39"/>
  <c r="I422" i="39"/>
  <c r="L422" i="39"/>
  <c r="AQ422" i="39" s="1"/>
  <c r="AC443" i="39"/>
  <c r="AL443" i="39"/>
  <c r="AE443" i="39"/>
  <c r="AU348" i="39"/>
  <c r="B348" i="39"/>
  <c r="AF348" i="39" s="1"/>
  <c r="J348" i="39"/>
  <c r="AN348" i="39" s="1"/>
  <c r="C348" i="39"/>
  <c r="K348" i="39"/>
  <c r="AK348" i="39" s="1"/>
  <c r="D348" i="39"/>
  <c r="AJ348" i="39" s="1"/>
  <c r="L348" i="39"/>
  <c r="AQ348" i="39" s="1"/>
  <c r="E348" i="39"/>
  <c r="M348" i="39"/>
  <c r="AS348" i="39" s="1"/>
  <c r="F348" i="39"/>
  <c r="AM348" i="39" s="1"/>
  <c r="N348" i="39"/>
  <c r="G348" i="39"/>
  <c r="O348" i="39"/>
  <c r="H348" i="39"/>
  <c r="P348" i="39"/>
  <c r="I348" i="39"/>
  <c r="Q348" i="39"/>
  <c r="AC425" i="39"/>
  <c r="AL425" i="39"/>
  <c r="AE425" i="39"/>
  <c r="AU403" i="39"/>
  <c r="C403" i="39"/>
  <c r="K403" i="39"/>
  <c r="AK403" i="39" s="1"/>
  <c r="D403" i="39"/>
  <c r="AJ403" i="39" s="1"/>
  <c r="L403" i="39"/>
  <c r="AQ403" i="39" s="1"/>
  <c r="E403" i="39"/>
  <c r="M403" i="39"/>
  <c r="AS403" i="39" s="1"/>
  <c r="F403" i="39"/>
  <c r="AM403" i="39" s="1"/>
  <c r="N403" i="39"/>
  <c r="G403" i="39"/>
  <c r="O403" i="39"/>
  <c r="H403" i="39"/>
  <c r="P403" i="39"/>
  <c r="I403" i="39"/>
  <c r="Q403" i="39"/>
  <c r="B403" i="39"/>
  <c r="AF403" i="39" s="1"/>
  <c r="J403" i="39"/>
  <c r="AN403" i="39" s="1"/>
  <c r="AC361" i="39"/>
  <c r="AL361" i="39"/>
  <c r="AE361" i="39"/>
  <c r="AC337" i="39"/>
  <c r="AL337" i="39"/>
  <c r="AE337" i="39"/>
  <c r="AL318" i="39"/>
  <c r="AC318" i="39"/>
  <c r="AE318" i="39"/>
  <c r="AE400" i="39"/>
  <c r="AL400" i="39"/>
  <c r="AC400" i="39"/>
  <c r="AU378" i="39"/>
  <c r="D378" i="39"/>
  <c r="AJ378" i="39" s="1"/>
  <c r="L378" i="39"/>
  <c r="AQ378" i="39" s="1"/>
  <c r="E378" i="39"/>
  <c r="M378" i="39"/>
  <c r="AS378" i="39" s="1"/>
  <c r="F378" i="39"/>
  <c r="AM378" i="39" s="1"/>
  <c r="N378" i="39"/>
  <c r="G378" i="39"/>
  <c r="O378" i="39"/>
  <c r="H378" i="39"/>
  <c r="P378" i="39"/>
  <c r="I378" i="39"/>
  <c r="Q378" i="39"/>
  <c r="B378" i="39"/>
  <c r="AF378" i="39" s="1"/>
  <c r="J378" i="39"/>
  <c r="AN378" i="39" s="1"/>
  <c r="K378" i="39"/>
  <c r="AK378" i="39" s="1"/>
  <c r="C378" i="39"/>
  <c r="AC383" i="39"/>
  <c r="AL383" i="39"/>
  <c r="AE383" i="39"/>
  <c r="AU361" i="39"/>
  <c r="E361" i="39"/>
  <c r="M361" i="39"/>
  <c r="AS361" i="39" s="1"/>
  <c r="F361" i="39"/>
  <c r="AM361" i="39" s="1"/>
  <c r="N361" i="39"/>
  <c r="G361" i="39"/>
  <c r="O361" i="39"/>
  <c r="H361" i="39"/>
  <c r="P361" i="39"/>
  <c r="I361" i="39"/>
  <c r="Q361" i="39"/>
  <c r="B361" i="39"/>
  <c r="AF361" i="39" s="1"/>
  <c r="J361" i="39"/>
  <c r="AN361" i="39" s="1"/>
  <c r="C361" i="39"/>
  <c r="K361" i="39"/>
  <c r="AK361" i="39" s="1"/>
  <c r="D361" i="39"/>
  <c r="AJ361" i="39" s="1"/>
  <c r="L361" i="39"/>
  <c r="AQ361" i="39" s="1"/>
  <c r="AU424" i="39"/>
  <c r="H424" i="39"/>
  <c r="P424" i="39"/>
  <c r="I424" i="39"/>
  <c r="Q424" i="39"/>
  <c r="C424" i="39"/>
  <c r="K424" i="39"/>
  <c r="AK424" i="39" s="1"/>
  <c r="D424" i="39"/>
  <c r="AJ424" i="39" s="1"/>
  <c r="L424" i="39"/>
  <c r="AQ424" i="39" s="1"/>
  <c r="M424" i="39"/>
  <c r="AS424" i="39" s="1"/>
  <c r="N424" i="39"/>
  <c r="O424" i="39"/>
  <c r="B424" i="39"/>
  <c r="AF424" i="39" s="1"/>
  <c r="E424" i="39"/>
  <c r="F424" i="39"/>
  <c r="AM424" i="39" s="1"/>
  <c r="G424" i="39"/>
  <c r="J424" i="39"/>
  <c r="AN424" i="39" s="1"/>
  <c r="AC382" i="39"/>
  <c r="AE382" i="39"/>
  <c r="AL382" i="39"/>
  <c r="AU360" i="39"/>
  <c r="F360" i="39"/>
  <c r="AM360" i="39" s="1"/>
  <c r="N360" i="39"/>
  <c r="G360" i="39"/>
  <c r="O360" i="39"/>
  <c r="H360" i="39"/>
  <c r="P360" i="39"/>
  <c r="I360" i="39"/>
  <c r="Q360" i="39"/>
  <c r="B360" i="39"/>
  <c r="AF360" i="39" s="1"/>
  <c r="J360" i="39"/>
  <c r="AN360" i="39" s="1"/>
  <c r="C360" i="39"/>
  <c r="K360" i="39"/>
  <c r="AK360" i="39" s="1"/>
  <c r="D360" i="39"/>
  <c r="AJ360" i="39" s="1"/>
  <c r="L360" i="39"/>
  <c r="AQ360" i="39" s="1"/>
  <c r="M360" i="39"/>
  <c r="AS360" i="39" s="1"/>
  <c r="E360" i="39"/>
  <c r="AC429" i="39"/>
  <c r="AL429" i="39"/>
  <c r="AE429" i="39"/>
  <c r="AU407" i="39"/>
  <c r="G407" i="39"/>
  <c r="O407" i="39"/>
  <c r="H407" i="39"/>
  <c r="P407" i="39"/>
  <c r="I407" i="39"/>
  <c r="Q407" i="39"/>
  <c r="B407" i="39"/>
  <c r="AF407" i="39" s="1"/>
  <c r="J407" i="39"/>
  <c r="AN407" i="39" s="1"/>
  <c r="C407" i="39"/>
  <c r="K407" i="39"/>
  <c r="AK407" i="39" s="1"/>
  <c r="D407" i="39"/>
  <c r="AJ407" i="39" s="1"/>
  <c r="L407" i="39"/>
  <c r="AQ407" i="39" s="1"/>
  <c r="E407" i="39"/>
  <c r="M407" i="39"/>
  <c r="AS407" i="39" s="1"/>
  <c r="F407" i="39"/>
  <c r="AM407" i="39" s="1"/>
  <c r="N407" i="39"/>
  <c r="AC365" i="39"/>
  <c r="AL365" i="39"/>
  <c r="AE365" i="39"/>
  <c r="AU343" i="39"/>
  <c r="G343" i="39"/>
  <c r="O343" i="39"/>
  <c r="H343" i="39"/>
  <c r="P343" i="39"/>
  <c r="I343" i="39"/>
  <c r="Q343" i="39"/>
  <c r="B343" i="39"/>
  <c r="AF343" i="39" s="1"/>
  <c r="J343" i="39"/>
  <c r="AN343" i="39" s="1"/>
  <c r="C343" i="39"/>
  <c r="K343" i="39"/>
  <c r="AK343" i="39" s="1"/>
  <c r="D343" i="39"/>
  <c r="AJ343" i="39" s="1"/>
  <c r="L343" i="39"/>
  <c r="AQ343" i="39" s="1"/>
  <c r="E343" i="39"/>
  <c r="M343" i="39"/>
  <c r="AS343" i="39" s="1"/>
  <c r="F343" i="39"/>
  <c r="AM343" i="39" s="1"/>
  <c r="N343" i="39"/>
  <c r="AU406" i="39"/>
  <c r="H406" i="39"/>
  <c r="P406" i="39"/>
  <c r="I406" i="39"/>
  <c r="Q406" i="39"/>
  <c r="B406" i="39"/>
  <c r="AF406" i="39" s="1"/>
  <c r="J406" i="39"/>
  <c r="AN406" i="39" s="1"/>
  <c r="C406" i="39"/>
  <c r="K406" i="39"/>
  <c r="AK406" i="39" s="1"/>
  <c r="D406" i="39"/>
  <c r="AJ406" i="39" s="1"/>
  <c r="L406" i="39"/>
  <c r="AQ406" i="39" s="1"/>
  <c r="E406" i="39"/>
  <c r="M406" i="39"/>
  <c r="AS406" i="39" s="1"/>
  <c r="F406" i="39"/>
  <c r="AM406" i="39" s="1"/>
  <c r="N406" i="39"/>
  <c r="O406" i="39"/>
  <c r="G406" i="39"/>
  <c r="AL364" i="39"/>
  <c r="AC364" i="39"/>
  <c r="AE364" i="39"/>
  <c r="AU342" i="39"/>
  <c r="H342" i="39"/>
  <c r="P342" i="39"/>
  <c r="I342" i="39"/>
  <c r="Q342" i="39"/>
  <c r="B342" i="39"/>
  <c r="AF342" i="39" s="1"/>
  <c r="J342" i="39"/>
  <c r="AN342" i="39" s="1"/>
  <c r="C342" i="39"/>
  <c r="K342" i="39"/>
  <c r="AK342" i="39" s="1"/>
  <c r="D342" i="39"/>
  <c r="AJ342" i="39" s="1"/>
  <c r="L342" i="39"/>
  <c r="AQ342" i="39" s="1"/>
  <c r="E342" i="39"/>
  <c r="M342" i="39"/>
  <c r="AS342" i="39" s="1"/>
  <c r="F342" i="39"/>
  <c r="AM342" i="39" s="1"/>
  <c r="N342" i="39"/>
  <c r="O342" i="39"/>
  <c r="G342" i="39"/>
  <c r="AU319" i="39"/>
  <c r="C319" i="39"/>
  <c r="K319" i="39"/>
  <c r="AK319" i="39" s="1"/>
  <c r="D319" i="39"/>
  <c r="AJ319" i="39" s="1"/>
  <c r="L319" i="39"/>
  <c r="AQ319" i="39" s="1"/>
  <c r="G319" i="39"/>
  <c r="H319" i="39"/>
  <c r="P319" i="39"/>
  <c r="N319" i="39"/>
  <c r="O319" i="39"/>
  <c r="B319" i="39"/>
  <c r="AF319" i="39" s="1"/>
  <c r="Q319" i="39"/>
  <c r="E319" i="39"/>
  <c r="F319" i="39"/>
  <c r="AM319" i="39" s="1"/>
  <c r="I319" i="39"/>
  <c r="J319" i="39"/>
  <c r="AN319" i="39" s="1"/>
  <c r="M319" i="39"/>
  <c r="AS319" i="39" s="1"/>
  <c r="AC387" i="39"/>
  <c r="AL387" i="39"/>
  <c r="AE387" i="39"/>
  <c r="AU365" i="39"/>
  <c r="I365" i="39"/>
  <c r="Q365" i="39"/>
  <c r="B365" i="39"/>
  <c r="AF365" i="39" s="1"/>
  <c r="J365" i="39"/>
  <c r="AN365" i="39" s="1"/>
  <c r="C365" i="39"/>
  <c r="K365" i="39"/>
  <c r="AK365" i="39" s="1"/>
  <c r="D365" i="39"/>
  <c r="AJ365" i="39" s="1"/>
  <c r="L365" i="39"/>
  <c r="AQ365" i="39" s="1"/>
  <c r="E365" i="39"/>
  <c r="M365" i="39"/>
  <c r="AS365" i="39" s="1"/>
  <c r="F365" i="39"/>
  <c r="AM365" i="39" s="1"/>
  <c r="N365" i="39"/>
  <c r="G365" i="39"/>
  <c r="O365" i="39"/>
  <c r="P365" i="39"/>
  <c r="H365" i="39"/>
  <c r="AE310" i="39"/>
  <c r="AC310" i="39"/>
  <c r="AL310" i="39"/>
  <c r="AE265" i="39"/>
  <c r="AC265" i="39"/>
  <c r="AL265" i="39"/>
  <c r="AU243" i="39"/>
  <c r="F243" i="39"/>
  <c r="AM243" i="39" s="1"/>
  <c r="H243" i="39"/>
  <c r="P243" i="39"/>
  <c r="B243" i="39"/>
  <c r="AF243" i="39" s="1"/>
  <c r="J243" i="39"/>
  <c r="AN243" i="39" s="1"/>
  <c r="D243" i="39"/>
  <c r="AJ243" i="39" s="1"/>
  <c r="L243" i="39"/>
  <c r="AQ243" i="39" s="1"/>
  <c r="C243" i="39"/>
  <c r="Q243" i="39"/>
  <c r="E243" i="39"/>
  <c r="G243" i="39"/>
  <c r="I243" i="39"/>
  <c r="K243" i="39"/>
  <c r="AK243" i="39" s="1"/>
  <c r="M243" i="39"/>
  <c r="AS243" i="39" s="1"/>
  <c r="N243" i="39"/>
  <c r="O243" i="39"/>
  <c r="AL308" i="39"/>
  <c r="AE308" i="39"/>
  <c r="AC308" i="39"/>
  <c r="AU286" i="39"/>
  <c r="C286" i="39"/>
  <c r="K286" i="39"/>
  <c r="AK286" i="39" s="1"/>
  <c r="D286" i="39"/>
  <c r="AJ286" i="39" s="1"/>
  <c r="L286" i="39"/>
  <c r="AQ286" i="39" s="1"/>
  <c r="E286" i="39"/>
  <c r="M286" i="39"/>
  <c r="AS286" i="39" s="1"/>
  <c r="F286" i="39"/>
  <c r="AM286" i="39" s="1"/>
  <c r="N286" i="39"/>
  <c r="G286" i="39"/>
  <c r="O286" i="39"/>
  <c r="H286" i="39"/>
  <c r="P286" i="39"/>
  <c r="I286" i="39"/>
  <c r="Q286" i="39"/>
  <c r="B286" i="39"/>
  <c r="AF286" i="39" s="1"/>
  <c r="J286" i="39"/>
  <c r="AN286" i="39" s="1"/>
  <c r="AU227" i="39"/>
  <c r="F227" i="39"/>
  <c r="AM227" i="39" s="1"/>
  <c r="N227" i="39"/>
  <c r="H227" i="39"/>
  <c r="P227" i="39"/>
  <c r="B227" i="39"/>
  <c r="AF227" i="39" s="1"/>
  <c r="J227" i="39"/>
  <c r="AN227" i="39" s="1"/>
  <c r="C227" i="39"/>
  <c r="K227" i="39"/>
  <c r="AK227" i="39" s="1"/>
  <c r="D227" i="39"/>
  <c r="AJ227" i="39" s="1"/>
  <c r="L227" i="39"/>
  <c r="AQ227" i="39" s="1"/>
  <c r="G227" i="39"/>
  <c r="I227" i="39"/>
  <c r="M227" i="39"/>
  <c r="AS227" i="39" s="1"/>
  <c r="O227" i="39"/>
  <c r="Q227" i="39"/>
  <c r="E227" i="39"/>
  <c r="AU301" i="39"/>
  <c r="D301" i="39"/>
  <c r="AJ301" i="39" s="1"/>
  <c r="L301" i="39"/>
  <c r="AQ301" i="39" s="1"/>
  <c r="E301" i="39"/>
  <c r="M301" i="39"/>
  <c r="AS301" i="39" s="1"/>
  <c r="F301" i="39"/>
  <c r="AM301" i="39" s="1"/>
  <c r="N301" i="39"/>
  <c r="G301" i="39"/>
  <c r="O301" i="39"/>
  <c r="H301" i="39"/>
  <c r="P301" i="39"/>
  <c r="I301" i="39"/>
  <c r="Q301" i="39"/>
  <c r="B301" i="39"/>
  <c r="AF301" i="39" s="1"/>
  <c r="J301" i="39"/>
  <c r="AN301" i="39" s="1"/>
  <c r="C301" i="39"/>
  <c r="K301" i="39"/>
  <c r="AK301" i="39" s="1"/>
  <c r="AC237" i="39"/>
  <c r="AL237" i="39"/>
  <c r="AE237" i="39"/>
  <c r="AU263" i="39"/>
  <c r="D263" i="39"/>
  <c r="AJ263" i="39" s="1"/>
  <c r="L263" i="39"/>
  <c r="AQ263" i="39" s="1"/>
  <c r="H263" i="39"/>
  <c r="P263" i="39"/>
  <c r="F263" i="39"/>
  <c r="AM263" i="39" s="1"/>
  <c r="Q263" i="39"/>
  <c r="G263" i="39"/>
  <c r="I263" i="39"/>
  <c r="J263" i="39"/>
  <c r="AN263" i="39" s="1"/>
  <c r="K263" i="39"/>
  <c r="AK263" i="39" s="1"/>
  <c r="B263" i="39"/>
  <c r="AF263" i="39" s="1"/>
  <c r="M263" i="39"/>
  <c r="AS263" i="39" s="1"/>
  <c r="C263" i="39"/>
  <c r="N263" i="39"/>
  <c r="E263" i="39"/>
  <c r="O263" i="39"/>
  <c r="AC305" i="39"/>
  <c r="AL305" i="39"/>
  <c r="AE305" i="39"/>
  <c r="AU235" i="39"/>
  <c r="F235" i="39"/>
  <c r="AM235" i="39" s="1"/>
  <c r="N235" i="39"/>
  <c r="H235" i="39"/>
  <c r="P235" i="39"/>
  <c r="B235" i="39"/>
  <c r="AF235" i="39" s="1"/>
  <c r="J235" i="39"/>
  <c r="AN235" i="39" s="1"/>
  <c r="D235" i="39"/>
  <c r="AJ235" i="39" s="1"/>
  <c r="L235" i="39"/>
  <c r="AQ235" i="39" s="1"/>
  <c r="K235" i="39"/>
  <c r="AK235" i="39" s="1"/>
  <c r="M235" i="39"/>
  <c r="AS235" i="39" s="1"/>
  <c r="O235" i="39"/>
  <c r="Q235" i="39"/>
  <c r="C235" i="39"/>
  <c r="E235" i="39"/>
  <c r="G235" i="39"/>
  <c r="I235" i="39"/>
  <c r="AC296" i="39"/>
  <c r="AL296" i="39"/>
  <c r="AE296" i="39"/>
  <c r="AL269" i="39"/>
  <c r="AC269" i="39"/>
  <c r="AE269" i="39"/>
  <c r="AE319" i="39"/>
  <c r="AL319" i="39"/>
  <c r="AC319" i="39"/>
  <c r="AU297" i="39"/>
  <c r="H297" i="39"/>
  <c r="P297" i="39"/>
  <c r="I297" i="39"/>
  <c r="Q297" i="39"/>
  <c r="B297" i="39"/>
  <c r="AF297" i="39" s="1"/>
  <c r="J297" i="39"/>
  <c r="AN297" i="39" s="1"/>
  <c r="C297" i="39"/>
  <c r="K297" i="39"/>
  <c r="AK297" i="39" s="1"/>
  <c r="D297" i="39"/>
  <c r="AJ297" i="39" s="1"/>
  <c r="L297" i="39"/>
  <c r="AQ297" i="39" s="1"/>
  <c r="E297" i="39"/>
  <c r="M297" i="39"/>
  <c r="AS297" i="39" s="1"/>
  <c r="F297" i="39"/>
  <c r="AM297" i="39" s="1"/>
  <c r="N297" i="39"/>
  <c r="O297" i="39"/>
  <c r="G297" i="39"/>
  <c r="AU277" i="39"/>
  <c r="B277" i="39"/>
  <c r="AF277" i="39" s="1"/>
  <c r="J277" i="39"/>
  <c r="AN277" i="39" s="1"/>
  <c r="I277" i="39"/>
  <c r="K277" i="39"/>
  <c r="AK277" i="39" s="1"/>
  <c r="C277" i="39"/>
  <c r="L277" i="39"/>
  <c r="AQ277" i="39" s="1"/>
  <c r="D277" i="39"/>
  <c r="AJ277" i="39" s="1"/>
  <c r="M277" i="39"/>
  <c r="AS277" i="39" s="1"/>
  <c r="E277" i="39"/>
  <c r="N277" i="39"/>
  <c r="F277" i="39"/>
  <c r="AM277" i="39" s="1"/>
  <c r="O277" i="39"/>
  <c r="G277" i="39"/>
  <c r="P277" i="39"/>
  <c r="H277" i="39"/>
  <c r="Q277" i="39"/>
  <c r="AU304" i="39"/>
  <c r="I304" i="39"/>
  <c r="Q304" i="39"/>
  <c r="B304" i="39"/>
  <c r="AF304" i="39" s="1"/>
  <c r="J304" i="39"/>
  <c r="AN304" i="39" s="1"/>
  <c r="C304" i="39"/>
  <c r="K304" i="39"/>
  <c r="AK304" i="39" s="1"/>
  <c r="D304" i="39"/>
  <c r="AJ304" i="39" s="1"/>
  <c r="L304" i="39"/>
  <c r="AQ304" i="39" s="1"/>
  <c r="E304" i="39"/>
  <c r="M304" i="39"/>
  <c r="AS304" i="39" s="1"/>
  <c r="F304" i="39"/>
  <c r="AM304" i="39" s="1"/>
  <c r="N304" i="39"/>
  <c r="G304" i="39"/>
  <c r="O304" i="39"/>
  <c r="H304" i="39"/>
  <c r="P304" i="39"/>
  <c r="AE223" i="39"/>
  <c r="AL223" i="39"/>
  <c r="AC223" i="39"/>
  <c r="AE244" i="39"/>
  <c r="AC244" i="39"/>
  <c r="AL244" i="39"/>
  <c r="AU222" i="39"/>
  <c r="C222" i="39"/>
  <c r="K222" i="39"/>
  <c r="AK222" i="39" s="1"/>
  <c r="E222" i="39"/>
  <c r="M222" i="39"/>
  <c r="AS222" i="39" s="1"/>
  <c r="F222" i="39"/>
  <c r="AM222" i="39" s="1"/>
  <c r="N222" i="39"/>
  <c r="G222" i="39"/>
  <c r="O222" i="39"/>
  <c r="H222" i="39"/>
  <c r="P222" i="39"/>
  <c r="I222" i="39"/>
  <c r="Z222" i="39" s="1"/>
  <c r="Q222" i="39"/>
  <c r="L222" i="39"/>
  <c r="AQ222" i="39" s="1"/>
  <c r="B222" i="39"/>
  <c r="AF222" i="39" s="1"/>
  <c r="D222" i="39"/>
  <c r="AJ222" i="39" s="1"/>
  <c r="J222" i="39"/>
  <c r="AN222" i="39" s="1"/>
  <c r="AU229" i="39"/>
  <c r="D229" i="39"/>
  <c r="AJ229" i="39" s="1"/>
  <c r="L229" i="39"/>
  <c r="AQ229" i="39" s="1"/>
  <c r="F229" i="39"/>
  <c r="AM229" i="39" s="1"/>
  <c r="N229" i="39"/>
  <c r="H229" i="39"/>
  <c r="P229" i="39"/>
  <c r="I229" i="39"/>
  <c r="Q229" i="39"/>
  <c r="B229" i="39"/>
  <c r="AF229" i="39" s="1"/>
  <c r="J229" i="39"/>
  <c r="AN229" i="39" s="1"/>
  <c r="C229" i="39"/>
  <c r="E229" i="39"/>
  <c r="G229" i="39"/>
  <c r="K229" i="39"/>
  <c r="AK229" i="39" s="1"/>
  <c r="M229" i="39"/>
  <c r="AS229" i="39" s="1"/>
  <c r="O229" i="39"/>
  <c r="AU252" i="39"/>
  <c r="G252" i="39"/>
  <c r="O252" i="39"/>
  <c r="I252" i="39"/>
  <c r="Q252" i="39"/>
  <c r="C252" i="39"/>
  <c r="K252" i="39"/>
  <c r="AK252" i="39" s="1"/>
  <c r="J252" i="39"/>
  <c r="AN252" i="39" s="1"/>
  <c r="L252" i="39"/>
  <c r="AQ252" i="39" s="1"/>
  <c r="M252" i="39"/>
  <c r="AS252" i="39" s="1"/>
  <c r="B252" i="39"/>
  <c r="AF252" i="39" s="1"/>
  <c r="N252" i="39"/>
  <c r="D252" i="39"/>
  <c r="AJ252" i="39" s="1"/>
  <c r="P252" i="39"/>
  <c r="E252" i="39"/>
  <c r="F252" i="39"/>
  <c r="AM252" i="39" s="1"/>
  <c r="H252" i="39"/>
  <c r="AC210" i="39"/>
  <c r="AL210" i="39"/>
  <c r="AE210" i="39"/>
  <c r="AU188" i="39"/>
  <c r="C188" i="39"/>
  <c r="K188" i="39"/>
  <c r="AK188" i="39" s="1"/>
  <c r="E188" i="39"/>
  <c r="M188" i="39"/>
  <c r="AS188" i="39" s="1"/>
  <c r="H188" i="39"/>
  <c r="I188" i="39"/>
  <c r="J188" i="39"/>
  <c r="AN188" i="39" s="1"/>
  <c r="L188" i="39"/>
  <c r="AQ188" i="39" s="1"/>
  <c r="B188" i="39"/>
  <c r="AF188" i="39" s="1"/>
  <c r="N188" i="39"/>
  <c r="D188" i="39"/>
  <c r="AJ188" i="39" s="1"/>
  <c r="O188" i="39"/>
  <c r="F188" i="39"/>
  <c r="AM188" i="39" s="1"/>
  <c r="P188" i="39"/>
  <c r="G188" i="39"/>
  <c r="Q188" i="39"/>
  <c r="AU266" i="39"/>
  <c r="I266" i="39"/>
  <c r="Q266" i="39"/>
  <c r="E266" i="39"/>
  <c r="M266" i="39"/>
  <c r="AS266" i="39" s="1"/>
  <c r="F266" i="39"/>
  <c r="AM266" i="39" s="1"/>
  <c r="P266" i="39"/>
  <c r="G266" i="39"/>
  <c r="H266" i="39"/>
  <c r="J266" i="39"/>
  <c r="AN266" i="39" s="1"/>
  <c r="K266" i="39"/>
  <c r="AK266" i="39" s="1"/>
  <c r="B266" i="39"/>
  <c r="AF266" i="39" s="1"/>
  <c r="L266" i="39"/>
  <c r="AQ266" i="39" s="1"/>
  <c r="C266" i="39"/>
  <c r="N266" i="39"/>
  <c r="D266" i="39"/>
  <c r="AJ266" i="39" s="1"/>
  <c r="O266" i="39"/>
  <c r="AE224" i="39"/>
  <c r="AL224" i="39"/>
  <c r="AC224" i="39"/>
  <c r="AU202" i="39"/>
  <c r="G202" i="39"/>
  <c r="O202" i="39"/>
  <c r="H202" i="39"/>
  <c r="P202" i="39"/>
  <c r="I202" i="39"/>
  <c r="Q202" i="39"/>
  <c r="B202" i="39"/>
  <c r="AF202" i="39" s="1"/>
  <c r="J202" i="39"/>
  <c r="AN202" i="39" s="1"/>
  <c r="C202" i="39"/>
  <c r="K202" i="39"/>
  <c r="AK202" i="39" s="1"/>
  <c r="D202" i="39"/>
  <c r="AJ202" i="39" s="1"/>
  <c r="L202" i="39"/>
  <c r="AQ202" i="39" s="1"/>
  <c r="E202" i="39"/>
  <c r="M202" i="39"/>
  <c r="AS202" i="39" s="1"/>
  <c r="F202" i="39"/>
  <c r="AM202" i="39" s="1"/>
  <c r="N202" i="39"/>
  <c r="AE207" i="39"/>
  <c r="AL207" i="39"/>
  <c r="AC207" i="39"/>
  <c r="AC103" i="39"/>
  <c r="AL103" i="39"/>
  <c r="AE103" i="39"/>
  <c r="AC222" i="39"/>
  <c r="AE222" i="39"/>
  <c r="AL222" i="39"/>
  <c r="AU193" i="39"/>
  <c r="F193" i="39"/>
  <c r="AM193" i="39" s="1"/>
  <c r="N193" i="39"/>
  <c r="H193" i="39"/>
  <c r="P193" i="39"/>
  <c r="K193" i="39"/>
  <c r="AK193" i="39" s="1"/>
  <c r="B193" i="39"/>
  <c r="AF193" i="39" s="1"/>
  <c r="L193" i="39"/>
  <c r="AQ193" i="39" s="1"/>
  <c r="C193" i="39"/>
  <c r="M193" i="39"/>
  <c r="AS193" i="39" s="1"/>
  <c r="D193" i="39"/>
  <c r="AJ193" i="39" s="1"/>
  <c r="O193" i="39"/>
  <c r="E193" i="39"/>
  <c r="Q193" i="39"/>
  <c r="G193" i="39"/>
  <c r="I193" i="39"/>
  <c r="J193" i="39"/>
  <c r="AN193" i="39" s="1"/>
  <c r="AC166" i="39"/>
  <c r="AL166" i="39"/>
  <c r="AE166" i="39"/>
  <c r="AU144" i="39"/>
  <c r="C144" i="39"/>
  <c r="K144" i="39"/>
  <c r="AK144" i="39" s="1"/>
  <c r="D144" i="39"/>
  <c r="AJ144" i="39" s="1"/>
  <c r="L144" i="39"/>
  <c r="AQ144" i="39" s="1"/>
  <c r="E144" i="39"/>
  <c r="M144" i="39"/>
  <c r="AS144" i="39" s="1"/>
  <c r="F144" i="39"/>
  <c r="AM144" i="39" s="1"/>
  <c r="N144" i="39"/>
  <c r="G144" i="39"/>
  <c r="O144" i="39"/>
  <c r="H144" i="39"/>
  <c r="P144" i="39"/>
  <c r="I144" i="39"/>
  <c r="Q144" i="39"/>
  <c r="B144" i="39"/>
  <c r="AF144" i="39" s="1"/>
  <c r="J144" i="39"/>
  <c r="AN144" i="39" s="1"/>
  <c r="AC141" i="39"/>
  <c r="AL141" i="39"/>
  <c r="AE141" i="39"/>
  <c r="AU119" i="39"/>
  <c r="D119" i="39"/>
  <c r="AJ119" i="39" s="1"/>
  <c r="L119" i="39"/>
  <c r="AQ119" i="39" s="1"/>
  <c r="E119" i="39"/>
  <c r="M119" i="39"/>
  <c r="AS119" i="39" s="1"/>
  <c r="F119" i="39"/>
  <c r="AM119" i="39" s="1"/>
  <c r="N119" i="39"/>
  <c r="G119" i="39"/>
  <c r="O119" i="39"/>
  <c r="H119" i="39"/>
  <c r="P119" i="39"/>
  <c r="I119" i="39"/>
  <c r="Q119" i="39"/>
  <c r="B119" i="39"/>
  <c r="AF119" i="39" s="1"/>
  <c r="J119" i="39"/>
  <c r="AN119" i="39" s="1"/>
  <c r="C119" i="39"/>
  <c r="K119" i="39"/>
  <c r="AK119" i="39" s="1"/>
  <c r="AC104" i="39"/>
  <c r="AL104" i="39"/>
  <c r="AE104" i="39"/>
  <c r="AE188" i="39"/>
  <c r="AL188" i="39"/>
  <c r="AC188" i="39"/>
  <c r="AU166" i="39"/>
  <c r="E166" i="39"/>
  <c r="M166" i="39"/>
  <c r="AS166" i="39" s="1"/>
  <c r="G166" i="39"/>
  <c r="O166" i="39"/>
  <c r="I166" i="39"/>
  <c r="Z166" i="39" s="1"/>
  <c r="Q166" i="39"/>
  <c r="B166" i="39"/>
  <c r="AF166" i="39" s="1"/>
  <c r="J166" i="39"/>
  <c r="AN166" i="39" s="1"/>
  <c r="C166" i="39"/>
  <c r="K166" i="39"/>
  <c r="AK166" i="39" s="1"/>
  <c r="D166" i="39"/>
  <c r="AJ166" i="39" s="1"/>
  <c r="F166" i="39"/>
  <c r="AM166" i="39" s="1"/>
  <c r="H166" i="39"/>
  <c r="L166" i="39"/>
  <c r="AQ166" i="39" s="1"/>
  <c r="N166" i="39"/>
  <c r="P166" i="39"/>
  <c r="AE124" i="39"/>
  <c r="AC124" i="39"/>
  <c r="AL124" i="39"/>
  <c r="AU81" i="39"/>
  <c r="C81" i="39"/>
  <c r="K81" i="39"/>
  <c r="AK81" i="39" s="1"/>
  <c r="D81" i="39"/>
  <c r="AJ81" i="39" s="1"/>
  <c r="L81" i="39"/>
  <c r="AQ81" i="39" s="1"/>
  <c r="E81" i="39"/>
  <c r="M81" i="39"/>
  <c r="AS81" i="39" s="1"/>
  <c r="F81" i="39"/>
  <c r="AM81" i="39" s="1"/>
  <c r="N81" i="39"/>
  <c r="G81" i="39"/>
  <c r="O81" i="39"/>
  <c r="H81" i="39"/>
  <c r="P81" i="39"/>
  <c r="I81" i="39"/>
  <c r="J81" i="39"/>
  <c r="AN81" i="39" s="1"/>
  <c r="Q81" i="39"/>
  <c r="B81" i="39"/>
  <c r="AF81" i="39" s="1"/>
  <c r="AC123" i="39"/>
  <c r="AL123" i="39"/>
  <c r="AE123" i="39"/>
  <c r="AU172" i="39"/>
  <c r="I172" i="39"/>
  <c r="Q172" i="39"/>
  <c r="C172" i="39"/>
  <c r="K172" i="39"/>
  <c r="AK172" i="39" s="1"/>
  <c r="D172" i="39"/>
  <c r="AJ172" i="39" s="1"/>
  <c r="L172" i="39"/>
  <c r="AQ172" i="39" s="1"/>
  <c r="E172" i="39"/>
  <c r="M172" i="39"/>
  <c r="AS172" i="39" s="1"/>
  <c r="F172" i="39"/>
  <c r="AM172" i="39" s="1"/>
  <c r="G172" i="39"/>
  <c r="H172" i="39"/>
  <c r="J172" i="39"/>
  <c r="AN172" i="39" s="1"/>
  <c r="N172" i="39"/>
  <c r="O172" i="39"/>
  <c r="P172" i="39"/>
  <c r="B172" i="39"/>
  <c r="AF172" i="39" s="1"/>
  <c r="AC130" i="39"/>
  <c r="AL130" i="39"/>
  <c r="AE130" i="39"/>
  <c r="AU108" i="39"/>
  <c r="G108" i="39"/>
  <c r="O108" i="39"/>
  <c r="H108" i="39"/>
  <c r="P108" i="39"/>
  <c r="I108" i="39"/>
  <c r="Q108" i="39"/>
  <c r="B108" i="39"/>
  <c r="AF108" i="39" s="1"/>
  <c r="J108" i="39"/>
  <c r="AN108" i="39" s="1"/>
  <c r="C108" i="39"/>
  <c r="K108" i="39"/>
  <c r="AK108" i="39" s="1"/>
  <c r="D108" i="39"/>
  <c r="AJ108" i="39" s="1"/>
  <c r="L108" i="39"/>
  <c r="AQ108" i="39" s="1"/>
  <c r="E108" i="39"/>
  <c r="M108" i="39"/>
  <c r="AS108" i="39" s="1"/>
  <c r="F108" i="39"/>
  <c r="AM108" i="39" s="1"/>
  <c r="N108" i="39"/>
  <c r="AU147" i="39"/>
  <c r="H147" i="39"/>
  <c r="P147" i="39"/>
  <c r="I147" i="39"/>
  <c r="Q147" i="39"/>
  <c r="B147" i="39"/>
  <c r="AF147" i="39" s="1"/>
  <c r="J147" i="39"/>
  <c r="AN147" i="39" s="1"/>
  <c r="C147" i="39"/>
  <c r="K147" i="39"/>
  <c r="AK147" i="39" s="1"/>
  <c r="D147" i="39"/>
  <c r="AJ147" i="39" s="1"/>
  <c r="L147" i="39"/>
  <c r="AQ147" i="39" s="1"/>
  <c r="E147" i="39"/>
  <c r="M147" i="39"/>
  <c r="AS147" i="39" s="1"/>
  <c r="F147" i="39"/>
  <c r="AM147" i="39" s="1"/>
  <c r="N147" i="39"/>
  <c r="G147" i="39"/>
  <c r="O147" i="39"/>
  <c r="AU97" i="39"/>
  <c r="C97" i="39"/>
  <c r="K97" i="39"/>
  <c r="AK97" i="39" s="1"/>
  <c r="G97" i="39"/>
  <c r="O97" i="39"/>
  <c r="H97" i="39"/>
  <c r="P97" i="39"/>
  <c r="J97" i="39"/>
  <c r="AN97" i="39" s="1"/>
  <c r="E97" i="39"/>
  <c r="N97" i="39"/>
  <c r="Q97" i="39"/>
  <c r="B97" i="39"/>
  <c r="AF97" i="39" s="1"/>
  <c r="D97" i="39"/>
  <c r="AJ97" i="39" s="1"/>
  <c r="F97" i="39"/>
  <c r="AM97" i="39" s="1"/>
  <c r="I97" i="39"/>
  <c r="L97" i="39"/>
  <c r="AQ97" i="39" s="1"/>
  <c r="M97" i="39"/>
  <c r="AS97" i="39" s="1"/>
  <c r="AE128" i="39"/>
  <c r="AL128" i="39"/>
  <c r="AC128" i="39"/>
  <c r="AU90" i="39"/>
  <c r="B90" i="39"/>
  <c r="AF90" i="39" s="1"/>
  <c r="J90" i="39"/>
  <c r="AN90" i="39" s="1"/>
  <c r="D90" i="39"/>
  <c r="AJ90" i="39" s="1"/>
  <c r="L90" i="39"/>
  <c r="AQ90" i="39" s="1"/>
  <c r="E90" i="39"/>
  <c r="M90" i="39"/>
  <c r="AS90" i="39" s="1"/>
  <c r="F90" i="39"/>
  <c r="AM90" i="39" s="1"/>
  <c r="N90" i="39"/>
  <c r="G90" i="39"/>
  <c r="O90" i="39"/>
  <c r="I90" i="39"/>
  <c r="Q90" i="39"/>
  <c r="C90" i="39"/>
  <c r="H90" i="39"/>
  <c r="K90" i="39"/>
  <c r="AK90" i="39" s="1"/>
  <c r="P90" i="39"/>
  <c r="AL92" i="39"/>
  <c r="AC92" i="39"/>
  <c r="AE92" i="39"/>
  <c r="AC63" i="39"/>
  <c r="AL63" i="39"/>
  <c r="AE63" i="39"/>
  <c r="AU41" i="39"/>
  <c r="C41" i="39"/>
  <c r="K41" i="39"/>
  <c r="AK41" i="39" s="1"/>
  <c r="D41" i="39"/>
  <c r="AJ41" i="39" s="1"/>
  <c r="L41" i="39"/>
  <c r="AQ41" i="39" s="1"/>
  <c r="E41" i="39"/>
  <c r="M41" i="39"/>
  <c r="AS41" i="39" s="1"/>
  <c r="F41" i="39"/>
  <c r="AM41" i="39" s="1"/>
  <c r="N41" i="39"/>
  <c r="G41" i="39"/>
  <c r="O41" i="39"/>
  <c r="H41" i="39"/>
  <c r="P41" i="39"/>
  <c r="I41" i="39"/>
  <c r="Q41" i="39"/>
  <c r="B41" i="39"/>
  <c r="AF41" i="39" s="1"/>
  <c r="J41" i="39"/>
  <c r="AN41" i="39" s="1"/>
  <c r="AC78" i="39"/>
  <c r="AL78" i="39"/>
  <c r="AE78" i="39"/>
  <c r="AU56" i="39"/>
  <c r="D56" i="39"/>
  <c r="AJ56" i="39" s="1"/>
  <c r="L56" i="39"/>
  <c r="AQ56" i="39" s="1"/>
  <c r="E56" i="39"/>
  <c r="M56" i="39"/>
  <c r="AS56" i="39" s="1"/>
  <c r="F56" i="39"/>
  <c r="AM56" i="39" s="1"/>
  <c r="N56" i="39"/>
  <c r="G56" i="39"/>
  <c r="O56" i="39"/>
  <c r="H56" i="39"/>
  <c r="P56" i="39"/>
  <c r="I56" i="39"/>
  <c r="Q56" i="39"/>
  <c r="B56" i="39"/>
  <c r="AF56" i="39" s="1"/>
  <c r="J56" i="39"/>
  <c r="AN56" i="39" s="1"/>
  <c r="K56" i="39"/>
  <c r="AK56" i="39" s="1"/>
  <c r="C56" i="39"/>
  <c r="AL85" i="39"/>
  <c r="AC85" i="39"/>
  <c r="AE85" i="39"/>
  <c r="AU63" i="39"/>
  <c r="E63" i="39"/>
  <c r="M63" i="39"/>
  <c r="AS63" i="39" s="1"/>
  <c r="F63" i="39"/>
  <c r="AM63" i="39" s="1"/>
  <c r="N63" i="39"/>
  <c r="G63" i="39"/>
  <c r="O63" i="39"/>
  <c r="H63" i="39"/>
  <c r="P63" i="39"/>
  <c r="I63" i="39"/>
  <c r="Q63" i="39"/>
  <c r="B63" i="39"/>
  <c r="AF63" i="39" s="1"/>
  <c r="J63" i="39"/>
  <c r="AN63" i="39" s="1"/>
  <c r="C63" i="39"/>
  <c r="K63" i="39"/>
  <c r="AK63" i="39" s="1"/>
  <c r="D63" i="39"/>
  <c r="AJ63" i="39" s="1"/>
  <c r="L63" i="39"/>
  <c r="AQ63" i="39" s="1"/>
  <c r="AE60" i="39"/>
  <c r="AC60" i="39"/>
  <c r="AL60" i="39"/>
  <c r="AU38" i="39"/>
  <c r="F38" i="39"/>
  <c r="AM38" i="39" s="1"/>
  <c r="N38" i="39"/>
  <c r="G38" i="39"/>
  <c r="O38" i="39"/>
  <c r="H38" i="39"/>
  <c r="P38" i="39"/>
  <c r="I38" i="39"/>
  <c r="Z38" i="39" s="1"/>
  <c r="Q38" i="39"/>
  <c r="B38" i="39"/>
  <c r="AF38" i="39" s="1"/>
  <c r="J38" i="39"/>
  <c r="AN38" i="39" s="1"/>
  <c r="C38" i="39"/>
  <c r="K38" i="39"/>
  <c r="AK38" i="39" s="1"/>
  <c r="D38" i="39"/>
  <c r="AJ38" i="39" s="1"/>
  <c r="L38" i="39"/>
  <c r="AQ38" i="39" s="1"/>
  <c r="M38" i="39"/>
  <c r="AS38" i="39" s="1"/>
  <c r="E38" i="39"/>
  <c r="AC59" i="39"/>
  <c r="AL59" i="39"/>
  <c r="AE59" i="39"/>
  <c r="AU37" i="39"/>
  <c r="G37" i="39"/>
  <c r="O37" i="39"/>
  <c r="H37" i="39"/>
  <c r="P37" i="39"/>
  <c r="I37" i="39"/>
  <c r="Q37" i="39"/>
  <c r="B37" i="39"/>
  <c r="AF37" i="39" s="1"/>
  <c r="J37" i="39"/>
  <c r="AN37" i="39" s="1"/>
  <c r="C37" i="39"/>
  <c r="K37" i="39"/>
  <c r="AK37" i="39" s="1"/>
  <c r="D37" i="39"/>
  <c r="AJ37" i="39" s="1"/>
  <c r="L37" i="39"/>
  <c r="AQ37" i="39" s="1"/>
  <c r="E37" i="39"/>
  <c r="M37" i="39"/>
  <c r="AS37" i="39" s="1"/>
  <c r="N37" i="39"/>
  <c r="F37" i="39"/>
  <c r="AM37" i="39" s="1"/>
  <c r="AC50" i="39"/>
  <c r="AL50" i="39"/>
  <c r="AE50" i="39"/>
  <c r="AU99" i="39"/>
  <c r="I99" i="39"/>
  <c r="Q99" i="39"/>
  <c r="E99" i="39"/>
  <c r="M99" i="39"/>
  <c r="AS99" i="39" s="1"/>
  <c r="F99" i="39"/>
  <c r="AM99" i="39" s="1"/>
  <c r="N99" i="39"/>
  <c r="K99" i="39"/>
  <c r="AK99" i="39" s="1"/>
  <c r="G99" i="39"/>
  <c r="P99" i="39"/>
  <c r="B99" i="39"/>
  <c r="AF99" i="39" s="1"/>
  <c r="C99" i="39"/>
  <c r="D99" i="39"/>
  <c r="AJ99" i="39" s="1"/>
  <c r="H99" i="39"/>
  <c r="J99" i="39"/>
  <c r="AN99" i="39" s="1"/>
  <c r="L99" i="39"/>
  <c r="AQ99" i="39" s="1"/>
  <c r="O99" i="39"/>
  <c r="AC57" i="39"/>
  <c r="AL57" i="39"/>
  <c r="AE57" i="39"/>
  <c r="AU35" i="39"/>
  <c r="I35" i="39"/>
  <c r="Q35" i="39"/>
  <c r="B35" i="39"/>
  <c r="AF35" i="39" s="1"/>
  <c r="J35" i="39"/>
  <c r="AN35" i="39" s="1"/>
  <c r="C35" i="39"/>
  <c r="K35" i="39"/>
  <c r="AK35" i="39" s="1"/>
  <c r="D35" i="39"/>
  <c r="AJ35" i="39" s="1"/>
  <c r="L35" i="39"/>
  <c r="AQ35" i="39" s="1"/>
  <c r="E35" i="39"/>
  <c r="M35" i="39"/>
  <c r="AS35" i="39" s="1"/>
  <c r="F35" i="39"/>
  <c r="AM35" i="39" s="1"/>
  <c r="N35" i="39"/>
  <c r="G35" i="39"/>
  <c r="O35" i="39"/>
  <c r="H35" i="39"/>
  <c r="P35" i="39"/>
  <c r="AC375" i="39"/>
  <c r="AL375" i="39"/>
  <c r="AE375" i="39"/>
  <c r="AU353" i="39"/>
  <c r="E353" i="39"/>
  <c r="M353" i="39"/>
  <c r="AS353" i="39" s="1"/>
  <c r="F353" i="39"/>
  <c r="AM353" i="39" s="1"/>
  <c r="N353" i="39"/>
  <c r="G353" i="39"/>
  <c r="O353" i="39"/>
  <c r="H353" i="39"/>
  <c r="P353" i="39"/>
  <c r="I353" i="39"/>
  <c r="Q353" i="39"/>
  <c r="B353" i="39"/>
  <c r="AF353" i="39" s="1"/>
  <c r="J353" i="39"/>
  <c r="AN353" i="39" s="1"/>
  <c r="C353" i="39"/>
  <c r="K353" i="39"/>
  <c r="AK353" i="39" s="1"/>
  <c r="D353" i="39"/>
  <c r="AJ353" i="39" s="1"/>
  <c r="L353" i="39"/>
  <c r="AQ353" i="39" s="1"/>
  <c r="AC374" i="39"/>
  <c r="AE374" i="39"/>
  <c r="AL374" i="39"/>
  <c r="AU352" i="39"/>
  <c r="F352" i="39"/>
  <c r="AM352" i="39" s="1"/>
  <c r="N352" i="39"/>
  <c r="G352" i="39"/>
  <c r="O352" i="39"/>
  <c r="H352" i="39"/>
  <c r="P352" i="39"/>
  <c r="I352" i="39"/>
  <c r="Q352" i="39"/>
  <c r="B352" i="39"/>
  <c r="AF352" i="39" s="1"/>
  <c r="J352" i="39"/>
  <c r="AN352" i="39" s="1"/>
  <c r="C352" i="39"/>
  <c r="K352" i="39"/>
  <c r="AK352" i="39" s="1"/>
  <c r="D352" i="39"/>
  <c r="AJ352" i="39" s="1"/>
  <c r="L352" i="39"/>
  <c r="AQ352" i="39" s="1"/>
  <c r="E352" i="39"/>
  <c r="M352" i="39"/>
  <c r="AS352" i="39" s="1"/>
  <c r="AU331" i="39"/>
  <c r="D331" i="39"/>
  <c r="AJ331" i="39" s="1"/>
  <c r="L331" i="39"/>
  <c r="AQ331" i="39" s="1"/>
  <c r="G331" i="39"/>
  <c r="P331" i="39"/>
  <c r="H331" i="39"/>
  <c r="Q331" i="39"/>
  <c r="I331" i="39"/>
  <c r="J331" i="39"/>
  <c r="AN331" i="39" s="1"/>
  <c r="B331" i="39"/>
  <c r="AF331" i="39" s="1"/>
  <c r="K331" i="39"/>
  <c r="AK331" i="39" s="1"/>
  <c r="C331" i="39"/>
  <c r="M331" i="39"/>
  <c r="AS331" i="39" s="1"/>
  <c r="E331" i="39"/>
  <c r="N331" i="39"/>
  <c r="O331" i="39"/>
  <c r="F331" i="39"/>
  <c r="AM331" i="39" s="1"/>
  <c r="AC421" i="39"/>
  <c r="AL421" i="39"/>
  <c r="AE421" i="39"/>
  <c r="AU399" i="39"/>
  <c r="G399" i="39"/>
  <c r="O399" i="39"/>
  <c r="H399" i="39"/>
  <c r="P399" i="39"/>
  <c r="I399" i="39"/>
  <c r="Q399" i="39"/>
  <c r="B399" i="39"/>
  <c r="AF399" i="39" s="1"/>
  <c r="J399" i="39"/>
  <c r="AN399" i="39" s="1"/>
  <c r="C399" i="39"/>
  <c r="K399" i="39"/>
  <c r="AK399" i="39" s="1"/>
  <c r="D399" i="39"/>
  <c r="AJ399" i="39" s="1"/>
  <c r="L399" i="39"/>
  <c r="AQ399" i="39" s="1"/>
  <c r="E399" i="39"/>
  <c r="M399" i="39"/>
  <c r="AS399" i="39" s="1"/>
  <c r="F399" i="39"/>
  <c r="AM399" i="39" s="1"/>
  <c r="N399" i="39"/>
  <c r="AE339" i="39"/>
  <c r="AC339" i="39"/>
  <c r="AL339" i="39"/>
  <c r="AC356" i="39"/>
  <c r="AL356" i="39"/>
  <c r="AE356" i="39"/>
  <c r="AE336" i="39"/>
  <c r="AC336" i="39"/>
  <c r="AL336" i="39"/>
  <c r="AL300" i="39"/>
  <c r="AC300" i="39"/>
  <c r="AE300" i="39"/>
  <c r="AE315" i="39"/>
  <c r="AC315" i="39"/>
  <c r="AL315" i="39"/>
  <c r="AC273" i="39"/>
  <c r="AE273" i="39"/>
  <c r="AL273" i="39"/>
  <c r="AU308" i="39"/>
  <c r="E308" i="39"/>
  <c r="M308" i="39"/>
  <c r="AS308" i="39" s="1"/>
  <c r="F308" i="39"/>
  <c r="AM308" i="39" s="1"/>
  <c r="N308" i="39"/>
  <c r="G308" i="39"/>
  <c r="O308" i="39"/>
  <c r="H308" i="39"/>
  <c r="P308" i="39"/>
  <c r="I308" i="39"/>
  <c r="Q308" i="39"/>
  <c r="B308" i="39"/>
  <c r="AF308" i="39" s="1"/>
  <c r="J308" i="39"/>
  <c r="AN308" i="39" s="1"/>
  <c r="C308" i="39"/>
  <c r="K308" i="39"/>
  <c r="AK308" i="39" s="1"/>
  <c r="D308" i="39"/>
  <c r="AJ308" i="39" s="1"/>
  <c r="L308" i="39"/>
  <c r="AQ308" i="39" s="1"/>
  <c r="AC297" i="39"/>
  <c r="AL297" i="39"/>
  <c r="AE297" i="39"/>
  <c r="AC221" i="39"/>
  <c r="AL221" i="39"/>
  <c r="AE221" i="39"/>
  <c r="AU265" i="39"/>
  <c r="B265" i="39"/>
  <c r="AF265" i="39" s="1"/>
  <c r="J265" i="39"/>
  <c r="AN265" i="39" s="1"/>
  <c r="F265" i="39"/>
  <c r="AM265" i="39" s="1"/>
  <c r="N265" i="39"/>
  <c r="I265" i="39"/>
  <c r="K265" i="39"/>
  <c r="AK265" i="39" s="1"/>
  <c r="L265" i="39"/>
  <c r="AQ265" i="39" s="1"/>
  <c r="C265" i="39"/>
  <c r="M265" i="39"/>
  <c r="AS265" i="39" s="1"/>
  <c r="D265" i="39"/>
  <c r="AJ265" i="39" s="1"/>
  <c r="O265" i="39"/>
  <c r="E265" i="39"/>
  <c r="P265" i="39"/>
  <c r="G265" i="39"/>
  <c r="Q265" i="39"/>
  <c r="H265" i="39"/>
  <c r="AU289" i="39"/>
  <c r="H289" i="39"/>
  <c r="P289" i="39"/>
  <c r="I289" i="39"/>
  <c r="Q289" i="39"/>
  <c r="B289" i="39"/>
  <c r="AF289" i="39" s="1"/>
  <c r="J289" i="39"/>
  <c r="AN289" i="39" s="1"/>
  <c r="C289" i="39"/>
  <c r="K289" i="39"/>
  <c r="AK289" i="39" s="1"/>
  <c r="D289" i="39"/>
  <c r="AJ289" i="39" s="1"/>
  <c r="L289" i="39"/>
  <c r="AQ289" i="39" s="1"/>
  <c r="E289" i="39"/>
  <c r="M289" i="39"/>
  <c r="AS289" i="39" s="1"/>
  <c r="F289" i="39"/>
  <c r="AM289" i="39" s="1"/>
  <c r="N289" i="39"/>
  <c r="G289" i="39"/>
  <c r="O289" i="39"/>
  <c r="AU258" i="39"/>
  <c r="I258" i="39"/>
  <c r="Q258" i="39"/>
  <c r="E258" i="39"/>
  <c r="M258" i="39"/>
  <c r="AS258" i="39" s="1"/>
  <c r="C258" i="39"/>
  <c r="N258" i="39"/>
  <c r="D258" i="39"/>
  <c r="AJ258" i="39" s="1"/>
  <c r="O258" i="39"/>
  <c r="F258" i="39"/>
  <c r="AM258" i="39" s="1"/>
  <c r="P258" i="39"/>
  <c r="G258" i="39"/>
  <c r="H258" i="39"/>
  <c r="J258" i="39"/>
  <c r="AN258" i="39" s="1"/>
  <c r="K258" i="39"/>
  <c r="AK258" i="39" s="1"/>
  <c r="B258" i="39"/>
  <c r="AF258" i="39" s="1"/>
  <c r="L258" i="39"/>
  <c r="AQ258" i="39" s="1"/>
  <c r="AE197" i="39"/>
  <c r="AC197" i="39"/>
  <c r="AL197" i="39"/>
  <c r="AE426" i="39"/>
  <c r="AC426" i="39"/>
  <c r="AL426" i="39"/>
  <c r="AL370" i="39"/>
  <c r="AC370" i="39"/>
  <c r="AE370" i="39"/>
  <c r="AE431" i="39"/>
  <c r="AC431" i="39"/>
  <c r="AL431" i="39"/>
  <c r="AU315" i="39"/>
  <c r="G315" i="39"/>
  <c r="O315" i="39"/>
  <c r="H315" i="39"/>
  <c r="P315" i="39"/>
  <c r="C315" i="39"/>
  <c r="K315" i="39"/>
  <c r="AK315" i="39" s="1"/>
  <c r="D315" i="39"/>
  <c r="AJ315" i="39" s="1"/>
  <c r="L315" i="39"/>
  <c r="AQ315" i="39" s="1"/>
  <c r="B315" i="39"/>
  <c r="AF315" i="39" s="1"/>
  <c r="E315" i="39"/>
  <c r="F315" i="39"/>
  <c r="AM315" i="39" s="1"/>
  <c r="I315" i="39"/>
  <c r="J315" i="39"/>
  <c r="AN315" i="39" s="1"/>
  <c r="M315" i="39"/>
  <c r="AS315" i="39" s="1"/>
  <c r="N315" i="39"/>
  <c r="Q315" i="39"/>
  <c r="AC436" i="39"/>
  <c r="AL436" i="39"/>
  <c r="AE436" i="39"/>
  <c r="AE447" i="39"/>
  <c r="AL447" i="39"/>
  <c r="AC447" i="39"/>
  <c r="AC430" i="39"/>
  <c r="AL430" i="39"/>
  <c r="AE430" i="39"/>
  <c r="AC435" i="39"/>
  <c r="AL435" i="39"/>
  <c r="AE435" i="39"/>
  <c r="AC329" i="39"/>
  <c r="AL329" i="39"/>
  <c r="AE329" i="39"/>
  <c r="AU453" i="39"/>
  <c r="G453" i="39"/>
  <c r="O453" i="39"/>
  <c r="H453" i="39"/>
  <c r="Q453" i="39"/>
  <c r="I453" i="39"/>
  <c r="J453" i="39"/>
  <c r="AN453" i="39" s="1"/>
  <c r="F453" i="39"/>
  <c r="AM453" i="39" s="1"/>
  <c r="B453" i="39"/>
  <c r="AF453" i="39" s="1"/>
  <c r="K453" i="39"/>
  <c r="AK453" i="39" s="1"/>
  <c r="C453" i="39"/>
  <c r="L453" i="39"/>
  <c r="AQ453" i="39" s="1"/>
  <c r="D453" i="39"/>
  <c r="AJ453" i="39" s="1"/>
  <c r="M453" i="39"/>
  <c r="AS453" i="39" s="1"/>
  <c r="E453" i="39"/>
  <c r="N453" i="39"/>
  <c r="P453" i="39"/>
  <c r="AC420" i="39"/>
  <c r="AL420" i="39"/>
  <c r="AE420" i="39"/>
  <c r="AU433" i="39"/>
  <c r="G433" i="39"/>
  <c r="O433" i="39"/>
  <c r="B433" i="39"/>
  <c r="AF433" i="39" s="1"/>
  <c r="J433" i="39"/>
  <c r="AN433" i="39" s="1"/>
  <c r="C433" i="39"/>
  <c r="K433" i="39"/>
  <c r="AK433" i="39" s="1"/>
  <c r="M433" i="39"/>
  <c r="AS433" i="39" s="1"/>
  <c r="N433" i="39"/>
  <c r="D433" i="39"/>
  <c r="AJ433" i="39" s="1"/>
  <c r="P433" i="39"/>
  <c r="E433" i="39"/>
  <c r="Q433" i="39"/>
  <c r="F433" i="39"/>
  <c r="AM433" i="39" s="1"/>
  <c r="H433" i="39"/>
  <c r="L433" i="39"/>
  <c r="AQ433" i="39" s="1"/>
  <c r="I433" i="39"/>
  <c r="AU329" i="39"/>
  <c r="F329" i="39"/>
  <c r="AM329" i="39" s="1"/>
  <c r="N329" i="39"/>
  <c r="B329" i="39"/>
  <c r="AF329" i="39" s="1"/>
  <c r="K329" i="39"/>
  <c r="AK329" i="39" s="1"/>
  <c r="C329" i="39"/>
  <c r="L329" i="39"/>
  <c r="AQ329" i="39" s="1"/>
  <c r="D329" i="39"/>
  <c r="AJ329" i="39" s="1"/>
  <c r="M329" i="39"/>
  <c r="AS329" i="39" s="1"/>
  <c r="E329" i="39"/>
  <c r="O329" i="39"/>
  <c r="G329" i="39"/>
  <c r="P329" i="39"/>
  <c r="H329" i="39"/>
  <c r="Q329" i="39"/>
  <c r="I329" i="39"/>
  <c r="J329" i="39"/>
  <c r="AN329" i="39" s="1"/>
  <c r="AU442" i="39"/>
  <c r="F442" i="39"/>
  <c r="AM442" i="39" s="1"/>
  <c r="N442" i="39"/>
  <c r="B442" i="39"/>
  <c r="AF442" i="39" s="1"/>
  <c r="J442" i="39"/>
  <c r="AN442" i="39" s="1"/>
  <c r="L442" i="39"/>
  <c r="AQ442" i="39" s="1"/>
  <c r="C442" i="39"/>
  <c r="M442" i="39"/>
  <c r="AS442" i="39" s="1"/>
  <c r="D442" i="39"/>
  <c r="AJ442" i="39" s="1"/>
  <c r="O442" i="39"/>
  <c r="K442" i="39"/>
  <c r="AK442" i="39" s="1"/>
  <c r="E442" i="39"/>
  <c r="P442" i="39"/>
  <c r="G442" i="39"/>
  <c r="Q442" i="39"/>
  <c r="H442" i="39"/>
  <c r="I442" i="39"/>
  <c r="Z442" i="39" s="1"/>
  <c r="AP442" i="39" s="1"/>
  <c r="AU443" i="39"/>
  <c r="E443" i="39"/>
  <c r="M443" i="39"/>
  <c r="AS443" i="39" s="1"/>
  <c r="I443" i="39"/>
  <c r="Q443" i="39"/>
  <c r="H443" i="39"/>
  <c r="J443" i="39"/>
  <c r="AN443" i="39" s="1"/>
  <c r="K443" i="39"/>
  <c r="AK443" i="39" s="1"/>
  <c r="B443" i="39"/>
  <c r="AF443" i="39" s="1"/>
  <c r="L443" i="39"/>
  <c r="AQ443" i="39" s="1"/>
  <c r="C443" i="39"/>
  <c r="N443" i="39"/>
  <c r="D443" i="39"/>
  <c r="AJ443" i="39" s="1"/>
  <c r="O443" i="39"/>
  <c r="F443" i="39"/>
  <c r="AM443" i="39" s="1"/>
  <c r="P443" i="39"/>
  <c r="G443" i="39"/>
  <c r="AE401" i="39"/>
  <c r="AC401" i="39"/>
  <c r="AL401" i="39"/>
  <c r="AU379" i="39"/>
  <c r="C379" i="39"/>
  <c r="K379" i="39"/>
  <c r="AK379" i="39" s="1"/>
  <c r="D379" i="39"/>
  <c r="AJ379" i="39" s="1"/>
  <c r="L379" i="39"/>
  <c r="AQ379" i="39" s="1"/>
  <c r="E379" i="39"/>
  <c r="M379" i="39"/>
  <c r="AS379" i="39" s="1"/>
  <c r="F379" i="39"/>
  <c r="AM379" i="39" s="1"/>
  <c r="N379" i="39"/>
  <c r="G379" i="39"/>
  <c r="O379" i="39"/>
  <c r="H379" i="39"/>
  <c r="P379" i="39"/>
  <c r="I379" i="39"/>
  <c r="Q379" i="39"/>
  <c r="B379" i="39"/>
  <c r="AF379" i="39" s="1"/>
  <c r="J379" i="39"/>
  <c r="AN379" i="39" s="1"/>
  <c r="AU337" i="39"/>
  <c r="F337" i="39"/>
  <c r="AM337" i="39" s="1"/>
  <c r="N337" i="39"/>
  <c r="C337" i="39"/>
  <c r="L337" i="39"/>
  <c r="AQ337" i="39" s="1"/>
  <c r="D337" i="39"/>
  <c r="AJ337" i="39" s="1"/>
  <c r="M337" i="39"/>
  <c r="AS337" i="39" s="1"/>
  <c r="E337" i="39"/>
  <c r="O337" i="39"/>
  <c r="G337" i="39"/>
  <c r="P337" i="39"/>
  <c r="H337" i="39"/>
  <c r="Q337" i="39"/>
  <c r="I337" i="39"/>
  <c r="J337" i="39"/>
  <c r="AN337" i="39" s="1"/>
  <c r="K337" i="39"/>
  <c r="AK337" i="39" s="1"/>
  <c r="B337" i="39"/>
  <c r="AF337" i="39" s="1"/>
  <c r="AC440" i="39"/>
  <c r="AL440" i="39"/>
  <c r="AE440" i="39"/>
  <c r="AU418" i="39"/>
  <c r="F418" i="39"/>
  <c r="AM418" i="39" s="1"/>
  <c r="N418" i="39"/>
  <c r="G418" i="39"/>
  <c r="O418" i="39"/>
  <c r="I418" i="39"/>
  <c r="Q418" i="39"/>
  <c r="B418" i="39"/>
  <c r="AF418" i="39" s="1"/>
  <c r="J418" i="39"/>
  <c r="AN418" i="39" s="1"/>
  <c r="C418" i="39"/>
  <c r="D418" i="39"/>
  <c r="AJ418" i="39" s="1"/>
  <c r="E418" i="39"/>
  <c r="H418" i="39"/>
  <c r="K418" i="39"/>
  <c r="AK418" i="39" s="1"/>
  <c r="L418" i="39"/>
  <c r="AQ418" i="39" s="1"/>
  <c r="M418" i="39"/>
  <c r="AS418" i="39" s="1"/>
  <c r="P418" i="39"/>
  <c r="AE376" i="39"/>
  <c r="AC376" i="39"/>
  <c r="AL376" i="39"/>
  <c r="AU354" i="39"/>
  <c r="D354" i="39"/>
  <c r="AJ354" i="39" s="1"/>
  <c r="L354" i="39"/>
  <c r="AQ354" i="39" s="1"/>
  <c r="E354" i="39"/>
  <c r="M354" i="39"/>
  <c r="AS354" i="39" s="1"/>
  <c r="F354" i="39"/>
  <c r="AM354" i="39" s="1"/>
  <c r="N354" i="39"/>
  <c r="G354" i="39"/>
  <c r="O354" i="39"/>
  <c r="H354" i="39"/>
  <c r="P354" i="39"/>
  <c r="I354" i="39"/>
  <c r="Q354" i="39"/>
  <c r="B354" i="39"/>
  <c r="AF354" i="39" s="1"/>
  <c r="J354" i="39"/>
  <c r="AN354" i="39" s="1"/>
  <c r="C354" i="39"/>
  <c r="K354" i="39"/>
  <c r="AK354" i="39" s="1"/>
  <c r="AC330" i="39"/>
  <c r="AL330" i="39"/>
  <c r="AE330" i="39"/>
  <c r="AU401" i="39"/>
  <c r="E401" i="39"/>
  <c r="M401" i="39"/>
  <c r="AS401" i="39" s="1"/>
  <c r="F401" i="39"/>
  <c r="AM401" i="39" s="1"/>
  <c r="N401" i="39"/>
  <c r="G401" i="39"/>
  <c r="O401" i="39"/>
  <c r="H401" i="39"/>
  <c r="P401" i="39"/>
  <c r="I401" i="39"/>
  <c r="Q401" i="39"/>
  <c r="B401" i="39"/>
  <c r="AF401" i="39" s="1"/>
  <c r="J401" i="39"/>
  <c r="AN401" i="39" s="1"/>
  <c r="C401" i="39"/>
  <c r="K401" i="39"/>
  <c r="AK401" i="39" s="1"/>
  <c r="D401" i="39"/>
  <c r="AJ401" i="39" s="1"/>
  <c r="L401" i="39"/>
  <c r="AQ401" i="39" s="1"/>
  <c r="AC359" i="39"/>
  <c r="AL359" i="39"/>
  <c r="AE359" i="39"/>
  <c r="AC338" i="39"/>
  <c r="AL338" i="39"/>
  <c r="AE338" i="39"/>
  <c r="AC422" i="39"/>
  <c r="AL422" i="39"/>
  <c r="AE422" i="39"/>
  <c r="AU400" i="39"/>
  <c r="F400" i="39"/>
  <c r="AM400" i="39" s="1"/>
  <c r="N400" i="39"/>
  <c r="G400" i="39"/>
  <c r="O400" i="39"/>
  <c r="H400" i="39"/>
  <c r="P400" i="39"/>
  <c r="I400" i="39"/>
  <c r="Q400" i="39"/>
  <c r="B400" i="39"/>
  <c r="AF400" i="39" s="1"/>
  <c r="J400" i="39"/>
  <c r="AN400" i="39" s="1"/>
  <c r="C400" i="39"/>
  <c r="K400" i="39"/>
  <c r="AK400" i="39" s="1"/>
  <c r="D400" i="39"/>
  <c r="AJ400" i="39" s="1"/>
  <c r="L400" i="39"/>
  <c r="AQ400" i="39" s="1"/>
  <c r="E400" i="39"/>
  <c r="M400" i="39"/>
  <c r="AS400" i="39" s="1"/>
  <c r="AL358" i="39"/>
  <c r="AC358" i="39"/>
  <c r="AE358" i="39"/>
  <c r="AL405" i="39"/>
  <c r="AC405" i="39"/>
  <c r="AE405" i="39"/>
  <c r="AU383" i="39"/>
  <c r="G383" i="39"/>
  <c r="O383" i="39"/>
  <c r="H383" i="39"/>
  <c r="P383" i="39"/>
  <c r="I383" i="39"/>
  <c r="Q383" i="39"/>
  <c r="B383" i="39"/>
  <c r="AF383" i="39" s="1"/>
  <c r="J383" i="39"/>
  <c r="AN383" i="39" s="1"/>
  <c r="C383" i="39"/>
  <c r="K383" i="39"/>
  <c r="AK383" i="39" s="1"/>
  <c r="D383" i="39"/>
  <c r="AJ383" i="39" s="1"/>
  <c r="L383" i="39"/>
  <c r="AQ383" i="39" s="1"/>
  <c r="E383" i="39"/>
  <c r="M383" i="39"/>
  <c r="AS383" i="39" s="1"/>
  <c r="N383" i="39"/>
  <c r="F383" i="39"/>
  <c r="AM383" i="39" s="1"/>
  <c r="AC341" i="39"/>
  <c r="AL341" i="39"/>
  <c r="AE341" i="39"/>
  <c r="AC404" i="39"/>
  <c r="AE404" i="39"/>
  <c r="AL404" i="39"/>
  <c r="AU382" i="39"/>
  <c r="H382" i="39"/>
  <c r="P382" i="39"/>
  <c r="I382" i="39"/>
  <c r="Q382" i="39"/>
  <c r="B382" i="39"/>
  <c r="AF382" i="39" s="1"/>
  <c r="J382" i="39"/>
  <c r="AN382" i="39" s="1"/>
  <c r="C382" i="39"/>
  <c r="K382" i="39"/>
  <c r="AK382" i="39" s="1"/>
  <c r="D382" i="39"/>
  <c r="AJ382" i="39" s="1"/>
  <c r="L382" i="39"/>
  <c r="AQ382" i="39" s="1"/>
  <c r="E382" i="39"/>
  <c r="M382" i="39"/>
  <c r="AS382" i="39" s="1"/>
  <c r="F382" i="39"/>
  <c r="AM382" i="39" s="1"/>
  <c r="N382" i="39"/>
  <c r="G382" i="39"/>
  <c r="O382" i="39"/>
  <c r="AC340" i="39"/>
  <c r="AL340" i="39"/>
  <c r="AE340" i="39"/>
  <c r="AC317" i="39"/>
  <c r="AL317" i="39"/>
  <c r="AE317" i="39"/>
  <c r="AU405" i="39"/>
  <c r="I405" i="39"/>
  <c r="Q405" i="39"/>
  <c r="B405" i="39"/>
  <c r="AF405" i="39" s="1"/>
  <c r="J405" i="39"/>
  <c r="AN405" i="39" s="1"/>
  <c r="C405" i="39"/>
  <c r="K405" i="39"/>
  <c r="AK405" i="39" s="1"/>
  <c r="D405" i="39"/>
  <c r="AJ405" i="39" s="1"/>
  <c r="L405" i="39"/>
  <c r="AQ405" i="39" s="1"/>
  <c r="E405" i="39"/>
  <c r="M405" i="39"/>
  <c r="AS405" i="39" s="1"/>
  <c r="F405" i="39"/>
  <c r="AM405" i="39" s="1"/>
  <c r="N405" i="39"/>
  <c r="G405" i="39"/>
  <c r="O405" i="39"/>
  <c r="H405" i="39"/>
  <c r="P405" i="39"/>
  <c r="AE363" i="39"/>
  <c r="AL363" i="39"/>
  <c r="AC363" i="39"/>
  <c r="AU341" i="39"/>
  <c r="I341" i="39"/>
  <c r="Q341" i="39"/>
  <c r="B341" i="39"/>
  <c r="AF341" i="39" s="1"/>
  <c r="J341" i="39"/>
  <c r="AN341" i="39" s="1"/>
  <c r="C341" i="39"/>
  <c r="K341" i="39"/>
  <c r="AK341" i="39" s="1"/>
  <c r="D341" i="39"/>
  <c r="AJ341" i="39" s="1"/>
  <c r="L341" i="39"/>
  <c r="AQ341" i="39" s="1"/>
  <c r="E341" i="39"/>
  <c r="M341" i="39"/>
  <c r="AS341" i="39" s="1"/>
  <c r="F341" i="39"/>
  <c r="AM341" i="39" s="1"/>
  <c r="N341" i="39"/>
  <c r="G341" i="39"/>
  <c r="O341" i="39"/>
  <c r="H341" i="39"/>
  <c r="P341" i="39"/>
  <c r="AU295" i="39"/>
  <c r="B295" i="39"/>
  <c r="AF295" i="39" s="1"/>
  <c r="J295" i="39"/>
  <c r="AN295" i="39" s="1"/>
  <c r="C295" i="39"/>
  <c r="K295" i="39"/>
  <c r="AK295" i="39" s="1"/>
  <c r="D295" i="39"/>
  <c r="AJ295" i="39" s="1"/>
  <c r="L295" i="39"/>
  <c r="AQ295" i="39" s="1"/>
  <c r="E295" i="39"/>
  <c r="M295" i="39"/>
  <c r="AS295" i="39" s="1"/>
  <c r="F295" i="39"/>
  <c r="AM295" i="39" s="1"/>
  <c r="N295" i="39"/>
  <c r="G295" i="39"/>
  <c r="O295" i="39"/>
  <c r="H295" i="39"/>
  <c r="P295" i="39"/>
  <c r="I295" i="39"/>
  <c r="Q295" i="39"/>
  <c r="AU264" i="39"/>
  <c r="C264" i="39"/>
  <c r="K264" i="39"/>
  <c r="AK264" i="39" s="1"/>
  <c r="G264" i="39"/>
  <c r="O264" i="39"/>
  <c r="B264" i="39"/>
  <c r="AF264" i="39" s="1"/>
  <c r="M264" i="39"/>
  <c r="AS264" i="39" s="1"/>
  <c r="D264" i="39"/>
  <c r="AJ264" i="39" s="1"/>
  <c r="N264" i="39"/>
  <c r="E264" i="39"/>
  <c r="P264" i="39"/>
  <c r="F264" i="39"/>
  <c r="AM264" i="39" s="1"/>
  <c r="Q264" i="39"/>
  <c r="H264" i="39"/>
  <c r="I264" i="39"/>
  <c r="J264" i="39"/>
  <c r="AN264" i="39" s="1"/>
  <c r="L264" i="39"/>
  <c r="AQ264" i="39" s="1"/>
  <c r="AC241" i="39"/>
  <c r="AL241" i="39"/>
  <c r="AE241" i="39"/>
  <c r="AU326" i="39"/>
  <c r="I326" i="39"/>
  <c r="Q326" i="39"/>
  <c r="D326" i="39"/>
  <c r="AJ326" i="39" s="1"/>
  <c r="M326" i="39"/>
  <c r="AS326" i="39" s="1"/>
  <c r="E326" i="39"/>
  <c r="N326" i="39"/>
  <c r="F326" i="39"/>
  <c r="AM326" i="39" s="1"/>
  <c r="O326" i="39"/>
  <c r="G326" i="39"/>
  <c r="P326" i="39"/>
  <c r="H326" i="39"/>
  <c r="J326" i="39"/>
  <c r="AN326" i="39" s="1"/>
  <c r="B326" i="39"/>
  <c r="AF326" i="39" s="1"/>
  <c r="K326" i="39"/>
  <c r="AK326" i="39" s="1"/>
  <c r="C326" i="39"/>
  <c r="L326" i="39"/>
  <c r="AQ326" i="39" s="1"/>
  <c r="AE284" i="39"/>
  <c r="AC284" i="39"/>
  <c r="AL284" i="39"/>
  <c r="AE299" i="39"/>
  <c r="AL299" i="39"/>
  <c r="AC299" i="39"/>
  <c r="AC275" i="39"/>
  <c r="AL275" i="39"/>
  <c r="AE275" i="39"/>
  <c r="AC233" i="39"/>
  <c r="AL233" i="39"/>
  <c r="AE233" i="39"/>
  <c r="AU292" i="39"/>
  <c r="E292" i="39"/>
  <c r="M292" i="39"/>
  <c r="AS292" i="39" s="1"/>
  <c r="F292" i="39"/>
  <c r="AM292" i="39" s="1"/>
  <c r="N292" i="39"/>
  <c r="G292" i="39"/>
  <c r="O292" i="39"/>
  <c r="H292" i="39"/>
  <c r="P292" i="39"/>
  <c r="I292" i="39"/>
  <c r="Q292" i="39"/>
  <c r="B292" i="39"/>
  <c r="AF292" i="39" s="1"/>
  <c r="J292" i="39"/>
  <c r="AN292" i="39" s="1"/>
  <c r="C292" i="39"/>
  <c r="K292" i="39"/>
  <c r="AK292" i="39" s="1"/>
  <c r="D292" i="39"/>
  <c r="AJ292" i="39" s="1"/>
  <c r="L292" i="39"/>
  <c r="AQ292" i="39" s="1"/>
  <c r="AE261" i="39"/>
  <c r="AL261" i="39"/>
  <c r="AC261" i="39"/>
  <c r="AU237" i="39"/>
  <c r="D237" i="39"/>
  <c r="AJ237" i="39" s="1"/>
  <c r="L237" i="39"/>
  <c r="AQ237" i="39" s="1"/>
  <c r="F237" i="39"/>
  <c r="AM237" i="39" s="1"/>
  <c r="N237" i="39"/>
  <c r="H237" i="39"/>
  <c r="P237" i="39"/>
  <c r="B237" i="39"/>
  <c r="AF237" i="39" s="1"/>
  <c r="J237" i="39"/>
  <c r="AN237" i="39" s="1"/>
  <c r="I237" i="39"/>
  <c r="K237" i="39"/>
  <c r="AK237" i="39" s="1"/>
  <c r="M237" i="39"/>
  <c r="AS237" i="39" s="1"/>
  <c r="O237" i="39"/>
  <c r="Q237" i="39"/>
  <c r="C237" i="39"/>
  <c r="E237" i="39"/>
  <c r="G237" i="39"/>
  <c r="AU231" i="39"/>
  <c r="B231" i="39"/>
  <c r="AF231" i="39" s="1"/>
  <c r="J231" i="39"/>
  <c r="AN231" i="39" s="1"/>
  <c r="D231" i="39"/>
  <c r="AJ231" i="39" s="1"/>
  <c r="L231" i="39"/>
  <c r="AQ231" i="39" s="1"/>
  <c r="F231" i="39"/>
  <c r="AM231" i="39" s="1"/>
  <c r="N231" i="39"/>
  <c r="G231" i="39"/>
  <c r="O231" i="39"/>
  <c r="H231" i="39"/>
  <c r="P231" i="39"/>
  <c r="M231" i="39"/>
  <c r="AS231" i="39" s="1"/>
  <c r="Q231" i="39"/>
  <c r="C231" i="39"/>
  <c r="E231" i="39"/>
  <c r="I231" i="39"/>
  <c r="K231" i="39"/>
  <c r="AK231" i="39" s="1"/>
  <c r="AU314" i="39"/>
  <c r="H314" i="39"/>
  <c r="P314" i="39"/>
  <c r="I314" i="39"/>
  <c r="Q314" i="39"/>
  <c r="D314" i="39"/>
  <c r="AJ314" i="39" s="1"/>
  <c r="L314" i="39"/>
  <c r="AQ314" i="39" s="1"/>
  <c r="E314" i="39"/>
  <c r="M314" i="39"/>
  <c r="AS314" i="39" s="1"/>
  <c r="K314" i="39"/>
  <c r="AK314" i="39" s="1"/>
  <c r="N314" i="39"/>
  <c r="O314" i="39"/>
  <c r="B314" i="39"/>
  <c r="AF314" i="39" s="1"/>
  <c r="C314" i="39"/>
  <c r="F314" i="39"/>
  <c r="AM314" i="39" s="1"/>
  <c r="G314" i="39"/>
  <c r="J314" i="39"/>
  <c r="AN314" i="39" s="1"/>
  <c r="AU268" i="39"/>
  <c r="G268" i="39"/>
  <c r="O268" i="39"/>
  <c r="C268" i="39"/>
  <c r="K268" i="39"/>
  <c r="AK268" i="39" s="1"/>
  <c r="I268" i="39"/>
  <c r="J268" i="39"/>
  <c r="AN268" i="39" s="1"/>
  <c r="L268" i="39"/>
  <c r="AQ268" i="39" s="1"/>
  <c r="B268" i="39"/>
  <c r="AF268" i="39" s="1"/>
  <c r="M268" i="39"/>
  <c r="AS268" i="39" s="1"/>
  <c r="D268" i="39"/>
  <c r="AJ268" i="39" s="1"/>
  <c r="N268" i="39"/>
  <c r="E268" i="39"/>
  <c r="P268" i="39"/>
  <c r="F268" i="39"/>
  <c r="AM268" i="39" s="1"/>
  <c r="Q268" i="39"/>
  <c r="H268" i="39"/>
  <c r="AE231" i="39"/>
  <c r="AL231" i="39"/>
  <c r="AC231" i="39"/>
  <c r="AE295" i="39"/>
  <c r="AC295" i="39"/>
  <c r="AL295" i="39"/>
  <c r="AC243" i="39"/>
  <c r="AL243" i="39"/>
  <c r="AE243" i="39"/>
  <c r="AE302" i="39"/>
  <c r="AC302" i="39"/>
  <c r="AL302" i="39"/>
  <c r="AC281" i="39"/>
  <c r="AL281" i="39"/>
  <c r="AE281" i="39"/>
  <c r="AU215" i="39"/>
  <c r="B215" i="39"/>
  <c r="AF215" i="39" s="1"/>
  <c r="J215" i="39"/>
  <c r="AN215" i="39" s="1"/>
  <c r="C215" i="39"/>
  <c r="K215" i="39"/>
  <c r="AK215" i="39" s="1"/>
  <c r="D215" i="39"/>
  <c r="AJ215" i="39" s="1"/>
  <c r="L215" i="39"/>
  <c r="AQ215" i="39" s="1"/>
  <c r="E215" i="39"/>
  <c r="M215" i="39"/>
  <c r="AS215" i="39" s="1"/>
  <c r="F215" i="39"/>
  <c r="AM215" i="39" s="1"/>
  <c r="N215" i="39"/>
  <c r="G215" i="39"/>
  <c r="O215" i="39"/>
  <c r="H215" i="39"/>
  <c r="P215" i="39"/>
  <c r="I215" i="39"/>
  <c r="Q215" i="39"/>
  <c r="AU262" i="39"/>
  <c r="E262" i="39"/>
  <c r="M262" i="39"/>
  <c r="AS262" i="39" s="1"/>
  <c r="I262" i="39"/>
  <c r="Q262" i="39"/>
  <c r="J262" i="39"/>
  <c r="AN262" i="39" s="1"/>
  <c r="K262" i="39"/>
  <c r="AK262" i="39" s="1"/>
  <c r="B262" i="39"/>
  <c r="AF262" i="39" s="1"/>
  <c r="L262" i="39"/>
  <c r="AQ262" i="39" s="1"/>
  <c r="C262" i="39"/>
  <c r="N262" i="39"/>
  <c r="D262" i="39"/>
  <c r="AJ262" i="39" s="1"/>
  <c r="O262" i="39"/>
  <c r="F262" i="39"/>
  <c r="AM262" i="39" s="1"/>
  <c r="P262" i="39"/>
  <c r="G262" i="39"/>
  <c r="H262" i="39"/>
  <c r="AL220" i="39"/>
  <c r="AC220" i="39"/>
  <c r="AE220" i="39"/>
  <c r="AU195" i="39"/>
  <c r="D195" i="39"/>
  <c r="AJ195" i="39" s="1"/>
  <c r="L195" i="39"/>
  <c r="AQ195" i="39" s="1"/>
  <c r="F195" i="39"/>
  <c r="AM195" i="39" s="1"/>
  <c r="N195" i="39"/>
  <c r="C195" i="39"/>
  <c r="O195" i="39"/>
  <c r="E195" i="39"/>
  <c r="P195" i="39"/>
  <c r="G195" i="39"/>
  <c r="Q195" i="39"/>
  <c r="H195" i="39"/>
  <c r="I195" i="39"/>
  <c r="J195" i="39"/>
  <c r="AN195" i="39" s="1"/>
  <c r="K195" i="39"/>
  <c r="AK195" i="39" s="1"/>
  <c r="B195" i="39"/>
  <c r="AF195" i="39" s="1"/>
  <c r="M195" i="39"/>
  <c r="AS195" i="39" s="1"/>
  <c r="AE227" i="39"/>
  <c r="AL227" i="39"/>
  <c r="AC227" i="39"/>
  <c r="AU205" i="39"/>
  <c r="D205" i="39"/>
  <c r="AJ205" i="39" s="1"/>
  <c r="L205" i="39"/>
  <c r="AQ205" i="39" s="1"/>
  <c r="E205" i="39"/>
  <c r="M205" i="39"/>
  <c r="AS205" i="39" s="1"/>
  <c r="F205" i="39"/>
  <c r="AM205" i="39" s="1"/>
  <c r="N205" i="39"/>
  <c r="G205" i="39"/>
  <c r="O205" i="39"/>
  <c r="H205" i="39"/>
  <c r="P205" i="39"/>
  <c r="I205" i="39"/>
  <c r="Q205" i="39"/>
  <c r="B205" i="39"/>
  <c r="AF205" i="39" s="1"/>
  <c r="J205" i="39"/>
  <c r="AN205" i="39" s="1"/>
  <c r="C205" i="39"/>
  <c r="K205" i="39"/>
  <c r="AK205" i="39" s="1"/>
  <c r="AC177" i="39"/>
  <c r="AE177" i="39"/>
  <c r="AL177" i="39"/>
  <c r="AC250" i="39"/>
  <c r="AE250" i="39"/>
  <c r="AL250" i="39"/>
  <c r="AU228" i="39"/>
  <c r="E228" i="39"/>
  <c r="M228" i="39"/>
  <c r="AS228" i="39" s="1"/>
  <c r="G228" i="39"/>
  <c r="O228" i="39"/>
  <c r="I228" i="39"/>
  <c r="Q228" i="39"/>
  <c r="B228" i="39"/>
  <c r="AF228" i="39" s="1"/>
  <c r="J228" i="39"/>
  <c r="AN228" i="39" s="1"/>
  <c r="C228" i="39"/>
  <c r="K228" i="39"/>
  <c r="AK228" i="39" s="1"/>
  <c r="D228" i="39"/>
  <c r="AJ228" i="39" s="1"/>
  <c r="F228" i="39"/>
  <c r="AM228" i="39" s="1"/>
  <c r="H228" i="39"/>
  <c r="L228" i="39"/>
  <c r="AQ228" i="39" s="1"/>
  <c r="N228" i="39"/>
  <c r="P228" i="39"/>
  <c r="AC225" i="39"/>
  <c r="AL225" i="39"/>
  <c r="AE225" i="39"/>
  <c r="AU203" i="39"/>
  <c r="F203" i="39"/>
  <c r="AM203" i="39" s="1"/>
  <c r="N203" i="39"/>
  <c r="G203" i="39"/>
  <c r="O203" i="39"/>
  <c r="H203" i="39"/>
  <c r="P203" i="39"/>
  <c r="I203" i="39"/>
  <c r="Q203" i="39"/>
  <c r="B203" i="39"/>
  <c r="AF203" i="39" s="1"/>
  <c r="J203" i="39"/>
  <c r="AN203" i="39" s="1"/>
  <c r="C203" i="39"/>
  <c r="K203" i="39"/>
  <c r="AK203" i="39" s="1"/>
  <c r="D203" i="39"/>
  <c r="AJ203" i="39" s="1"/>
  <c r="L203" i="39"/>
  <c r="AQ203" i="39" s="1"/>
  <c r="E203" i="39"/>
  <c r="M203" i="39"/>
  <c r="AS203" i="39" s="1"/>
  <c r="AC186" i="39"/>
  <c r="AL186" i="39"/>
  <c r="AE186" i="39"/>
  <c r="AE151" i="39"/>
  <c r="AC151" i="39"/>
  <c r="AL151" i="39"/>
  <c r="AC264" i="39"/>
  <c r="AL264" i="39"/>
  <c r="AE264" i="39"/>
  <c r="AU242" i="39"/>
  <c r="G242" i="39"/>
  <c r="O242" i="39"/>
  <c r="I242" i="39"/>
  <c r="Q242" i="39"/>
  <c r="C242" i="39"/>
  <c r="K242" i="39"/>
  <c r="AK242" i="39" s="1"/>
  <c r="E242" i="39"/>
  <c r="M242" i="39"/>
  <c r="AS242" i="39" s="1"/>
  <c r="L242" i="39"/>
  <c r="AQ242" i="39" s="1"/>
  <c r="N242" i="39"/>
  <c r="P242" i="39"/>
  <c r="B242" i="39"/>
  <c r="AF242" i="39" s="1"/>
  <c r="D242" i="39"/>
  <c r="AJ242" i="39" s="1"/>
  <c r="F242" i="39"/>
  <c r="AM242" i="39" s="1"/>
  <c r="H242" i="39"/>
  <c r="J242" i="39"/>
  <c r="AN242" i="39" s="1"/>
  <c r="AL200" i="39"/>
  <c r="AC200" i="39"/>
  <c r="AE200" i="39"/>
  <c r="AL143" i="39"/>
  <c r="AE143" i="39"/>
  <c r="AC143" i="39"/>
  <c r="AU179" i="39"/>
  <c r="B179" i="39"/>
  <c r="AF179" i="39" s="1"/>
  <c r="J179" i="39"/>
  <c r="AN179" i="39" s="1"/>
  <c r="D179" i="39"/>
  <c r="AJ179" i="39" s="1"/>
  <c r="L179" i="39"/>
  <c r="AQ179" i="39" s="1"/>
  <c r="F179" i="39"/>
  <c r="AM179" i="39" s="1"/>
  <c r="N179" i="39"/>
  <c r="M179" i="39"/>
  <c r="AS179" i="39" s="1"/>
  <c r="O179" i="39"/>
  <c r="C179" i="39"/>
  <c r="P179" i="39"/>
  <c r="E179" i="39"/>
  <c r="Q179" i="39"/>
  <c r="G179" i="39"/>
  <c r="H179" i="39"/>
  <c r="I179" i="39"/>
  <c r="Z179" i="39" s="1"/>
  <c r="K179" i="39"/>
  <c r="AK179" i="39" s="1"/>
  <c r="AU240" i="39"/>
  <c r="I240" i="39"/>
  <c r="Q240" i="39"/>
  <c r="C240" i="39"/>
  <c r="K240" i="39"/>
  <c r="AK240" i="39" s="1"/>
  <c r="E240" i="39"/>
  <c r="M240" i="39"/>
  <c r="AS240" i="39" s="1"/>
  <c r="G240" i="39"/>
  <c r="O240" i="39"/>
  <c r="N240" i="39"/>
  <c r="P240" i="39"/>
  <c r="B240" i="39"/>
  <c r="AF240" i="39" s="1"/>
  <c r="D240" i="39"/>
  <c r="AJ240" i="39" s="1"/>
  <c r="F240" i="39"/>
  <c r="AM240" i="39" s="1"/>
  <c r="H240" i="39"/>
  <c r="J240" i="39"/>
  <c r="AN240" i="39" s="1"/>
  <c r="L240" i="39"/>
  <c r="AQ240" i="39" s="1"/>
  <c r="AC191" i="39"/>
  <c r="AL191" i="39"/>
  <c r="AE191" i="39"/>
  <c r="AU184" i="39"/>
  <c r="G184" i="39"/>
  <c r="O184" i="39"/>
  <c r="I184" i="39"/>
  <c r="Q184" i="39"/>
  <c r="B184" i="39"/>
  <c r="AF184" i="39" s="1"/>
  <c r="L184" i="39"/>
  <c r="AQ184" i="39" s="1"/>
  <c r="C184" i="39"/>
  <c r="M184" i="39"/>
  <c r="AS184" i="39" s="1"/>
  <c r="D184" i="39"/>
  <c r="AJ184" i="39" s="1"/>
  <c r="N184" i="39"/>
  <c r="E184" i="39"/>
  <c r="P184" i="39"/>
  <c r="F184" i="39"/>
  <c r="AM184" i="39" s="1"/>
  <c r="H184" i="39"/>
  <c r="J184" i="39"/>
  <c r="AN184" i="39" s="1"/>
  <c r="K184" i="39"/>
  <c r="AK184" i="39" s="1"/>
  <c r="AC142" i="39"/>
  <c r="AL142" i="39"/>
  <c r="AE142" i="39"/>
  <c r="AU120" i="39"/>
  <c r="C120" i="39"/>
  <c r="K120" i="39"/>
  <c r="AK120" i="39" s="1"/>
  <c r="D120" i="39"/>
  <c r="AJ120" i="39" s="1"/>
  <c r="L120" i="39"/>
  <c r="AQ120" i="39" s="1"/>
  <c r="E120" i="39"/>
  <c r="M120" i="39"/>
  <c r="AS120" i="39" s="1"/>
  <c r="F120" i="39"/>
  <c r="AM120" i="39" s="1"/>
  <c r="N120" i="39"/>
  <c r="G120" i="39"/>
  <c r="O120" i="39"/>
  <c r="H120" i="39"/>
  <c r="P120" i="39"/>
  <c r="I120" i="39"/>
  <c r="Q120" i="39"/>
  <c r="B120" i="39"/>
  <c r="AF120" i="39" s="1"/>
  <c r="J120" i="39"/>
  <c r="AN120" i="39" s="1"/>
  <c r="AC96" i="39"/>
  <c r="AL96" i="39"/>
  <c r="AE96" i="39"/>
  <c r="AU159" i="39"/>
  <c r="D159" i="39"/>
  <c r="AJ159" i="39" s="1"/>
  <c r="L159" i="39"/>
  <c r="AQ159" i="39" s="1"/>
  <c r="F159" i="39"/>
  <c r="AM159" i="39" s="1"/>
  <c r="N159" i="39"/>
  <c r="G159" i="39"/>
  <c r="O159" i="39"/>
  <c r="H159" i="39"/>
  <c r="P159" i="39"/>
  <c r="I159" i="39"/>
  <c r="Q159" i="39"/>
  <c r="B159" i="39"/>
  <c r="AF159" i="39" s="1"/>
  <c r="J159" i="39"/>
  <c r="AN159" i="39" s="1"/>
  <c r="M159" i="39"/>
  <c r="AS159" i="39" s="1"/>
  <c r="C159" i="39"/>
  <c r="E159" i="39"/>
  <c r="K159" i="39"/>
  <c r="AK159" i="39" s="1"/>
  <c r="AC117" i="39"/>
  <c r="AL117" i="39"/>
  <c r="AE117" i="39"/>
  <c r="AU103" i="39"/>
  <c r="E103" i="39"/>
  <c r="M103" i="39"/>
  <c r="AS103" i="39" s="1"/>
  <c r="B103" i="39"/>
  <c r="AF103" i="39" s="1"/>
  <c r="J103" i="39"/>
  <c r="AN103" i="39" s="1"/>
  <c r="C103" i="39"/>
  <c r="N103" i="39"/>
  <c r="I103" i="39"/>
  <c r="G103" i="39"/>
  <c r="H103" i="39"/>
  <c r="K103" i="39"/>
  <c r="AK103" i="39" s="1"/>
  <c r="L103" i="39"/>
  <c r="AQ103" i="39" s="1"/>
  <c r="O103" i="39"/>
  <c r="P103" i="39"/>
  <c r="D103" i="39"/>
  <c r="AJ103" i="39" s="1"/>
  <c r="Q103" i="39"/>
  <c r="F103" i="39"/>
  <c r="AM103" i="39" s="1"/>
  <c r="AE164" i="39"/>
  <c r="AC164" i="39"/>
  <c r="AL164" i="39"/>
  <c r="AU142" i="39"/>
  <c r="E142" i="39"/>
  <c r="M142" i="39"/>
  <c r="AS142" i="39" s="1"/>
  <c r="F142" i="39"/>
  <c r="AM142" i="39" s="1"/>
  <c r="N142" i="39"/>
  <c r="G142" i="39"/>
  <c r="O142" i="39"/>
  <c r="H142" i="39"/>
  <c r="P142" i="39"/>
  <c r="I142" i="39"/>
  <c r="Q142" i="39"/>
  <c r="B142" i="39"/>
  <c r="AF142" i="39" s="1"/>
  <c r="J142" i="39"/>
  <c r="AN142" i="39" s="1"/>
  <c r="C142" i="39"/>
  <c r="K142" i="39"/>
  <c r="AK142" i="39" s="1"/>
  <c r="D142" i="39"/>
  <c r="AJ142" i="39" s="1"/>
  <c r="L142" i="39"/>
  <c r="AQ142" i="39" s="1"/>
  <c r="AU141" i="39"/>
  <c r="F141" i="39"/>
  <c r="AM141" i="39" s="1"/>
  <c r="N141" i="39"/>
  <c r="G141" i="39"/>
  <c r="O141" i="39"/>
  <c r="H141" i="39"/>
  <c r="P141" i="39"/>
  <c r="I141" i="39"/>
  <c r="Q141" i="39"/>
  <c r="B141" i="39"/>
  <c r="AF141" i="39" s="1"/>
  <c r="J141" i="39"/>
  <c r="AN141" i="39" s="1"/>
  <c r="C141" i="39"/>
  <c r="K141" i="39"/>
  <c r="AK141" i="39" s="1"/>
  <c r="D141" i="39"/>
  <c r="AJ141" i="39" s="1"/>
  <c r="L141" i="39"/>
  <c r="AQ141" i="39" s="1"/>
  <c r="E141" i="39"/>
  <c r="M141" i="39"/>
  <c r="AS141" i="39" s="1"/>
  <c r="AU93" i="39"/>
  <c r="G93" i="39"/>
  <c r="O93" i="39"/>
  <c r="C93" i="39"/>
  <c r="K93" i="39"/>
  <c r="AK93" i="39" s="1"/>
  <c r="D93" i="39"/>
  <c r="AJ93" i="39" s="1"/>
  <c r="L93" i="39"/>
  <c r="AQ93" i="39" s="1"/>
  <c r="H93" i="39"/>
  <c r="B93" i="39"/>
  <c r="AF93" i="39" s="1"/>
  <c r="P93" i="39"/>
  <c r="M93" i="39"/>
  <c r="AS93" i="39" s="1"/>
  <c r="N93" i="39"/>
  <c r="Q93" i="39"/>
  <c r="E93" i="39"/>
  <c r="F93" i="39"/>
  <c r="AM93" i="39" s="1"/>
  <c r="I93" i="39"/>
  <c r="J93" i="39"/>
  <c r="AN93" i="39" s="1"/>
  <c r="AE170" i="39"/>
  <c r="AL170" i="39"/>
  <c r="AC170" i="39"/>
  <c r="AU148" i="39"/>
  <c r="G148" i="39"/>
  <c r="O148" i="39"/>
  <c r="H148" i="39"/>
  <c r="P148" i="39"/>
  <c r="I148" i="39"/>
  <c r="Q148" i="39"/>
  <c r="B148" i="39"/>
  <c r="AF148" i="39" s="1"/>
  <c r="J148" i="39"/>
  <c r="AN148" i="39" s="1"/>
  <c r="C148" i="39"/>
  <c r="K148" i="39"/>
  <c r="AK148" i="39" s="1"/>
  <c r="D148" i="39"/>
  <c r="AJ148" i="39" s="1"/>
  <c r="L148" i="39"/>
  <c r="AQ148" i="39" s="1"/>
  <c r="E148" i="39"/>
  <c r="M148" i="39"/>
  <c r="AS148" i="39" s="1"/>
  <c r="F148" i="39"/>
  <c r="AM148" i="39" s="1"/>
  <c r="N148" i="39"/>
  <c r="AL106" i="39"/>
  <c r="AC106" i="39"/>
  <c r="AE106" i="39"/>
  <c r="AE145" i="39"/>
  <c r="AL145" i="39"/>
  <c r="AC145" i="39"/>
  <c r="AU123" i="39"/>
  <c r="H123" i="39"/>
  <c r="P123" i="39"/>
  <c r="I123" i="39"/>
  <c r="Q123" i="39"/>
  <c r="B123" i="39"/>
  <c r="AF123" i="39" s="1"/>
  <c r="J123" i="39"/>
  <c r="AN123" i="39" s="1"/>
  <c r="C123" i="39"/>
  <c r="K123" i="39"/>
  <c r="AK123" i="39" s="1"/>
  <c r="D123" i="39"/>
  <c r="AJ123" i="39" s="1"/>
  <c r="L123" i="39"/>
  <c r="AQ123" i="39" s="1"/>
  <c r="E123" i="39"/>
  <c r="M123" i="39"/>
  <c r="AS123" i="39" s="1"/>
  <c r="F123" i="39"/>
  <c r="AM123" i="39" s="1"/>
  <c r="N123" i="39"/>
  <c r="G123" i="39"/>
  <c r="O123" i="39"/>
  <c r="AU146" i="39"/>
  <c r="I146" i="39"/>
  <c r="Z146" i="39" s="1"/>
  <c r="Q146" i="39"/>
  <c r="B146" i="39"/>
  <c r="AF146" i="39" s="1"/>
  <c r="J146" i="39"/>
  <c r="AN146" i="39" s="1"/>
  <c r="C146" i="39"/>
  <c r="K146" i="39"/>
  <c r="AK146" i="39" s="1"/>
  <c r="D146" i="39"/>
  <c r="AJ146" i="39" s="1"/>
  <c r="L146" i="39"/>
  <c r="AQ146" i="39" s="1"/>
  <c r="E146" i="39"/>
  <c r="M146" i="39"/>
  <c r="AS146" i="39" s="1"/>
  <c r="F146" i="39"/>
  <c r="AM146" i="39" s="1"/>
  <c r="N146" i="39"/>
  <c r="G146" i="39"/>
  <c r="O146" i="39"/>
  <c r="H146" i="39"/>
  <c r="P146" i="39"/>
  <c r="AU101" i="39"/>
  <c r="G101" i="39"/>
  <c r="O101" i="39"/>
  <c r="D101" i="39"/>
  <c r="AJ101" i="39" s="1"/>
  <c r="L101" i="39"/>
  <c r="AQ101" i="39" s="1"/>
  <c r="J101" i="39"/>
  <c r="AN101" i="39" s="1"/>
  <c r="F101" i="39"/>
  <c r="AM101" i="39" s="1"/>
  <c r="Q101" i="39"/>
  <c r="N101" i="39"/>
  <c r="B101" i="39"/>
  <c r="AF101" i="39" s="1"/>
  <c r="P101" i="39"/>
  <c r="C101" i="39"/>
  <c r="E101" i="39"/>
  <c r="H101" i="39"/>
  <c r="I101" i="39"/>
  <c r="K101" i="39"/>
  <c r="AK101" i="39" s="1"/>
  <c r="M101" i="39"/>
  <c r="AS101" i="39" s="1"/>
  <c r="AU89" i="39"/>
  <c r="C89" i="39"/>
  <c r="K89" i="39"/>
  <c r="AK89" i="39" s="1"/>
  <c r="E89" i="39"/>
  <c r="M89" i="39"/>
  <c r="AS89" i="39" s="1"/>
  <c r="F89" i="39"/>
  <c r="AM89" i="39" s="1"/>
  <c r="N89" i="39"/>
  <c r="G89" i="39"/>
  <c r="O89" i="39"/>
  <c r="H89" i="39"/>
  <c r="P89" i="39"/>
  <c r="L89" i="39"/>
  <c r="AQ89" i="39" s="1"/>
  <c r="B89" i="39"/>
  <c r="AF89" i="39" s="1"/>
  <c r="D89" i="39"/>
  <c r="AJ89" i="39" s="1"/>
  <c r="Q89" i="39"/>
  <c r="I89" i="39"/>
  <c r="J89" i="39"/>
  <c r="AN89" i="39" s="1"/>
  <c r="AU92" i="39"/>
  <c r="H92" i="39"/>
  <c r="P92" i="39"/>
  <c r="B92" i="39"/>
  <c r="AF92" i="39" s="1"/>
  <c r="J92" i="39"/>
  <c r="AN92" i="39" s="1"/>
  <c r="C92" i="39"/>
  <c r="K92" i="39"/>
  <c r="AK92" i="39" s="1"/>
  <c r="D92" i="39"/>
  <c r="AJ92" i="39" s="1"/>
  <c r="L92" i="39"/>
  <c r="AQ92" i="39" s="1"/>
  <c r="E92" i="39"/>
  <c r="M92" i="39"/>
  <c r="AS92" i="39" s="1"/>
  <c r="I92" i="39"/>
  <c r="N92" i="39"/>
  <c r="O92" i="39"/>
  <c r="F92" i="39"/>
  <c r="AM92" i="39" s="1"/>
  <c r="G92" i="39"/>
  <c r="Q92" i="39"/>
  <c r="AE39" i="39"/>
  <c r="AC39" i="39"/>
  <c r="AL39" i="39"/>
  <c r="AU96" i="39"/>
  <c r="D96" i="39"/>
  <c r="AJ96" i="39" s="1"/>
  <c r="L96" i="39"/>
  <c r="AQ96" i="39" s="1"/>
  <c r="H96" i="39"/>
  <c r="P96" i="39"/>
  <c r="I96" i="39"/>
  <c r="Q96" i="39"/>
  <c r="J96" i="39"/>
  <c r="AN96" i="39" s="1"/>
  <c r="E96" i="39"/>
  <c r="F96" i="39"/>
  <c r="AM96" i="39" s="1"/>
  <c r="G96" i="39"/>
  <c r="K96" i="39"/>
  <c r="AK96" i="39" s="1"/>
  <c r="M96" i="39"/>
  <c r="AS96" i="39" s="1"/>
  <c r="N96" i="39"/>
  <c r="O96" i="39"/>
  <c r="B96" i="39"/>
  <c r="AF96" i="39" s="1"/>
  <c r="C96" i="39"/>
  <c r="AC54" i="39"/>
  <c r="AL54" i="39"/>
  <c r="AE54" i="39"/>
  <c r="AU32" i="39"/>
  <c r="D32" i="39"/>
  <c r="AJ32" i="39" s="1"/>
  <c r="L32" i="39"/>
  <c r="AQ32" i="39" s="1"/>
  <c r="E32" i="39"/>
  <c r="M32" i="39"/>
  <c r="AS32" i="39" s="1"/>
  <c r="F32" i="39"/>
  <c r="AM32" i="39" s="1"/>
  <c r="N32" i="39"/>
  <c r="G32" i="39"/>
  <c r="O32" i="39"/>
  <c r="H32" i="39"/>
  <c r="P32" i="39"/>
  <c r="I32" i="39"/>
  <c r="Q32" i="39"/>
  <c r="B32" i="39"/>
  <c r="AF32" i="39" s="1"/>
  <c r="J32" i="39"/>
  <c r="AN32" i="39" s="1"/>
  <c r="K32" i="39"/>
  <c r="AK32" i="39" s="1"/>
  <c r="C32" i="39"/>
  <c r="AC61" i="39"/>
  <c r="AL61" i="39"/>
  <c r="AE61" i="39"/>
  <c r="AU39" i="39"/>
  <c r="E39" i="39"/>
  <c r="M39" i="39"/>
  <c r="AS39" i="39" s="1"/>
  <c r="F39" i="39"/>
  <c r="AM39" i="39" s="1"/>
  <c r="N39" i="39"/>
  <c r="G39" i="39"/>
  <c r="O39" i="39"/>
  <c r="H39" i="39"/>
  <c r="P39" i="39"/>
  <c r="I39" i="39"/>
  <c r="Q39" i="39"/>
  <c r="B39" i="39"/>
  <c r="AF39" i="39" s="1"/>
  <c r="J39" i="39"/>
  <c r="AN39" i="39" s="1"/>
  <c r="C39" i="39"/>
  <c r="K39" i="39"/>
  <c r="AK39" i="39" s="1"/>
  <c r="D39" i="39"/>
  <c r="AJ39" i="39" s="1"/>
  <c r="L39" i="39"/>
  <c r="AQ39" i="39" s="1"/>
  <c r="AU78" i="39"/>
  <c r="F78" i="39"/>
  <c r="AM78" i="39" s="1"/>
  <c r="N78" i="39"/>
  <c r="G78" i="39"/>
  <c r="O78" i="39"/>
  <c r="H78" i="39"/>
  <c r="P78" i="39"/>
  <c r="I78" i="39"/>
  <c r="Q78" i="39"/>
  <c r="B78" i="39"/>
  <c r="AF78" i="39" s="1"/>
  <c r="J78" i="39"/>
  <c r="AN78" i="39" s="1"/>
  <c r="C78" i="39"/>
  <c r="K78" i="39"/>
  <c r="AK78" i="39" s="1"/>
  <c r="E78" i="39"/>
  <c r="D78" i="39"/>
  <c r="AJ78" i="39" s="1"/>
  <c r="L78" i="39"/>
  <c r="AQ78" i="39" s="1"/>
  <c r="M78" i="39"/>
  <c r="AS78" i="39" s="1"/>
  <c r="AE36" i="39"/>
  <c r="AC36" i="39"/>
  <c r="AL36" i="39"/>
  <c r="AU77" i="39"/>
  <c r="G77" i="39"/>
  <c r="O77" i="39"/>
  <c r="H77" i="39"/>
  <c r="P77" i="39"/>
  <c r="I77" i="39"/>
  <c r="Z77" i="39" s="1"/>
  <c r="Q77" i="39"/>
  <c r="B77" i="39"/>
  <c r="AF77" i="39" s="1"/>
  <c r="J77" i="39"/>
  <c r="AN77" i="39" s="1"/>
  <c r="C77" i="39"/>
  <c r="K77" i="39"/>
  <c r="AK77" i="39" s="1"/>
  <c r="D77" i="39"/>
  <c r="AJ77" i="39" s="1"/>
  <c r="L77" i="39"/>
  <c r="AQ77" i="39" s="1"/>
  <c r="M77" i="39"/>
  <c r="AS77" i="39" s="1"/>
  <c r="N77" i="39"/>
  <c r="E77" i="39"/>
  <c r="F77" i="39"/>
  <c r="AM77" i="39" s="1"/>
  <c r="AC35" i="39"/>
  <c r="AL35" i="39"/>
  <c r="AE35" i="39"/>
  <c r="AU68" i="39"/>
  <c r="H68" i="39"/>
  <c r="P68" i="39"/>
  <c r="I68" i="39"/>
  <c r="Q68" i="39"/>
  <c r="B68" i="39"/>
  <c r="AF68" i="39" s="1"/>
  <c r="J68" i="39"/>
  <c r="AN68" i="39" s="1"/>
  <c r="C68" i="39"/>
  <c r="K68" i="39"/>
  <c r="AK68" i="39" s="1"/>
  <c r="D68" i="39"/>
  <c r="AJ68" i="39" s="1"/>
  <c r="L68" i="39"/>
  <c r="AQ68" i="39" s="1"/>
  <c r="E68" i="39"/>
  <c r="M68" i="39"/>
  <c r="AS68" i="39" s="1"/>
  <c r="N68" i="39"/>
  <c r="O68" i="39"/>
  <c r="F68" i="39"/>
  <c r="AM68" i="39" s="1"/>
  <c r="G68" i="39"/>
  <c r="AL97" i="39"/>
  <c r="AC97" i="39"/>
  <c r="AE97" i="39"/>
  <c r="AU75" i="39"/>
  <c r="I75" i="39"/>
  <c r="Q75" i="39"/>
  <c r="B75" i="39"/>
  <c r="AF75" i="39" s="1"/>
  <c r="J75" i="39"/>
  <c r="AN75" i="39" s="1"/>
  <c r="C75" i="39"/>
  <c r="K75" i="39"/>
  <c r="AK75" i="39" s="1"/>
  <c r="D75" i="39"/>
  <c r="AJ75" i="39" s="1"/>
  <c r="L75" i="39"/>
  <c r="AQ75" i="39" s="1"/>
  <c r="E75" i="39"/>
  <c r="M75" i="39"/>
  <c r="AS75" i="39" s="1"/>
  <c r="F75" i="39"/>
  <c r="AM75" i="39" s="1"/>
  <c r="N75" i="39"/>
  <c r="P75" i="39"/>
  <c r="G75" i="39"/>
  <c r="H75" i="39"/>
  <c r="O75" i="39"/>
  <c r="AC33" i="39"/>
  <c r="AL33" i="39"/>
  <c r="AE33" i="39"/>
  <c r="AU425" i="39"/>
  <c r="G425" i="39"/>
  <c r="O425" i="39"/>
  <c r="H425" i="39"/>
  <c r="P425" i="39"/>
  <c r="B425" i="39"/>
  <c r="AF425" i="39" s="1"/>
  <c r="J425" i="39"/>
  <c r="AN425" i="39" s="1"/>
  <c r="C425" i="39"/>
  <c r="K425" i="39"/>
  <c r="AK425" i="39" s="1"/>
  <c r="D425" i="39"/>
  <c r="AJ425" i="39" s="1"/>
  <c r="E425" i="39"/>
  <c r="F425" i="39"/>
  <c r="AM425" i="39" s="1"/>
  <c r="I425" i="39"/>
  <c r="L425" i="39"/>
  <c r="AQ425" i="39" s="1"/>
  <c r="M425" i="39"/>
  <c r="AS425" i="39" s="1"/>
  <c r="Q425" i="39"/>
  <c r="N425" i="39"/>
  <c r="AE410" i="39"/>
  <c r="AC410" i="39"/>
  <c r="AL410" i="39"/>
  <c r="AC419" i="39"/>
  <c r="AL419" i="39"/>
  <c r="AE419" i="39"/>
  <c r="AC456" i="39"/>
  <c r="AL456" i="39"/>
  <c r="AE456" i="39"/>
  <c r="AU395" i="39"/>
  <c r="C395" i="39"/>
  <c r="K395" i="39"/>
  <c r="AK395" i="39" s="1"/>
  <c r="D395" i="39"/>
  <c r="AJ395" i="39" s="1"/>
  <c r="L395" i="39"/>
  <c r="AQ395" i="39" s="1"/>
  <c r="E395" i="39"/>
  <c r="M395" i="39"/>
  <c r="AS395" i="39" s="1"/>
  <c r="F395" i="39"/>
  <c r="AM395" i="39" s="1"/>
  <c r="N395" i="39"/>
  <c r="G395" i="39"/>
  <c r="O395" i="39"/>
  <c r="H395" i="39"/>
  <c r="P395" i="39"/>
  <c r="I395" i="39"/>
  <c r="Q395" i="39"/>
  <c r="B395" i="39"/>
  <c r="AF395" i="39" s="1"/>
  <c r="J395" i="39"/>
  <c r="AN395" i="39" s="1"/>
  <c r="AU437" i="39"/>
  <c r="C437" i="39"/>
  <c r="K437" i="39"/>
  <c r="AK437" i="39" s="1"/>
  <c r="F437" i="39"/>
  <c r="AM437" i="39" s="1"/>
  <c r="N437" i="39"/>
  <c r="G437" i="39"/>
  <c r="O437" i="39"/>
  <c r="B437" i="39"/>
  <c r="AF437" i="39" s="1"/>
  <c r="P437" i="39"/>
  <c r="D437" i="39"/>
  <c r="AJ437" i="39" s="1"/>
  <c r="Q437" i="39"/>
  <c r="E437" i="39"/>
  <c r="H437" i="39"/>
  <c r="I437" i="39"/>
  <c r="Z437" i="39" s="1"/>
  <c r="J437" i="39"/>
  <c r="AN437" i="39" s="1"/>
  <c r="M437" i="39"/>
  <c r="AS437" i="39" s="1"/>
  <c r="L437" i="39"/>
  <c r="AQ437" i="39" s="1"/>
  <c r="AU441" i="39"/>
  <c r="G441" i="39"/>
  <c r="O441" i="39"/>
  <c r="B441" i="39"/>
  <c r="AF441" i="39" s="1"/>
  <c r="C441" i="39"/>
  <c r="K441" i="39"/>
  <c r="AK441" i="39" s="1"/>
  <c r="E441" i="39"/>
  <c r="P441" i="39"/>
  <c r="F441" i="39"/>
  <c r="AM441" i="39" s="1"/>
  <c r="Q441" i="39"/>
  <c r="H441" i="39"/>
  <c r="D441" i="39"/>
  <c r="AJ441" i="39" s="1"/>
  <c r="I441" i="39"/>
  <c r="J441" i="39"/>
  <c r="AN441" i="39" s="1"/>
  <c r="L441" i="39"/>
  <c r="AQ441" i="39" s="1"/>
  <c r="N441" i="39"/>
  <c r="M441" i="39"/>
  <c r="AS441" i="39" s="1"/>
  <c r="AU414" i="39"/>
  <c r="B414" i="39"/>
  <c r="AF414" i="39" s="1"/>
  <c r="J414" i="39"/>
  <c r="AN414" i="39" s="1"/>
  <c r="C414" i="39"/>
  <c r="K414" i="39"/>
  <c r="AK414" i="39" s="1"/>
  <c r="E414" i="39"/>
  <c r="M414" i="39"/>
  <c r="AS414" i="39" s="1"/>
  <c r="F414" i="39"/>
  <c r="AM414" i="39" s="1"/>
  <c r="N414" i="39"/>
  <c r="G414" i="39"/>
  <c r="H414" i="39"/>
  <c r="I414" i="39"/>
  <c r="L414" i="39"/>
  <c r="AQ414" i="39" s="1"/>
  <c r="O414" i="39"/>
  <c r="P414" i="39"/>
  <c r="D414" i="39"/>
  <c r="AJ414" i="39" s="1"/>
  <c r="Q414" i="39"/>
  <c r="AU421" i="39"/>
  <c r="C421" i="39"/>
  <c r="K421" i="39"/>
  <c r="AK421" i="39" s="1"/>
  <c r="D421" i="39"/>
  <c r="AJ421" i="39" s="1"/>
  <c r="L421" i="39"/>
  <c r="AQ421" i="39" s="1"/>
  <c r="F421" i="39"/>
  <c r="AM421" i="39" s="1"/>
  <c r="N421" i="39"/>
  <c r="G421" i="39"/>
  <c r="O421" i="39"/>
  <c r="H421" i="39"/>
  <c r="I421" i="39"/>
  <c r="J421" i="39"/>
  <c r="AN421" i="39" s="1"/>
  <c r="M421" i="39"/>
  <c r="AS421" i="39" s="1"/>
  <c r="P421" i="39"/>
  <c r="Q421" i="39"/>
  <c r="B421" i="39"/>
  <c r="AF421" i="39" s="1"/>
  <c r="E421" i="39"/>
  <c r="AU449" i="39"/>
  <c r="C449" i="39"/>
  <c r="K449" i="39"/>
  <c r="AK449" i="39" s="1"/>
  <c r="G449" i="39"/>
  <c r="P449" i="39"/>
  <c r="H449" i="39"/>
  <c r="Q449" i="39"/>
  <c r="I449" i="39"/>
  <c r="F449" i="39"/>
  <c r="AM449" i="39" s="1"/>
  <c r="J449" i="39"/>
  <c r="AN449" i="39" s="1"/>
  <c r="B449" i="39"/>
  <c r="AF449" i="39" s="1"/>
  <c r="L449" i="39"/>
  <c r="AQ449" i="39" s="1"/>
  <c r="D449" i="39"/>
  <c r="AJ449" i="39" s="1"/>
  <c r="M449" i="39"/>
  <c r="AS449" i="39" s="1"/>
  <c r="O449" i="39"/>
  <c r="E449" i="39"/>
  <c r="N449" i="39"/>
  <c r="AE434" i="39"/>
  <c r="AC434" i="39"/>
  <c r="AL434" i="39"/>
  <c r="AC313" i="39"/>
  <c r="AL313" i="39"/>
  <c r="AE313" i="39"/>
  <c r="AU412" i="39"/>
  <c r="B412" i="39"/>
  <c r="AF412" i="39" s="1"/>
  <c r="J412" i="39"/>
  <c r="AN412" i="39" s="1"/>
  <c r="D412" i="39"/>
  <c r="AJ412" i="39" s="1"/>
  <c r="L412" i="39"/>
  <c r="AQ412" i="39" s="1"/>
  <c r="E412" i="39"/>
  <c r="M412" i="39"/>
  <c r="AS412" i="39" s="1"/>
  <c r="G412" i="39"/>
  <c r="O412" i="39"/>
  <c r="H412" i="39"/>
  <c r="P412" i="39"/>
  <c r="Q412" i="39"/>
  <c r="C412" i="39"/>
  <c r="F412" i="39"/>
  <c r="AM412" i="39" s="1"/>
  <c r="I412" i="39"/>
  <c r="N412" i="39"/>
  <c r="K412" i="39"/>
  <c r="AK412" i="39" s="1"/>
  <c r="AU432" i="39"/>
  <c r="H432" i="39"/>
  <c r="P432" i="39"/>
  <c r="C432" i="39"/>
  <c r="K432" i="39"/>
  <c r="AK432" i="39" s="1"/>
  <c r="D432" i="39"/>
  <c r="AJ432" i="39" s="1"/>
  <c r="L432" i="39"/>
  <c r="AQ432" i="39" s="1"/>
  <c r="M432" i="39"/>
  <c r="AS432" i="39" s="1"/>
  <c r="N432" i="39"/>
  <c r="B432" i="39"/>
  <c r="AF432" i="39" s="1"/>
  <c r="O432" i="39"/>
  <c r="E432" i="39"/>
  <c r="Q432" i="39"/>
  <c r="F432" i="39"/>
  <c r="AM432" i="39" s="1"/>
  <c r="G432" i="39"/>
  <c r="J432" i="39"/>
  <c r="AN432" i="39" s="1"/>
  <c r="I432" i="39"/>
  <c r="Z432" i="39" s="1"/>
  <c r="AC441" i="39"/>
  <c r="AL441" i="39"/>
  <c r="AE441" i="39"/>
  <c r="AU419" i="39"/>
  <c r="E419" i="39"/>
  <c r="M419" i="39"/>
  <c r="AS419" i="39" s="1"/>
  <c r="F419" i="39"/>
  <c r="AM419" i="39" s="1"/>
  <c r="N419" i="39"/>
  <c r="H419" i="39"/>
  <c r="P419" i="39"/>
  <c r="I419" i="39"/>
  <c r="Q419" i="39"/>
  <c r="J419" i="39"/>
  <c r="AN419" i="39" s="1"/>
  <c r="K419" i="39"/>
  <c r="AK419" i="39" s="1"/>
  <c r="L419" i="39"/>
  <c r="AQ419" i="39" s="1"/>
  <c r="O419" i="39"/>
  <c r="B419" i="39"/>
  <c r="AF419" i="39" s="1"/>
  <c r="C419" i="39"/>
  <c r="G419" i="39"/>
  <c r="D419" i="39"/>
  <c r="AJ419" i="39" s="1"/>
  <c r="AE377" i="39"/>
  <c r="AC377" i="39"/>
  <c r="AL377" i="39"/>
  <c r="AU355" i="39"/>
  <c r="C355" i="39"/>
  <c r="K355" i="39"/>
  <c r="AK355" i="39" s="1"/>
  <c r="D355" i="39"/>
  <c r="AJ355" i="39" s="1"/>
  <c r="L355" i="39"/>
  <c r="AQ355" i="39" s="1"/>
  <c r="E355" i="39"/>
  <c r="M355" i="39"/>
  <c r="AS355" i="39" s="1"/>
  <c r="F355" i="39"/>
  <c r="AM355" i="39" s="1"/>
  <c r="N355" i="39"/>
  <c r="G355" i="39"/>
  <c r="O355" i="39"/>
  <c r="H355" i="39"/>
  <c r="P355" i="39"/>
  <c r="I355" i="39"/>
  <c r="Q355" i="39"/>
  <c r="J355" i="39"/>
  <c r="AN355" i="39" s="1"/>
  <c r="B355" i="39"/>
  <c r="AF355" i="39" s="1"/>
  <c r="AC333" i="39"/>
  <c r="AL333" i="39"/>
  <c r="AE333" i="39"/>
  <c r="AC416" i="39"/>
  <c r="AL416" i="39"/>
  <c r="AE416" i="39"/>
  <c r="AU394" i="39"/>
  <c r="D394" i="39"/>
  <c r="AJ394" i="39" s="1"/>
  <c r="L394" i="39"/>
  <c r="AQ394" i="39" s="1"/>
  <c r="E394" i="39"/>
  <c r="M394" i="39"/>
  <c r="AS394" i="39" s="1"/>
  <c r="F394" i="39"/>
  <c r="AM394" i="39" s="1"/>
  <c r="N394" i="39"/>
  <c r="G394" i="39"/>
  <c r="O394" i="39"/>
  <c r="H394" i="39"/>
  <c r="P394" i="39"/>
  <c r="I394" i="39"/>
  <c r="Q394" i="39"/>
  <c r="B394" i="39"/>
  <c r="AF394" i="39" s="1"/>
  <c r="J394" i="39"/>
  <c r="AN394" i="39" s="1"/>
  <c r="C394" i="39"/>
  <c r="K394" i="39"/>
  <c r="AK394" i="39" s="1"/>
  <c r="AE352" i="39"/>
  <c r="AC352" i="39"/>
  <c r="AL352" i="39"/>
  <c r="AU330" i="39"/>
  <c r="E330" i="39"/>
  <c r="M330" i="39"/>
  <c r="AS330" i="39" s="1"/>
  <c r="D330" i="39"/>
  <c r="AJ330" i="39" s="1"/>
  <c r="N330" i="39"/>
  <c r="F330" i="39"/>
  <c r="AM330" i="39" s="1"/>
  <c r="O330" i="39"/>
  <c r="G330" i="39"/>
  <c r="P330" i="39"/>
  <c r="H330" i="39"/>
  <c r="Q330" i="39"/>
  <c r="I330" i="39"/>
  <c r="J330" i="39"/>
  <c r="AN330" i="39" s="1"/>
  <c r="B330" i="39"/>
  <c r="AF330" i="39" s="1"/>
  <c r="K330" i="39"/>
  <c r="AK330" i="39" s="1"/>
  <c r="C330" i="39"/>
  <c r="L330" i="39"/>
  <c r="AQ330" i="39" s="1"/>
  <c r="AC399" i="39"/>
  <c r="AL399" i="39"/>
  <c r="AE399" i="39"/>
  <c r="AU377" i="39"/>
  <c r="E377" i="39"/>
  <c r="M377" i="39"/>
  <c r="AS377" i="39" s="1"/>
  <c r="F377" i="39"/>
  <c r="AM377" i="39" s="1"/>
  <c r="N377" i="39"/>
  <c r="G377" i="39"/>
  <c r="O377" i="39"/>
  <c r="H377" i="39"/>
  <c r="P377" i="39"/>
  <c r="I377" i="39"/>
  <c r="Q377" i="39"/>
  <c r="B377" i="39"/>
  <c r="AF377" i="39" s="1"/>
  <c r="J377" i="39"/>
  <c r="AN377" i="39" s="1"/>
  <c r="C377" i="39"/>
  <c r="K377" i="39"/>
  <c r="AK377" i="39" s="1"/>
  <c r="D377" i="39"/>
  <c r="AJ377" i="39" s="1"/>
  <c r="L377" i="39"/>
  <c r="AQ377" i="39" s="1"/>
  <c r="AU338" i="39"/>
  <c r="E338" i="39"/>
  <c r="M338" i="39"/>
  <c r="AS338" i="39" s="1"/>
  <c r="F338" i="39"/>
  <c r="AM338" i="39" s="1"/>
  <c r="O338" i="39"/>
  <c r="G338" i="39"/>
  <c r="P338" i="39"/>
  <c r="H338" i="39"/>
  <c r="Q338" i="39"/>
  <c r="I338" i="39"/>
  <c r="J338" i="39"/>
  <c r="AN338" i="39" s="1"/>
  <c r="B338" i="39"/>
  <c r="AF338" i="39" s="1"/>
  <c r="K338" i="39"/>
  <c r="AK338" i="39" s="1"/>
  <c r="C338" i="39"/>
  <c r="L338" i="39"/>
  <c r="AQ338" i="39" s="1"/>
  <c r="D338" i="39"/>
  <c r="AJ338" i="39" s="1"/>
  <c r="N338" i="39"/>
  <c r="AC398" i="39"/>
  <c r="AE398" i="39"/>
  <c r="AL398" i="39"/>
  <c r="AU376" i="39"/>
  <c r="F376" i="39"/>
  <c r="AM376" i="39" s="1"/>
  <c r="N376" i="39"/>
  <c r="G376" i="39"/>
  <c r="O376" i="39"/>
  <c r="H376" i="39"/>
  <c r="P376" i="39"/>
  <c r="I376" i="39"/>
  <c r="Q376" i="39"/>
  <c r="B376" i="39"/>
  <c r="AF376" i="39" s="1"/>
  <c r="J376" i="39"/>
  <c r="AN376" i="39" s="1"/>
  <c r="C376" i="39"/>
  <c r="K376" i="39"/>
  <c r="AK376" i="39" s="1"/>
  <c r="D376" i="39"/>
  <c r="AJ376" i="39" s="1"/>
  <c r="L376" i="39"/>
  <c r="AQ376" i="39" s="1"/>
  <c r="E376" i="39"/>
  <c r="M376" i="39"/>
  <c r="AS376" i="39" s="1"/>
  <c r="AE331" i="39"/>
  <c r="AC331" i="39"/>
  <c r="AL331" i="39"/>
  <c r="AU312" i="39"/>
  <c r="B312" i="39"/>
  <c r="AF312" i="39" s="1"/>
  <c r="J312" i="39"/>
  <c r="AN312" i="39" s="1"/>
  <c r="C312" i="39"/>
  <c r="K312" i="39"/>
  <c r="AK312" i="39" s="1"/>
  <c r="E312" i="39"/>
  <c r="F312" i="39"/>
  <c r="AM312" i="39" s="1"/>
  <c r="N312" i="39"/>
  <c r="G312" i="39"/>
  <c r="O312" i="39"/>
  <c r="M312" i="39"/>
  <c r="AS312" i="39" s="1"/>
  <c r="P312" i="39"/>
  <c r="Q312" i="39"/>
  <c r="D312" i="39"/>
  <c r="AJ312" i="39" s="1"/>
  <c r="H312" i="39"/>
  <c r="I312" i="39"/>
  <c r="L312" i="39"/>
  <c r="AQ312" i="39" s="1"/>
  <c r="AU423" i="39"/>
  <c r="I423" i="39"/>
  <c r="Q423" i="39"/>
  <c r="B423" i="39"/>
  <c r="AF423" i="39" s="1"/>
  <c r="J423" i="39"/>
  <c r="AN423" i="39" s="1"/>
  <c r="D423" i="39"/>
  <c r="AJ423" i="39" s="1"/>
  <c r="L423" i="39"/>
  <c r="AQ423" i="39" s="1"/>
  <c r="E423" i="39"/>
  <c r="M423" i="39"/>
  <c r="AS423" i="39" s="1"/>
  <c r="F423" i="39"/>
  <c r="AM423" i="39" s="1"/>
  <c r="G423" i="39"/>
  <c r="H423" i="39"/>
  <c r="K423" i="39"/>
  <c r="AK423" i="39" s="1"/>
  <c r="N423" i="39"/>
  <c r="O423" i="39"/>
  <c r="P423" i="39"/>
  <c r="C423" i="39"/>
  <c r="AC381" i="39"/>
  <c r="AL381" i="39"/>
  <c r="AE381" i="39"/>
  <c r="AU359" i="39"/>
  <c r="G359" i="39"/>
  <c r="O359" i="39"/>
  <c r="H359" i="39"/>
  <c r="P359" i="39"/>
  <c r="I359" i="39"/>
  <c r="Q359" i="39"/>
  <c r="B359" i="39"/>
  <c r="AF359" i="39" s="1"/>
  <c r="J359" i="39"/>
  <c r="AN359" i="39" s="1"/>
  <c r="C359" i="39"/>
  <c r="K359" i="39"/>
  <c r="AK359" i="39" s="1"/>
  <c r="D359" i="39"/>
  <c r="AJ359" i="39" s="1"/>
  <c r="L359" i="39"/>
  <c r="AQ359" i="39" s="1"/>
  <c r="E359" i="39"/>
  <c r="M359" i="39"/>
  <c r="AS359" i="39" s="1"/>
  <c r="F359" i="39"/>
  <c r="AM359" i="39" s="1"/>
  <c r="N359" i="39"/>
  <c r="AE323" i="39"/>
  <c r="AC323" i="39"/>
  <c r="AL323" i="39"/>
  <c r="AC380" i="39"/>
  <c r="AE380" i="39"/>
  <c r="AL380" i="39"/>
  <c r="AU358" i="39"/>
  <c r="H358" i="39"/>
  <c r="P358" i="39"/>
  <c r="I358" i="39"/>
  <c r="Q358" i="39"/>
  <c r="B358" i="39"/>
  <c r="AF358" i="39" s="1"/>
  <c r="J358" i="39"/>
  <c r="AN358" i="39" s="1"/>
  <c r="C358" i="39"/>
  <c r="K358" i="39"/>
  <c r="AK358" i="39" s="1"/>
  <c r="D358" i="39"/>
  <c r="AJ358" i="39" s="1"/>
  <c r="L358" i="39"/>
  <c r="AQ358" i="39" s="1"/>
  <c r="E358" i="39"/>
  <c r="M358" i="39"/>
  <c r="AS358" i="39" s="1"/>
  <c r="F358" i="39"/>
  <c r="AM358" i="39" s="1"/>
  <c r="N358" i="39"/>
  <c r="G358" i="39"/>
  <c r="O358" i="39"/>
  <c r="AU311" i="39"/>
  <c r="C311" i="39"/>
  <c r="K311" i="39"/>
  <c r="AK311" i="39" s="1"/>
  <c r="D311" i="39"/>
  <c r="AJ311" i="39" s="1"/>
  <c r="L311" i="39"/>
  <c r="AQ311" i="39" s="1"/>
  <c r="F311" i="39"/>
  <c r="AM311" i="39" s="1"/>
  <c r="N311" i="39"/>
  <c r="G311" i="39"/>
  <c r="O311" i="39"/>
  <c r="H311" i="39"/>
  <c r="P311" i="39"/>
  <c r="B311" i="39"/>
  <c r="AF311" i="39" s="1"/>
  <c r="E311" i="39"/>
  <c r="I311" i="39"/>
  <c r="J311" i="39"/>
  <c r="AN311" i="39" s="1"/>
  <c r="M311" i="39"/>
  <c r="AS311" i="39" s="1"/>
  <c r="Q311" i="39"/>
  <c r="AC403" i="39"/>
  <c r="AL403" i="39"/>
  <c r="AE403" i="39"/>
  <c r="AU381" i="39"/>
  <c r="I381" i="39"/>
  <c r="Q381" i="39"/>
  <c r="B381" i="39"/>
  <c r="AF381" i="39" s="1"/>
  <c r="J381" i="39"/>
  <c r="AN381" i="39" s="1"/>
  <c r="C381" i="39"/>
  <c r="K381" i="39"/>
  <c r="AK381" i="39" s="1"/>
  <c r="D381" i="39"/>
  <c r="AJ381" i="39" s="1"/>
  <c r="L381" i="39"/>
  <c r="AQ381" i="39" s="1"/>
  <c r="E381" i="39"/>
  <c r="M381" i="39"/>
  <c r="AS381" i="39" s="1"/>
  <c r="F381" i="39"/>
  <c r="AM381" i="39" s="1"/>
  <c r="N381" i="39"/>
  <c r="G381" i="39"/>
  <c r="O381" i="39"/>
  <c r="H381" i="39"/>
  <c r="P381" i="39"/>
  <c r="AU340" i="39"/>
  <c r="C340" i="39"/>
  <c r="J340" i="39"/>
  <c r="AN340" i="39" s="1"/>
  <c r="B340" i="39"/>
  <c r="AF340" i="39" s="1"/>
  <c r="K340" i="39"/>
  <c r="AK340" i="39" s="1"/>
  <c r="D340" i="39"/>
  <c r="AJ340" i="39" s="1"/>
  <c r="L340" i="39"/>
  <c r="AQ340" i="39" s="1"/>
  <c r="E340" i="39"/>
  <c r="M340" i="39"/>
  <c r="AS340" i="39" s="1"/>
  <c r="F340" i="39"/>
  <c r="AM340" i="39" s="1"/>
  <c r="N340" i="39"/>
  <c r="G340" i="39"/>
  <c r="O340" i="39"/>
  <c r="H340" i="39"/>
  <c r="P340" i="39"/>
  <c r="I340" i="39"/>
  <c r="Q340" i="39"/>
  <c r="AU287" i="39"/>
  <c r="B287" i="39"/>
  <c r="AF287" i="39" s="1"/>
  <c r="J287" i="39"/>
  <c r="AN287" i="39" s="1"/>
  <c r="C287" i="39"/>
  <c r="K287" i="39"/>
  <c r="AK287" i="39" s="1"/>
  <c r="D287" i="39"/>
  <c r="AJ287" i="39" s="1"/>
  <c r="L287" i="39"/>
  <c r="AQ287" i="39" s="1"/>
  <c r="E287" i="39"/>
  <c r="M287" i="39"/>
  <c r="AS287" i="39" s="1"/>
  <c r="F287" i="39"/>
  <c r="AM287" i="39" s="1"/>
  <c r="N287" i="39"/>
  <c r="G287" i="39"/>
  <c r="O287" i="39"/>
  <c r="H287" i="39"/>
  <c r="P287" i="39"/>
  <c r="I287" i="39"/>
  <c r="Q287" i="39"/>
  <c r="AC262" i="39"/>
  <c r="AL262" i="39"/>
  <c r="AE262" i="39"/>
  <c r="AC229" i="39"/>
  <c r="AL229" i="39"/>
  <c r="AE229" i="39"/>
  <c r="AC324" i="39"/>
  <c r="AL324" i="39"/>
  <c r="AE324" i="39"/>
  <c r="AU302" i="39"/>
  <c r="C302" i="39"/>
  <c r="K302" i="39"/>
  <c r="AK302" i="39" s="1"/>
  <c r="D302" i="39"/>
  <c r="AJ302" i="39" s="1"/>
  <c r="L302" i="39"/>
  <c r="AQ302" i="39" s="1"/>
  <c r="E302" i="39"/>
  <c r="M302" i="39"/>
  <c r="AS302" i="39" s="1"/>
  <c r="F302" i="39"/>
  <c r="AM302" i="39" s="1"/>
  <c r="N302" i="39"/>
  <c r="G302" i="39"/>
  <c r="O302" i="39"/>
  <c r="H302" i="39"/>
  <c r="P302" i="39"/>
  <c r="I302" i="39"/>
  <c r="Q302" i="39"/>
  <c r="B302" i="39"/>
  <c r="AF302" i="39" s="1"/>
  <c r="J302" i="39"/>
  <c r="AN302" i="39" s="1"/>
  <c r="AU317" i="39"/>
  <c r="E317" i="39"/>
  <c r="M317" i="39"/>
  <c r="AS317" i="39" s="1"/>
  <c r="F317" i="39"/>
  <c r="AM317" i="39" s="1"/>
  <c r="N317" i="39"/>
  <c r="I317" i="39"/>
  <c r="Q317" i="39"/>
  <c r="B317" i="39"/>
  <c r="AF317" i="39" s="1"/>
  <c r="J317" i="39"/>
  <c r="AN317" i="39" s="1"/>
  <c r="P317" i="39"/>
  <c r="C317" i="39"/>
  <c r="D317" i="39"/>
  <c r="AJ317" i="39" s="1"/>
  <c r="G317" i="39"/>
  <c r="H317" i="39"/>
  <c r="K317" i="39"/>
  <c r="AK317" i="39" s="1"/>
  <c r="L317" i="39"/>
  <c r="AQ317" i="39" s="1"/>
  <c r="O317" i="39"/>
  <c r="AU275" i="39"/>
  <c r="D275" i="39"/>
  <c r="AJ275" i="39" s="1"/>
  <c r="L275" i="39"/>
  <c r="AQ275" i="39" s="1"/>
  <c r="E275" i="39"/>
  <c r="N275" i="39"/>
  <c r="F275" i="39"/>
  <c r="AM275" i="39" s="1"/>
  <c r="O275" i="39"/>
  <c r="G275" i="39"/>
  <c r="P275" i="39"/>
  <c r="H275" i="39"/>
  <c r="Q275" i="39"/>
  <c r="I275" i="39"/>
  <c r="J275" i="39"/>
  <c r="AN275" i="39" s="1"/>
  <c r="B275" i="39"/>
  <c r="AF275" i="39" s="1"/>
  <c r="K275" i="39"/>
  <c r="AK275" i="39" s="1"/>
  <c r="C275" i="39"/>
  <c r="M275" i="39"/>
  <c r="AS275" i="39" s="1"/>
  <c r="AE290" i="39"/>
  <c r="AL290" i="39"/>
  <c r="AC290" i="39"/>
  <c r="AU260" i="39"/>
  <c r="G260" i="39"/>
  <c r="O260" i="39"/>
  <c r="C260" i="39"/>
  <c r="K260" i="39"/>
  <c r="AK260" i="39" s="1"/>
  <c r="F260" i="39"/>
  <c r="AM260" i="39" s="1"/>
  <c r="Q260" i="39"/>
  <c r="H260" i="39"/>
  <c r="I260" i="39"/>
  <c r="J260" i="39"/>
  <c r="AN260" i="39" s="1"/>
  <c r="L260" i="39"/>
  <c r="AQ260" i="39" s="1"/>
  <c r="B260" i="39"/>
  <c r="AF260" i="39" s="1"/>
  <c r="M260" i="39"/>
  <c r="AS260" i="39" s="1"/>
  <c r="D260" i="39"/>
  <c r="AJ260" i="39" s="1"/>
  <c r="N260" i="39"/>
  <c r="E260" i="39"/>
  <c r="P260" i="39"/>
  <c r="AE235" i="39"/>
  <c r="AL235" i="39"/>
  <c r="AC235" i="39"/>
  <c r="AU299" i="39"/>
  <c r="F299" i="39"/>
  <c r="AM299" i="39" s="1"/>
  <c r="N299" i="39"/>
  <c r="G299" i="39"/>
  <c r="O299" i="39"/>
  <c r="H299" i="39"/>
  <c r="P299" i="39"/>
  <c r="I299" i="39"/>
  <c r="Q299" i="39"/>
  <c r="B299" i="39"/>
  <c r="AF299" i="39" s="1"/>
  <c r="J299" i="39"/>
  <c r="AN299" i="39" s="1"/>
  <c r="C299" i="39"/>
  <c r="K299" i="39"/>
  <c r="AK299" i="39" s="1"/>
  <c r="D299" i="39"/>
  <c r="AJ299" i="39" s="1"/>
  <c r="L299" i="39"/>
  <c r="AQ299" i="39" s="1"/>
  <c r="E299" i="39"/>
  <c r="M299" i="39"/>
  <c r="AS299" i="39" s="1"/>
  <c r="AU276" i="39"/>
  <c r="C276" i="39"/>
  <c r="K276" i="39"/>
  <c r="AK276" i="39" s="1"/>
  <c r="G276" i="39"/>
  <c r="P276" i="39"/>
  <c r="H276" i="39"/>
  <c r="Q276" i="39"/>
  <c r="I276" i="39"/>
  <c r="J276" i="39"/>
  <c r="AN276" i="39" s="1"/>
  <c r="B276" i="39"/>
  <c r="AF276" i="39" s="1"/>
  <c r="L276" i="39"/>
  <c r="AQ276" i="39" s="1"/>
  <c r="D276" i="39"/>
  <c r="AJ276" i="39" s="1"/>
  <c r="M276" i="39"/>
  <c r="AS276" i="39" s="1"/>
  <c r="E276" i="39"/>
  <c r="N276" i="39"/>
  <c r="F276" i="39"/>
  <c r="AM276" i="39" s="1"/>
  <c r="O276" i="39"/>
  <c r="AU223" i="39"/>
  <c r="B223" i="39"/>
  <c r="AF223" i="39" s="1"/>
  <c r="J223" i="39"/>
  <c r="AN223" i="39" s="1"/>
  <c r="D223" i="39"/>
  <c r="AJ223" i="39" s="1"/>
  <c r="L223" i="39"/>
  <c r="AQ223" i="39" s="1"/>
  <c r="E223" i="39"/>
  <c r="M223" i="39"/>
  <c r="AS223" i="39" s="1"/>
  <c r="F223" i="39"/>
  <c r="AM223" i="39" s="1"/>
  <c r="N223" i="39"/>
  <c r="G223" i="39"/>
  <c r="O223" i="39"/>
  <c r="H223" i="39"/>
  <c r="P223" i="39"/>
  <c r="C223" i="39"/>
  <c r="I223" i="39"/>
  <c r="K223" i="39"/>
  <c r="AK223" i="39" s="1"/>
  <c r="Q223" i="39"/>
  <c r="AL312" i="39"/>
  <c r="AC312" i="39"/>
  <c r="AE312" i="39"/>
  <c r="AU290" i="39"/>
  <c r="G290" i="39"/>
  <c r="O290" i="39"/>
  <c r="H290" i="39"/>
  <c r="P290" i="39"/>
  <c r="I290" i="39"/>
  <c r="Q290" i="39"/>
  <c r="B290" i="39"/>
  <c r="AF290" i="39" s="1"/>
  <c r="J290" i="39"/>
  <c r="AN290" i="39" s="1"/>
  <c r="C290" i="39"/>
  <c r="K290" i="39"/>
  <c r="AK290" i="39" s="1"/>
  <c r="D290" i="39"/>
  <c r="AJ290" i="39" s="1"/>
  <c r="L290" i="39"/>
  <c r="AQ290" i="39" s="1"/>
  <c r="E290" i="39"/>
  <c r="M290" i="39"/>
  <c r="AS290" i="39" s="1"/>
  <c r="F290" i="39"/>
  <c r="AM290" i="39" s="1"/>
  <c r="N290" i="39"/>
  <c r="AL266" i="39"/>
  <c r="AC266" i="39"/>
  <c r="AE266" i="39"/>
  <c r="AU313" i="39"/>
  <c r="I313" i="39"/>
  <c r="Q313" i="39"/>
  <c r="B313" i="39"/>
  <c r="AF313" i="39" s="1"/>
  <c r="J313" i="39"/>
  <c r="AN313" i="39" s="1"/>
  <c r="E313" i="39"/>
  <c r="M313" i="39"/>
  <c r="AS313" i="39" s="1"/>
  <c r="F313" i="39"/>
  <c r="AM313" i="39" s="1"/>
  <c r="N313" i="39"/>
  <c r="D313" i="39"/>
  <c r="AJ313" i="39" s="1"/>
  <c r="G313" i="39"/>
  <c r="H313" i="39"/>
  <c r="K313" i="39"/>
  <c r="AK313" i="39" s="1"/>
  <c r="L313" i="39"/>
  <c r="AQ313" i="39" s="1"/>
  <c r="O313" i="39"/>
  <c r="P313" i="39"/>
  <c r="C313" i="39"/>
  <c r="AU259" i="39"/>
  <c r="H259" i="39"/>
  <c r="P259" i="39"/>
  <c r="D259" i="39"/>
  <c r="AJ259" i="39" s="1"/>
  <c r="L259" i="39"/>
  <c r="AQ259" i="39" s="1"/>
  <c r="J259" i="39"/>
  <c r="AN259" i="39" s="1"/>
  <c r="K259" i="39"/>
  <c r="AK259" i="39" s="1"/>
  <c r="B259" i="39"/>
  <c r="AF259" i="39" s="1"/>
  <c r="M259" i="39"/>
  <c r="AS259" i="39" s="1"/>
  <c r="C259" i="39"/>
  <c r="N259" i="39"/>
  <c r="E259" i="39"/>
  <c r="O259" i="39"/>
  <c r="F259" i="39"/>
  <c r="AM259" i="39" s="1"/>
  <c r="Q259" i="39"/>
  <c r="G259" i="39"/>
  <c r="I259" i="39"/>
  <c r="AU281" i="39"/>
  <c r="F281" i="39"/>
  <c r="AM281" i="39" s="1"/>
  <c r="N281" i="39"/>
  <c r="J281" i="39"/>
  <c r="AN281" i="39" s="1"/>
  <c r="B281" i="39"/>
  <c r="AF281" i="39" s="1"/>
  <c r="K281" i="39"/>
  <c r="AK281" i="39" s="1"/>
  <c r="C281" i="39"/>
  <c r="L281" i="39"/>
  <c r="AQ281" i="39" s="1"/>
  <c r="D281" i="39"/>
  <c r="AJ281" i="39" s="1"/>
  <c r="M281" i="39"/>
  <c r="AS281" i="39" s="1"/>
  <c r="E281" i="39"/>
  <c r="O281" i="39"/>
  <c r="G281" i="39"/>
  <c r="P281" i="39"/>
  <c r="H281" i="39"/>
  <c r="Q281" i="39"/>
  <c r="I281" i="39"/>
  <c r="AE260" i="39"/>
  <c r="AL260" i="39"/>
  <c r="AC260" i="39"/>
  <c r="AU238" i="39"/>
  <c r="C238" i="39"/>
  <c r="K238" i="39"/>
  <c r="AK238" i="39" s="1"/>
  <c r="E238" i="39"/>
  <c r="M238" i="39"/>
  <c r="AS238" i="39" s="1"/>
  <c r="G238" i="39"/>
  <c r="O238" i="39"/>
  <c r="I238" i="39"/>
  <c r="Q238" i="39"/>
  <c r="P238" i="39"/>
  <c r="B238" i="39"/>
  <c r="AF238" i="39" s="1"/>
  <c r="D238" i="39"/>
  <c r="AJ238" i="39" s="1"/>
  <c r="F238" i="39"/>
  <c r="AM238" i="39" s="1"/>
  <c r="H238" i="39"/>
  <c r="J238" i="39"/>
  <c r="AN238" i="39" s="1"/>
  <c r="L238" i="39"/>
  <c r="AQ238" i="39" s="1"/>
  <c r="N238" i="39"/>
  <c r="AE193" i="39"/>
  <c r="AC193" i="39"/>
  <c r="AL193" i="39"/>
  <c r="AC173" i="39"/>
  <c r="AL173" i="39"/>
  <c r="AE173" i="39"/>
  <c r="AE203" i="39"/>
  <c r="AC203" i="39"/>
  <c r="AL203" i="39"/>
  <c r="AL176" i="39"/>
  <c r="AC176" i="39"/>
  <c r="AE176" i="39"/>
  <c r="AE226" i="39"/>
  <c r="AL226" i="39"/>
  <c r="AC226" i="39"/>
  <c r="AU204" i="39"/>
  <c r="E204" i="39"/>
  <c r="M204" i="39"/>
  <c r="AS204" i="39" s="1"/>
  <c r="F204" i="39"/>
  <c r="AM204" i="39" s="1"/>
  <c r="N204" i="39"/>
  <c r="G204" i="39"/>
  <c r="O204" i="39"/>
  <c r="H204" i="39"/>
  <c r="P204" i="39"/>
  <c r="I204" i="39"/>
  <c r="Q204" i="39"/>
  <c r="B204" i="39"/>
  <c r="AF204" i="39" s="1"/>
  <c r="J204" i="39"/>
  <c r="AN204" i="39" s="1"/>
  <c r="C204" i="39"/>
  <c r="K204" i="39"/>
  <c r="AK204" i="39" s="1"/>
  <c r="D204" i="39"/>
  <c r="AJ204" i="39" s="1"/>
  <c r="L204" i="39"/>
  <c r="AQ204" i="39" s="1"/>
  <c r="AE201" i="39"/>
  <c r="AL201" i="39"/>
  <c r="AC201" i="39"/>
  <c r="AU121" i="39"/>
  <c r="B121" i="39"/>
  <c r="AF121" i="39" s="1"/>
  <c r="J121" i="39"/>
  <c r="AN121" i="39" s="1"/>
  <c r="C121" i="39"/>
  <c r="K121" i="39"/>
  <c r="AK121" i="39" s="1"/>
  <c r="D121" i="39"/>
  <c r="AJ121" i="39" s="1"/>
  <c r="L121" i="39"/>
  <c r="AQ121" i="39" s="1"/>
  <c r="E121" i="39"/>
  <c r="M121" i="39"/>
  <c r="AS121" i="39" s="1"/>
  <c r="F121" i="39"/>
  <c r="AM121" i="39" s="1"/>
  <c r="N121" i="39"/>
  <c r="G121" i="39"/>
  <c r="O121" i="39"/>
  <c r="H121" i="39"/>
  <c r="P121" i="39"/>
  <c r="I121" i="39"/>
  <c r="Q121" i="39"/>
  <c r="AE240" i="39"/>
  <c r="AL240" i="39"/>
  <c r="AC240" i="39"/>
  <c r="AU218" i="39"/>
  <c r="G218" i="39"/>
  <c r="O218" i="39"/>
  <c r="I218" i="39"/>
  <c r="Q218" i="39"/>
  <c r="B218" i="39"/>
  <c r="AF218" i="39" s="1"/>
  <c r="J218" i="39"/>
  <c r="AN218" i="39" s="1"/>
  <c r="C218" i="39"/>
  <c r="K218" i="39"/>
  <c r="AK218" i="39" s="1"/>
  <c r="D218" i="39"/>
  <c r="AJ218" i="39" s="1"/>
  <c r="L218" i="39"/>
  <c r="AQ218" i="39" s="1"/>
  <c r="E218" i="39"/>
  <c r="M218" i="39"/>
  <c r="AS218" i="39" s="1"/>
  <c r="P218" i="39"/>
  <c r="F218" i="39"/>
  <c r="AM218" i="39" s="1"/>
  <c r="H218" i="39"/>
  <c r="N218" i="39"/>
  <c r="AU113" i="39"/>
  <c r="B113" i="39"/>
  <c r="AF113" i="39" s="1"/>
  <c r="J113" i="39"/>
  <c r="AN113" i="39" s="1"/>
  <c r="C113" i="39"/>
  <c r="K113" i="39"/>
  <c r="AK113" i="39" s="1"/>
  <c r="D113" i="39"/>
  <c r="AJ113" i="39" s="1"/>
  <c r="L113" i="39"/>
  <c r="AQ113" i="39" s="1"/>
  <c r="E113" i="39"/>
  <c r="M113" i="39"/>
  <c r="AS113" i="39" s="1"/>
  <c r="F113" i="39"/>
  <c r="AM113" i="39" s="1"/>
  <c r="N113" i="39"/>
  <c r="G113" i="39"/>
  <c r="O113" i="39"/>
  <c r="H113" i="39"/>
  <c r="P113" i="39"/>
  <c r="I113" i="39"/>
  <c r="Q113" i="39"/>
  <c r="AU201" i="39"/>
  <c r="H201" i="39"/>
  <c r="P201" i="39"/>
  <c r="I201" i="39"/>
  <c r="Q201" i="39"/>
  <c r="B201" i="39"/>
  <c r="AF201" i="39" s="1"/>
  <c r="J201" i="39"/>
  <c r="AN201" i="39" s="1"/>
  <c r="C201" i="39"/>
  <c r="K201" i="39"/>
  <c r="AK201" i="39" s="1"/>
  <c r="D201" i="39"/>
  <c r="AJ201" i="39" s="1"/>
  <c r="L201" i="39"/>
  <c r="AQ201" i="39" s="1"/>
  <c r="E201" i="39"/>
  <c r="M201" i="39"/>
  <c r="AS201" i="39" s="1"/>
  <c r="F201" i="39"/>
  <c r="AM201" i="39" s="1"/>
  <c r="N201" i="39"/>
  <c r="G201" i="39"/>
  <c r="O201" i="39"/>
  <c r="AU178" i="39"/>
  <c r="C178" i="39"/>
  <c r="K178" i="39"/>
  <c r="AK178" i="39" s="1"/>
  <c r="E178" i="39"/>
  <c r="M178" i="39"/>
  <c r="AS178" i="39" s="1"/>
  <c r="G178" i="39"/>
  <c r="O178" i="39"/>
  <c r="L178" i="39"/>
  <c r="AQ178" i="39" s="1"/>
  <c r="N178" i="39"/>
  <c r="B178" i="39"/>
  <c r="AF178" i="39" s="1"/>
  <c r="P178" i="39"/>
  <c r="D178" i="39"/>
  <c r="AJ178" i="39" s="1"/>
  <c r="Q178" i="39"/>
  <c r="F178" i="39"/>
  <c r="AM178" i="39" s="1"/>
  <c r="H178" i="39"/>
  <c r="I178" i="39"/>
  <c r="Z178" i="39" s="1"/>
  <c r="J178" i="39"/>
  <c r="AN178" i="39" s="1"/>
  <c r="AL238" i="39"/>
  <c r="AC238" i="39"/>
  <c r="AE238" i="39"/>
  <c r="AU216" i="39"/>
  <c r="I216" i="39"/>
  <c r="Q216" i="39"/>
  <c r="B216" i="39"/>
  <c r="AF216" i="39" s="1"/>
  <c r="J216" i="39"/>
  <c r="AN216" i="39" s="1"/>
  <c r="C216" i="39"/>
  <c r="K216" i="39"/>
  <c r="AK216" i="39" s="1"/>
  <c r="D216" i="39"/>
  <c r="AJ216" i="39" s="1"/>
  <c r="L216" i="39"/>
  <c r="AQ216" i="39" s="1"/>
  <c r="E216" i="39"/>
  <c r="M216" i="39"/>
  <c r="AS216" i="39" s="1"/>
  <c r="F216" i="39"/>
  <c r="AM216" i="39" s="1"/>
  <c r="N216" i="39"/>
  <c r="G216" i="39"/>
  <c r="O216" i="39"/>
  <c r="H216" i="39"/>
  <c r="P216" i="39"/>
  <c r="AU187" i="39"/>
  <c r="D187" i="39"/>
  <c r="AJ187" i="39" s="1"/>
  <c r="L187" i="39"/>
  <c r="AQ187" i="39" s="1"/>
  <c r="F187" i="39"/>
  <c r="AM187" i="39" s="1"/>
  <c r="N187" i="39"/>
  <c r="K187" i="39"/>
  <c r="AK187" i="39" s="1"/>
  <c r="B187" i="39"/>
  <c r="AF187" i="39" s="1"/>
  <c r="M187" i="39"/>
  <c r="AS187" i="39" s="1"/>
  <c r="C187" i="39"/>
  <c r="O187" i="39"/>
  <c r="E187" i="39"/>
  <c r="P187" i="39"/>
  <c r="G187" i="39"/>
  <c r="Q187" i="39"/>
  <c r="H187" i="39"/>
  <c r="I187" i="39"/>
  <c r="J187" i="39"/>
  <c r="AN187" i="39" s="1"/>
  <c r="AC127" i="39"/>
  <c r="AE127" i="39"/>
  <c r="AL127" i="39"/>
  <c r="AC182" i="39"/>
  <c r="AL182" i="39"/>
  <c r="AE182" i="39"/>
  <c r="AU160" i="39"/>
  <c r="C160" i="39"/>
  <c r="K160" i="39"/>
  <c r="AK160" i="39" s="1"/>
  <c r="E160" i="39"/>
  <c r="M160" i="39"/>
  <c r="AS160" i="39" s="1"/>
  <c r="F160" i="39"/>
  <c r="AM160" i="39" s="1"/>
  <c r="N160" i="39"/>
  <c r="G160" i="39"/>
  <c r="O160" i="39"/>
  <c r="H160" i="39"/>
  <c r="P160" i="39"/>
  <c r="I160" i="39"/>
  <c r="Z160" i="39" s="1"/>
  <c r="Q160" i="39"/>
  <c r="B160" i="39"/>
  <c r="AF160" i="39" s="1"/>
  <c r="D160" i="39"/>
  <c r="AJ160" i="39" s="1"/>
  <c r="J160" i="39"/>
  <c r="AN160" i="39" s="1"/>
  <c r="L160" i="39"/>
  <c r="AQ160" i="39" s="1"/>
  <c r="AL118" i="39"/>
  <c r="AC118" i="39"/>
  <c r="AE118" i="39"/>
  <c r="AU74" i="39"/>
  <c r="B74" i="39"/>
  <c r="AF74" i="39" s="1"/>
  <c r="J74" i="39"/>
  <c r="AN74" i="39" s="1"/>
  <c r="C74" i="39"/>
  <c r="K74" i="39"/>
  <c r="AK74" i="39" s="1"/>
  <c r="D74" i="39"/>
  <c r="AJ74" i="39" s="1"/>
  <c r="L74" i="39"/>
  <c r="AQ74" i="39" s="1"/>
  <c r="E74" i="39"/>
  <c r="M74" i="39"/>
  <c r="AS74" i="39" s="1"/>
  <c r="F74" i="39"/>
  <c r="AM74" i="39" s="1"/>
  <c r="N74" i="39"/>
  <c r="G74" i="39"/>
  <c r="O74" i="39"/>
  <c r="I74" i="39"/>
  <c r="P74" i="39"/>
  <c r="Q74" i="39"/>
  <c r="H74" i="39"/>
  <c r="AC157" i="39"/>
  <c r="AL157" i="39"/>
  <c r="AE157" i="39"/>
  <c r="AU135" i="39"/>
  <c r="D135" i="39"/>
  <c r="AJ135" i="39" s="1"/>
  <c r="L135" i="39"/>
  <c r="AQ135" i="39" s="1"/>
  <c r="E135" i="39"/>
  <c r="M135" i="39"/>
  <c r="AS135" i="39" s="1"/>
  <c r="F135" i="39"/>
  <c r="AM135" i="39" s="1"/>
  <c r="N135" i="39"/>
  <c r="G135" i="39"/>
  <c r="O135" i="39"/>
  <c r="H135" i="39"/>
  <c r="P135" i="39"/>
  <c r="I135" i="39"/>
  <c r="Q135" i="39"/>
  <c r="B135" i="39"/>
  <c r="AF135" i="39" s="1"/>
  <c r="J135" i="39"/>
  <c r="AN135" i="39" s="1"/>
  <c r="K135" i="39"/>
  <c r="AK135" i="39" s="1"/>
  <c r="C135" i="39"/>
  <c r="AU98" i="39"/>
  <c r="B98" i="39"/>
  <c r="AF98" i="39" s="1"/>
  <c r="J98" i="39"/>
  <c r="AN98" i="39" s="1"/>
  <c r="F98" i="39"/>
  <c r="AM98" i="39" s="1"/>
  <c r="N98" i="39"/>
  <c r="G98" i="39"/>
  <c r="O98" i="39"/>
  <c r="K98" i="39"/>
  <c r="AK98" i="39" s="1"/>
  <c r="E98" i="39"/>
  <c r="H98" i="39"/>
  <c r="I98" i="39"/>
  <c r="L98" i="39"/>
  <c r="AQ98" i="39" s="1"/>
  <c r="M98" i="39"/>
  <c r="AS98" i="39" s="1"/>
  <c r="P98" i="39"/>
  <c r="Q98" i="39"/>
  <c r="C98" i="39"/>
  <c r="D98" i="39"/>
  <c r="AJ98" i="39" s="1"/>
  <c r="AU182" i="39"/>
  <c r="G182" i="39"/>
  <c r="O182" i="39"/>
  <c r="I182" i="39"/>
  <c r="Q182" i="39"/>
  <c r="C182" i="39"/>
  <c r="K182" i="39"/>
  <c r="AK182" i="39" s="1"/>
  <c r="B182" i="39"/>
  <c r="AF182" i="39" s="1"/>
  <c r="N182" i="39"/>
  <c r="D182" i="39"/>
  <c r="AJ182" i="39" s="1"/>
  <c r="P182" i="39"/>
  <c r="E182" i="39"/>
  <c r="F182" i="39"/>
  <c r="AM182" i="39" s="1"/>
  <c r="H182" i="39"/>
  <c r="J182" i="39"/>
  <c r="AN182" i="39" s="1"/>
  <c r="L182" i="39"/>
  <c r="AQ182" i="39" s="1"/>
  <c r="M182" i="39"/>
  <c r="AS182" i="39" s="1"/>
  <c r="AE140" i="39"/>
  <c r="AC140" i="39"/>
  <c r="AL140" i="39"/>
  <c r="AU118" i="39"/>
  <c r="E118" i="39"/>
  <c r="M118" i="39"/>
  <c r="AS118" i="39" s="1"/>
  <c r="F118" i="39"/>
  <c r="AM118" i="39" s="1"/>
  <c r="N118" i="39"/>
  <c r="G118" i="39"/>
  <c r="O118" i="39"/>
  <c r="H118" i="39"/>
  <c r="P118" i="39"/>
  <c r="I118" i="39"/>
  <c r="Q118" i="39"/>
  <c r="B118" i="39"/>
  <c r="AF118" i="39" s="1"/>
  <c r="J118" i="39"/>
  <c r="AN118" i="39" s="1"/>
  <c r="C118" i="39"/>
  <c r="K118" i="39"/>
  <c r="AK118" i="39" s="1"/>
  <c r="D118" i="39"/>
  <c r="AJ118" i="39" s="1"/>
  <c r="L118" i="39"/>
  <c r="AQ118" i="39" s="1"/>
  <c r="AC139" i="39"/>
  <c r="AL139" i="39"/>
  <c r="AE139" i="39"/>
  <c r="AU117" i="39"/>
  <c r="F117" i="39"/>
  <c r="AM117" i="39" s="1"/>
  <c r="N117" i="39"/>
  <c r="G117" i="39"/>
  <c r="O117" i="39"/>
  <c r="H117" i="39"/>
  <c r="P117" i="39"/>
  <c r="I117" i="39"/>
  <c r="Q117" i="39"/>
  <c r="B117" i="39"/>
  <c r="AF117" i="39" s="1"/>
  <c r="J117" i="39"/>
  <c r="AN117" i="39" s="1"/>
  <c r="C117" i="39"/>
  <c r="K117" i="39"/>
  <c r="AK117" i="39" s="1"/>
  <c r="D117" i="39"/>
  <c r="AJ117" i="39" s="1"/>
  <c r="L117" i="39"/>
  <c r="AQ117" i="39" s="1"/>
  <c r="M117" i="39"/>
  <c r="AS117" i="39" s="1"/>
  <c r="E117" i="39"/>
  <c r="AU73" i="39"/>
  <c r="C73" i="39"/>
  <c r="K73" i="39"/>
  <c r="AK73" i="39" s="1"/>
  <c r="D73" i="39"/>
  <c r="AJ73" i="39" s="1"/>
  <c r="L73" i="39"/>
  <c r="AQ73" i="39" s="1"/>
  <c r="E73" i="39"/>
  <c r="M73" i="39"/>
  <c r="AS73" i="39" s="1"/>
  <c r="F73" i="39"/>
  <c r="AM73" i="39" s="1"/>
  <c r="N73" i="39"/>
  <c r="G73" i="39"/>
  <c r="O73" i="39"/>
  <c r="H73" i="39"/>
  <c r="P73" i="39"/>
  <c r="B73" i="39"/>
  <c r="AF73" i="39" s="1"/>
  <c r="Q73" i="39"/>
  <c r="I73" i="39"/>
  <c r="J73" i="39"/>
  <c r="AN73" i="39" s="1"/>
  <c r="AC146" i="39"/>
  <c r="AL146" i="39"/>
  <c r="AE146" i="39"/>
  <c r="AU124" i="39"/>
  <c r="G124" i="39"/>
  <c r="O124" i="39"/>
  <c r="H124" i="39"/>
  <c r="P124" i="39"/>
  <c r="I124" i="39"/>
  <c r="Q124" i="39"/>
  <c r="B124" i="39"/>
  <c r="AF124" i="39" s="1"/>
  <c r="J124" i="39"/>
  <c r="AN124" i="39" s="1"/>
  <c r="C124" i="39"/>
  <c r="K124" i="39"/>
  <c r="AK124" i="39" s="1"/>
  <c r="D124" i="39"/>
  <c r="AJ124" i="39" s="1"/>
  <c r="L124" i="39"/>
  <c r="AQ124" i="39" s="1"/>
  <c r="E124" i="39"/>
  <c r="M124" i="39"/>
  <c r="AS124" i="39" s="1"/>
  <c r="F124" i="39"/>
  <c r="AM124" i="39" s="1"/>
  <c r="N124" i="39"/>
  <c r="AU105" i="39"/>
  <c r="C105" i="39"/>
  <c r="K105" i="39"/>
  <c r="AK105" i="39" s="1"/>
  <c r="H105" i="39"/>
  <c r="P105" i="39"/>
  <c r="I105" i="39"/>
  <c r="J105" i="39"/>
  <c r="AN105" i="39" s="1"/>
  <c r="L105" i="39"/>
  <c r="AQ105" i="39" s="1"/>
  <c r="B105" i="39"/>
  <c r="AF105" i="39" s="1"/>
  <c r="M105" i="39"/>
  <c r="AS105" i="39" s="1"/>
  <c r="D105" i="39"/>
  <c r="AJ105" i="39" s="1"/>
  <c r="N105" i="39"/>
  <c r="E105" i="39"/>
  <c r="O105" i="39"/>
  <c r="F105" i="39"/>
  <c r="AM105" i="39" s="1"/>
  <c r="Q105" i="39"/>
  <c r="G105" i="39"/>
  <c r="AE121" i="39"/>
  <c r="AC121" i="39"/>
  <c r="AL121" i="39"/>
  <c r="AE144" i="39"/>
  <c r="AL144" i="39"/>
  <c r="AC144" i="39"/>
  <c r="AU122" i="39"/>
  <c r="I122" i="39"/>
  <c r="Q122" i="39"/>
  <c r="B122" i="39"/>
  <c r="AF122" i="39" s="1"/>
  <c r="J122" i="39"/>
  <c r="AN122" i="39" s="1"/>
  <c r="C122" i="39"/>
  <c r="K122" i="39"/>
  <c r="AK122" i="39" s="1"/>
  <c r="D122" i="39"/>
  <c r="AJ122" i="39" s="1"/>
  <c r="L122" i="39"/>
  <c r="AQ122" i="39" s="1"/>
  <c r="E122" i="39"/>
  <c r="M122" i="39"/>
  <c r="AS122" i="39" s="1"/>
  <c r="F122" i="39"/>
  <c r="AM122" i="39" s="1"/>
  <c r="N122" i="39"/>
  <c r="G122" i="39"/>
  <c r="O122" i="39"/>
  <c r="P122" i="39"/>
  <c r="H122" i="39"/>
  <c r="AE79" i="39"/>
  <c r="AL79" i="39"/>
  <c r="AC79" i="39"/>
  <c r="AC64" i="39"/>
  <c r="AL64" i="39"/>
  <c r="AE64" i="39"/>
  <c r="AL87" i="39"/>
  <c r="AE87" i="39"/>
  <c r="AC87" i="39"/>
  <c r="AU82" i="39"/>
  <c r="B82" i="39"/>
  <c r="AF82" i="39" s="1"/>
  <c r="J82" i="39"/>
  <c r="AN82" i="39" s="1"/>
  <c r="C82" i="39"/>
  <c r="K82" i="39"/>
  <c r="AK82" i="39" s="1"/>
  <c r="D82" i="39"/>
  <c r="AJ82" i="39" s="1"/>
  <c r="L82" i="39"/>
  <c r="AQ82" i="39" s="1"/>
  <c r="E82" i="39"/>
  <c r="M82" i="39"/>
  <c r="AS82" i="39" s="1"/>
  <c r="F82" i="39"/>
  <c r="AM82" i="39" s="1"/>
  <c r="N82" i="39"/>
  <c r="G82" i="39"/>
  <c r="O82" i="39"/>
  <c r="P82" i="39"/>
  <c r="Q82" i="39"/>
  <c r="H82" i="39"/>
  <c r="I82" i="39"/>
  <c r="AU57" i="39"/>
  <c r="C57" i="39"/>
  <c r="K57" i="39"/>
  <c r="AK57" i="39" s="1"/>
  <c r="D57" i="39"/>
  <c r="AJ57" i="39" s="1"/>
  <c r="L57" i="39"/>
  <c r="AQ57" i="39" s="1"/>
  <c r="E57" i="39"/>
  <c r="M57" i="39"/>
  <c r="AS57" i="39" s="1"/>
  <c r="F57" i="39"/>
  <c r="AM57" i="39" s="1"/>
  <c r="N57" i="39"/>
  <c r="G57" i="39"/>
  <c r="O57" i="39"/>
  <c r="H57" i="39"/>
  <c r="P57" i="39"/>
  <c r="I57" i="39"/>
  <c r="Q57" i="39"/>
  <c r="B57" i="39"/>
  <c r="AF57" i="39" s="1"/>
  <c r="J57" i="39"/>
  <c r="AN57" i="39" s="1"/>
  <c r="AE94" i="39"/>
  <c r="AC94" i="39"/>
  <c r="AL94" i="39"/>
  <c r="AU72" i="39"/>
  <c r="D72" i="39"/>
  <c r="AJ72" i="39" s="1"/>
  <c r="L72" i="39"/>
  <c r="AQ72" i="39" s="1"/>
  <c r="E72" i="39"/>
  <c r="M72" i="39"/>
  <c r="AS72" i="39" s="1"/>
  <c r="F72" i="39"/>
  <c r="AM72" i="39" s="1"/>
  <c r="N72" i="39"/>
  <c r="G72" i="39"/>
  <c r="O72" i="39"/>
  <c r="H72" i="39"/>
  <c r="P72" i="39"/>
  <c r="I72" i="39"/>
  <c r="Q72" i="39"/>
  <c r="J72" i="39"/>
  <c r="AN72" i="39" s="1"/>
  <c r="K72" i="39"/>
  <c r="AK72" i="39" s="1"/>
  <c r="B72" i="39"/>
  <c r="AF72" i="39" s="1"/>
  <c r="C72" i="39"/>
  <c r="AC30" i="39"/>
  <c r="AL30" i="39"/>
  <c r="AE30" i="39"/>
  <c r="AU79" i="39"/>
  <c r="E79" i="39"/>
  <c r="M79" i="39"/>
  <c r="AS79" i="39" s="1"/>
  <c r="F79" i="39"/>
  <c r="AM79" i="39" s="1"/>
  <c r="N79" i="39"/>
  <c r="G79" i="39"/>
  <c r="O79" i="39"/>
  <c r="H79" i="39"/>
  <c r="P79" i="39"/>
  <c r="I79" i="39"/>
  <c r="Q79" i="39"/>
  <c r="B79" i="39"/>
  <c r="AF79" i="39" s="1"/>
  <c r="J79" i="39"/>
  <c r="AN79" i="39" s="1"/>
  <c r="L79" i="39"/>
  <c r="AQ79" i="39" s="1"/>
  <c r="C79" i="39"/>
  <c r="D79" i="39"/>
  <c r="AJ79" i="39" s="1"/>
  <c r="K79" i="39"/>
  <c r="AK79" i="39" s="1"/>
  <c r="AC37" i="39"/>
  <c r="AL37" i="39"/>
  <c r="AE37" i="39"/>
  <c r="AE76" i="39"/>
  <c r="AC76" i="39"/>
  <c r="AL76" i="39"/>
  <c r="AU54" i="39"/>
  <c r="F54" i="39"/>
  <c r="AM54" i="39" s="1"/>
  <c r="N54" i="39"/>
  <c r="G54" i="39"/>
  <c r="O54" i="39"/>
  <c r="H54" i="39"/>
  <c r="P54" i="39"/>
  <c r="I54" i="39"/>
  <c r="Q54" i="39"/>
  <c r="B54" i="39"/>
  <c r="AF54" i="39" s="1"/>
  <c r="J54" i="39"/>
  <c r="AN54" i="39" s="1"/>
  <c r="C54" i="39"/>
  <c r="K54" i="39"/>
  <c r="AK54" i="39" s="1"/>
  <c r="D54" i="39"/>
  <c r="AJ54" i="39" s="1"/>
  <c r="L54" i="39"/>
  <c r="AQ54" i="39" s="1"/>
  <c r="E54" i="39"/>
  <c r="M54" i="39"/>
  <c r="AS54" i="39" s="1"/>
  <c r="AC75" i="39"/>
  <c r="AL75" i="39"/>
  <c r="AE75" i="39"/>
  <c r="AU53" i="39"/>
  <c r="G53" i="39"/>
  <c r="O53" i="39"/>
  <c r="H53" i="39"/>
  <c r="P53" i="39"/>
  <c r="I53" i="39"/>
  <c r="Q53" i="39"/>
  <c r="B53" i="39"/>
  <c r="AF53" i="39" s="1"/>
  <c r="J53" i="39"/>
  <c r="AN53" i="39" s="1"/>
  <c r="C53" i="39"/>
  <c r="K53" i="39"/>
  <c r="AK53" i="39" s="1"/>
  <c r="D53" i="39"/>
  <c r="AJ53" i="39" s="1"/>
  <c r="L53" i="39"/>
  <c r="AQ53" i="39" s="1"/>
  <c r="E53" i="39"/>
  <c r="M53" i="39"/>
  <c r="AS53" i="39" s="1"/>
  <c r="F53" i="39"/>
  <c r="AM53" i="39" s="1"/>
  <c r="N53" i="39"/>
  <c r="AC66" i="39"/>
  <c r="AL66" i="39"/>
  <c r="AE66" i="39"/>
  <c r="AU44" i="39"/>
  <c r="H44" i="39"/>
  <c r="P44" i="39"/>
  <c r="I44" i="39"/>
  <c r="Q44" i="39"/>
  <c r="B44" i="39"/>
  <c r="AF44" i="39" s="1"/>
  <c r="J44" i="39"/>
  <c r="AN44" i="39" s="1"/>
  <c r="C44" i="39"/>
  <c r="K44" i="39"/>
  <c r="AK44" i="39" s="1"/>
  <c r="D44" i="39"/>
  <c r="AJ44" i="39" s="1"/>
  <c r="L44" i="39"/>
  <c r="AQ44" i="39" s="1"/>
  <c r="E44" i="39"/>
  <c r="M44" i="39"/>
  <c r="AS44" i="39" s="1"/>
  <c r="F44" i="39"/>
  <c r="AM44" i="39" s="1"/>
  <c r="N44" i="39"/>
  <c r="G44" i="39"/>
  <c r="O44" i="39"/>
  <c r="AE73" i="39"/>
  <c r="AC73" i="39"/>
  <c r="AL73" i="39"/>
  <c r="AU51" i="39"/>
  <c r="I51" i="39"/>
  <c r="Z51" i="39" s="1"/>
  <c r="AP51" i="39" s="1"/>
  <c r="Q51" i="39"/>
  <c r="B51" i="39"/>
  <c r="AF51" i="39" s="1"/>
  <c r="J51" i="39"/>
  <c r="AN51" i="39" s="1"/>
  <c r="C51" i="39"/>
  <c r="K51" i="39"/>
  <c r="AK51" i="39" s="1"/>
  <c r="D51" i="39"/>
  <c r="AJ51" i="39" s="1"/>
  <c r="L51" i="39"/>
  <c r="AQ51" i="39" s="1"/>
  <c r="E51" i="39"/>
  <c r="M51" i="39"/>
  <c r="AS51" i="39" s="1"/>
  <c r="F51" i="39"/>
  <c r="AM51" i="39" s="1"/>
  <c r="N51" i="39"/>
  <c r="G51" i="39"/>
  <c r="O51" i="39"/>
  <c r="H51" i="39"/>
  <c r="P51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Z124" i="39" l="1"/>
  <c r="AP124" i="39" s="1"/>
  <c r="Z218" i="39"/>
  <c r="AP218" i="39" s="1"/>
  <c r="AP121" i="39"/>
  <c r="AP394" i="39"/>
  <c r="AP383" i="39"/>
  <c r="AP353" i="39"/>
  <c r="Z41" i="39"/>
  <c r="AP41" i="39" s="1"/>
  <c r="AP304" i="39"/>
  <c r="AP297" i="39"/>
  <c r="AP87" i="39"/>
  <c r="AP323" i="39"/>
  <c r="AP416" i="39"/>
  <c r="Z86" i="39"/>
  <c r="AP86" i="39" s="1"/>
  <c r="Z66" i="39"/>
  <c r="AP66" i="39" s="1"/>
  <c r="AP171" i="39"/>
  <c r="AP186" i="39"/>
  <c r="AP213" i="39"/>
  <c r="AP270" i="39"/>
  <c r="AP300" i="39"/>
  <c r="AP328" i="39"/>
  <c r="AP404" i="39"/>
  <c r="AP455" i="39"/>
  <c r="Z46" i="39"/>
  <c r="AP46" i="39" s="1"/>
  <c r="AP302" i="39"/>
  <c r="AP287" i="39"/>
  <c r="AP381" i="39"/>
  <c r="AP311" i="39"/>
  <c r="AP359" i="39"/>
  <c r="AP423" i="39"/>
  <c r="AP89" i="39"/>
  <c r="AP242" i="39"/>
  <c r="AP195" i="39"/>
  <c r="AP99" i="39"/>
  <c r="Z37" i="39"/>
  <c r="AP37" i="39" s="1"/>
  <c r="AP319" i="39"/>
  <c r="AP406" i="39"/>
  <c r="AP361" i="39"/>
  <c r="AP79" i="39"/>
  <c r="Z135" i="39"/>
  <c r="AP135" i="39" s="1"/>
  <c r="AP340" i="39"/>
  <c r="AP338" i="39"/>
  <c r="AP421" i="39"/>
  <c r="AP414" i="39"/>
  <c r="Z441" i="39"/>
  <c r="AP441" i="39" s="1"/>
  <c r="Z39" i="39"/>
  <c r="AP39" i="39" s="1"/>
  <c r="AP418" i="39"/>
  <c r="AP265" i="39"/>
  <c r="AP90" i="39"/>
  <c r="AP263" i="39"/>
  <c r="AP365" i="39"/>
  <c r="AP387" i="39"/>
  <c r="Z451" i="39"/>
  <c r="AP451" i="39" s="1"/>
  <c r="Z204" i="39"/>
  <c r="AP204" i="39" s="1"/>
  <c r="AP395" i="39"/>
  <c r="AP78" i="39"/>
  <c r="AP101" i="39"/>
  <c r="AP240" i="39"/>
  <c r="AP215" i="39"/>
  <c r="AP341" i="39"/>
  <c r="AP453" i="39"/>
  <c r="AP289" i="39"/>
  <c r="AP119" i="39"/>
  <c r="Z202" i="39"/>
  <c r="AP202" i="39" s="1"/>
  <c r="AP266" i="39"/>
  <c r="AP229" i="39"/>
  <c r="AP227" i="39"/>
  <c r="AP286" i="39"/>
  <c r="AP378" i="39"/>
  <c r="Z221" i="39"/>
  <c r="AP221" i="39" s="1"/>
  <c r="Z80" i="39"/>
  <c r="AP80" i="39" s="1"/>
  <c r="Z132" i="39"/>
  <c r="AP132" i="39" s="1"/>
  <c r="Z126" i="39"/>
  <c r="AP126" i="39" s="1"/>
  <c r="AP298" i="39"/>
  <c r="AP389" i="39"/>
  <c r="AP372" i="39"/>
  <c r="AP91" i="39"/>
  <c r="Z83" i="39"/>
  <c r="AP83" i="39" s="1"/>
  <c r="AP192" i="39"/>
  <c r="AP250" i="39"/>
  <c r="AP137" i="39"/>
  <c r="Z206" i="39"/>
  <c r="AP206" i="39" s="1"/>
  <c r="AP280" i="39"/>
  <c r="AP362" i="39"/>
  <c r="Z44" i="39"/>
  <c r="AP44" i="39" s="1"/>
  <c r="AP377" i="39"/>
  <c r="Z82" i="39"/>
  <c r="AP82" i="39" s="1"/>
  <c r="AP117" i="39"/>
  <c r="AP74" i="39"/>
  <c r="AP216" i="39"/>
  <c r="Z32" i="39"/>
  <c r="AP32" i="39" s="1"/>
  <c r="AP237" i="39"/>
  <c r="AP264" i="39"/>
  <c r="AP295" i="39"/>
  <c r="AP329" i="39"/>
  <c r="Z433" i="39"/>
  <c r="AP433" i="39" s="1"/>
  <c r="AP315" i="39"/>
  <c r="AP258" i="39"/>
  <c r="AP399" i="39"/>
  <c r="AP407" i="39"/>
  <c r="AP422" i="39"/>
  <c r="AP200" i="39"/>
  <c r="AP296" i="39"/>
  <c r="Z62" i="39"/>
  <c r="AP62" i="39" s="1"/>
  <c r="AP321" i="39"/>
  <c r="Z427" i="39"/>
  <c r="AP427" i="39" s="1"/>
  <c r="AP333" i="39"/>
  <c r="Z156" i="39"/>
  <c r="AP156" i="39" s="1"/>
  <c r="AP149" i="39"/>
  <c r="AP236" i="39"/>
  <c r="AP183" i="39"/>
  <c r="AP334" i="39"/>
  <c r="AP335" i="39"/>
  <c r="AP452" i="39"/>
  <c r="Z444" i="39"/>
  <c r="AP444" i="39" s="1"/>
  <c r="AP118" i="39"/>
  <c r="AP201" i="39"/>
  <c r="AP259" i="39"/>
  <c r="AP313" i="39"/>
  <c r="AP290" i="39"/>
  <c r="Z53" i="39"/>
  <c r="AP53" i="39" s="1"/>
  <c r="Z73" i="39"/>
  <c r="AP73" i="39" s="1"/>
  <c r="Z72" i="39"/>
  <c r="AP72" i="39" s="1"/>
  <c r="Z223" i="39"/>
  <c r="AP223" i="39" s="1"/>
  <c r="AP358" i="39"/>
  <c r="Z449" i="39"/>
  <c r="AP449" i="39" s="1"/>
  <c r="AP92" i="39"/>
  <c r="Z54" i="39"/>
  <c r="AP54" i="39" s="1"/>
  <c r="AP122" i="39"/>
  <c r="AP187" i="39"/>
  <c r="AP238" i="39"/>
  <c r="AP299" i="39"/>
  <c r="AP330" i="39"/>
  <c r="AP75" i="39"/>
  <c r="AP148" i="39"/>
  <c r="AP184" i="39"/>
  <c r="AP228" i="39"/>
  <c r="AP268" i="39"/>
  <c r="AP231" i="39"/>
  <c r="AP326" i="39"/>
  <c r="Z443" i="39"/>
  <c r="AP443" i="39" s="1"/>
  <c r="AP308" i="39"/>
  <c r="Z35" i="39"/>
  <c r="AP35" i="39" s="1"/>
  <c r="Z63" i="39"/>
  <c r="AP63" i="39" s="1"/>
  <c r="Z144" i="39"/>
  <c r="AP144" i="39" s="1"/>
  <c r="AP342" i="39"/>
  <c r="AP244" i="39"/>
  <c r="AP246" i="39"/>
  <c r="Z57" i="39"/>
  <c r="AP57" i="39" s="1"/>
  <c r="AP355" i="39"/>
  <c r="AP425" i="39"/>
  <c r="AP96" i="39"/>
  <c r="Z205" i="39"/>
  <c r="AP205" i="39" s="1"/>
  <c r="AP262" i="39"/>
  <c r="AP400" i="39"/>
  <c r="AP401" i="39"/>
  <c r="AP337" i="39"/>
  <c r="AP108" i="39"/>
  <c r="AP172" i="39"/>
  <c r="Z81" i="39"/>
  <c r="AP81" i="39" s="1"/>
  <c r="AP252" i="39"/>
  <c r="AP235" i="39"/>
  <c r="AP360" i="39"/>
  <c r="AP424" i="39"/>
  <c r="AP403" i="39"/>
  <c r="AP94" i="39"/>
  <c r="Z59" i="39"/>
  <c r="AP59" i="39" s="1"/>
  <c r="AP226" i="39"/>
  <c r="AP310" i="39"/>
  <c r="Z429" i="39"/>
  <c r="AP429" i="39" s="1"/>
  <c r="Z136" i="39"/>
  <c r="AP136" i="39" s="1"/>
  <c r="Z154" i="39"/>
  <c r="AP154" i="39" s="1"/>
  <c r="AP150" i="39"/>
  <c r="AP322" i="39"/>
  <c r="AP248" i="39"/>
  <c r="AP349" i="39"/>
  <c r="AP408" i="39"/>
  <c r="Z68" i="39"/>
  <c r="AP68" i="39" s="1"/>
  <c r="AP93" i="39"/>
  <c r="Z142" i="39"/>
  <c r="AP142" i="39" s="1"/>
  <c r="Z159" i="39"/>
  <c r="AP159" i="39" s="1"/>
  <c r="AP120" i="39"/>
  <c r="Z203" i="39"/>
  <c r="AP203" i="39" s="1"/>
  <c r="AP405" i="39"/>
  <c r="AP379" i="39"/>
  <c r="AP352" i="39"/>
  <c r="Z56" i="39"/>
  <c r="AP56" i="39" s="1"/>
  <c r="Z147" i="39"/>
  <c r="AP147" i="39" s="1"/>
  <c r="Z219" i="39"/>
  <c r="AP219" i="39" s="1"/>
  <c r="AP190" i="39"/>
  <c r="AP106" i="39"/>
  <c r="Z143" i="39"/>
  <c r="AP143" i="39" s="1"/>
  <c r="Z129" i="39"/>
  <c r="AP129" i="39" s="1"/>
  <c r="Z85" i="39"/>
  <c r="AP85" i="39" s="1"/>
  <c r="AP105" i="39"/>
  <c r="Z182" i="39"/>
  <c r="AP182" i="39" s="1"/>
  <c r="AP281" i="39"/>
  <c r="AP260" i="39"/>
  <c r="AP317" i="39"/>
  <c r="AP376" i="39"/>
  <c r="AP419" i="39"/>
  <c r="AP141" i="39"/>
  <c r="AP314" i="39"/>
  <c r="AP292" i="39"/>
  <c r="AP343" i="39"/>
  <c r="AP348" i="39"/>
  <c r="Z52" i="39"/>
  <c r="AP52" i="39" s="1"/>
  <c r="Z130" i="39"/>
  <c r="AP130" i="39" s="1"/>
  <c r="Z125" i="39"/>
  <c r="AP125" i="39" s="1"/>
  <c r="Z224" i="39"/>
  <c r="AP224" i="39" s="1"/>
  <c r="AP225" i="39"/>
  <c r="AP239" i="39"/>
  <c r="AP366" i="39"/>
  <c r="AP384" i="39"/>
  <c r="AP385" i="39"/>
  <c r="AP363" i="39"/>
  <c r="Z47" i="39"/>
  <c r="AP47" i="39" s="1"/>
  <c r="AP324" i="39"/>
  <c r="AP155" i="39"/>
  <c r="AP254" i="39"/>
  <c r="AP318" i="39"/>
  <c r="AP76" i="39"/>
  <c r="AP131" i="39"/>
  <c r="AP191" i="39"/>
  <c r="AP390" i="39"/>
  <c r="AP84" i="39"/>
  <c r="AP347" i="39"/>
  <c r="AP234" i="39"/>
  <c r="AP152" i="39"/>
  <c r="Z155" i="39"/>
  <c r="AP411" i="39"/>
  <c r="Z70" i="39"/>
  <c r="AP70" i="39" s="1"/>
  <c r="Z134" i="39"/>
  <c r="AP134" i="39" s="1"/>
  <c r="Z446" i="39"/>
  <c r="AP446" i="39" s="1"/>
  <c r="AP398" i="39"/>
  <c r="AP170" i="39"/>
  <c r="AP256" i="39"/>
  <c r="AP241" i="39"/>
  <c r="AP153" i="39"/>
  <c r="AP307" i="39"/>
  <c r="AP420" i="39"/>
  <c r="AP211" i="39"/>
  <c r="AP249" i="39"/>
  <c r="AP327" i="39"/>
  <c r="AP151" i="39"/>
  <c r="AP288" i="39"/>
  <c r="AP115" i="39"/>
  <c r="AP217" i="39"/>
  <c r="AP164" i="39"/>
  <c r="Z208" i="39"/>
  <c r="AP208" i="39" s="1"/>
  <c r="AP283" i="39"/>
  <c r="AP368" i="39"/>
  <c r="AP95" i="39"/>
  <c r="AP112" i="39"/>
  <c r="AP426" i="39"/>
  <c r="AP157" i="39"/>
  <c r="AP36" i="39"/>
  <c r="AP107" i="39"/>
  <c r="AP169" i="39"/>
  <c r="AP173" i="39"/>
  <c r="AP230" i="39"/>
  <c r="AP351" i="39"/>
  <c r="AP415" i="39"/>
  <c r="AP430" i="39"/>
  <c r="AP336" i="39"/>
  <c r="AP393" i="39"/>
  <c r="AP456" i="39"/>
  <c r="AP50" i="39"/>
  <c r="AP279" i="39"/>
  <c r="AP391" i="39"/>
  <c r="Z161" i="39"/>
  <c r="AP161" i="39" s="1"/>
  <c r="AP176" i="39"/>
  <c r="Z220" i="39"/>
  <c r="AP220" i="39" s="1"/>
  <c r="AP284" i="39"/>
  <c r="AP303" i="39"/>
  <c r="AP346" i="39"/>
  <c r="AP278" i="39"/>
  <c r="AP273" i="39"/>
  <c r="AP316" i="39"/>
  <c r="AP88" i="39"/>
  <c r="AP364" i="39"/>
  <c r="AP380" i="39"/>
  <c r="AP33" i="39"/>
  <c r="AP357" i="39"/>
  <c r="Z128" i="39"/>
  <c r="AP128" i="39" s="1"/>
  <c r="Z71" i="39"/>
  <c r="AP71" i="39" s="1"/>
  <c r="AP109" i="39"/>
  <c r="AP294" i="39"/>
  <c r="AP417" i="39"/>
  <c r="AP138" i="39"/>
  <c r="AP410" i="39"/>
  <c r="Z440" i="39"/>
  <c r="AP440" i="39" s="1"/>
  <c r="Z34" i="39"/>
  <c r="AP34" i="39" s="1"/>
  <c r="Z42" i="39"/>
  <c r="AP42" i="39" s="1"/>
  <c r="AP61" i="39"/>
  <c r="AP100" i="39"/>
  <c r="AP271" i="39"/>
  <c r="AP367" i="39"/>
  <c r="AP431" i="39"/>
  <c r="AP48" i="39"/>
  <c r="AP40" i="39"/>
  <c r="AP167" i="39"/>
  <c r="AP245" i="39"/>
  <c r="AP285" i="39"/>
  <c r="AP413" i="39"/>
  <c r="AP344" i="39"/>
  <c r="AP45" i="39"/>
  <c r="AP174" i="39"/>
  <c r="AP199" i="39"/>
  <c r="AP369" i="39"/>
  <c r="AP69" i="39"/>
  <c r="AP375" i="39"/>
  <c r="AP439" i="39"/>
  <c r="AP158" i="39"/>
  <c r="AP111" i="39"/>
  <c r="AP402" i="39"/>
  <c r="Z445" i="39"/>
  <c r="AP445" i="39" s="1"/>
  <c r="AP320" i="39"/>
  <c r="Z64" i="39"/>
  <c r="AP64" i="39" s="1"/>
  <c r="AP110" i="39"/>
  <c r="Z210" i="39"/>
  <c r="AP210" i="39" s="1"/>
  <c r="AP305" i="39"/>
  <c r="AP373" i="39"/>
  <c r="AP386" i="39"/>
  <c r="Z67" i="39"/>
  <c r="AP67" i="39" s="1"/>
  <c r="AP232" i="39"/>
  <c r="AP374" i="39"/>
  <c r="AP371" i="39"/>
  <c r="Z448" i="39"/>
  <c r="AP448" i="39" s="1"/>
  <c r="Z162" i="39"/>
  <c r="AP162" i="39" s="1"/>
  <c r="AP434" i="39"/>
  <c r="AP116" i="39"/>
  <c r="AP180" i="39"/>
  <c r="AP291" i="39"/>
  <c r="AP309" i="39"/>
  <c r="AP436" i="39"/>
  <c r="AP55" i="39"/>
  <c r="AP31" i="39"/>
  <c r="AP133" i="39"/>
  <c r="AP181" i="39"/>
  <c r="AP163" i="39"/>
  <c r="AP397" i="39"/>
  <c r="AP332" i="39"/>
  <c r="AP392" i="39"/>
  <c r="AP30" i="39"/>
  <c r="Z209" i="39"/>
  <c r="AP209" i="39" s="1"/>
  <c r="AP267" i="39"/>
  <c r="Z49" i="39"/>
  <c r="AP49" i="39" s="1"/>
  <c r="AP274" i="39"/>
  <c r="Z165" i="39"/>
  <c r="AP165" i="39" s="1"/>
  <c r="AP350" i="39"/>
  <c r="AP325" i="39"/>
  <c r="Z60" i="39"/>
  <c r="AP60" i="39" s="1"/>
  <c r="AP140" i="39"/>
  <c r="AP196" i="39"/>
  <c r="AP189" i="39"/>
  <c r="AP282" i="39"/>
  <c r="AP339" i="39"/>
  <c r="Z435" i="39"/>
  <c r="AP435" i="39" s="1"/>
  <c r="AP139" i="39"/>
  <c r="AP214" i="39"/>
  <c r="AP261" i="39"/>
  <c r="AP370" i="39"/>
  <c r="AB124" i="39"/>
  <c r="AH124" i="39"/>
  <c r="AH118" i="39"/>
  <c r="AB118" i="39"/>
  <c r="AO182" i="39"/>
  <c r="AD182" i="39"/>
  <c r="X182" i="39"/>
  <c r="Y182" i="39"/>
  <c r="AR98" i="39"/>
  <c r="R98" i="39"/>
  <c r="AR135" i="39"/>
  <c r="R135" i="39"/>
  <c r="AB160" i="39"/>
  <c r="AH160" i="39"/>
  <c r="AD178" i="39"/>
  <c r="AO178" i="39"/>
  <c r="X178" i="39"/>
  <c r="Y178" i="39"/>
  <c r="AP178" i="39"/>
  <c r="AR79" i="39"/>
  <c r="R79" i="39"/>
  <c r="AD121" i="39"/>
  <c r="AO121" i="39"/>
  <c r="X121" i="39"/>
  <c r="Y121" i="39"/>
  <c r="AH299" i="39"/>
  <c r="AB299" i="39"/>
  <c r="AR260" i="39"/>
  <c r="R260" i="39"/>
  <c r="AD312" i="39"/>
  <c r="AO312" i="39"/>
  <c r="X312" i="39"/>
  <c r="Y312" i="39"/>
  <c r="AB376" i="39"/>
  <c r="AH376" i="39"/>
  <c r="AB330" i="39"/>
  <c r="AH330" i="39"/>
  <c r="AO355" i="39"/>
  <c r="AD355" i="39"/>
  <c r="X355" i="39"/>
  <c r="Y355" i="39"/>
  <c r="AD432" i="39"/>
  <c r="AO432" i="39"/>
  <c r="Y432" i="39"/>
  <c r="X432" i="39"/>
  <c r="AR68" i="39"/>
  <c r="R68" i="39"/>
  <c r="AR78" i="39"/>
  <c r="R78" i="39"/>
  <c r="AR39" i="39"/>
  <c r="R39" i="39"/>
  <c r="AR93" i="39"/>
  <c r="R93" i="39"/>
  <c r="AR141" i="39"/>
  <c r="R141" i="39"/>
  <c r="AR142" i="39"/>
  <c r="R142" i="39"/>
  <c r="AB159" i="39"/>
  <c r="AH159" i="39"/>
  <c r="AR184" i="39"/>
  <c r="R184" i="39"/>
  <c r="AO179" i="39"/>
  <c r="AD179" i="39"/>
  <c r="X179" i="39"/>
  <c r="Y179" i="39"/>
  <c r="AP179" i="39"/>
  <c r="AR203" i="39"/>
  <c r="R203" i="39"/>
  <c r="AB54" i="39"/>
  <c r="AH54" i="39"/>
  <c r="AB72" i="39"/>
  <c r="AH72" i="39"/>
  <c r="AO82" i="39"/>
  <c r="AD82" i="39"/>
  <c r="X82" i="39"/>
  <c r="Y82" i="39"/>
  <c r="AO124" i="39"/>
  <c r="AD124" i="39"/>
  <c r="X124" i="39"/>
  <c r="Y124" i="39"/>
  <c r="AH117" i="39"/>
  <c r="AB117" i="39"/>
  <c r="AD118" i="39"/>
  <c r="AO118" i="39"/>
  <c r="X118" i="39"/>
  <c r="Y118" i="39"/>
  <c r="AB182" i="39"/>
  <c r="AH182" i="39"/>
  <c r="AH98" i="39"/>
  <c r="AB98" i="39"/>
  <c r="AR216" i="39"/>
  <c r="R216" i="39"/>
  <c r="AB216" i="39"/>
  <c r="AH216" i="39"/>
  <c r="AO113" i="39"/>
  <c r="AD113" i="39"/>
  <c r="X113" i="39"/>
  <c r="Y113" i="39"/>
  <c r="AR218" i="39"/>
  <c r="R218" i="39"/>
  <c r="AO281" i="39"/>
  <c r="AD281" i="39"/>
  <c r="X281" i="39"/>
  <c r="Y281" i="39"/>
  <c r="AB290" i="39"/>
  <c r="AH290" i="39"/>
  <c r="AD223" i="39"/>
  <c r="AO223" i="39"/>
  <c r="X223" i="39"/>
  <c r="Y223" i="39"/>
  <c r="AB276" i="39"/>
  <c r="AH276" i="39"/>
  <c r="AR299" i="39"/>
  <c r="R299" i="39"/>
  <c r="AO260" i="39"/>
  <c r="AD260" i="39"/>
  <c r="X260" i="39"/>
  <c r="Y260" i="39"/>
  <c r="AR302" i="39"/>
  <c r="R302" i="39"/>
  <c r="AB302" i="39"/>
  <c r="AH302" i="39"/>
  <c r="AR376" i="39"/>
  <c r="R376" i="39"/>
  <c r="AR330" i="39"/>
  <c r="R330" i="39"/>
  <c r="AP432" i="39"/>
  <c r="AR441" i="39"/>
  <c r="R441" i="39"/>
  <c r="AH68" i="39"/>
  <c r="AB68" i="39"/>
  <c r="AD77" i="39"/>
  <c r="AO77" i="39"/>
  <c r="X77" i="39"/>
  <c r="Y77" i="39"/>
  <c r="AB32" i="39"/>
  <c r="AH32" i="39"/>
  <c r="AO92" i="39"/>
  <c r="AD92" i="39"/>
  <c r="Y92" i="39"/>
  <c r="X92" i="39"/>
  <c r="AD146" i="39"/>
  <c r="AO146" i="39"/>
  <c r="X146" i="39"/>
  <c r="Y146" i="39"/>
  <c r="AO123" i="39"/>
  <c r="AD123" i="39"/>
  <c r="Y123" i="39"/>
  <c r="X123" i="39"/>
  <c r="AB184" i="39"/>
  <c r="AH184" i="39"/>
  <c r="AR205" i="39"/>
  <c r="R205" i="39"/>
  <c r="AR215" i="39"/>
  <c r="R215" i="39"/>
  <c r="AB215" i="39"/>
  <c r="AH215" i="39"/>
  <c r="AB314" i="39"/>
  <c r="AH314" i="39"/>
  <c r="AO231" i="39"/>
  <c r="AD231" i="39"/>
  <c r="X231" i="39"/>
  <c r="Y231" i="39"/>
  <c r="AR341" i="39"/>
  <c r="R341" i="39"/>
  <c r="AH341" i="39"/>
  <c r="AB341" i="39"/>
  <c r="AD382" i="39"/>
  <c r="AO382" i="39"/>
  <c r="Y382" i="39"/>
  <c r="X382" i="39"/>
  <c r="AR400" i="39"/>
  <c r="R400" i="39"/>
  <c r="AB401" i="39"/>
  <c r="AH401" i="39"/>
  <c r="AD354" i="39"/>
  <c r="AO354" i="39"/>
  <c r="X354" i="39"/>
  <c r="Y354" i="39"/>
  <c r="AO442" i="39"/>
  <c r="AD442" i="39"/>
  <c r="X442" i="39"/>
  <c r="Y442" i="39"/>
  <c r="AH331" i="39"/>
  <c r="AB331" i="39"/>
  <c r="AH37" i="39"/>
  <c r="AB37" i="39"/>
  <c r="AD38" i="39"/>
  <c r="AO38" i="39"/>
  <c r="X38" i="39"/>
  <c r="Y38" i="39"/>
  <c r="AB56" i="39"/>
  <c r="AH56" i="39"/>
  <c r="AR97" i="39"/>
  <c r="R97" i="39"/>
  <c r="AB172" i="39"/>
  <c r="AH172" i="39"/>
  <c r="AR81" i="39"/>
  <c r="R81" i="39"/>
  <c r="AH81" i="39"/>
  <c r="AB81" i="39"/>
  <c r="AD193" i="39"/>
  <c r="AO193" i="39"/>
  <c r="Y193" i="39"/>
  <c r="X193" i="39"/>
  <c r="AB193" i="39"/>
  <c r="AH193" i="39"/>
  <c r="AR266" i="39"/>
  <c r="R266" i="39"/>
  <c r="AO222" i="39"/>
  <c r="AD222" i="39"/>
  <c r="X222" i="39"/>
  <c r="Y222" i="39"/>
  <c r="AR277" i="39"/>
  <c r="R277" i="39"/>
  <c r="AH277" i="39"/>
  <c r="AB277" i="39"/>
  <c r="AR263" i="39"/>
  <c r="R263" i="39"/>
  <c r="AR406" i="39"/>
  <c r="R406" i="39"/>
  <c r="AB378" i="39"/>
  <c r="AH378" i="39"/>
  <c r="AR422" i="39"/>
  <c r="R422" i="39"/>
  <c r="AR185" i="39"/>
  <c r="R185" i="39"/>
  <c r="AR221" i="39"/>
  <c r="R221" i="39"/>
  <c r="AD59" i="39"/>
  <c r="AO59" i="39"/>
  <c r="X59" i="39"/>
  <c r="Y59" i="39"/>
  <c r="AB132" i="39"/>
  <c r="AH132" i="39"/>
  <c r="AD126" i="39"/>
  <c r="AO126" i="39"/>
  <c r="X126" i="39"/>
  <c r="Y126" i="39"/>
  <c r="AB246" i="39"/>
  <c r="AH246" i="39"/>
  <c r="AB298" i="39"/>
  <c r="AH298" i="39"/>
  <c r="AD307" i="39"/>
  <c r="AO307" i="39"/>
  <c r="X307" i="39"/>
  <c r="Y307" i="39"/>
  <c r="AB239" i="39"/>
  <c r="AH239" i="39"/>
  <c r="AB367" i="39"/>
  <c r="AH367" i="39"/>
  <c r="AR431" i="39"/>
  <c r="R431" i="39"/>
  <c r="AB384" i="39"/>
  <c r="AH384" i="39"/>
  <c r="AR402" i="39"/>
  <c r="R402" i="39"/>
  <c r="AH428" i="39"/>
  <c r="AB428" i="39"/>
  <c r="AD333" i="39"/>
  <c r="AO333" i="39"/>
  <c r="X333" i="39"/>
  <c r="Y333" i="39"/>
  <c r="AB48" i="39"/>
  <c r="AH48" i="39"/>
  <c r="AO34" i="39"/>
  <c r="AD34" i="39"/>
  <c r="X34" i="39"/>
  <c r="Y34" i="39"/>
  <c r="AR86" i="39"/>
  <c r="R86" i="39"/>
  <c r="AR47" i="39"/>
  <c r="R47" i="39"/>
  <c r="AR156" i="39"/>
  <c r="R156" i="39"/>
  <c r="AR167" i="39"/>
  <c r="R167" i="39"/>
  <c r="AR191" i="39"/>
  <c r="R191" i="39"/>
  <c r="AO211" i="39"/>
  <c r="AD211" i="39"/>
  <c r="X211" i="39"/>
  <c r="Y211" i="39"/>
  <c r="AD137" i="39"/>
  <c r="AO137" i="39"/>
  <c r="X137" i="39"/>
  <c r="Y137" i="39"/>
  <c r="AD186" i="39"/>
  <c r="AO186" i="39"/>
  <c r="X186" i="39"/>
  <c r="Y186" i="39"/>
  <c r="AR206" i="39"/>
  <c r="R206" i="39"/>
  <c r="AH206" i="39"/>
  <c r="AB206" i="39"/>
  <c r="AR270" i="39"/>
  <c r="R270" i="39"/>
  <c r="AO183" i="39"/>
  <c r="AD183" i="39"/>
  <c r="Y183" i="39"/>
  <c r="X183" i="39"/>
  <c r="AO280" i="39"/>
  <c r="AD280" i="39"/>
  <c r="X280" i="39"/>
  <c r="Y280" i="39"/>
  <c r="AR251" i="39"/>
  <c r="R251" i="39"/>
  <c r="AR269" i="39"/>
  <c r="R269" i="39"/>
  <c r="AR320" i="39"/>
  <c r="R320" i="39"/>
  <c r="AD390" i="39"/>
  <c r="AO390" i="39"/>
  <c r="Y390" i="39"/>
  <c r="X390" i="39"/>
  <c r="AD335" i="39"/>
  <c r="AO335" i="39"/>
  <c r="Y335" i="39"/>
  <c r="X335" i="39"/>
  <c r="AH391" i="39"/>
  <c r="AB391" i="39"/>
  <c r="AD344" i="39"/>
  <c r="AO344" i="39"/>
  <c r="X344" i="39"/>
  <c r="Y344" i="39"/>
  <c r="AB408" i="39"/>
  <c r="AH408" i="39"/>
  <c r="AD345" i="39"/>
  <c r="AO345" i="39"/>
  <c r="X345" i="39"/>
  <c r="Y345" i="39"/>
  <c r="AB362" i="39"/>
  <c r="AH362" i="39"/>
  <c r="AD451" i="39"/>
  <c r="AO451" i="39"/>
  <c r="X451" i="39"/>
  <c r="Y451" i="39"/>
  <c r="AR452" i="39"/>
  <c r="R452" i="39"/>
  <c r="AO404" i="39"/>
  <c r="AD404" i="39"/>
  <c r="X404" i="39"/>
  <c r="Y404" i="39"/>
  <c r="AD455" i="39"/>
  <c r="AO455" i="39"/>
  <c r="X455" i="39"/>
  <c r="Y455" i="39"/>
  <c r="AD293" i="39"/>
  <c r="AO293" i="39"/>
  <c r="X293" i="39"/>
  <c r="Y293" i="39"/>
  <c r="AR398" i="39"/>
  <c r="R398" i="39"/>
  <c r="AH398" i="39"/>
  <c r="AB398" i="39"/>
  <c r="AO370" i="39"/>
  <c r="AD370" i="39"/>
  <c r="X370" i="39"/>
  <c r="Y370" i="39"/>
  <c r="AH71" i="39"/>
  <c r="AB71" i="39"/>
  <c r="AD64" i="39"/>
  <c r="AO64" i="39"/>
  <c r="X64" i="39"/>
  <c r="Y64" i="39"/>
  <c r="AD114" i="39"/>
  <c r="AO114" i="39"/>
  <c r="X114" i="39"/>
  <c r="Y114" i="39"/>
  <c r="AD180" i="39"/>
  <c r="AO180" i="39"/>
  <c r="X180" i="39"/>
  <c r="Y180" i="39"/>
  <c r="AR109" i="39"/>
  <c r="R109" i="39"/>
  <c r="AD208" i="39"/>
  <c r="AO208" i="39"/>
  <c r="X208" i="39"/>
  <c r="Y208" i="39"/>
  <c r="AD161" i="39"/>
  <c r="AO161" i="39"/>
  <c r="X161" i="39"/>
  <c r="Y161" i="39"/>
  <c r="AO173" i="39"/>
  <c r="AD173" i="39"/>
  <c r="Y173" i="39"/>
  <c r="X173" i="39"/>
  <c r="AR199" i="39"/>
  <c r="R199" i="39"/>
  <c r="AR305" i="39"/>
  <c r="R305" i="39"/>
  <c r="AH305" i="39"/>
  <c r="AB305" i="39"/>
  <c r="AD283" i="39"/>
  <c r="AO283" i="39"/>
  <c r="X283" i="39"/>
  <c r="Y283" i="39"/>
  <c r="AD351" i="39"/>
  <c r="AO351" i="39"/>
  <c r="X351" i="39"/>
  <c r="Y351" i="39"/>
  <c r="AD386" i="39"/>
  <c r="AO386" i="39"/>
  <c r="X386" i="39"/>
  <c r="Y386" i="39"/>
  <c r="AD454" i="39"/>
  <c r="AO454" i="39"/>
  <c r="X454" i="39"/>
  <c r="Y454" i="39"/>
  <c r="AO450" i="39"/>
  <c r="AD450" i="39"/>
  <c r="X450" i="39"/>
  <c r="Y450" i="39"/>
  <c r="AD430" i="39"/>
  <c r="AO430" i="39"/>
  <c r="Y430" i="39"/>
  <c r="X430" i="39"/>
  <c r="AH162" i="39"/>
  <c r="AB162" i="39"/>
  <c r="AR60" i="39"/>
  <c r="R60" i="39"/>
  <c r="AR70" i="39"/>
  <c r="R70" i="39"/>
  <c r="AR31" i="39"/>
  <c r="R31" i="39"/>
  <c r="AR88" i="39"/>
  <c r="R88" i="39"/>
  <c r="AH134" i="39"/>
  <c r="AB134" i="39"/>
  <c r="AR181" i="39"/>
  <c r="R181" i="39"/>
  <c r="AO196" i="39"/>
  <c r="AD196" i="39"/>
  <c r="X196" i="39"/>
  <c r="Y196" i="39"/>
  <c r="AB196" i="39"/>
  <c r="AH196" i="39"/>
  <c r="AD220" i="39"/>
  <c r="AO220" i="39"/>
  <c r="X220" i="39"/>
  <c r="Y220" i="39"/>
  <c r="AO145" i="39"/>
  <c r="AD145" i="39"/>
  <c r="X145" i="39"/>
  <c r="Y145" i="39"/>
  <c r="AD303" i="39"/>
  <c r="AO303" i="39"/>
  <c r="X303" i="39"/>
  <c r="Y303" i="39"/>
  <c r="AB332" i="39"/>
  <c r="AH332" i="39"/>
  <c r="AD374" i="39"/>
  <c r="AO374" i="39"/>
  <c r="Y374" i="39"/>
  <c r="X374" i="39"/>
  <c r="AD375" i="39"/>
  <c r="AO375" i="39"/>
  <c r="X375" i="39"/>
  <c r="Y375" i="39"/>
  <c r="AR438" i="39"/>
  <c r="R438" i="39"/>
  <c r="AD448" i="39"/>
  <c r="AO448" i="39"/>
  <c r="X448" i="39"/>
  <c r="Y448" i="39"/>
  <c r="AB30" i="39"/>
  <c r="AH30" i="39"/>
  <c r="AR33" i="39"/>
  <c r="R33" i="39"/>
  <c r="AH33" i="39"/>
  <c r="AB33" i="39"/>
  <c r="AB164" i="39"/>
  <c r="AH164" i="39"/>
  <c r="AO111" i="39"/>
  <c r="AD111" i="39"/>
  <c r="X111" i="39"/>
  <c r="Y111" i="39"/>
  <c r="AH420" i="39"/>
  <c r="AB420" i="39"/>
  <c r="AO261" i="39"/>
  <c r="AD261" i="39"/>
  <c r="Y261" i="39"/>
  <c r="X261" i="39"/>
  <c r="AO357" i="39"/>
  <c r="AD357" i="39"/>
  <c r="X357" i="39"/>
  <c r="Y357" i="39"/>
  <c r="AR54" i="39"/>
  <c r="R54" i="39"/>
  <c r="AD275" i="39"/>
  <c r="AO275" i="39"/>
  <c r="X275" i="39"/>
  <c r="Y275" i="39"/>
  <c r="AR287" i="39"/>
  <c r="R287" i="39"/>
  <c r="AB287" i="39"/>
  <c r="AH287" i="39"/>
  <c r="AR423" i="39"/>
  <c r="R423" i="39"/>
  <c r="AD377" i="39"/>
  <c r="AO377" i="39"/>
  <c r="X377" i="39"/>
  <c r="Y377" i="39"/>
  <c r="AD394" i="39"/>
  <c r="AO394" i="39"/>
  <c r="X394" i="39"/>
  <c r="Y394" i="39"/>
  <c r="AR419" i="39"/>
  <c r="R419" i="39"/>
  <c r="AR432" i="39"/>
  <c r="R432" i="39"/>
  <c r="AB449" i="39"/>
  <c r="AH449" i="39"/>
  <c r="AR421" i="39"/>
  <c r="R421" i="39"/>
  <c r="AO96" i="39"/>
  <c r="AD96" i="39"/>
  <c r="Y96" i="39"/>
  <c r="X96" i="39"/>
  <c r="AO101" i="39"/>
  <c r="AD101" i="39"/>
  <c r="X101" i="39"/>
  <c r="Y101" i="39"/>
  <c r="AB148" i="39"/>
  <c r="AH148" i="39"/>
  <c r="AD93" i="39"/>
  <c r="AO93" i="39"/>
  <c r="X93" i="39"/>
  <c r="Y93" i="39"/>
  <c r="AR103" i="39"/>
  <c r="R103" i="39"/>
  <c r="AR159" i="39"/>
  <c r="R159" i="39"/>
  <c r="AH240" i="39"/>
  <c r="AB240" i="39"/>
  <c r="AR179" i="39"/>
  <c r="R179" i="39"/>
  <c r="AH242" i="39"/>
  <c r="AB242" i="39"/>
  <c r="AR262" i="39"/>
  <c r="R262" i="39"/>
  <c r="AH268" i="39"/>
  <c r="AB268" i="39"/>
  <c r="AR231" i="39"/>
  <c r="R231" i="39"/>
  <c r="AR237" i="39"/>
  <c r="R237" i="39"/>
  <c r="AD237" i="39"/>
  <c r="AO237" i="39"/>
  <c r="Y237" i="39"/>
  <c r="X237" i="39"/>
  <c r="AH292" i="39"/>
  <c r="AB292" i="39"/>
  <c r="AB264" i="39"/>
  <c r="AH264" i="39"/>
  <c r="AR295" i="39"/>
  <c r="R295" i="39"/>
  <c r="AB295" i="39"/>
  <c r="AH295" i="39"/>
  <c r="AH383" i="39"/>
  <c r="AB383" i="39"/>
  <c r="AR401" i="39"/>
  <c r="R401" i="39"/>
  <c r="AB443" i="39"/>
  <c r="AH443" i="39"/>
  <c r="AD443" i="39"/>
  <c r="AO443" i="39"/>
  <c r="X443" i="39"/>
  <c r="Y443" i="39"/>
  <c r="AH329" i="39"/>
  <c r="AB329" i="39"/>
  <c r="AB453" i="39"/>
  <c r="AH453" i="39"/>
  <c r="AH315" i="39"/>
  <c r="AB315" i="39"/>
  <c r="AH258" i="39"/>
  <c r="AB258" i="39"/>
  <c r="AR289" i="39"/>
  <c r="R289" i="39"/>
  <c r="AH289" i="39"/>
  <c r="AB289" i="39"/>
  <c r="AR331" i="39"/>
  <c r="R331" i="39"/>
  <c r="AH99" i="39"/>
  <c r="AB99" i="39"/>
  <c r="AR37" i="39"/>
  <c r="R37" i="39"/>
  <c r="AD41" i="39"/>
  <c r="AO41" i="39"/>
  <c r="X41" i="39"/>
  <c r="Y41" i="39"/>
  <c r="AB90" i="39"/>
  <c r="AH90" i="39"/>
  <c r="AR172" i="39"/>
  <c r="R172" i="39"/>
  <c r="AO166" i="39"/>
  <c r="AD166" i="39"/>
  <c r="X166" i="39"/>
  <c r="Y166" i="39"/>
  <c r="AR193" i="39"/>
  <c r="R193" i="39"/>
  <c r="AH202" i="39"/>
  <c r="AB202" i="39"/>
  <c r="AB188" i="39"/>
  <c r="AH188" i="39"/>
  <c r="AB252" i="39"/>
  <c r="AH252" i="39"/>
  <c r="AD301" i="39"/>
  <c r="AO301" i="39"/>
  <c r="X301" i="39"/>
  <c r="Y301" i="39"/>
  <c r="AD243" i="39"/>
  <c r="AO243" i="39"/>
  <c r="Y243" i="39"/>
  <c r="X243" i="39"/>
  <c r="AH319" i="39"/>
  <c r="AB319" i="39"/>
  <c r="AO342" i="39"/>
  <c r="AD342" i="39"/>
  <c r="Y342" i="39"/>
  <c r="X342" i="39"/>
  <c r="AB406" i="39"/>
  <c r="AH406" i="39"/>
  <c r="AB343" i="39"/>
  <c r="AH343" i="39"/>
  <c r="AH360" i="39"/>
  <c r="AB360" i="39"/>
  <c r="AR348" i="39"/>
  <c r="R348" i="39"/>
  <c r="AB348" i="39"/>
  <c r="AH348" i="39"/>
  <c r="AB177" i="39"/>
  <c r="AH177" i="39"/>
  <c r="AB219" i="39"/>
  <c r="AH219" i="39"/>
  <c r="AR296" i="39"/>
  <c r="R296" i="39"/>
  <c r="AB296" i="39"/>
  <c r="AH296" i="39"/>
  <c r="AH61" i="39"/>
  <c r="AB61" i="39"/>
  <c r="AD62" i="39"/>
  <c r="AO62" i="39"/>
  <c r="X62" i="39"/>
  <c r="Y62" i="39"/>
  <c r="AR65" i="39"/>
  <c r="R65" i="39"/>
  <c r="AH65" i="39"/>
  <c r="AB65" i="39"/>
  <c r="AD130" i="39"/>
  <c r="AO130" i="39"/>
  <c r="X130" i="39"/>
  <c r="Y130" i="39"/>
  <c r="AR132" i="39"/>
  <c r="R132" i="39"/>
  <c r="AD224" i="39"/>
  <c r="AO224" i="39"/>
  <c r="X224" i="39"/>
  <c r="Y224" i="39"/>
  <c r="AO226" i="39"/>
  <c r="AD226" i="39"/>
  <c r="X226" i="39"/>
  <c r="Y226" i="39"/>
  <c r="AH212" i="39"/>
  <c r="AB212" i="39"/>
  <c r="AR298" i="39"/>
  <c r="R298" i="39"/>
  <c r="AO247" i="39"/>
  <c r="AD247" i="39"/>
  <c r="Y247" i="39"/>
  <c r="X247" i="39"/>
  <c r="AD279" i="39"/>
  <c r="AO279" i="39"/>
  <c r="Y279" i="39"/>
  <c r="X279" i="39"/>
  <c r="AB310" i="39"/>
  <c r="AH310" i="39"/>
  <c r="AR310" i="39"/>
  <c r="R310" i="39"/>
  <c r="AD267" i="39"/>
  <c r="AO267" i="39"/>
  <c r="Y267" i="39"/>
  <c r="X267" i="39"/>
  <c r="AB267" i="39"/>
  <c r="AH267" i="39"/>
  <c r="AR367" i="39"/>
  <c r="R367" i="39"/>
  <c r="AR384" i="39"/>
  <c r="R384" i="39"/>
  <c r="AH385" i="39"/>
  <c r="AB385" i="39"/>
  <c r="AD323" i="39"/>
  <c r="AO323" i="39"/>
  <c r="X323" i="39"/>
  <c r="Y323" i="39"/>
  <c r="AO363" i="39"/>
  <c r="AD363" i="39"/>
  <c r="X363" i="39"/>
  <c r="Y363" i="39"/>
  <c r="AB446" i="39"/>
  <c r="AH446" i="39"/>
  <c r="AR429" i="39"/>
  <c r="R429" i="39"/>
  <c r="AR48" i="39"/>
  <c r="R48" i="39"/>
  <c r="AH76" i="39"/>
  <c r="AB76" i="39"/>
  <c r="AD85" i="39"/>
  <c r="AO85" i="39"/>
  <c r="X85" i="39"/>
  <c r="Y85" i="39"/>
  <c r="AB104" i="39"/>
  <c r="AH104" i="39"/>
  <c r="AR131" i="39"/>
  <c r="R131" i="39"/>
  <c r="AB131" i="39"/>
  <c r="AH131" i="39"/>
  <c r="AH156" i="39"/>
  <c r="AB156" i="39"/>
  <c r="AD171" i="39"/>
  <c r="AO171" i="39"/>
  <c r="X171" i="39"/>
  <c r="Y171" i="39"/>
  <c r="AH250" i="39"/>
  <c r="AB250" i="39"/>
  <c r="AH197" i="39"/>
  <c r="AB197" i="39"/>
  <c r="AD236" i="39"/>
  <c r="AO236" i="39"/>
  <c r="X236" i="39"/>
  <c r="Y236" i="39"/>
  <c r="AD213" i="39"/>
  <c r="AO213" i="39"/>
  <c r="X213" i="39"/>
  <c r="Y213" i="39"/>
  <c r="AR183" i="39"/>
  <c r="R183" i="39"/>
  <c r="AR248" i="39"/>
  <c r="R248" i="39"/>
  <c r="AH285" i="39"/>
  <c r="AB285" i="39"/>
  <c r="AR349" i="39"/>
  <c r="R349" i="39"/>
  <c r="AH349" i="39"/>
  <c r="AB349" i="39"/>
  <c r="AH413" i="39"/>
  <c r="AB413" i="39"/>
  <c r="AR391" i="39"/>
  <c r="R391" i="39"/>
  <c r="AR408" i="39"/>
  <c r="R408" i="39"/>
  <c r="AR362" i="39"/>
  <c r="R362" i="39"/>
  <c r="AH426" i="39"/>
  <c r="AB426" i="39"/>
  <c r="AR444" i="39"/>
  <c r="R444" i="39"/>
  <c r="AO207" i="39"/>
  <c r="AD207" i="39"/>
  <c r="X207" i="39"/>
  <c r="Y207" i="39"/>
  <c r="AR434" i="39"/>
  <c r="R434" i="39"/>
  <c r="AD43" i="39"/>
  <c r="AO43" i="39"/>
  <c r="X43" i="39"/>
  <c r="Y43" i="39"/>
  <c r="AR71" i="39"/>
  <c r="R71" i="39"/>
  <c r="AR152" i="39"/>
  <c r="R152" i="39"/>
  <c r="AB152" i="39"/>
  <c r="AH152" i="39"/>
  <c r="AH199" i="39"/>
  <c r="AB199" i="39"/>
  <c r="AR198" i="39"/>
  <c r="R198" i="39"/>
  <c r="AH249" i="39"/>
  <c r="AB249" i="39"/>
  <c r="AH309" i="39"/>
  <c r="AB309" i="39"/>
  <c r="AD415" i="39"/>
  <c r="AO415" i="39"/>
  <c r="X415" i="39"/>
  <c r="Y415" i="39"/>
  <c r="AR327" i="39"/>
  <c r="R327" i="39"/>
  <c r="AR347" i="39"/>
  <c r="R347" i="39"/>
  <c r="AH347" i="39"/>
  <c r="AB347" i="39"/>
  <c r="AR411" i="39"/>
  <c r="R411" i="39"/>
  <c r="AR430" i="39"/>
  <c r="R430" i="39"/>
  <c r="AO388" i="39"/>
  <c r="AD388" i="39"/>
  <c r="X388" i="39"/>
  <c r="Y388" i="39"/>
  <c r="AH55" i="39"/>
  <c r="AB55" i="39"/>
  <c r="AD447" i="39"/>
  <c r="AO447" i="39"/>
  <c r="X447" i="39"/>
  <c r="Y447" i="39"/>
  <c r="AH60" i="39"/>
  <c r="AB60" i="39"/>
  <c r="AD69" i="39"/>
  <c r="AO69" i="39"/>
  <c r="X69" i="39"/>
  <c r="Y69" i="39"/>
  <c r="AD138" i="39"/>
  <c r="AO138" i="39"/>
  <c r="X138" i="39"/>
  <c r="Y138" i="39"/>
  <c r="AR134" i="39"/>
  <c r="R134" i="39"/>
  <c r="AB151" i="39"/>
  <c r="AH151" i="39"/>
  <c r="AP145" i="39"/>
  <c r="AR189" i="39"/>
  <c r="R189" i="39"/>
  <c r="AO306" i="39"/>
  <c r="AD306" i="39"/>
  <c r="X306" i="39"/>
  <c r="Y306" i="39"/>
  <c r="AR257" i="39"/>
  <c r="R257" i="39"/>
  <c r="AD282" i="39"/>
  <c r="AO282" i="39"/>
  <c r="X282" i="39"/>
  <c r="Y282" i="39"/>
  <c r="AB318" i="39"/>
  <c r="AH318" i="39"/>
  <c r="AD439" i="39"/>
  <c r="AO439" i="39"/>
  <c r="X439" i="39"/>
  <c r="Y439" i="39"/>
  <c r="AD393" i="39"/>
  <c r="AO393" i="39"/>
  <c r="X393" i="39"/>
  <c r="Y393" i="39"/>
  <c r="AD346" i="39"/>
  <c r="AO346" i="39"/>
  <c r="X346" i="39"/>
  <c r="Y346" i="39"/>
  <c r="AO371" i="39"/>
  <c r="AD371" i="39"/>
  <c r="X371" i="39"/>
  <c r="Y371" i="39"/>
  <c r="AB435" i="39"/>
  <c r="AH435" i="39"/>
  <c r="AR380" i="39"/>
  <c r="R380" i="39"/>
  <c r="AB380" i="39"/>
  <c r="AH380" i="39"/>
  <c r="AR456" i="39"/>
  <c r="R456" i="39"/>
  <c r="AH448" i="39"/>
  <c r="AB448" i="39"/>
  <c r="AR30" i="39"/>
  <c r="R30" i="39"/>
  <c r="AR50" i="39"/>
  <c r="R50" i="39"/>
  <c r="AH50" i="39"/>
  <c r="AB50" i="39"/>
  <c r="AB218" i="39"/>
  <c r="AH218" i="39"/>
  <c r="AR290" i="39"/>
  <c r="R290" i="39"/>
  <c r="AH223" i="39"/>
  <c r="AB223" i="39"/>
  <c r="AD276" i="39"/>
  <c r="AO276" i="39"/>
  <c r="X276" i="39"/>
  <c r="Y276" i="39"/>
  <c r="AR44" i="39"/>
  <c r="R44" i="39"/>
  <c r="AH44" i="39"/>
  <c r="AB44" i="39"/>
  <c r="AD53" i="39"/>
  <c r="AO53" i="39"/>
  <c r="X53" i="39"/>
  <c r="Y53" i="39"/>
  <c r="AR72" i="39"/>
  <c r="R72" i="39"/>
  <c r="AO122" i="39"/>
  <c r="AD122" i="39"/>
  <c r="X122" i="39"/>
  <c r="Y122" i="39"/>
  <c r="AR105" i="39"/>
  <c r="R105" i="39"/>
  <c r="AB105" i="39"/>
  <c r="AH105" i="39"/>
  <c r="AD73" i="39"/>
  <c r="AO73" i="39"/>
  <c r="X73" i="39"/>
  <c r="Y73" i="39"/>
  <c r="AD74" i="39"/>
  <c r="AO74" i="39"/>
  <c r="X74" i="39"/>
  <c r="Y74" i="39"/>
  <c r="AH178" i="39"/>
  <c r="AB178" i="39"/>
  <c r="AD201" i="39"/>
  <c r="AO201" i="39"/>
  <c r="Y201" i="39"/>
  <c r="X201" i="39"/>
  <c r="AO204" i="39"/>
  <c r="AD204" i="39"/>
  <c r="X204" i="39"/>
  <c r="Y204" i="39"/>
  <c r="AD259" i="39"/>
  <c r="AO259" i="39"/>
  <c r="Y259" i="39"/>
  <c r="X259" i="39"/>
  <c r="AH259" i="39"/>
  <c r="AB259" i="39"/>
  <c r="AR313" i="39"/>
  <c r="R313" i="39"/>
  <c r="AR317" i="39"/>
  <c r="R317" i="39"/>
  <c r="AD317" i="39"/>
  <c r="AO317" i="39"/>
  <c r="X317" i="39"/>
  <c r="Y317" i="39"/>
  <c r="AR381" i="39"/>
  <c r="R381" i="39"/>
  <c r="AH381" i="39"/>
  <c r="AB381" i="39"/>
  <c r="AD359" i="39"/>
  <c r="AO359" i="39"/>
  <c r="X359" i="39"/>
  <c r="Y359" i="39"/>
  <c r="AB338" i="39"/>
  <c r="AH338" i="39"/>
  <c r="AB419" i="39"/>
  <c r="AH419" i="39"/>
  <c r="AD419" i="39"/>
  <c r="AO419" i="39"/>
  <c r="Y419" i="39"/>
  <c r="X419" i="39"/>
  <c r="AD449" i="39"/>
  <c r="AO449" i="39"/>
  <c r="Y449" i="39"/>
  <c r="X449" i="39"/>
  <c r="AD425" i="39"/>
  <c r="AO425" i="39"/>
  <c r="X425" i="39"/>
  <c r="Y425" i="39"/>
  <c r="AD75" i="39"/>
  <c r="AO75" i="39"/>
  <c r="X75" i="39"/>
  <c r="Y75" i="39"/>
  <c r="AR32" i="39"/>
  <c r="R32" i="39"/>
  <c r="AR148" i="39"/>
  <c r="R148" i="39"/>
  <c r="AD103" i="39"/>
  <c r="AO103" i="39"/>
  <c r="Y103" i="39"/>
  <c r="X103" i="39"/>
  <c r="AR120" i="39"/>
  <c r="R120" i="39"/>
  <c r="AB120" i="39"/>
  <c r="AH120" i="39"/>
  <c r="AD228" i="39"/>
  <c r="AO228" i="39"/>
  <c r="X228" i="39"/>
  <c r="Y228" i="39"/>
  <c r="AR195" i="39"/>
  <c r="R195" i="39"/>
  <c r="AR292" i="39"/>
  <c r="R292" i="39"/>
  <c r="AD405" i="39"/>
  <c r="AO405" i="39"/>
  <c r="X405" i="39"/>
  <c r="Y405" i="39"/>
  <c r="AR383" i="39"/>
  <c r="R383" i="39"/>
  <c r="AH337" i="39"/>
  <c r="AB337" i="39"/>
  <c r="AO379" i="39"/>
  <c r="AD379" i="39"/>
  <c r="X379" i="39"/>
  <c r="Y379" i="39"/>
  <c r="AO315" i="39"/>
  <c r="AD315" i="39"/>
  <c r="X315" i="39"/>
  <c r="Y315" i="39"/>
  <c r="AD308" i="39"/>
  <c r="AO308" i="39"/>
  <c r="X308" i="39"/>
  <c r="Y308" i="39"/>
  <c r="AD399" i="39"/>
  <c r="AO399" i="39"/>
  <c r="X399" i="39"/>
  <c r="Y399" i="39"/>
  <c r="AH352" i="39"/>
  <c r="AB352" i="39"/>
  <c r="AD353" i="39"/>
  <c r="AO353" i="39"/>
  <c r="X353" i="39"/>
  <c r="Y353" i="39"/>
  <c r="AR35" i="39"/>
  <c r="R35" i="39"/>
  <c r="AB35" i="39"/>
  <c r="AH35" i="39"/>
  <c r="AR56" i="39"/>
  <c r="R56" i="39"/>
  <c r="AH97" i="39"/>
  <c r="AB97" i="39"/>
  <c r="AO147" i="39"/>
  <c r="AD147" i="39"/>
  <c r="Y147" i="39"/>
  <c r="X147" i="39"/>
  <c r="AO108" i="39"/>
  <c r="AD108" i="39"/>
  <c r="X108" i="39"/>
  <c r="Y108" i="39"/>
  <c r="AR144" i="39"/>
  <c r="R144" i="39"/>
  <c r="AB144" i="39"/>
  <c r="AH144" i="39"/>
  <c r="AR202" i="39"/>
  <c r="R202" i="39"/>
  <c r="AH266" i="39"/>
  <c r="AB266" i="39"/>
  <c r="AR188" i="39"/>
  <c r="R188" i="39"/>
  <c r="AD229" i="39"/>
  <c r="AO229" i="39"/>
  <c r="Y229" i="39"/>
  <c r="X229" i="39"/>
  <c r="AH222" i="39"/>
  <c r="AB222" i="39"/>
  <c r="AD304" i="39"/>
  <c r="AO304" i="39"/>
  <c r="X304" i="39"/>
  <c r="Y304" i="39"/>
  <c r="AD277" i="39"/>
  <c r="AO277" i="39"/>
  <c r="X277" i="39"/>
  <c r="Y277" i="39"/>
  <c r="AO235" i="39"/>
  <c r="AD235" i="39"/>
  <c r="Y235" i="39"/>
  <c r="X235" i="39"/>
  <c r="AH263" i="39"/>
  <c r="AB263" i="39"/>
  <c r="AO227" i="39"/>
  <c r="AD227" i="39"/>
  <c r="Y227" i="39"/>
  <c r="X227" i="39"/>
  <c r="AR243" i="39"/>
  <c r="R243" i="39"/>
  <c r="AR343" i="39"/>
  <c r="R343" i="39"/>
  <c r="AR360" i="39"/>
  <c r="R360" i="39"/>
  <c r="AR424" i="39"/>
  <c r="R424" i="39"/>
  <c r="AR378" i="39"/>
  <c r="R378" i="39"/>
  <c r="AO403" i="39"/>
  <c r="AD403" i="39"/>
  <c r="X403" i="39"/>
  <c r="Y403" i="39"/>
  <c r="AB422" i="39"/>
  <c r="AH422" i="39"/>
  <c r="AH94" i="39"/>
  <c r="AB94" i="39"/>
  <c r="AB244" i="39"/>
  <c r="AH244" i="39"/>
  <c r="AR61" i="39"/>
  <c r="R61" i="39"/>
  <c r="AD80" i="39"/>
  <c r="AO80" i="39"/>
  <c r="X80" i="39"/>
  <c r="Y80" i="39"/>
  <c r="AD65" i="39"/>
  <c r="AO65" i="39"/>
  <c r="X65" i="39"/>
  <c r="Y65" i="39"/>
  <c r="AH190" i="39"/>
  <c r="AB190" i="39"/>
  <c r="AH143" i="39"/>
  <c r="AB143" i="39"/>
  <c r="AR212" i="39"/>
  <c r="R212" i="39"/>
  <c r="AD246" i="39"/>
  <c r="AO246" i="39"/>
  <c r="X246" i="39"/>
  <c r="Y246" i="39"/>
  <c r="AH247" i="39"/>
  <c r="AB247" i="39"/>
  <c r="AR247" i="39"/>
  <c r="R247" i="39"/>
  <c r="AR267" i="39"/>
  <c r="R267" i="39"/>
  <c r="AO366" i="39"/>
  <c r="AD366" i="39"/>
  <c r="Y366" i="39"/>
  <c r="X366" i="39"/>
  <c r="AR385" i="39"/>
  <c r="R385" i="39"/>
  <c r="AR446" i="39"/>
  <c r="R446" i="39"/>
  <c r="AR428" i="39"/>
  <c r="R428" i="39"/>
  <c r="AO372" i="39"/>
  <c r="AD372" i="39"/>
  <c r="X372" i="39"/>
  <c r="Y372" i="39"/>
  <c r="AR91" i="39"/>
  <c r="R91" i="39"/>
  <c r="AH91" i="39"/>
  <c r="AB91" i="39"/>
  <c r="AR76" i="39"/>
  <c r="R76" i="39"/>
  <c r="AB40" i="39"/>
  <c r="AH40" i="39"/>
  <c r="AB149" i="39"/>
  <c r="AH149" i="39"/>
  <c r="AD150" i="39"/>
  <c r="AO150" i="39"/>
  <c r="X150" i="39"/>
  <c r="Y150" i="39"/>
  <c r="AH167" i="39"/>
  <c r="AB167" i="39"/>
  <c r="AO192" i="39"/>
  <c r="AD192" i="39"/>
  <c r="X192" i="39"/>
  <c r="Y192" i="39"/>
  <c r="AD288" i="39"/>
  <c r="AO288" i="39"/>
  <c r="X288" i="39"/>
  <c r="Y288" i="39"/>
  <c r="AD251" i="39"/>
  <c r="AO251" i="39"/>
  <c r="Y251" i="39"/>
  <c r="X251" i="39"/>
  <c r="AD300" i="39"/>
  <c r="AO300" i="39"/>
  <c r="X300" i="39"/>
  <c r="Y300" i="39"/>
  <c r="AB269" i="39"/>
  <c r="AH269" i="39"/>
  <c r="AR285" i="39"/>
  <c r="R285" i="39"/>
  <c r="AD233" i="39"/>
  <c r="AO233" i="39"/>
  <c r="Y233" i="39"/>
  <c r="X233" i="39"/>
  <c r="AO334" i="39"/>
  <c r="AD334" i="39"/>
  <c r="X334" i="39"/>
  <c r="Y334" i="39"/>
  <c r="AB320" i="39"/>
  <c r="AH320" i="39"/>
  <c r="AR335" i="39"/>
  <c r="R335" i="39"/>
  <c r="AD409" i="39"/>
  <c r="AO409" i="39"/>
  <c r="X409" i="39"/>
  <c r="Y409" i="39"/>
  <c r="AO426" i="39"/>
  <c r="AD426" i="39"/>
  <c r="X426" i="39"/>
  <c r="Y426" i="39"/>
  <c r="AH324" i="39"/>
  <c r="AB324" i="39"/>
  <c r="AR356" i="39"/>
  <c r="R356" i="39"/>
  <c r="AB356" i="39"/>
  <c r="AH356" i="39"/>
  <c r="AH452" i="39"/>
  <c r="AB452" i="39"/>
  <c r="AR84" i="39"/>
  <c r="R84" i="39"/>
  <c r="AH84" i="39"/>
  <c r="AB84" i="39"/>
  <c r="AR157" i="39"/>
  <c r="R157" i="39"/>
  <c r="AR214" i="39"/>
  <c r="R214" i="39"/>
  <c r="AH214" i="39"/>
  <c r="AB214" i="39"/>
  <c r="AH45" i="39"/>
  <c r="AB45" i="39"/>
  <c r="AD46" i="39"/>
  <c r="AO46" i="39"/>
  <c r="X46" i="39"/>
  <c r="Y46" i="39"/>
  <c r="AO58" i="39"/>
  <c r="AD58" i="39"/>
  <c r="X58" i="39"/>
  <c r="Y58" i="39"/>
  <c r="AH116" i="39"/>
  <c r="AB116" i="39"/>
  <c r="AH110" i="39"/>
  <c r="AB110" i="39"/>
  <c r="AO174" i="39"/>
  <c r="AD174" i="39"/>
  <c r="X174" i="39"/>
  <c r="Y174" i="39"/>
  <c r="AH127" i="39"/>
  <c r="AB127" i="39"/>
  <c r="AD169" i="39"/>
  <c r="AO169" i="39"/>
  <c r="X169" i="39"/>
  <c r="Y169" i="39"/>
  <c r="AR169" i="39"/>
  <c r="R169" i="39"/>
  <c r="AB274" i="39"/>
  <c r="AH274" i="39"/>
  <c r="AH255" i="39"/>
  <c r="AB255" i="39"/>
  <c r="AH283" i="39"/>
  <c r="AB283" i="39"/>
  <c r="AO350" i="39"/>
  <c r="AD350" i="39"/>
  <c r="Y350" i="39"/>
  <c r="X350" i="39"/>
  <c r="AD368" i="39"/>
  <c r="AO368" i="39"/>
  <c r="X368" i="39"/>
  <c r="Y368" i="39"/>
  <c r="AH369" i="39"/>
  <c r="AB369" i="39"/>
  <c r="AB386" i="39"/>
  <c r="AH386" i="39"/>
  <c r="AD436" i="39"/>
  <c r="AO436" i="39"/>
  <c r="X436" i="39"/>
  <c r="Y436" i="39"/>
  <c r="AR55" i="39"/>
  <c r="R55" i="39"/>
  <c r="AR162" i="39"/>
  <c r="R162" i="39"/>
  <c r="AB140" i="39"/>
  <c r="AH140" i="39"/>
  <c r="AD133" i="39"/>
  <c r="AO133" i="39"/>
  <c r="X133" i="39"/>
  <c r="Y133" i="39"/>
  <c r="AR151" i="39"/>
  <c r="R151" i="39"/>
  <c r="AR112" i="39"/>
  <c r="R112" i="39"/>
  <c r="AB112" i="39"/>
  <c r="AH112" i="39"/>
  <c r="AR217" i="39"/>
  <c r="R217" i="39"/>
  <c r="AB234" i="39"/>
  <c r="AH234" i="39"/>
  <c r="AD194" i="39"/>
  <c r="AO194" i="39"/>
  <c r="X194" i="39"/>
  <c r="Y194" i="39"/>
  <c r="AO170" i="39"/>
  <c r="AD170" i="39"/>
  <c r="X170" i="39"/>
  <c r="Y170" i="39"/>
  <c r="AH189" i="39"/>
  <c r="AB189" i="39"/>
  <c r="AB284" i="39"/>
  <c r="AH284" i="39"/>
  <c r="AD241" i="39"/>
  <c r="AO241" i="39"/>
  <c r="Y241" i="39"/>
  <c r="X241" i="39"/>
  <c r="AO318" i="39"/>
  <c r="AD318" i="39"/>
  <c r="Y318" i="39"/>
  <c r="X318" i="39"/>
  <c r="AR153" i="39"/>
  <c r="R153" i="39"/>
  <c r="AH336" i="39"/>
  <c r="AB336" i="39"/>
  <c r="AH339" i="39"/>
  <c r="AB339" i="39"/>
  <c r="AH439" i="39"/>
  <c r="AB439" i="39"/>
  <c r="AO410" i="39"/>
  <c r="AD410" i="39"/>
  <c r="X410" i="39"/>
  <c r="Y410" i="39"/>
  <c r="AD364" i="39"/>
  <c r="AO364" i="39"/>
  <c r="X364" i="39"/>
  <c r="Y364" i="39"/>
  <c r="AH445" i="39"/>
  <c r="AB445" i="39"/>
  <c r="AB158" i="39"/>
  <c r="AH158" i="39"/>
  <c r="AB261" i="39"/>
  <c r="AH261" i="39"/>
  <c r="AD412" i="39"/>
  <c r="AO412" i="39"/>
  <c r="X412" i="39"/>
  <c r="Y412" i="39"/>
  <c r="AR412" i="39"/>
  <c r="R412" i="39"/>
  <c r="AB77" i="39"/>
  <c r="AH77" i="39"/>
  <c r="AD78" i="39"/>
  <c r="AO78" i="39"/>
  <c r="X78" i="39"/>
  <c r="Y78" i="39"/>
  <c r="AO39" i="39"/>
  <c r="AD39" i="39"/>
  <c r="X39" i="39"/>
  <c r="Y39" i="39"/>
  <c r="AR96" i="39"/>
  <c r="R96" i="39"/>
  <c r="AR92" i="39"/>
  <c r="R92" i="39"/>
  <c r="AR146" i="39"/>
  <c r="R146" i="39"/>
  <c r="AH146" i="39"/>
  <c r="AB146" i="39"/>
  <c r="AR123" i="39"/>
  <c r="R123" i="39"/>
  <c r="AH123" i="39"/>
  <c r="AB123" i="39"/>
  <c r="AD141" i="39"/>
  <c r="AO141" i="39"/>
  <c r="X141" i="39"/>
  <c r="Y141" i="39"/>
  <c r="AD142" i="39"/>
  <c r="AO142" i="39"/>
  <c r="X142" i="39"/>
  <c r="Y142" i="39"/>
  <c r="AD203" i="39"/>
  <c r="AO203" i="39"/>
  <c r="X203" i="39"/>
  <c r="Y203" i="39"/>
  <c r="AR268" i="39"/>
  <c r="R268" i="39"/>
  <c r="AO314" i="39"/>
  <c r="AD314" i="39"/>
  <c r="Y314" i="39"/>
  <c r="X314" i="39"/>
  <c r="AH231" i="39"/>
  <c r="AB231" i="39"/>
  <c r="AH237" i="39"/>
  <c r="AB237" i="39"/>
  <c r="AR326" i="39"/>
  <c r="R326" i="39"/>
  <c r="AO264" i="39"/>
  <c r="AD264" i="39"/>
  <c r="X264" i="39"/>
  <c r="Y264" i="39"/>
  <c r="AR382" i="39"/>
  <c r="R382" i="39"/>
  <c r="AH382" i="39"/>
  <c r="AB382" i="39"/>
  <c r="AB354" i="39"/>
  <c r="AH354" i="39"/>
  <c r="AO418" i="39"/>
  <c r="AD418" i="39"/>
  <c r="X418" i="39"/>
  <c r="Y418" i="39"/>
  <c r="AR443" i="39"/>
  <c r="R443" i="39"/>
  <c r="AR442" i="39"/>
  <c r="R442" i="39"/>
  <c r="AH442" i="39"/>
  <c r="AB442" i="39"/>
  <c r="AR329" i="39"/>
  <c r="R329" i="39"/>
  <c r="AB433" i="39"/>
  <c r="AH433" i="39"/>
  <c r="AR453" i="39"/>
  <c r="R453" i="39"/>
  <c r="AR258" i="39"/>
  <c r="R258" i="39"/>
  <c r="AH265" i="39"/>
  <c r="AB265" i="39"/>
  <c r="AR352" i="39"/>
  <c r="R352" i="39"/>
  <c r="AB38" i="39"/>
  <c r="AH38" i="39"/>
  <c r="AO63" i="39"/>
  <c r="AD63" i="39"/>
  <c r="X63" i="39"/>
  <c r="Y63" i="39"/>
  <c r="AO90" i="39"/>
  <c r="AD90" i="39"/>
  <c r="X90" i="39"/>
  <c r="Y90" i="39"/>
  <c r="AD172" i="39"/>
  <c r="AO172" i="39"/>
  <c r="X172" i="39"/>
  <c r="Y172" i="39"/>
  <c r="AR166" i="39"/>
  <c r="R166" i="39"/>
  <c r="AD119" i="39"/>
  <c r="AO119" i="39"/>
  <c r="X119" i="39"/>
  <c r="Y119" i="39"/>
  <c r="AR229" i="39"/>
  <c r="R229" i="39"/>
  <c r="AR235" i="39"/>
  <c r="R235" i="39"/>
  <c r="AR227" i="39"/>
  <c r="R227" i="39"/>
  <c r="AD286" i="39"/>
  <c r="AO286" i="39"/>
  <c r="X286" i="39"/>
  <c r="Y286" i="39"/>
  <c r="AR342" i="39"/>
  <c r="R342" i="39"/>
  <c r="AO407" i="39"/>
  <c r="AD407" i="39"/>
  <c r="X407" i="39"/>
  <c r="Y407" i="39"/>
  <c r="AO361" i="39"/>
  <c r="AD361" i="39"/>
  <c r="X361" i="39"/>
  <c r="Y361" i="39"/>
  <c r="AO94" i="39"/>
  <c r="AD94" i="39"/>
  <c r="X94" i="39"/>
  <c r="Y94" i="39"/>
  <c r="AR59" i="39"/>
  <c r="R59" i="39"/>
  <c r="AB59" i="39"/>
  <c r="AH59" i="39"/>
  <c r="AD52" i="39"/>
  <c r="AO52" i="39"/>
  <c r="Y52" i="39"/>
  <c r="X52" i="39"/>
  <c r="AR87" i="39"/>
  <c r="R87" i="39"/>
  <c r="AD125" i="39"/>
  <c r="AO125" i="39"/>
  <c r="X125" i="39"/>
  <c r="Y125" i="39"/>
  <c r="AH126" i="39"/>
  <c r="AB126" i="39"/>
  <c r="AB106" i="39"/>
  <c r="AH106" i="39"/>
  <c r="AR143" i="39"/>
  <c r="R143" i="39"/>
  <c r="AB168" i="39"/>
  <c r="AH168" i="39"/>
  <c r="AD168" i="39"/>
  <c r="AO168" i="39"/>
  <c r="X168" i="39"/>
  <c r="Y168" i="39"/>
  <c r="AR226" i="39"/>
  <c r="R226" i="39"/>
  <c r="AO129" i="39"/>
  <c r="AD129" i="39"/>
  <c r="X129" i="39"/>
  <c r="Y129" i="39"/>
  <c r="AO321" i="39"/>
  <c r="AD321" i="39"/>
  <c r="X321" i="39"/>
  <c r="Y321" i="39"/>
  <c r="AH253" i="39"/>
  <c r="AB253" i="39"/>
  <c r="AO271" i="39"/>
  <c r="AD271" i="39"/>
  <c r="Y271" i="39"/>
  <c r="X271" i="39"/>
  <c r="AH307" i="39"/>
  <c r="AB307" i="39"/>
  <c r="AR279" i="39"/>
  <c r="R279" i="39"/>
  <c r="AH431" i="39"/>
  <c r="AB431" i="39"/>
  <c r="AR323" i="39"/>
  <c r="R323" i="39"/>
  <c r="AR427" i="39"/>
  <c r="R427" i="39"/>
  <c r="AO429" i="39"/>
  <c r="AD429" i="39"/>
  <c r="X429" i="39"/>
  <c r="Y429" i="39"/>
  <c r="AD136" i="39"/>
  <c r="AO136" i="39"/>
  <c r="X136" i="39"/>
  <c r="Y136" i="39"/>
  <c r="AO83" i="39"/>
  <c r="AD83" i="39"/>
  <c r="X83" i="39"/>
  <c r="Y83" i="39"/>
  <c r="AR40" i="39"/>
  <c r="R40" i="39"/>
  <c r="AR154" i="39"/>
  <c r="R154" i="39"/>
  <c r="AH154" i="39"/>
  <c r="AB154" i="39"/>
  <c r="AR149" i="39"/>
  <c r="R149" i="39"/>
  <c r="AD128" i="39"/>
  <c r="AO128" i="39"/>
  <c r="X128" i="39"/>
  <c r="Y128" i="39"/>
  <c r="AR171" i="39"/>
  <c r="R171" i="39"/>
  <c r="AH211" i="39"/>
  <c r="AB211" i="39"/>
  <c r="AR236" i="39"/>
  <c r="R236" i="39"/>
  <c r="AH186" i="39"/>
  <c r="AB186" i="39"/>
  <c r="AD270" i="39"/>
  <c r="AO270" i="39"/>
  <c r="X270" i="39"/>
  <c r="Y270" i="39"/>
  <c r="AR322" i="39"/>
  <c r="R322" i="39"/>
  <c r="AR233" i="39"/>
  <c r="R233" i="39"/>
  <c r="AR334" i="39"/>
  <c r="R334" i="39"/>
  <c r="AR413" i="39"/>
  <c r="R413" i="39"/>
  <c r="AO413" i="39"/>
  <c r="AD413" i="39"/>
  <c r="X413" i="39"/>
  <c r="Y413" i="39"/>
  <c r="AD328" i="39"/>
  <c r="AO328" i="39"/>
  <c r="X328" i="39"/>
  <c r="Y328" i="39"/>
  <c r="AR390" i="39"/>
  <c r="R390" i="39"/>
  <c r="AH390" i="39"/>
  <c r="AB390" i="39"/>
  <c r="AH344" i="39"/>
  <c r="AB344" i="39"/>
  <c r="AH345" i="39"/>
  <c r="AB345" i="39"/>
  <c r="AR409" i="39"/>
  <c r="R409" i="39"/>
  <c r="AR387" i="39"/>
  <c r="R387" i="39"/>
  <c r="AH387" i="39"/>
  <c r="AB387" i="39"/>
  <c r="AH293" i="39"/>
  <c r="AB293" i="39"/>
  <c r="AB370" i="39"/>
  <c r="AH370" i="39"/>
  <c r="AR45" i="39"/>
  <c r="R45" i="39"/>
  <c r="AB64" i="39"/>
  <c r="AH64" i="39"/>
  <c r="AD49" i="39"/>
  <c r="AO49" i="39"/>
  <c r="X49" i="39"/>
  <c r="Y49" i="39"/>
  <c r="AP58" i="39"/>
  <c r="AD107" i="39"/>
  <c r="AO107" i="39"/>
  <c r="X107" i="39"/>
  <c r="Y107" i="39"/>
  <c r="AR114" i="39"/>
  <c r="R114" i="39"/>
  <c r="AB114" i="39"/>
  <c r="AH114" i="39"/>
  <c r="AR116" i="39"/>
  <c r="R116" i="39"/>
  <c r="AR180" i="39"/>
  <c r="R180" i="39"/>
  <c r="AR110" i="39"/>
  <c r="R110" i="39"/>
  <c r="AR127" i="39"/>
  <c r="R127" i="39"/>
  <c r="AR208" i="39"/>
  <c r="R208" i="39"/>
  <c r="AB208" i="39"/>
  <c r="AH208" i="39"/>
  <c r="AH161" i="39"/>
  <c r="AB161" i="39"/>
  <c r="AB175" i="39"/>
  <c r="AH175" i="39"/>
  <c r="AO210" i="39"/>
  <c r="AD210" i="39"/>
  <c r="X210" i="39"/>
  <c r="Y210" i="39"/>
  <c r="AB173" i="39"/>
  <c r="AH173" i="39"/>
  <c r="AO199" i="39"/>
  <c r="AD199" i="39"/>
  <c r="X199" i="39"/>
  <c r="Y199" i="39"/>
  <c r="AO230" i="39"/>
  <c r="AD230" i="39"/>
  <c r="X230" i="39"/>
  <c r="Y230" i="39"/>
  <c r="AB230" i="39"/>
  <c r="AH230" i="39"/>
  <c r="AB165" i="39"/>
  <c r="AH165" i="39"/>
  <c r="AD291" i="39"/>
  <c r="AO291" i="39"/>
  <c r="X291" i="39"/>
  <c r="Y291" i="39"/>
  <c r="AH198" i="39"/>
  <c r="AB198" i="39"/>
  <c r="AR309" i="39"/>
  <c r="R309" i="39"/>
  <c r="AO294" i="39"/>
  <c r="AD294" i="39"/>
  <c r="X294" i="39"/>
  <c r="Y294" i="39"/>
  <c r="AB351" i="39"/>
  <c r="AH351" i="39"/>
  <c r="AR415" i="39"/>
  <c r="R415" i="39"/>
  <c r="AB327" i="39"/>
  <c r="AH327" i="39"/>
  <c r="AR316" i="39"/>
  <c r="R316" i="39"/>
  <c r="AR369" i="39"/>
  <c r="R369" i="39"/>
  <c r="AP450" i="39"/>
  <c r="AO162" i="39"/>
  <c r="AD162" i="39"/>
  <c r="X162" i="39"/>
  <c r="Y162" i="39"/>
  <c r="AD67" i="39"/>
  <c r="AO67" i="39"/>
  <c r="Y67" i="39"/>
  <c r="X67" i="39"/>
  <c r="AR95" i="39"/>
  <c r="R95" i="39"/>
  <c r="AR140" i="39"/>
  <c r="R140" i="39"/>
  <c r="AO176" i="39"/>
  <c r="AD176" i="39"/>
  <c r="X176" i="39"/>
  <c r="Y176" i="39"/>
  <c r="AH232" i="39"/>
  <c r="AB232" i="39"/>
  <c r="AR196" i="39"/>
  <c r="R196" i="39"/>
  <c r="AP194" i="39"/>
  <c r="AH220" i="39"/>
  <c r="AB220" i="39"/>
  <c r="AH170" i="39"/>
  <c r="AB170" i="39"/>
  <c r="AD254" i="39"/>
  <c r="AO254" i="39"/>
  <c r="X254" i="39"/>
  <c r="Y254" i="39"/>
  <c r="AR256" i="39"/>
  <c r="R256" i="39"/>
  <c r="AB257" i="39"/>
  <c r="AH257" i="39"/>
  <c r="AR284" i="39"/>
  <c r="R284" i="39"/>
  <c r="AR241" i="39"/>
  <c r="R241" i="39"/>
  <c r="AR374" i="39"/>
  <c r="R374" i="39"/>
  <c r="AH374" i="39"/>
  <c r="AB374" i="39"/>
  <c r="AR339" i="39"/>
  <c r="R339" i="39"/>
  <c r="AH375" i="39"/>
  <c r="AB375" i="39"/>
  <c r="AD392" i="39"/>
  <c r="AO392" i="39"/>
  <c r="X392" i="39"/>
  <c r="Y392" i="39"/>
  <c r="AO164" i="39"/>
  <c r="AD164" i="39"/>
  <c r="X164" i="39"/>
  <c r="Y164" i="39"/>
  <c r="AR158" i="39"/>
  <c r="R158" i="39"/>
  <c r="AH111" i="39"/>
  <c r="AB111" i="39"/>
  <c r="AR261" i="39"/>
  <c r="R261" i="39"/>
  <c r="AR357" i="39"/>
  <c r="R357" i="39"/>
  <c r="AH357" i="39"/>
  <c r="AB357" i="39"/>
  <c r="AR121" i="39"/>
  <c r="R121" i="39"/>
  <c r="AH121" i="39"/>
  <c r="AB121" i="39"/>
  <c r="AB238" i="39"/>
  <c r="AH238" i="39"/>
  <c r="AH281" i="39"/>
  <c r="AB281" i="39"/>
  <c r="AR259" i="39"/>
  <c r="R259" i="39"/>
  <c r="AO437" i="39"/>
  <c r="AD437" i="39"/>
  <c r="X437" i="39"/>
  <c r="Y437" i="39"/>
  <c r="AR437" i="39"/>
  <c r="R437" i="39"/>
  <c r="AO395" i="39"/>
  <c r="AD395" i="39"/>
  <c r="X395" i="39"/>
  <c r="Y395" i="39"/>
  <c r="AD51" i="39"/>
  <c r="AO51" i="39"/>
  <c r="X51" i="39"/>
  <c r="Y51" i="39"/>
  <c r="AR124" i="39"/>
  <c r="R124" i="39"/>
  <c r="AR118" i="39"/>
  <c r="R118" i="39"/>
  <c r="AR74" i="39"/>
  <c r="R74" i="39"/>
  <c r="AH74" i="39"/>
  <c r="AB74" i="39"/>
  <c r="AD187" i="39"/>
  <c r="AO187" i="39"/>
  <c r="X187" i="39"/>
  <c r="Y187" i="39"/>
  <c r="AH187" i="39"/>
  <c r="AB187" i="39"/>
  <c r="AR113" i="39"/>
  <c r="R113" i="39"/>
  <c r="AH113" i="39"/>
  <c r="AB113" i="39"/>
  <c r="AH313" i="39"/>
  <c r="AB313" i="39"/>
  <c r="AD313" i="39"/>
  <c r="AO313" i="39"/>
  <c r="X313" i="39"/>
  <c r="Y313" i="39"/>
  <c r="AP276" i="39"/>
  <c r="AD299" i="39"/>
  <c r="AO299" i="39"/>
  <c r="X299" i="39"/>
  <c r="Y299" i="39"/>
  <c r="AP275" i="39"/>
  <c r="AH317" i="39"/>
  <c r="AB317" i="39"/>
  <c r="AO302" i="39"/>
  <c r="AD302" i="39"/>
  <c r="X302" i="39"/>
  <c r="Y302" i="39"/>
  <c r="AB311" i="39"/>
  <c r="AH311" i="39"/>
  <c r="AO358" i="39"/>
  <c r="AD358" i="39"/>
  <c r="Y358" i="39"/>
  <c r="X358" i="39"/>
  <c r="AD376" i="39"/>
  <c r="AO376" i="39"/>
  <c r="X376" i="39"/>
  <c r="Y376" i="39"/>
  <c r="AH377" i="39"/>
  <c r="AB377" i="39"/>
  <c r="AB394" i="39"/>
  <c r="AH394" i="39"/>
  <c r="AD414" i="39"/>
  <c r="AO414" i="39"/>
  <c r="X414" i="39"/>
  <c r="Y414" i="39"/>
  <c r="AB414" i="39"/>
  <c r="AH414" i="39"/>
  <c r="AR75" i="39"/>
  <c r="R75" i="39"/>
  <c r="AR77" i="39"/>
  <c r="R77" i="39"/>
  <c r="AB89" i="39"/>
  <c r="AH89" i="39"/>
  <c r="AB101" i="39"/>
  <c r="AH101" i="39"/>
  <c r="AH103" i="39"/>
  <c r="AB103" i="39"/>
  <c r="AO240" i="39"/>
  <c r="AD240" i="39"/>
  <c r="X240" i="39"/>
  <c r="Y240" i="39"/>
  <c r="AD242" i="39"/>
  <c r="AO242" i="39"/>
  <c r="X242" i="39"/>
  <c r="Y242" i="39"/>
  <c r="AR228" i="39"/>
  <c r="R228" i="39"/>
  <c r="AD205" i="39"/>
  <c r="AO205" i="39"/>
  <c r="X205" i="39"/>
  <c r="Y205" i="39"/>
  <c r="AO215" i="39"/>
  <c r="AD215" i="39"/>
  <c r="X215" i="39"/>
  <c r="Y215" i="39"/>
  <c r="AO326" i="39"/>
  <c r="AD326" i="39"/>
  <c r="X326" i="39"/>
  <c r="Y326" i="39"/>
  <c r="AO400" i="39"/>
  <c r="AD400" i="39"/>
  <c r="X400" i="39"/>
  <c r="Y400" i="39"/>
  <c r="AR354" i="39"/>
  <c r="R354" i="39"/>
  <c r="AR337" i="39"/>
  <c r="R337" i="39"/>
  <c r="AR265" i="39"/>
  <c r="R265" i="39"/>
  <c r="AO331" i="39"/>
  <c r="AD331" i="39"/>
  <c r="X331" i="39"/>
  <c r="Y331" i="39"/>
  <c r="AR99" i="39"/>
  <c r="R99" i="39"/>
  <c r="AD99" i="39"/>
  <c r="AO99" i="39"/>
  <c r="Y99" i="39"/>
  <c r="X99" i="39"/>
  <c r="AR38" i="39"/>
  <c r="R38" i="39"/>
  <c r="AO97" i="39"/>
  <c r="AD97" i="39"/>
  <c r="X97" i="39"/>
  <c r="Y97" i="39"/>
  <c r="AD81" i="39"/>
  <c r="AO81" i="39"/>
  <c r="X81" i="39"/>
  <c r="Y81" i="39"/>
  <c r="AH166" i="39"/>
  <c r="AB166" i="39"/>
  <c r="AO188" i="39"/>
  <c r="AD188" i="39"/>
  <c r="X188" i="39"/>
  <c r="Y188" i="39"/>
  <c r="AD252" i="39"/>
  <c r="AO252" i="39"/>
  <c r="X252" i="39"/>
  <c r="Y252" i="39"/>
  <c r="AR222" i="39"/>
  <c r="R222" i="39"/>
  <c r="AO297" i="39"/>
  <c r="AD297" i="39"/>
  <c r="Y297" i="39"/>
  <c r="X297" i="39"/>
  <c r="AH301" i="39"/>
  <c r="AB301" i="39"/>
  <c r="AD365" i="39"/>
  <c r="AO365" i="39"/>
  <c r="X365" i="39"/>
  <c r="Y365" i="39"/>
  <c r="AD319" i="39"/>
  <c r="AO319" i="39"/>
  <c r="Y319" i="39"/>
  <c r="X319" i="39"/>
  <c r="AH342" i="39"/>
  <c r="AB342" i="39"/>
  <c r="AH424" i="39"/>
  <c r="AB424" i="39"/>
  <c r="AR94" i="39"/>
  <c r="R94" i="39"/>
  <c r="AD185" i="39"/>
  <c r="AO185" i="39"/>
  <c r="Y185" i="39"/>
  <c r="X185" i="39"/>
  <c r="AR219" i="39"/>
  <c r="R219" i="39"/>
  <c r="AH221" i="39"/>
  <c r="AB221" i="39"/>
  <c r="AD221" i="39"/>
  <c r="AO221" i="39"/>
  <c r="X221" i="39"/>
  <c r="Y221" i="39"/>
  <c r="AB62" i="39"/>
  <c r="AH62" i="39"/>
  <c r="AP65" i="39"/>
  <c r="AR130" i="39"/>
  <c r="R130" i="39"/>
  <c r="AB130" i="39"/>
  <c r="AH130" i="39"/>
  <c r="AR126" i="39"/>
  <c r="R126" i="39"/>
  <c r="AO209" i="39"/>
  <c r="AD209" i="39"/>
  <c r="Y209" i="39"/>
  <c r="X209" i="39"/>
  <c r="AB226" i="39"/>
  <c r="AH226" i="39"/>
  <c r="AR246" i="39"/>
  <c r="R246" i="39"/>
  <c r="AB321" i="39"/>
  <c r="AH321" i="39"/>
  <c r="AR307" i="39"/>
  <c r="R307" i="39"/>
  <c r="AD389" i="39"/>
  <c r="AO389" i="39"/>
  <c r="X389" i="39"/>
  <c r="Y389" i="39"/>
  <c r="AO402" i="39"/>
  <c r="AD402" i="39"/>
  <c r="X402" i="39"/>
  <c r="Y402" i="39"/>
  <c r="AD428" i="39"/>
  <c r="AO428" i="39"/>
  <c r="X428" i="39"/>
  <c r="Y428" i="39"/>
  <c r="AP428" i="39"/>
  <c r="AH416" i="39"/>
  <c r="AB416" i="39"/>
  <c r="AD440" i="39"/>
  <c r="AO440" i="39"/>
  <c r="Y440" i="39"/>
  <c r="X440" i="39"/>
  <c r="AH440" i="39"/>
  <c r="AB440" i="39"/>
  <c r="AH85" i="39"/>
  <c r="AB85" i="39"/>
  <c r="AO86" i="39"/>
  <c r="AD86" i="39"/>
  <c r="X86" i="39"/>
  <c r="Y86" i="39"/>
  <c r="AO47" i="39"/>
  <c r="AD47" i="39"/>
  <c r="X47" i="39"/>
  <c r="Y47" i="39"/>
  <c r="AO104" i="39"/>
  <c r="AD104" i="39"/>
  <c r="X104" i="39"/>
  <c r="Y104" i="39"/>
  <c r="AR66" i="39"/>
  <c r="R66" i="39"/>
  <c r="AH66" i="39"/>
  <c r="AB66" i="39"/>
  <c r="AR192" i="39"/>
  <c r="R192" i="39"/>
  <c r="AB171" i="39"/>
  <c r="AH171" i="39"/>
  <c r="AR250" i="39"/>
  <c r="R250" i="39"/>
  <c r="AD250" i="39"/>
  <c r="AO250" i="39"/>
  <c r="X250" i="39"/>
  <c r="Y250" i="39"/>
  <c r="AB191" i="39"/>
  <c r="AH191" i="39"/>
  <c r="AR211" i="39"/>
  <c r="R211" i="39"/>
  <c r="AO197" i="39"/>
  <c r="AD197" i="39"/>
  <c r="X197" i="39"/>
  <c r="Y197" i="39"/>
  <c r="AH213" i="39"/>
  <c r="AB213" i="39"/>
  <c r="AD206" i="39"/>
  <c r="AO206" i="39"/>
  <c r="X206" i="39"/>
  <c r="Y206" i="39"/>
  <c r="AB280" i="39"/>
  <c r="AH280" i="39"/>
  <c r="AR280" i="39"/>
  <c r="R280" i="39"/>
  <c r="AD322" i="39"/>
  <c r="AO322" i="39"/>
  <c r="Y322" i="39"/>
  <c r="X322" i="39"/>
  <c r="AD245" i="39"/>
  <c r="AO245" i="39"/>
  <c r="Y245" i="39"/>
  <c r="X245" i="39"/>
  <c r="AB335" i="39"/>
  <c r="AH335" i="39"/>
  <c r="AR344" i="39"/>
  <c r="R344" i="39"/>
  <c r="AR345" i="39"/>
  <c r="R345" i="39"/>
  <c r="AR426" i="39"/>
  <c r="R426" i="39"/>
  <c r="AD324" i="39"/>
  <c r="AO324" i="39"/>
  <c r="X324" i="39"/>
  <c r="Y324" i="39"/>
  <c r="AR324" i="39"/>
  <c r="R324" i="39"/>
  <c r="AR451" i="39"/>
  <c r="R451" i="39"/>
  <c r="AR404" i="39"/>
  <c r="R404" i="39"/>
  <c r="AH404" i="39"/>
  <c r="AB404" i="39"/>
  <c r="AH455" i="39"/>
  <c r="AB455" i="39"/>
  <c r="AO139" i="39"/>
  <c r="AD139" i="39"/>
  <c r="Y139" i="39"/>
  <c r="X139" i="39"/>
  <c r="AD157" i="39"/>
  <c r="AO157" i="39"/>
  <c r="Y157" i="39"/>
  <c r="X157" i="39"/>
  <c r="AR278" i="39"/>
  <c r="R278" i="39"/>
  <c r="AB278" i="39"/>
  <c r="AH278" i="39"/>
  <c r="AR293" i="39"/>
  <c r="R293" i="39"/>
  <c r="AR370" i="39"/>
  <c r="R370" i="39"/>
  <c r="AR43" i="39"/>
  <c r="R43" i="39"/>
  <c r="AB43" i="39"/>
  <c r="AH43" i="39"/>
  <c r="AD36" i="39"/>
  <c r="AO36" i="39"/>
  <c r="Y36" i="39"/>
  <c r="X36" i="39"/>
  <c r="AR64" i="39"/>
  <c r="R64" i="39"/>
  <c r="AH107" i="39"/>
  <c r="AB107" i="39"/>
  <c r="AD109" i="39"/>
  <c r="AO109" i="39"/>
  <c r="X109" i="39"/>
  <c r="Y109" i="39"/>
  <c r="AR174" i="39"/>
  <c r="R174" i="39"/>
  <c r="AH169" i="39"/>
  <c r="AB169" i="39"/>
  <c r="AR274" i="39"/>
  <c r="R274" i="39"/>
  <c r="AD274" i="39"/>
  <c r="AO274" i="39"/>
  <c r="X274" i="39"/>
  <c r="Y274" i="39"/>
  <c r="AD155" i="39"/>
  <c r="AO155" i="39"/>
  <c r="Y155" i="39"/>
  <c r="X155" i="39"/>
  <c r="AD273" i="39"/>
  <c r="AO273" i="39"/>
  <c r="X273" i="39"/>
  <c r="Y273" i="39"/>
  <c r="AD165" i="39"/>
  <c r="AO165" i="39"/>
  <c r="Y165" i="39"/>
  <c r="X165" i="39"/>
  <c r="AD198" i="39"/>
  <c r="AO198" i="39"/>
  <c r="X198" i="39"/>
  <c r="Y198" i="39"/>
  <c r="AR283" i="39"/>
  <c r="R283" i="39"/>
  <c r="AD373" i="39"/>
  <c r="AO373" i="39"/>
  <c r="X373" i="39"/>
  <c r="Y373" i="39"/>
  <c r="AR350" i="39"/>
  <c r="R350" i="39"/>
  <c r="AR351" i="39"/>
  <c r="R351" i="39"/>
  <c r="AR386" i="39"/>
  <c r="R386" i="39"/>
  <c r="AR436" i="39"/>
  <c r="R436" i="39"/>
  <c r="AB69" i="39"/>
  <c r="AH69" i="39"/>
  <c r="AD70" i="39"/>
  <c r="AO70" i="39"/>
  <c r="X70" i="39"/>
  <c r="Y70" i="39"/>
  <c r="AO31" i="39"/>
  <c r="AD31" i="39"/>
  <c r="X31" i="39"/>
  <c r="Y31" i="39"/>
  <c r="AD88" i="39"/>
  <c r="AO88" i="39"/>
  <c r="X88" i="39"/>
  <c r="Y88" i="39"/>
  <c r="AR138" i="39"/>
  <c r="R138" i="39"/>
  <c r="AH138" i="39"/>
  <c r="AB138" i="39"/>
  <c r="AO115" i="39"/>
  <c r="AD115" i="39"/>
  <c r="Y115" i="39"/>
  <c r="X115" i="39"/>
  <c r="AH176" i="39"/>
  <c r="AB176" i="39"/>
  <c r="AD163" i="39"/>
  <c r="AO163" i="39"/>
  <c r="Y163" i="39"/>
  <c r="X163" i="39"/>
  <c r="AR220" i="39"/>
  <c r="R220" i="39"/>
  <c r="AB254" i="39"/>
  <c r="AH254" i="39"/>
  <c r="AB306" i="39"/>
  <c r="AH306" i="39"/>
  <c r="AH241" i="39"/>
  <c r="AB241" i="39"/>
  <c r="AB282" i="39"/>
  <c r="AH282" i="39"/>
  <c r="AD397" i="39"/>
  <c r="AO397" i="39"/>
  <c r="X397" i="39"/>
  <c r="Y397" i="39"/>
  <c r="AR303" i="39"/>
  <c r="R303" i="39"/>
  <c r="AH303" i="39"/>
  <c r="AB303" i="39"/>
  <c r="AR332" i="39"/>
  <c r="R332" i="39"/>
  <c r="AR375" i="39"/>
  <c r="R375" i="39"/>
  <c r="AH393" i="39"/>
  <c r="AB393" i="39"/>
  <c r="AB346" i="39"/>
  <c r="AH346" i="39"/>
  <c r="AR410" i="39"/>
  <c r="R410" i="39"/>
  <c r="AB438" i="39"/>
  <c r="AH438" i="39"/>
  <c r="AD417" i="39"/>
  <c r="AO417" i="39"/>
  <c r="X417" i="39"/>
  <c r="Y417" i="39"/>
  <c r="AR417" i="39"/>
  <c r="R417" i="39"/>
  <c r="AO456" i="39"/>
  <c r="AD456" i="39"/>
  <c r="Y456" i="39"/>
  <c r="X456" i="39"/>
  <c r="AR396" i="39"/>
  <c r="R396" i="39"/>
  <c r="AB396" i="39"/>
  <c r="AH396" i="39"/>
  <c r="AD33" i="39"/>
  <c r="AO33" i="39"/>
  <c r="X33" i="39"/>
  <c r="Y33" i="39"/>
  <c r="AR111" i="39"/>
  <c r="R111" i="39"/>
  <c r="AR355" i="39"/>
  <c r="R355" i="39"/>
  <c r="AH355" i="39"/>
  <c r="AB355" i="39"/>
  <c r="AH53" i="39"/>
  <c r="AB53" i="39"/>
  <c r="AD54" i="39"/>
  <c r="AO54" i="39"/>
  <c r="X54" i="39"/>
  <c r="Y54" i="39"/>
  <c r="AH79" i="39"/>
  <c r="AB79" i="39"/>
  <c r="AR57" i="39"/>
  <c r="R57" i="39"/>
  <c r="AH57" i="39"/>
  <c r="AB57" i="39"/>
  <c r="AR82" i="39"/>
  <c r="R82" i="39"/>
  <c r="AH82" i="39"/>
  <c r="AB82" i="39"/>
  <c r="AR122" i="39"/>
  <c r="R122" i="39"/>
  <c r="AB122" i="39"/>
  <c r="AH122" i="39"/>
  <c r="AB204" i="39"/>
  <c r="AH204" i="39"/>
  <c r="AO238" i="39"/>
  <c r="AD238" i="39"/>
  <c r="X238" i="39"/>
  <c r="Y238" i="39"/>
  <c r="AR281" i="39"/>
  <c r="R281" i="39"/>
  <c r="AB260" i="39"/>
  <c r="AH260" i="39"/>
  <c r="AH275" i="39"/>
  <c r="AB275" i="39"/>
  <c r="AD287" i="39"/>
  <c r="AO287" i="39"/>
  <c r="X287" i="39"/>
  <c r="Y287" i="39"/>
  <c r="AB340" i="39"/>
  <c r="AH340" i="39"/>
  <c r="AB359" i="39"/>
  <c r="AH359" i="39"/>
  <c r="AP412" i="39"/>
  <c r="AD441" i="39"/>
  <c r="AO441" i="39"/>
  <c r="X441" i="39"/>
  <c r="Y441" i="39"/>
  <c r="AB441" i="39"/>
  <c r="AH441" i="39"/>
  <c r="AR425" i="39"/>
  <c r="R425" i="39"/>
  <c r="AB75" i="39"/>
  <c r="AH75" i="39"/>
  <c r="AO68" i="39"/>
  <c r="AD68" i="39"/>
  <c r="Y68" i="39"/>
  <c r="X68" i="39"/>
  <c r="AB93" i="39"/>
  <c r="AH93" i="39"/>
  <c r="AO159" i="39"/>
  <c r="AD159" i="39"/>
  <c r="X159" i="39"/>
  <c r="Y159" i="39"/>
  <c r="AO184" i="39"/>
  <c r="AD184" i="39"/>
  <c r="X184" i="39"/>
  <c r="Y184" i="39"/>
  <c r="AR240" i="39"/>
  <c r="R240" i="39"/>
  <c r="AH179" i="39"/>
  <c r="AB179" i="39"/>
  <c r="AH228" i="39"/>
  <c r="AB228" i="39"/>
  <c r="AH326" i="39"/>
  <c r="AB326" i="39"/>
  <c r="AO295" i="39"/>
  <c r="AD295" i="39"/>
  <c r="X295" i="39"/>
  <c r="Y295" i="39"/>
  <c r="AD341" i="39"/>
  <c r="AO341" i="39"/>
  <c r="X341" i="39"/>
  <c r="Y341" i="39"/>
  <c r="AR405" i="39"/>
  <c r="R405" i="39"/>
  <c r="AH405" i="39"/>
  <c r="AB405" i="39"/>
  <c r="AD401" i="39"/>
  <c r="AO401" i="39"/>
  <c r="X401" i="39"/>
  <c r="Y401" i="39"/>
  <c r="AR418" i="39"/>
  <c r="R418" i="39"/>
  <c r="AR315" i="39"/>
  <c r="R315" i="39"/>
  <c r="AH308" i="39"/>
  <c r="AB308" i="39"/>
  <c r="AH399" i="39"/>
  <c r="AB399" i="39"/>
  <c r="AH353" i="39"/>
  <c r="AB353" i="39"/>
  <c r="AD37" i="39"/>
  <c r="AO37" i="39"/>
  <c r="X37" i="39"/>
  <c r="Y37" i="39"/>
  <c r="AR41" i="39"/>
  <c r="R41" i="39"/>
  <c r="AH41" i="39"/>
  <c r="AB41" i="39"/>
  <c r="AR90" i="39"/>
  <c r="R90" i="39"/>
  <c r="AP97" i="39"/>
  <c r="AR147" i="39"/>
  <c r="R147" i="39"/>
  <c r="AB147" i="39"/>
  <c r="AH147" i="39"/>
  <c r="AB108" i="39"/>
  <c r="AH108" i="39"/>
  <c r="AP188" i="39"/>
  <c r="AH229" i="39"/>
  <c r="AB229" i="39"/>
  <c r="AR304" i="39"/>
  <c r="R304" i="39"/>
  <c r="AH304" i="39"/>
  <c r="AB304" i="39"/>
  <c r="AB235" i="39"/>
  <c r="AH235" i="39"/>
  <c r="AR301" i="39"/>
  <c r="R301" i="39"/>
  <c r="AH243" i="39"/>
  <c r="AB243" i="39"/>
  <c r="AR319" i="39"/>
  <c r="R319" i="39"/>
  <c r="AD348" i="39"/>
  <c r="AO348" i="39"/>
  <c r="X348" i="39"/>
  <c r="Y348" i="39"/>
  <c r="AR200" i="39"/>
  <c r="R200" i="39"/>
  <c r="AD177" i="39"/>
  <c r="AO177" i="39"/>
  <c r="Y177" i="39"/>
  <c r="X177" i="39"/>
  <c r="AP177" i="39"/>
  <c r="AP185" i="39"/>
  <c r="AD244" i="39"/>
  <c r="AO244" i="39"/>
  <c r="X244" i="39"/>
  <c r="Y244" i="39"/>
  <c r="AR62" i="39"/>
  <c r="R62" i="39"/>
  <c r="AO132" i="39"/>
  <c r="AD132" i="39"/>
  <c r="X132" i="39"/>
  <c r="Y132" i="39"/>
  <c r="AO100" i="39"/>
  <c r="AD100" i="39"/>
  <c r="Y100" i="39"/>
  <c r="X100" i="39"/>
  <c r="AD190" i="39"/>
  <c r="AO190" i="39"/>
  <c r="X190" i="39"/>
  <c r="Y190" i="39"/>
  <c r="AR106" i="39"/>
  <c r="R106" i="39"/>
  <c r="AR102" i="39"/>
  <c r="R102" i="39"/>
  <c r="AO253" i="39"/>
  <c r="AD253" i="39"/>
  <c r="Y253" i="39"/>
  <c r="X253" i="39"/>
  <c r="AP253" i="39"/>
  <c r="AO298" i="39"/>
  <c r="AD298" i="39"/>
  <c r="X298" i="39"/>
  <c r="Y298" i="39"/>
  <c r="AH279" i="39"/>
  <c r="AB279" i="39"/>
  <c r="AO310" i="39"/>
  <c r="AD310" i="39"/>
  <c r="X310" i="39"/>
  <c r="Y310" i="39"/>
  <c r="AR366" i="39"/>
  <c r="R366" i="39"/>
  <c r="AB366" i="39"/>
  <c r="AH366" i="39"/>
  <c r="AO367" i="39"/>
  <c r="AD367" i="39"/>
  <c r="X367" i="39"/>
  <c r="Y367" i="39"/>
  <c r="AD384" i="39"/>
  <c r="AO384" i="39"/>
  <c r="X384" i="39"/>
  <c r="Y384" i="39"/>
  <c r="AH323" i="39"/>
  <c r="AB323" i="39"/>
  <c r="AR363" i="39"/>
  <c r="R363" i="39"/>
  <c r="AH363" i="39"/>
  <c r="AB363" i="39"/>
  <c r="AD446" i="39"/>
  <c r="AO446" i="39"/>
  <c r="X446" i="39"/>
  <c r="Y446" i="39"/>
  <c r="AR333" i="39"/>
  <c r="R333" i="39"/>
  <c r="AH333" i="39"/>
  <c r="AB333" i="39"/>
  <c r="AH429" i="39"/>
  <c r="AB429" i="39"/>
  <c r="AD91" i="39"/>
  <c r="AO91" i="39"/>
  <c r="X91" i="39"/>
  <c r="Y91" i="39"/>
  <c r="AD48" i="39"/>
  <c r="AO48" i="39"/>
  <c r="X48" i="39"/>
  <c r="Y48" i="39"/>
  <c r="AR34" i="39"/>
  <c r="R34" i="39"/>
  <c r="AH34" i="39"/>
  <c r="AB34" i="39"/>
  <c r="AR440" i="39"/>
  <c r="R440" i="39"/>
  <c r="AR83" i="39"/>
  <c r="R83" i="39"/>
  <c r="AR85" i="39"/>
  <c r="R85" i="39"/>
  <c r="AH150" i="39"/>
  <c r="AB150" i="39"/>
  <c r="AB192" i="39"/>
  <c r="AH192" i="39"/>
  <c r="AP197" i="39"/>
  <c r="AR137" i="39"/>
  <c r="R137" i="39"/>
  <c r="AH137" i="39"/>
  <c r="AB137" i="39"/>
  <c r="AR213" i="39"/>
  <c r="R213" i="39"/>
  <c r="AR288" i="39"/>
  <c r="R288" i="39"/>
  <c r="AH288" i="39"/>
  <c r="AB288" i="39"/>
  <c r="AH251" i="39"/>
  <c r="AB251" i="39"/>
  <c r="AB248" i="39"/>
  <c r="AH248" i="39"/>
  <c r="AH300" i="39"/>
  <c r="AB300" i="39"/>
  <c r="AR245" i="39"/>
  <c r="R245" i="39"/>
  <c r="AO269" i="39"/>
  <c r="AD269" i="39"/>
  <c r="X269" i="39"/>
  <c r="Y269" i="39"/>
  <c r="AP233" i="39"/>
  <c r="AH334" i="39"/>
  <c r="AB334" i="39"/>
  <c r="AR328" i="39"/>
  <c r="R328" i="39"/>
  <c r="AD391" i="39"/>
  <c r="AO391" i="39"/>
  <c r="X391" i="39"/>
  <c r="Y391" i="39"/>
  <c r="AD408" i="39"/>
  <c r="AO408" i="39"/>
  <c r="X408" i="39"/>
  <c r="Y408" i="39"/>
  <c r="AB409" i="39"/>
  <c r="AH409" i="39"/>
  <c r="AD362" i="39"/>
  <c r="AO362" i="39"/>
  <c r="X362" i="39"/>
  <c r="Y362" i="39"/>
  <c r="AB451" i="39"/>
  <c r="AH451" i="39"/>
  <c r="AH444" i="39"/>
  <c r="AB444" i="39"/>
  <c r="AR207" i="39"/>
  <c r="R207" i="39"/>
  <c r="AB207" i="39"/>
  <c r="AH207" i="39"/>
  <c r="AD398" i="39"/>
  <c r="AO398" i="39"/>
  <c r="Y398" i="39"/>
  <c r="X398" i="39"/>
  <c r="AO434" i="39"/>
  <c r="AD434" i="39"/>
  <c r="Y434" i="39"/>
  <c r="X434" i="39"/>
  <c r="AB46" i="39"/>
  <c r="AH46" i="39"/>
  <c r="AO71" i="39"/>
  <c r="AD71" i="39"/>
  <c r="X71" i="39"/>
  <c r="Y71" i="39"/>
  <c r="AB180" i="39"/>
  <c r="AH180" i="39"/>
  <c r="AD152" i="39"/>
  <c r="AO152" i="39"/>
  <c r="X152" i="39"/>
  <c r="Y152" i="39"/>
  <c r="AO175" i="39"/>
  <c r="AD175" i="39"/>
  <c r="Y175" i="39"/>
  <c r="X175" i="39"/>
  <c r="AP175" i="39"/>
  <c r="AR155" i="39"/>
  <c r="R155" i="39"/>
  <c r="AO305" i="39"/>
  <c r="AD305" i="39"/>
  <c r="Y305" i="39"/>
  <c r="X305" i="39"/>
  <c r="AR165" i="39"/>
  <c r="R165" i="39"/>
  <c r="AR249" i="39"/>
  <c r="R249" i="39"/>
  <c r="AH350" i="39"/>
  <c r="AB350" i="39"/>
  <c r="AH415" i="39"/>
  <c r="AB415" i="39"/>
  <c r="AB368" i="39"/>
  <c r="AH368" i="39"/>
  <c r="AD316" i="39"/>
  <c r="AO316" i="39"/>
  <c r="X316" i="39"/>
  <c r="Y316" i="39"/>
  <c r="AD325" i="39"/>
  <c r="AO325" i="39"/>
  <c r="X325" i="39"/>
  <c r="Y325" i="39"/>
  <c r="AO347" i="39"/>
  <c r="AD347" i="39"/>
  <c r="X347" i="39"/>
  <c r="Y347" i="39"/>
  <c r="AP454" i="39"/>
  <c r="AH454" i="39"/>
  <c r="AB454" i="39"/>
  <c r="AR450" i="39"/>
  <c r="R450" i="39"/>
  <c r="AB430" i="39"/>
  <c r="AH430" i="39"/>
  <c r="AH447" i="39"/>
  <c r="AB447" i="39"/>
  <c r="AR69" i="39"/>
  <c r="R69" i="39"/>
  <c r="AB95" i="39"/>
  <c r="AH95" i="39"/>
  <c r="AH133" i="39"/>
  <c r="AB133" i="39"/>
  <c r="AD134" i="39"/>
  <c r="AO134" i="39"/>
  <c r="X134" i="39"/>
  <c r="Y134" i="39"/>
  <c r="AR176" i="39"/>
  <c r="R176" i="39"/>
  <c r="AB181" i="39"/>
  <c r="AH181" i="39"/>
  <c r="AR232" i="39"/>
  <c r="R232" i="39"/>
  <c r="AO234" i="39"/>
  <c r="AD234" i="39"/>
  <c r="X234" i="39"/>
  <c r="Y234" i="39"/>
  <c r="AH194" i="39"/>
  <c r="AB194" i="39"/>
  <c r="AR194" i="39"/>
  <c r="R194" i="39"/>
  <c r="AR163" i="39"/>
  <c r="R163" i="39"/>
  <c r="AR170" i="39"/>
  <c r="R170" i="39"/>
  <c r="AR254" i="39"/>
  <c r="R254" i="39"/>
  <c r="AO256" i="39"/>
  <c r="AD256" i="39"/>
  <c r="X256" i="39"/>
  <c r="Y256" i="39"/>
  <c r="AB256" i="39"/>
  <c r="AH256" i="39"/>
  <c r="AR306" i="39"/>
  <c r="R306" i="39"/>
  <c r="AR272" i="39"/>
  <c r="R272" i="39"/>
  <c r="AD153" i="39"/>
  <c r="AO153" i="39"/>
  <c r="X153" i="39"/>
  <c r="Y153" i="39"/>
  <c r="AR393" i="39"/>
  <c r="R393" i="39"/>
  <c r="AR346" i="39"/>
  <c r="R346" i="39"/>
  <c r="AH410" i="39"/>
  <c r="AB410" i="39"/>
  <c r="AR371" i="39"/>
  <c r="R371" i="39"/>
  <c r="AH371" i="39"/>
  <c r="AB371" i="39"/>
  <c r="AR435" i="39"/>
  <c r="R435" i="39"/>
  <c r="AO380" i="39"/>
  <c r="AD380" i="39"/>
  <c r="X380" i="39"/>
  <c r="Y380" i="39"/>
  <c r="AD30" i="39"/>
  <c r="AO30" i="39"/>
  <c r="X30" i="39"/>
  <c r="Y30" i="39"/>
  <c r="AR164" i="39"/>
  <c r="R164" i="39"/>
  <c r="AR42" i="39"/>
  <c r="R42" i="39"/>
  <c r="AH42" i="39"/>
  <c r="AB42" i="39"/>
  <c r="AO50" i="39"/>
  <c r="AD50" i="39"/>
  <c r="X50" i="39"/>
  <c r="Y50" i="39"/>
  <c r="AR340" i="39"/>
  <c r="R340" i="39"/>
  <c r="AR182" i="39"/>
  <c r="R182" i="39"/>
  <c r="AD98" i="39"/>
  <c r="AO98" i="39"/>
  <c r="X98" i="39"/>
  <c r="Y98" i="39"/>
  <c r="AR160" i="39"/>
  <c r="R160" i="39"/>
  <c r="AD216" i="39"/>
  <c r="AO216" i="39"/>
  <c r="X216" i="39"/>
  <c r="Y216" i="39"/>
  <c r="AR201" i="39"/>
  <c r="R201" i="39"/>
  <c r="AH201" i="39"/>
  <c r="AB201" i="39"/>
  <c r="AO290" i="39"/>
  <c r="AD290" i="39"/>
  <c r="X290" i="39"/>
  <c r="Y290" i="39"/>
  <c r="AR377" i="39"/>
  <c r="R377" i="39"/>
  <c r="AR394" i="39"/>
  <c r="R394" i="39"/>
  <c r="AH432" i="39"/>
  <c r="AB432" i="39"/>
  <c r="AB96" i="39"/>
  <c r="AH96" i="39"/>
  <c r="AD89" i="39"/>
  <c r="AO89" i="39"/>
  <c r="X89" i="39"/>
  <c r="Y89" i="39"/>
  <c r="AR53" i="39"/>
  <c r="R53" i="39"/>
  <c r="AD72" i="39"/>
  <c r="AO72" i="39"/>
  <c r="X72" i="39"/>
  <c r="Y72" i="39"/>
  <c r="AO105" i="39"/>
  <c r="AD105" i="39"/>
  <c r="Y105" i="39"/>
  <c r="X105" i="39"/>
  <c r="AP98" i="39"/>
  <c r="AR178" i="39"/>
  <c r="R178" i="39"/>
  <c r="AP113" i="39"/>
  <c r="AO218" i="39"/>
  <c r="AD218" i="39"/>
  <c r="X218" i="39"/>
  <c r="Y218" i="39"/>
  <c r="AR204" i="39"/>
  <c r="R204" i="39"/>
  <c r="AR223" i="39"/>
  <c r="R223" i="39"/>
  <c r="AR276" i="39"/>
  <c r="R276" i="39"/>
  <c r="AR275" i="39"/>
  <c r="R275" i="39"/>
  <c r="AR311" i="39"/>
  <c r="R311" i="39"/>
  <c r="AR359" i="39"/>
  <c r="R359" i="39"/>
  <c r="AP312" i="39"/>
  <c r="AR312" i="39"/>
  <c r="R312" i="39"/>
  <c r="AD338" i="39"/>
  <c r="AO338" i="39"/>
  <c r="Y338" i="39"/>
  <c r="X338" i="39"/>
  <c r="AH412" i="39"/>
  <c r="AB412" i="39"/>
  <c r="AO421" i="39"/>
  <c r="AD421" i="39"/>
  <c r="X421" i="39"/>
  <c r="Y421" i="39"/>
  <c r="AR414" i="39"/>
  <c r="R414" i="39"/>
  <c r="AP77" i="39"/>
  <c r="AH78" i="39"/>
  <c r="AB78" i="39"/>
  <c r="AH39" i="39"/>
  <c r="AB39" i="39"/>
  <c r="AD32" i="39"/>
  <c r="AO32" i="39"/>
  <c r="X32" i="39"/>
  <c r="Y32" i="39"/>
  <c r="AH92" i="39"/>
  <c r="AB92" i="39"/>
  <c r="AR89" i="39"/>
  <c r="R89" i="39"/>
  <c r="AR101" i="39"/>
  <c r="R101" i="39"/>
  <c r="AP146" i="39"/>
  <c r="AP123" i="39"/>
  <c r="AO148" i="39"/>
  <c r="AD148" i="39"/>
  <c r="X148" i="39"/>
  <c r="Y148" i="39"/>
  <c r="AH141" i="39"/>
  <c r="AB141" i="39"/>
  <c r="AH142" i="39"/>
  <c r="AB142" i="39"/>
  <c r="AP103" i="39"/>
  <c r="AD120" i="39"/>
  <c r="AO120" i="39"/>
  <c r="X120" i="39"/>
  <c r="Y120" i="39"/>
  <c r="AR242" i="39"/>
  <c r="R242" i="39"/>
  <c r="AH203" i="39"/>
  <c r="AB203" i="39"/>
  <c r="AD262" i="39"/>
  <c r="AO262" i="39"/>
  <c r="X262" i="39"/>
  <c r="Y262" i="39"/>
  <c r="AR314" i="39"/>
  <c r="R314" i="39"/>
  <c r="AD292" i="39"/>
  <c r="AO292" i="39"/>
  <c r="X292" i="39"/>
  <c r="Y292" i="39"/>
  <c r="AP382" i="39"/>
  <c r="AD383" i="39"/>
  <c r="AO383" i="39"/>
  <c r="X383" i="39"/>
  <c r="Y383" i="39"/>
  <c r="AP354" i="39"/>
  <c r="AH418" i="39"/>
  <c r="AB418" i="39"/>
  <c r="AR379" i="39"/>
  <c r="R379" i="39"/>
  <c r="AH379" i="39"/>
  <c r="AB379" i="39"/>
  <c r="AO329" i="39"/>
  <c r="AD329" i="39"/>
  <c r="X329" i="39"/>
  <c r="Y329" i="39"/>
  <c r="AD258" i="39"/>
  <c r="AO258" i="39"/>
  <c r="Y258" i="39"/>
  <c r="X258" i="39"/>
  <c r="AO289" i="39"/>
  <c r="AD289" i="39"/>
  <c r="Y289" i="39"/>
  <c r="X289" i="39"/>
  <c r="AD265" i="39"/>
  <c r="AO265" i="39"/>
  <c r="X265" i="39"/>
  <c r="Y265" i="39"/>
  <c r="AR308" i="39"/>
  <c r="R308" i="39"/>
  <c r="AR399" i="39"/>
  <c r="R399" i="39"/>
  <c r="AR353" i="39"/>
  <c r="R353" i="39"/>
  <c r="AP38" i="39"/>
  <c r="AH63" i="39"/>
  <c r="AB63" i="39"/>
  <c r="AD56" i="39"/>
  <c r="AO56" i="39"/>
  <c r="X56" i="39"/>
  <c r="Y56" i="39"/>
  <c r="AR108" i="39"/>
  <c r="R108" i="39"/>
  <c r="AH119" i="39"/>
  <c r="AB119" i="39"/>
  <c r="AO144" i="39"/>
  <c r="AD144" i="39"/>
  <c r="X144" i="39"/>
  <c r="Y144" i="39"/>
  <c r="AP193" i="39"/>
  <c r="AD202" i="39"/>
  <c r="AO202" i="39"/>
  <c r="X202" i="39"/>
  <c r="Y202" i="39"/>
  <c r="AR252" i="39"/>
  <c r="R252" i="39"/>
  <c r="AP222" i="39"/>
  <c r="AP277" i="39"/>
  <c r="AR297" i="39"/>
  <c r="R297" i="39"/>
  <c r="AP243" i="39"/>
  <c r="AD406" i="39"/>
  <c r="AO406" i="39"/>
  <c r="Y406" i="39"/>
  <c r="X406" i="39"/>
  <c r="AD343" i="39"/>
  <c r="AO343" i="39"/>
  <c r="X343" i="39"/>
  <c r="Y343" i="39"/>
  <c r="AH407" i="39"/>
  <c r="AB407" i="39"/>
  <c r="AD360" i="39"/>
  <c r="AO360" i="39"/>
  <c r="X360" i="39"/>
  <c r="Y360" i="39"/>
  <c r="AH361" i="39"/>
  <c r="AB361" i="39"/>
  <c r="AD378" i="39"/>
  <c r="AO378" i="39"/>
  <c r="X378" i="39"/>
  <c r="Y378" i="39"/>
  <c r="AR403" i="39"/>
  <c r="R403" i="39"/>
  <c r="AB403" i="39"/>
  <c r="AH403" i="39"/>
  <c r="AD422" i="39"/>
  <c r="AO422" i="39"/>
  <c r="X422" i="39"/>
  <c r="Y422" i="39"/>
  <c r="AH200" i="39"/>
  <c r="AB200" i="39"/>
  <c r="AR177" i="39"/>
  <c r="R177" i="39"/>
  <c r="AO219" i="39"/>
  <c r="AD219" i="39"/>
  <c r="Y219" i="39"/>
  <c r="X219" i="39"/>
  <c r="AD296" i="39"/>
  <c r="AO296" i="39"/>
  <c r="X296" i="39"/>
  <c r="Y296" i="39"/>
  <c r="AR52" i="39"/>
  <c r="R52" i="39"/>
  <c r="AH52" i="39"/>
  <c r="AB52" i="39"/>
  <c r="AD61" i="39"/>
  <c r="AO61" i="39"/>
  <c r="X61" i="39"/>
  <c r="Y61" i="39"/>
  <c r="AB80" i="39"/>
  <c r="AH80" i="39"/>
  <c r="AR80" i="39"/>
  <c r="R80" i="39"/>
  <c r="AH125" i="39"/>
  <c r="AB125" i="39"/>
  <c r="AR100" i="39"/>
  <c r="R100" i="39"/>
  <c r="AD106" i="39"/>
  <c r="AO106" i="39"/>
  <c r="X106" i="39"/>
  <c r="Y106" i="39"/>
  <c r="AR224" i="39"/>
  <c r="R224" i="39"/>
  <c r="AH224" i="39"/>
  <c r="AB224" i="39"/>
  <c r="AD212" i="39"/>
  <c r="AO212" i="39"/>
  <c r="X212" i="39"/>
  <c r="Y212" i="39"/>
  <c r="AO102" i="39"/>
  <c r="AD102" i="39"/>
  <c r="Y102" i="39"/>
  <c r="X102" i="39"/>
  <c r="AD225" i="39"/>
  <c r="AO225" i="39"/>
  <c r="Y225" i="39"/>
  <c r="X225" i="39"/>
  <c r="AR253" i="39"/>
  <c r="R253" i="39"/>
  <c r="AH271" i="39"/>
  <c r="AB271" i="39"/>
  <c r="AP247" i="39"/>
  <c r="AD239" i="39"/>
  <c r="AO239" i="39"/>
  <c r="Y239" i="39"/>
  <c r="X239" i="39"/>
  <c r="AD431" i="39"/>
  <c r="AO431" i="39"/>
  <c r="Y431" i="39"/>
  <c r="X431" i="39"/>
  <c r="AD385" i="39"/>
  <c r="AO385" i="39"/>
  <c r="X385" i="39"/>
  <c r="Y385" i="39"/>
  <c r="AB427" i="39"/>
  <c r="AH427" i="39"/>
  <c r="AD427" i="39"/>
  <c r="AO427" i="39"/>
  <c r="Y427" i="39"/>
  <c r="X427" i="39"/>
  <c r="AR372" i="39"/>
  <c r="R372" i="39"/>
  <c r="AB372" i="39"/>
  <c r="AH372" i="39"/>
  <c r="AR416" i="39"/>
  <c r="R416" i="39"/>
  <c r="AB83" i="39"/>
  <c r="AH83" i="39"/>
  <c r="AO76" i="39"/>
  <c r="AD76" i="39"/>
  <c r="Y76" i="39"/>
  <c r="X76" i="39"/>
  <c r="AO154" i="39"/>
  <c r="AD154" i="39"/>
  <c r="X154" i="39"/>
  <c r="Y154" i="39"/>
  <c r="AO131" i="39"/>
  <c r="AD131" i="39"/>
  <c r="Y131" i="39"/>
  <c r="X131" i="39"/>
  <c r="AO156" i="39"/>
  <c r="AD156" i="39"/>
  <c r="X156" i="39"/>
  <c r="Y156" i="39"/>
  <c r="AR150" i="39"/>
  <c r="R150" i="39"/>
  <c r="AB236" i="39"/>
  <c r="AH236" i="39"/>
  <c r="AB270" i="39"/>
  <c r="AH270" i="39"/>
  <c r="AB183" i="39"/>
  <c r="AH183" i="39"/>
  <c r="AO248" i="39"/>
  <c r="AD248" i="39"/>
  <c r="X248" i="39"/>
  <c r="Y248" i="39"/>
  <c r="AR300" i="39"/>
  <c r="R300" i="39"/>
  <c r="AP269" i="39"/>
  <c r="AO285" i="39"/>
  <c r="AD285" i="39"/>
  <c r="X285" i="39"/>
  <c r="Y285" i="39"/>
  <c r="AH233" i="39"/>
  <c r="AB233" i="39"/>
  <c r="AD349" i="39"/>
  <c r="AO349" i="39"/>
  <c r="X349" i="39"/>
  <c r="Y349" i="39"/>
  <c r="AP409" i="39"/>
  <c r="AD356" i="39"/>
  <c r="AO356" i="39"/>
  <c r="X356" i="39"/>
  <c r="Y356" i="39"/>
  <c r="AD452" i="39"/>
  <c r="AO452" i="39"/>
  <c r="Y452" i="39"/>
  <c r="X452" i="39"/>
  <c r="AR455" i="39"/>
  <c r="R455" i="39"/>
  <c r="AO214" i="39"/>
  <c r="AD214" i="39"/>
  <c r="X214" i="39"/>
  <c r="Y214" i="39"/>
  <c r="AR46" i="39"/>
  <c r="R46" i="39"/>
  <c r="AR107" i="39"/>
  <c r="R107" i="39"/>
  <c r="AR175" i="39"/>
  <c r="R175" i="39"/>
  <c r="AB210" i="39"/>
  <c r="AH210" i="39"/>
  <c r="AR173" i="39"/>
  <c r="R173" i="39"/>
  <c r="AB273" i="39"/>
  <c r="AH273" i="39"/>
  <c r="AO255" i="39"/>
  <c r="AD255" i="39"/>
  <c r="Y255" i="39"/>
  <c r="X255" i="39"/>
  <c r="AP255" i="39"/>
  <c r="AB291" i="39"/>
  <c r="AH291" i="39"/>
  <c r="AD249" i="39"/>
  <c r="AO249" i="39"/>
  <c r="X249" i="39"/>
  <c r="Y249" i="39"/>
  <c r="AR368" i="39"/>
  <c r="R368" i="39"/>
  <c r="AD411" i="39"/>
  <c r="AO411" i="39"/>
  <c r="Y411" i="39"/>
  <c r="X411" i="39"/>
  <c r="AB411" i="39"/>
  <c r="AH411" i="39"/>
  <c r="AH450" i="39"/>
  <c r="AB450" i="39"/>
  <c r="AH436" i="39"/>
  <c r="AB436" i="39"/>
  <c r="AO55" i="39"/>
  <c r="AD55" i="39"/>
  <c r="X55" i="39"/>
  <c r="Y55" i="39"/>
  <c r="AR447" i="39"/>
  <c r="R447" i="39"/>
  <c r="AR67" i="39"/>
  <c r="R67" i="39"/>
  <c r="AB67" i="39"/>
  <c r="AH67" i="39"/>
  <c r="AD60" i="39"/>
  <c r="AO60" i="39"/>
  <c r="Y60" i="39"/>
  <c r="X60" i="39"/>
  <c r="AR133" i="39"/>
  <c r="R133" i="39"/>
  <c r="AO151" i="39"/>
  <c r="AD151" i="39"/>
  <c r="X151" i="39"/>
  <c r="Y151" i="39"/>
  <c r="AD112" i="39"/>
  <c r="AO112" i="39"/>
  <c r="X112" i="39"/>
  <c r="Y112" i="39"/>
  <c r="AD232" i="39"/>
  <c r="AO232" i="39"/>
  <c r="X232" i="39"/>
  <c r="Y232" i="39"/>
  <c r="AO217" i="39"/>
  <c r="AD217" i="39"/>
  <c r="Y217" i="39"/>
  <c r="X217" i="39"/>
  <c r="AH217" i="39"/>
  <c r="AB217" i="39"/>
  <c r="AR145" i="39"/>
  <c r="R145" i="39"/>
  <c r="AH145" i="39"/>
  <c r="AB145" i="39"/>
  <c r="AO189" i="39"/>
  <c r="AD189" i="39"/>
  <c r="X189" i="39"/>
  <c r="Y189" i="39"/>
  <c r="AD257" i="39"/>
  <c r="AO257" i="39"/>
  <c r="X257" i="39"/>
  <c r="Y257" i="39"/>
  <c r="AD272" i="39"/>
  <c r="AO272" i="39"/>
  <c r="X272" i="39"/>
  <c r="Y272" i="39"/>
  <c r="AR282" i="39"/>
  <c r="R282" i="39"/>
  <c r="AH153" i="39"/>
  <c r="AB153" i="39"/>
  <c r="AD332" i="39"/>
  <c r="AO332" i="39"/>
  <c r="X332" i="39"/>
  <c r="Y332" i="39"/>
  <c r="AO339" i="39"/>
  <c r="AD339" i="39"/>
  <c r="X339" i="39"/>
  <c r="Y339" i="39"/>
  <c r="AB392" i="39"/>
  <c r="AH392" i="39"/>
  <c r="AD435" i="39"/>
  <c r="AO435" i="39"/>
  <c r="Y435" i="39"/>
  <c r="X435" i="39"/>
  <c r="AR364" i="39"/>
  <c r="R364" i="39"/>
  <c r="AH364" i="39"/>
  <c r="AB364" i="39"/>
  <c r="AD438" i="39"/>
  <c r="AO438" i="39"/>
  <c r="X438" i="39"/>
  <c r="Y438" i="39"/>
  <c r="AB417" i="39"/>
  <c r="AH417" i="39"/>
  <c r="AR445" i="39"/>
  <c r="R445" i="39"/>
  <c r="AR448" i="39"/>
  <c r="R448" i="39"/>
  <c r="AO396" i="39"/>
  <c r="AD396" i="39"/>
  <c r="X396" i="39"/>
  <c r="Y396" i="39"/>
  <c r="AD420" i="39"/>
  <c r="AO420" i="39"/>
  <c r="X420" i="39"/>
  <c r="Y420" i="39"/>
  <c r="AR420" i="39"/>
  <c r="R420" i="39"/>
  <c r="AD57" i="39"/>
  <c r="AO57" i="39"/>
  <c r="X57" i="39"/>
  <c r="Y57" i="39"/>
  <c r="AR73" i="39"/>
  <c r="R73" i="39"/>
  <c r="AH73" i="39"/>
  <c r="AB73" i="39"/>
  <c r="AR117" i="39"/>
  <c r="R117" i="39"/>
  <c r="AH135" i="39"/>
  <c r="AB135" i="39"/>
  <c r="AD160" i="39"/>
  <c r="AO160" i="39"/>
  <c r="X160" i="39"/>
  <c r="Y160" i="39"/>
  <c r="AO79" i="39"/>
  <c r="AD79" i="39"/>
  <c r="X79" i="39"/>
  <c r="Y79" i="39"/>
  <c r="AH423" i="39"/>
  <c r="AB423" i="39"/>
  <c r="AD423" i="39"/>
  <c r="AO423" i="39"/>
  <c r="X423" i="39"/>
  <c r="Y423" i="39"/>
  <c r="AB312" i="39"/>
  <c r="AH312" i="39"/>
  <c r="AR338" i="39"/>
  <c r="R338" i="39"/>
  <c r="AD330" i="39"/>
  <c r="AO330" i="39"/>
  <c r="X330" i="39"/>
  <c r="Y330" i="39"/>
  <c r="AD117" i="39"/>
  <c r="AO117" i="39"/>
  <c r="X117" i="39"/>
  <c r="Y117" i="39"/>
  <c r="AR51" i="39"/>
  <c r="R51" i="39"/>
  <c r="AB51" i="39"/>
  <c r="AH51" i="39"/>
  <c r="AD44" i="39"/>
  <c r="AO44" i="39"/>
  <c r="Y44" i="39"/>
  <c r="X44" i="39"/>
  <c r="AD135" i="39"/>
  <c r="AO135" i="39"/>
  <c r="X135" i="39"/>
  <c r="Y135" i="39"/>
  <c r="AP160" i="39"/>
  <c r="AR187" i="39"/>
  <c r="R187" i="39"/>
  <c r="AR238" i="39"/>
  <c r="R238" i="39"/>
  <c r="AD340" i="39"/>
  <c r="AO340" i="39"/>
  <c r="X340" i="39"/>
  <c r="Y340" i="39"/>
  <c r="AD381" i="39"/>
  <c r="AO381" i="39"/>
  <c r="X381" i="39"/>
  <c r="Y381" i="39"/>
  <c r="AO311" i="39"/>
  <c r="AD311" i="39"/>
  <c r="X311" i="39"/>
  <c r="Y311" i="39"/>
  <c r="AR358" i="39"/>
  <c r="R358" i="39"/>
  <c r="AB358" i="39"/>
  <c r="AH358" i="39"/>
  <c r="AR449" i="39"/>
  <c r="R449" i="39"/>
  <c r="AH421" i="39"/>
  <c r="AB421" i="39"/>
  <c r="AP437" i="39"/>
  <c r="AH437" i="39"/>
  <c r="AB437" i="39"/>
  <c r="AR395" i="39"/>
  <c r="R395" i="39"/>
  <c r="AH395" i="39"/>
  <c r="AB395" i="39"/>
  <c r="AB425" i="39"/>
  <c r="AH425" i="39"/>
  <c r="AH205" i="39"/>
  <c r="AB205" i="39"/>
  <c r="AD195" i="39"/>
  <c r="AO195" i="39"/>
  <c r="X195" i="39"/>
  <c r="Y195" i="39"/>
  <c r="AH195" i="39"/>
  <c r="AB195" i="39"/>
  <c r="AB262" i="39"/>
  <c r="AH262" i="39"/>
  <c r="AO268" i="39"/>
  <c r="AD268" i="39"/>
  <c r="X268" i="39"/>
  <c r="Y268" i="39"/>
  <c r="AR264" i="39"/>
  <c r="R264" i="39"/>
  <c r="AB400" i="39"/>
  <c r="AH400" i="39"/>
  <c r="AD337" i="39"/>
  <c r="AO337" i="39"/>
  <c r="X337" i="39"/>
  <c r="Y337" i="39"/>
  <c r="AD433" i="39"/>
  <c r="AO433" i="39"/>
  <c r="X433" i="39"/>
  <c r="Y433" i="39"/>
  <c r="AR433" i="39"/>
  <c r="R433" i="39"/>
  <c r="AO453" i="39"/>
  <c r="AD453" i="39"/>
  <c r="X453" i="39"/>
  <c r="Y453" i="39"/>
  <c r="AP331" i="39"/>
  <c r="AD352" i="39"/>
  <c r="AO352" i="39"/>
  <c r="X352" i="39"/>
  <c r="Y352" i="39"/>
  <c r="AD35" i="39"/>
  <c r="AO35" i="39"/>
  <c r="X35" i="39"/>
  <c r="Y35" i="39"/>
  <c r="AR63" i="39"/>
  <c r="R63" i="39"/>
  <c r="AP166" i="39"/>
  <c r="AR119" i="39"/>
  <c r="R119" i="39"/>
  <c r="AO266" i="39"/>
  <c r="AD266" i="39"/>
  <c r="X266" i="39"/>
  <c r="Y266" i="39"/>
  <c r="AH297" i="39"/>
  <c r="AB297" i="39"/>
  <c r="AO263" i="39"/>
  <c r="AD263" i="39"/>
  <c r="Y263" i="39"/>
  <c r="X263" i="39"/>
  <c r="AP301" i="39"/>
  <c r="AH227" i="39"/>
  <c r="AB227" i="39"/>
  <c r="AR286" i="39"/>
  <c r="R286" i="39"/>
  <c r="AB286" i="39"/>
  <c r="AH286" i="39"/>
  <c r="AR365" i="39"/>
  <c r="R365" i="39"/>
  <c r="AH365" i="39"/>
  <c r="AB365" i="39"/>
  <c r="AR407" i="39"/>
  <c r="R407" i="39"/>
  <c r="AD424" i="39"/>
  <c r="AO424" i="39"/>
  <c r="Y424" i="39"/>
  <c r="X424" i="39"/>
  <c r="AR361" i="39"/>
  <c r="R361" i="39"/>
  <c r="AO200" i="39"/>
  <c r="AD200" i="39"/>
  <c r="X200" i="39"/>
  <c r="Y200" i="39"/>
  <c r="AB185" i="39"/>
  <c r="AH185" i="39"/>
  <c r="AR244" i="39"/>
  <c r="R244" i="39"/>
  <c r="AB87" i="39"/>
  <c r="AH87" i="39"/>
  <c r="AO87" i="39"/>
  <c r="AD87" i="39"/>
  <c r="X87" i="39"/>
  <c r="Y87" i="39"/>
  <c r="AR125" i="39"/>
  <c r="R125" i="39"/>
  <c r="AH100" i="39"/>
  <c r="AB100" i="39"/>
  <c r="AR190" i="39"/>
  <c r="R190" i="39"/>
  <c r="AO143" i="39"/>
  <c r="AD143" i="39"/>
  <c r="X143" i="39"/>
  <c r="Y143" i="39"/>
  <c r="AR168" i="39"/>
  <c r="R168" i="39"/>
  <c r="AR209" i="39"/>
  <c r="R209" i="39"/>
  <c r="AH209" i="39"/>
  <c r="AB209" i="39"/>
  <c r="AR129" i="39"/>
  <c r="R129" i="39"/>
  <c r="AH129" i="39"/>
  <c r="AB129" i="39"/>
  <c r="AH102" i="39"/>
  <c r="AB102" i="39"/>
  <c r="AR225" i="39"/>
  <c r="R225" i="39"/>
  <c r="AH225" i="39"/>
  <c r="AB225" i="39"/>
  <c r="AR321" i="39"/>
  <c r="R321" i="39"/>
  <c r="AR271" i="39"/>
  <c r="R271" i="39"/>
  <c r="AR239" i="39"/>
  <c r="R239" i="39"/>
  <c r="AR389" i="39"/>
  <c r="R389" i="39"/>
  <c r="AH389" i="39"/>
  <c r="AB389" i="39"/>
  <c r="AH402" i="39"/>
  <c r="AB402" i="39"/>
  <c r="AR136" i="39"/>
  <c r="R136" i="39"/>
  <c r="AB136" i="39"/>
  <c r="AH136" i="39"/>
  <c r="AD416" i="39"/>
  <c r="AO416" i="39"/>
  <c r="Y416" i="39"/>
  <c r="X416" i="39"/>
  <c r="AH86" i="39"/>
  <c r="AB86" i="39"/>
  <c r="AH47" i="39"/>
  <c r="AB47" i="39"/>
  <c r="AD40" i="39"/>
  <c r="AO40" i="39"/>
  <c r="X40" i="39"/>
  <c r="Y40" i="39"/>
  <c r="AR104" i="39"/>
  <c r="R104" i="39"/>
  <c r="AP104" i="39"/>
  <c r="AO66" i="39"/>
  <c r="AD66" i="39"/>
  <c r="X66" i="39"/>
  <c r="Y66" i="39"/>
  <c r="AD149" i="39"/>
  <c r="AO149" i="39"/>
  <c r="X149" i="39"/>
  <c r="Y149" i="39"/>
  <c r="AO167" i="39"/>
  <c r="AD167" i="39"/>
  <c r="Y167" i="39"/>
  <c r="X167" i="39"/>
  <c r="AR128" i="39"/>
  <c r="R128" i="39"/>
  <c r="AB128" i="39"/>
  <c r="AH128" i="39"/>
  <c r="AO191" i="39"/>
  <c r="AD191" i="39"/>
  <c r="Y191" i="39"/>
  <c r="X191" i="39"/>
  <c r="AR197" i="39"/>
  <c r="R197" i="39"/>
  <c r="AR186" i="39"/>
  <c r="R186" i="39"/>
  <c r="AB322" i="39"/>
  <c r="AH322" i="39"/>
  <c r="AP251" i="39"/>
  <c r="AH245" i="39"/>
  <c r="AB245" i="39"/>
  <c r="AD320" i="39"/>
  <c r="AO320" i="39"/>
  <c r="X320" i="39"/>
  <c r="Y320" i="39"/>
  <c r="AH328" i="39"/>
  <c r="AB328" i="39"/>
  <c r="AO387" i="39"/>
  <c r="AD387" i="39"/>
  <c r="X387" i="39"/>
  <c r="Y387" i="39"/>
  <c r="AD444" i="39"/>
  <c r="AO444" i="39"/>
  <c r="Y444" i="39"/>
  <c r="X444" i="39"/>
  <c r="AD84" i="39"/>
  <c r="AO84" i="39"/>
  <c r="Y84" i="39"/>
  <c r="X84" i="39"/>
  <c r="AR139" i="39"/>
  <c r="R139" i="39"/>
  <c r="AH139" i="39"/>
  <c r="AB139" i="39"/>
  <c r="AB157" i="39"/>
  <c r="AH157" i="39"/>
  <c r="AD278" i="39"/>
  <c r="AO278" i="39"/>
  <c r="X278" i="39"/>
  <c r="Y278" i="39"/>
  <c r="AP207" i="39"/>
  <c r="AH434" i="39"/>
  <c r="AB434" i="39"/>
  <c r="AP43" i="39"/>
  <c r="AR36" i="39"/>
  <c r="R36" i="39"/>
  <c r="AH36" i="39"/>
  <c r="AB36" i="39"/>
  <c r="AD45" i="39"/>
  <c r="AO45" i="39"/>
  <c r="X45" i="39"/>
  <c r="Y45" i="39"/>
  <c r="AR49" i="39"/>
  <c r="R49" i="39"/>
  <c r="AH49" i="39"/>
  <c r="AB49" i="39"/>
  <c r="AR58" i="39"/>
  <c r="R58" i="39"/>
  <c r="AH58" i="39"/>
  <c r="AB58" i="39"/>
  <c r="AO116" i="39"/>
  <c r="AD116" i="39"/>
  <c r="X116" i="39"/>
  <c r="Y116" i="39"/>
  <c r="AH109" i="39"/>
  <c r="AB109" i="39"/>
  <c r="AD110" i="39"/>
  <c r="AO110" i="39"/>
  <c r="X110" i="39"/>
  <c r="Y110" i="39"/>
  <c r="AB174" i="39"/>
  <c r="AH174" i="39"/>
  <c r="AO127" i="39"/>
  <c r="AD127" i="39"/>
  <c r="X127" i="39"/>
  <c r="Y127" i="39"/>
  <c r="AR161" i="39"/>
  <c r="R161" i="39"/>
  <c r="AR210" i="39"/>
  <c r="R210" i="39"/>
  <c r="AB155" i="39"/>
  <c r="AH155" i="39"/>
  <c r="AR230" i="39"/>
  <c r="R230" i="39"/>
  <c r="AR273" i="39"/>
  <c r="R273" i="39"/>
  <c r="AR255" i="39"/>
  <c r="R255" i="39"/>
  <c r="AR291" i="39"/>
  <c r="R291" i="39"/>
  <c r="AP198" i="39"/>
  <c r="AO309" i="39"/>
  <c r="AD309" i="39"/>
  <c r="X309" i="39"/>
  <c r="Y309" i="39"/>
  <c r="AR294" i="39"/>
  <c r="R294" i="39"/>
  <c r="AB294" i="39"/>
  <c r="AH294" i="39"/>
  <c r="AR373" i="39"/>
  <c r="R373" i="39"/>
  <c r="AH373" i="39"/>
  <c r="AB373" i="39"/>
  <c r="AD327" i="39"/>
  <c r="AO327" i="39"/>
  <c r="Y327" i="39"/>
  <c r="X327" i="39"/>
  <c r="AB316" i="39"/>
  <c r="AH316" i="39"/>
  <c r="AD369" i="39"/>
  <c r="AO369" i="39"/>
  <c r="X369" i="39"/>
  <c r="Y369" i="39"/>
  <c r="AB325" i="39"/>
  <c r="AH325" i="39"/>
  <c r="AR325" i="39"/>
  <c r="R325" i="39"/>
  <c r="AR454" i="39"/>
  <c r="R454" i="39"/>
  <c r="AR388" i="39"/>
  <c r="R388" i="39"/>
  <c r="AB388" i="39"/>
  <c r="AH388" i="39"/>
  <c r="AH70" i="39"/>
  <c r="AB70" i="39"/>
  <c r="AH31" i="39"/>
  <c r="AB31" i="39"/>
  <c r="AO95" i="39"/>
  <c r="AD95" i="39"/>
  <c r="X95" i="39"/>
  <c r="Y95" i="39"/>
  <c r="AB88" i="39"/>
  <c r="AH88" i="39"/>
  <c r="AR115" i="39"/>
  <c r="R115" i="39"/>
  <c r="AB115" i="39"/>
  <c r="AH115" i="39"/>
  <c r="AO140" i="39"/>
  <c r="AD140" i="39"/>
  <c r="X140" i="39"/>
  <c r="Y140" i="39"/>
  <c r="AD181" i="39"/>
  <c r="AO181" i="39"/>
  <c r="Y181" i="39"/>
  <c r="X181" i="39"/>
  <c r="AR234" i="39"/>
  <c r="R234" i="39"/>
  <c r="AB163" i="39"/>
  <c r="AH163" i="39"/>
  <c r="AP257" i="39"/>
  <c r="AD284" i="39"/>
  <c r="AO284" i="39"/>
  <c r="X284" i="39"/>
  <c r="Y284" i="39"/>
  <c r="AP272" i="39"/>
  <c r="AB272" i="39"/>
  <c r="AH272" i="39"/>
  <c r="AR318" i="39"/>
  <c r="R318" i="39"/>
  <c r="AD336" i="39"/>
  <c r="AO336" i="39"/>
  <c r="X336" i="39"/>
  <c r="Y336" i="39"/>
  <c r="AR336" i="39"/>
  <c r="R336" i="39"/>
  <c r="AR397" i="39"/>
  <c r="R397" i="39"/>
  <c r="AH397" i="39"/>
  <c r="AB397" i="39"/>
  <c r="AR439" i="39"/>
  <c r="R439" i="39"/>
  <c r="AR392" i="39"/>
  <c r="R392" i="39"/>
  <c r="AO445" i="39"/>
  <c r="AD445" i="39"/>
  <c r="X445" i="39"/>
  <c r="Y445" i="39"/>
  <c r="AH456" i="39"/>
  <c r="AB456" i="39"/>
  <c r="AP396" i="39"/>
  <c r="AO158" i="39"/>
  <c r="AD158" i="39"/>
  <c r="X158" i="39"/>
  <c r="Y158" i="39"/>
  <c r="AO42" i="39"/>
  <c r="AD42" i="39"/>
  <c r="X42" i="39"/>
  <c r="Y42" i="39"/>
  <c r="S3" i="39"/>
  <c r="AC3" i="39" s="1"/>
  <c r="T3" i="39"/>
  <c r="T5" i="39"/>
  <c r="T7" i="39"/>
  <c r="T9" i="39"/>
  <c r="T11" i="39"/>
  <c r="T13" i="39"/>
  <c r="S4" i="39"/>
  <c r="AE4" i="39" s="1"/>
  <c r="S6" i="39"/>
  <c r="AE6" i="39" s="1"/>
  <c r="S8" i="39"/>
  <c r="AE8" i="39" s="1"/>
  <c r="S10" i="39"/>
  <c r="AE10" i="39" s="1"/>
  <c r="S12" i="39"/>
  <c r="S14" i="39"/>
  <c r="S16" i="39"/>
  <c r="S18" i="39"/>
  <c r="S20" i="39"/>
  <c r="S22" i="39"/>
  <c r="S24" i="39"/>
  <c r="T4" i="39"/>
  <c r="T6" i="39"/>
  <c r="T8" i="39"/>
  <c r="T10" i="39"/>
  <c r="T12" i="39"/>
  <c r="T14" i="39"/>
  <c r="T16" i="39"/>
  <c r="T18" i="39"/>
  <c r="T20" i="39"/>
  <c r="T22" i="39"/>
  <c r="T24" i="39"/>
  <c r="T26" i="39"/>
  <c r="T28" i="39"/>
  <c r="T23" i="39"/>
  <c r="S26" i="39"/>
  <c r="S5" i="39"/>
  <c r="AE5" i="39" s="1"/>
  <c r="S13" i="39"/>
  <c r="S19" i="39"/>
  <c r="S7" i="39"/>
  <c r="AE7" i="39" s="1"/>
  <c r="S17" i="39"/>
  <c r="T19" i="39"/>
  <c r="S21" i="39"/>
  <c r="S25" i="39"/>
  <c r="S15" i="39"/>
  <c r="T17" i="39"/>
  <c r="T21" i="39"/>
  <c r="T25" i="39"/>
  <c r="S29" i="39"/>
  <c r="S9" i="39"/>
  <c r="AE9" i="39" s="1"/>
  <c r="T15" i="39"/>
  <c r="S27" i="39"/>
  <c r="S28" i="39"/>
  <c r="T27" i="39"/>
  <c r="S23" i="39"/>
  <c r="S11" i="39"/>
  <c r="AE11" i="39" s="1"/>
  <c r="T29" i="39"/>
  <c r="S2" i="39"/>
  <c r="AE2" i="39" s="1"/>
  <c r="A25" i="43"/>
  <c r="A10" i="39"/>
  <c r="A18" i="39"/>
  <c r="A26" i="39"/>
  <c r="A2" i="39"/>
  <c r="P2" i="39" s="1"/>
  <c r="A8" i="39"/>
  <c r="A9" i="39"/>
  <c r="A3" i="39"/>
  <c r="A11" i="39"/>
  <c r="A19" i="39"/>
  <c r="A27" i="39"/>
  <c r="A4" i="39"/>
  <c r="A12" i="39"/>
  <c r="A20" i="39"/>
  <c r="A28" i="39"/>
  <c r="A24" i="39"/>
  <c r="A5" i="39"/>
  <c r="A13" i="39"/>
  <c r="A21" i="39"/>
  <c r="A29" i="39"/>
  <c r="A15" i="39"/>
  <c r="A16" i="39"/>
  <c r="A17" i="39"/>
  <c r="A6" i="39"/>
  <c r="A14" i="39"/>
  <c r="A22" i="39"/>
  <c r="A7" i="39"/>
  <c r="A23" i="39"/>
  <c r="A25" i="39"/>
  <c r="T2" i="39"/>
  <c r="A17" i="43"/>
  <c r="AI313" i="39" l="1"/>
  <c r="V313" i="39"/>
  <c r="W313" i="39"/>
  <c r="AI168" i="39"/>
  <c r="V168" i="39"/>
  <c r="W168" i="39"/>
  <c r="AI77" i="39"/>
  <c r="V77" i="39"/>
  <c r="W77" i="39"/>
  <c r="AI386" i="39"/>
  <c r="V386" i="39"/>
  <c r="W386" i="39"/>
  <c r="AI274" i="39"/>
  <c r="V274" i="39"/>
  <c r="W274" i="39"/>
  <c r="AI356" i="39"/>
  <c r="V356" i="39"/>
  <c r="W356" i="39"/>
  <c r="AI320" i="39"/>
  <c r="V320" i="39"/>
  <c r="W320" i="39"/>
  <c r="AI120" i="39"/>
  <c r="V120" i="39"/>
  <c r="W120" i="39"/>
  <c r="AI178" i="39"/>
  <c r="V178" i="39"/>
  <c r="W178" i="39"/>
  <c r="AI44" i="39"/>
  <c r="V44" i="39"/>
  <c r="W44" i="39"/>
  <c r="AI223" i="39"/>
  <c r="V223" i="39"/>
  <c r="W223" i="39"/>
  <c r="AI151" i="39"/>
  <c r="V151" i="39"/>
  <c r="W151" i="39"/>
  <c r="AI152" i="39"/>
  <c r="V152" i="39"/>
  <c r="W152" i="39"/>
  <c r="AI131" i="39"/>
  <c r="V131" i="39"/>
  <c r="W131" i="39"/>
  <c r="AI446" i="39"/>
  <c r="W446" i="39"/>
  <c r="V446" i="39"/>
  <c r="AI177" i="39"/>
  <c r="W177" i="39"/>
  <c r="V177" i="39"/>
  <c r="AI453" i="39"/>
  <c r="V453" i="39"/>
  <c r="W453" i="39"/>
  <c r="AI287" i="39"/>
  <c r="V287" i="39"/>
  <c r="W287" i="39"/>
  <c r="AI164" i="39"/>
  <c r="V164" i="39"/>
  <c r="W164" i="39"/>
  <c r="AI196" i="39"/>
  <c r="V196" i="39"/>
  <c r="W196" i="39"/>
  <c r="AI362" i="39"/>
  <c r="V362" i="39"/>
  <c r="W362" i="39"/>
  <c r="AI384" i="39"/>
  <c r="W384" i="39"/>
  <c r="V384" i="39"/>
  <c r="AI32" i="39"/>
  <c r="V32" i="39"/>
  <c r="W32" i="39"/>
  <c r="AI98" i="39"/>
  <c r="W98" i="39"/>
  <c r="V98" i="39"/>
  <c r="AI117" i="39"/>
  <c r="W117" i="39"/>
  <c r="V117" i="39"/>
  <c r="AI159" i="39"/>
  <c r="W159" i="39"/>
  <c r="V159" i="39"/>
  <c r="AI437" i="39"/>
  <c r="W437" i="39"/>
  <c r="V437" i="39"/>
  <c r="AI80" i="39"/>
  <c r="V80" i="39"/>
  <c r="W80" i="39"/>
  <c r="AI410" i="39"/>
  <c r="W410" i="39"/>
  <c r="V410" i="39"/>
  <c r="AI393" i="39"/>
  <c r="V393" i="39"/>
  <c r="W393" i="39"/>
  <c r="AI272" i="39"/>
  <c r="V272" i="39"/>
  <c r="W272" i="39"/>
  <c r="AI88" i="39"/>
  <c r="V88" i="39"/>
  <c r="W88" i="39"/>
  <c r="AI205" i="39"/>
  <c r="V205" i="39"/>
  <c r="W205" i="39"/>
  <c r="AI421" i="39"/>
  <c r="W421" i="39"/>
  <c r="V421" i="39"/>
  <c r="AI312" i="39"/>
  <c r="W312" i="39"/>
  <c r="V312" i="39"/>
  <c r="AI372" i="39"/>
  <c r="V372" i="39"/>
  <c r="W372" i="39"/>
  <c r="AI371" i="39"/>
  <c r="V371" i="39"/>
  <c r="W371" i="39"/>
  <c r="AI333" i="39"/>
  <c r="V333" i="39"/>
  <c r="W333" i="39"/>
  <c r="AI169" i="39"/>
  <c r="W169" i="39"/>
  <c r="V169" i="39"/>
  <c r="AI107" i="39"/>
  <c r="W107" i="39"/>
  <c r="V107" i="39"/>
  <c r="AI456" i="39"/>
  <c r="V456" i="39"/>
  <c r="W456" i="39"/>
  <c r="AI373" i="39"/>
  <c r="V373" i="39"/>
  <c r="W373" i="39"/>
  <c r="AI174" i="39"/>
  <c r="W174" i="39"/>
  <c r="V174" i="39"/>
  <c r="AI245" i="39"/>
  <c r="W245" i="39"/>
  <c r="V245" i="39"/>
  <c r="AI389" i="39"/>
  <c r="V389" i="39"/>
  <c r="W389" i="39"/>
  <c r="AI129" i="39"/>
  <c r="V129" i="39"/>
  <c r="W129" i="39"/>
  <c r="AI100" i="39"/>
  <c r="V100" i="39"/>
  <c r="W100" i="39"/>
  <c r="AI400" i="39"/>
  <c r="W400" i="39"/>
  <c r="V400" i="39"/>
  <c r="AI262" i="39"/>
  <c r="V262" i="39"/>
  <c r="W262" i="39"/>
  <c r="AI217" i="39"/>
  <c r="V217" i="39"/>
  <c r="W217" i="39"/>
  <c r="AI210" i="39"/>
  <c r="V210" i="39"/>
  <c r="W210" i="39"/>
  <c r="AI233" i="39"/>
  <c r="V233" i="39"/>
  <c r="W233" i="39"/>
  <c r="AI270" i="39"/>
  <c r="V270" i="39"/>
  <c r="W270" i="39"/>
  <c r="AI52" i="39"/>
  <c r="V52" i="39"/>
  <c r="W52" i="39"/>
  <c r="AI200" i="39"/>
  <c r="V200" i="39"/>
  <c r="W200" i="39"/>
  <c r="AI203" i="39"/>
  <c r="W203" i="39"/>
  <c r="V203" i="39"/>
  <c r="AI181" i="39"/>
  <c r="V181" i="39"/>
  <c r="W181" i="39"/>
  <c r="AI192" i="39"/>
  <c r="V192" i="39"/>
  <c r="W192" i="39"/>
  <c r="AI366" i="39"/>
  <c r="V366" i="39"/>
  <c r="W366" i="39"/>
  <c r="AI359" i="39"/>
  <c r="V359" i="39"/>
  <c r="W359" i="39"/>
  <c r="AI254" i="39"/>
  <c r="V254" i="39"/>
  <c r="W254" i="39"/>
  <c r="AI43" i="39"/>
  <c r="V43" i="39"/>
  <c r="W43" i="39"/>
  <c r="AI278" i="39"/>
  <c r="V278" i="39"/>
  <c r="W278" i="39"/>
  <c r="AI414" i="39"/>
  <c r="V414" i="39"/>
  <c r="W414" i="39"/>
  <c r="AI238" i="39"/>
  <c r="V238" i="39"/>
  <c r="W238" i="39"/>
  <c r="AI232" i="39"/>
  <c r="V232" i="39"/>
  <c r="W232" i="39"/>
  <c r="AI327" i="39"/>
  <c r="V327" i="39"/>
  <c r="W327" i="39"/>
  <c r="AI208" i="39"/>
  <c r="V208" i="39"/>
  <c r="W208" i="39"/>
  <c r="AI307" i="39"/>
  <c r="W307" i="39"/>
  <c r="V307" i="39"/>
  <c r="AI439" i="39"/>
  <c r="V439" i="39"/>
  <c r="W439" i="39"/>
  <c r="AI369" i="39"/>
  <c r="V369" i="39"/>
  <c r="W369" i="39"/>
  <c r="AI45" i="39"/>
  <c r="V45" i="39"/>
  <c r="W45" i="39"/>
  <c r="AI84" i="39"/>
  <c r="V84" i="39"/>
  <c r="W84" i="39"/>
  <c r="AI91" i="39"/>
  <c r="V91" i="39"/>
  <c r="W91" i="39"/>
  <c r="AI222" i="39"/>
  <c r="V222" i="39"/>
  <c r="W222" i="39"/>
  <c r="AI266" i="39"/>
  <c r="V266" i="39"/>
  <c r="W266" i="39"/>
  <c r="AI97" i="39"/>
  <c r="W97" i="39"/>
  <c r="V97" i="39"/>
  <c r="AI338" i="39"/>
  <c r="V338" i="39"/>
  <c r="W338" i="39"/>
  <c r="AI318" i="39"/>
  <c r="V318" i="39"/>
  <c r="W318" i="39"/>
  <c r="AI55" i="39"/>
  <c r="V55" i="39"/>
  <c r="W55" i="39"/>
  <c r="AI249" i="39"/>
  <c r="W249" i="39"/>
  <c r="V249" i="39"/>
  <c r="AI426" i="39"/>
  <c r="W426" i="39"/>
  <c r="V426" i="39"/>
  <c r="AI413" i="39"/>
  <c r="W413" i="39"/>
  <c r="V413" i="39"/>
  <c r="AI76" i="39"/>
  <c r="V76" i="39"/>
  <c r="W76" i="39"/>
  <c r="AI319" i="39"/>
  <c r="V319" i="39"/>
  <c r="W319" i="39"/>
  <c r="AI99" i="39"/>
  <c r="V99" i="39"/>
  <c r="W99" i="39"/>
  <c r="AI258" i="39"/>
  <c r="V258" i="39"/>
  <c r="W258" i="39"/>
  <c r="AI268" i="39"/>
  <c r="V268" i="39"/>
  <c r="W268" i="39"/>
  <c r="AI240" i="39"/>
  <c r="V240" i="39"/>
  <c r="W240" i="39"/>
  <c r="AI420" i="39"/>
  <c r="V420" i="39"/>
  <c r="W420" i="39"/>
  <c r="AI33" i="39"/>
  <c r="V33" i="39"/>
  <c r="W33" i="39"/>
  <c r="AI162" i="39"/>
  <c r="V162" i="39"/>
  <c r="W162" i="39"/>
  <c r="AI277" i="39"/>
  <c r="V277" i="39"/>
  <c r="W277" i="39"/>
  <c r="AI81" i="39"/>
  <c r="V81" i="39"/>
  <c r="W81" i="39"/>
  <c r="AI331" i="39"/>
  <c r="V331" i="39"/>
  <c r="W331" i="39"/>
  <c r="AI341" i="39"/>
  <c r="V341" i="39"/>
  <c r="W341" i="39"/>
  <c r="AI302" i="39"/>
  <c r="V302" i="39"/>
  <c r="W302" i="39"/>
  <c r="AI290" i="39"/>
  <c r="V290" i="39"/>
  <c r="W290" i="39"/>
  <c r="AI432" i="39"/>
  <c r="V432" i="39"/>
  <c r="W432" i="39"/>
  <c r="AI229" i="39"/>
  <c r="W229" i="39"/>
  <c r="V229" i="39"/>
  <c r="AI36" i="39"/>
  <c r="V36" i="39"/>
  <c r="W36" i="39"/>
  <c r="AI403" i="39"/>
  <c r="V403" i="39"/>
  <c r="W403" i="39"/>
  <c r="AI133" i="39"/>
  <c r="W133" i="39"/>
  <c r="V133" i="39"/>
  <c r="AI108" i="39"/>
  <c r="V108" i="39"/>
  <c r="W108" i="39"/>
  <c r="AI41" i="39"/>
  <c r="V41" i="39"/>
  <c r="W41" i="39"/>
  <c r="AI275" i="39"/>
  <c r="V275" i="39"/>
  <c r="W275" i="39"/>
  <c r="AI79" i="39"/>
  <c r="V79" i="39"/>
  <c r="W79" i="39"/>
  <c r="AI66" i="39"/>
  <c r="V66" i="39"/>
  <c r="W66" i="39"/>
  <c r="AI85" i="39"/>
  <c r="W85" i="39"/>
  <c r="V85" i="39"/>
  <c r="AI416" i="39"/>
  <c r="V416" i="39"/>
  <c r="W416" i="39"/>
  <c r="AI424" i="39"/>
  <c r="V424" i="39"/>
  <c r="W424" i="39"/>
  <c r="AI388" i="39"/>
  <c r="V388" i="39"/>
  <c r="W388" i="39"/>
  <c r="AI87" i="39"/>
  <c r="V87" i="39"/>
  <c r="W87" i="39"/>
  <c r="AI195" i="39"/>
  <c r="W195" i="39"/>
  <c r="V195" i="39"/>
  <c r="AI51" i="39"/>
  <c r="V51" i="39"/>
  <c r="W51" i="39"/>
  <c r="AI67" i="39"/>
  <c r="V67" i="39"/>
  <c r="W67" i="39"/>
  <c r="AI411" i="39"/>
  <c r="V411" i="39"/>
  <c r="W411" i="39"/>
  <c r="AI142" i="39"/>
  <c r="V142" i="39"/>
  <c r="W142" i="39"/>
  <c r="AI201" i="39"/>
  <c r="V201" i="39"/>
  <c r="W201" i="39"/>
  <c r="AI444" i="39"/>
  <c r="W444" i="39"/>
  <c r="V444" i="39"/>
  <c r="AI248" i="39"/>
  <c r="V248" i="39"/>
  <c r="W248" i="39"/>
  <c r="AI150" i="39"/>
  <c r="V150" i="39"/>
  <c r="W150" i="39"/>
  <c r="AI34" i="39"/>
  <c r="V34" i="39"/>
  <c r="W34" i="39"/>
  <c r="AI363" i="39"/>
  <c r="V363" i="39"/>
  <c r="W363" i="39"/>
  <c r="AI243" i="39"/>
  <c r="V243" i="39"/>
  <c r="W243" i="39"/>
  <c r="AI147" i="39"/>
  <c r="V147" i="39"/>
  <c r="W147" i="39"/>
  <c r="AI399" i="39"/>
  <c r="V399" i="39"/>
  <c r="W399" i="39"/>
  <c r="AI405" i="39"/>
  <c r="V405" i="39"/>
  <c r="W405" i="39"/>
  <c r="AI179" i="39"/>
  <c r="W179" i="39"/>
  <c r="V179" i="39"/>
  <c r="AI441" i="39"/>
  <c r="V441" i="39"/>
  <c r="W441" i="39"/>
  <c r="AI303" i="39"/>
  <c r="V303" i="39"/>
  <c r="W303" i="39"/>
  <c r="AI440" i="39"/>
  <c r="V440" i="39"/>
  <c r="W440" i="39"/>
  <c r="AI226" i="39"/>
  <c r="V226" i="39"/>
  <c r="W226" i="39"/>
  <c r="AI130" i="39"/>
  <c r="V130" i="39"/>
  <c r="W130" i="39"/>
  <c r="AI342" i="39"/>
  <c r="V342" i="39"/>
  <c r="W342" i="39"/>
  <c r="AI103" i="39"/>
  <c r="V103" i="39"/>
  <c r="W103" i="39"/>
  <c r="AI113" i="39"/>
  <c r="V113" i="39"/>
  <c r="W113" i="39"/>
  <c r="AI121" i="39"/>
  <c r="V121" i="39"/>
  <c r="W121" i="39"/>
  <c r="AI374" i="39"/>
  <c r="V374" i="39"/>
  <c r="W374" i="39"/>
  <c r="AI170" i="39"/>
  <c r="V170" i="39"/>
  <c r="W170" i="39"/>
  <c r="AI64" i="39"/>
  <c r="V64" i="39"/>
  <c r="W64" i="39"/>
  <c r="AI59" i="39"/>
  <c r="V59" i="39"/>
  <c r="W59" i="39"/>
  <c r="AI354" i="39"/>
  <c r="V354" i="39"/>
  <c r="W354" i="39"/>
  <c r="AI158" i="39"/>
  <c r="V158" i="39"/>
  <c r="W158" i="39"/>
  <c r="AI284" i="39"/>
  <c r="V284" i="39"/>
  <c r="W284" i="39"/>
  <c r="AI112" i="39"/>
  <c r="V112" i="39"/>
  <c r="W112" i="39"/>
  <c r="AI244" i="39"/>
  <c r="V244" i="39"/>
  <c r="W244" i="39"/>
  <c r="AI259" i="39"/>
  <c r="V259" i="39"/>
  <c r="W259" i="39"/>
  <c r="AI267" i="39"/>
  <c r="V267" i="39"/>
  <c r="W267" i="39"/>
  <c r="AI310" i="39"/>
  <c r="V310" i="39"/>
  <c r="W310" i="39"/>
  <c r="AI296" i="39"/>
  <c r="V296" i="39"/>
  <c r="W296" i="39"/>
  <c r="AI343" i="39"/>
  <c r="V343" i="39"/>
  <c r="W343" i="39"/>
  <c r="AI90" i="39"/>
  <c r="V90" i="39"/>
  <c r="W90" i="39"/>
  <c r="AI295" i="39"/>
  <c r="V295" i="39"/>
  <c r="W295" i="39"/>
  <c r="AI332" i="39"/>
  <c r="V332" i="39"/>
  <c r="W332" i="39"/>
  <c r="AI56" i="39"/>
  <c r="V56" i="39"/>
  <c r="W56" i="39"/>
  <c r="AI401" i="39"/>
  <c r="V401" i="39"/>
  <c r="W401" i="39"/>
  <c r="AI314" i="39"/>
  <c r="V314" i="39"/>
  <c r="W314" i="39"/>
  <c r="AI184" i="39"/>
  <c r="W184" i="39"/>
  <c r="V184" i="39"/>
  <c r="AI316" i="39"/>
  <c r="W316" i="39"/>
  <c r="V316" i="39"/>
  <c r="AI392" i="39"/>
  <c r="W392" i="39"/>
  <c r="V392" i="39"/>
  <c r="AI163" i="39"/>
  <c r="V163" i="39"/>
  <c r="W163" i="39"/>
  <c r="AI49" i="39"/>
  <c r="V49" i="39"/>
  <c r="W49" i="39"/>
  <c r="AI395" i="39"/>
  <c r="V395" i="39"/>
  <c r="W395" i="39"/>
  <c r="AI92" i="39"/>
  <c r="V92" i="39"/>
  <c r="W92" i="39"/>
  <c r="AI78" i="39"/>
  <c r="W78" i="39"/>
  <c r="V78" i="39"/>
  <c r="AI194" i="39"/>
  <c r="V194" i="39"/>
  <c r="W194" i="39"/>
  <c r="AI279" i="39"/>
  <c r="V279" i="39"/>
  <c r="W279" i="39"/>
  <c r="AI304" i="39"/>
  <c r="V304" i="39"/>
  <c r="W304" i="39"/>
  <c r="AI353" i="39"/>
  <c r="V353" i="39"/>
  <c r="W353" i="39"/>
  <c r="AI228" i="39"/>
  <c r="V228" i="39"/>
  <c r="W228" i="39"/>
  <c r="AI82" i="39"/>
  <c r="V82" i="39"/>
  <c r="W82" i="39"/>
  <c r="AI355" i="39"/>
  <c r="V355" i="39"/>
  <c r="W355" i="39"/>
  <c r="AI176" i="39"/>
  <c r="V176" i="39"/>
  <c r="W176" i="39"/>
  <c r="AI397" i="39"/>
  <c r="V397" i="39"/>
  <c r="W397" i="39"/>
  <c r="AI328" i="39"/>
  <c r="V328" i="39"/>
  <c r="W328" i="39"/>
  <c r="AI225" i="39"/>
  <c r="V225" i="39"/>
  <c r="W225" i="39"/>
  <c r="AI425" i="39"/>
  <c r="V425" i="39"/>
  <c r="W425" i="39"/>
  <c r="AI73" i="39"/>
  <c r="V73" i="39"/>
  <c r="W73" i="39"/>
  <c r="AI364" i="39"/>
  <c r="V364" i="39"/>
  <c r="W364" i="39"/>
  <c r="AI436" i="39"/>
  <c r="V436" i="39"/>
  <c r="W436" i="39"/>
  <c r="AI236" i="39"/>
  <c r="V236" i="39"/>
  <c r="W236" i="39"/>
  <c r="AI379" i="39"/>
  <c r="V379" i="39"/>
  <c r="W379" i="39"/>
  <c r="AI96" i="39"/>
  <c r="W96" i="39"/>
  <c r="V96" i="39"/>
  <c r="AI256" i="39"/>
  <c r="V256" i="39"/>
  <c r="W256" i="39"/>
  <c r="AI95" i="39"/>
  <c r="V95" i="39"/>
  <c r="W95" i="39"/>
  <c r="AI46" i="39"/>
  <c r="W46" i="39"/>
  <c r="V46" i="39"/>
  <c r="AI409" i="39"/>
  <c r="V409" i="39"/>
  <c r="W409" i="39"/>
  <c r="AI251" i="39"/>
  <c r="W251" i="39"/>
  <c r="V251" i="39"/>
  <c r="AI137" i="39"/>
  <c r="V137" i="39"/>
  <c r="W137" i="39"/>
  <c r="AI340" i="39"/>
  <c r="V340" i="39"/>
  <c r="W340" i="39"/>
  <c r="AI260" i="39"/>
  <c r="V260" i="39"/>
  <c r="W260" i="39"/>
  <c r="AI204" i="39"/>
  <c r="V204" i="39"/>
  <c r="W204" i="39"/>
  <c r="AI346" i="39"/>
  <c r="V346" i="39"/>
  <c r="W346" i="39"/>
  <c r="AI282" i="39"/>
  <c r="V282" i="39"/>
  <c r="W282" i="39"/>
  <c r="AI335" i="39"/>
  <c r="V335" i="39"/>
  <c r="W335" i="39"/>
  <c r="AI394" i="39"/>
  <c r="V394" i="39"/>
  <c r="W394" i="39"/>
  <c r="AI257" i="39"/>
  <c r="W257" i="39"/>
  <c r="V257" i="39"/>
  <c r="AI165" i="39"/>
  <c r="W165" i="39"/>
  <c r="V165" i="39"/>
  <c r="AI345" i="39"/>
  <c r="V345" i="39"/>
  <c r="W345" i="39"/>
  <c r="AI211" i="39"/>
  <c r="W211" i="39"/>
  <c r="V211" i="39"/>
  <c r="AI382" i="39"/>
  <c r="V382" i="39"/>
  <c r="W382" i="39"/>
  <c r="AI123" i="39"/>
  <c r="V123" i="39"/>
  <c r="W123" i="39"/>
  <c r="AI339" i="39"/>
  <c r="V339" i="39"/>
  <c r="W339" i="39"/>
  <c r="AI189" i="39"/>
  <c r="V189" i="39"/>
  <c r="W189" i="39"/>
  <c r="AI283" i="39"/>
  <c r="W283" i="39"/>
  <c r="V283" i="39"/>
  <c r="AI214" i="39"/>
  <c r="V214" i="39"/>
  <c r="W214" i="39"/>
  <c r="AI324" i="39"/>
  <c r="W324" i="39"/>
  <c r="V324" i="39"/>
  <c r="AI247" i="39"/>
  <c r="W247" i="39"/>
  <c r="V247" i="39"/>
  <c r="AI143" i="39"/>
  <c r="V143" i="39"/>
  <c r="W143" i="39"/>
  <c r="AI94" i="39"/>
  <c r="W94" i="39"/>
  <c r="V94" i="39"/>
  <c r="AI263" i="39"/>
  <c r="V263" i="39"/>
  <c r="W263" i="39"/>
  <c r="AI105" i="39"/>
  <c r="V105" i="39"/>
  <c r="W105" i="39"/>
  <c r="AI380" i="39"/>
  <c r="V380" i="39"/>
  <c r="W380" i="39"/>
  <c r="AI60" i="39"/>
  <c r="V60" i="39"/>
  <c r="W60" i="39"/>
  <c r="AI349" i="39"/>
  <c r="V349" i="39"/>
  <c r="W349" i="39"/>
  <c r="AI385" i="39"/>
  <c r="V385" i="39"/>
  <c r="W385" i="39"/>
  <c r="AI315" i="39"/>
  <c r="V315" i="39"/>
  <c r="W315" i="39"/>
  <c r="AI398" i="39"/>
  <c r="V398" i="39"/>
  <c r="W398" i="39"/>
  <c r="AI391" i="39"/>
  <c r="V391" i="39"/>
  <c r="W391" i="39"/>
  <c r="AI428" i="39"/>
  <c r="W428" i="39"/>
  <c r="V428" i="39"/>
  <c r="AI276" i="39"/>
  <c r="V276" i="39"/>
  <c r="W276" i="39"/>
  <c r="AI182" i="39"/>
  <c r="V182" i="39"/>
  <c r="W182" i="39"/>
  <c r="AI72" i="39"/>
  <c r="V72" i="39"/>
  <c r="W72" i="39"/>
  <c r="AI160" i="39"/>
  <c r="V160" i="39"/>
  <c r="W160" i="39"/>
  <c r="AI368" i="39"/>
  <c r="W368" i="39"/>
  <c r="V368" i="39"/>
  <c r="AI308" i="39"/>
  <c r="W308" i="39"/>
  <c r="V308" i="39"/>
  <c r="AI57" i="39"/>
  <c r="V57" i="39"/>
  <c r="W57" i="39"/>
  <c r="AI213" i="39"/>
  <c r="V213" i="39"/>
  <c r="W213" i="39"/>
  <c r="AI221" i="39"/>
  <c r="W221" i="39"/>
  <c r="V221" i="39"/>
  <c r="AI317" i="39"/>
  <c r="V317" i="39"/>
  <c r="W317" i="39"/>
  <c r="AI74" i="39"/>
  <c r="V74" i="39"/>
  <c r="W74" i="39"/>
  <c r="AI106" i="39"/>
  <c r="V106" i="39"/>
  <c r="W106" i="39"/>
  <c r="AI269" i="39"/>
  <c r="W269" i="39"/>
  <c r="V269" i="39"/>
  <c r="AI104" i="39"/>
  <c r="V104" i="39"/>
  <c r="W104" i="39"/>
  <c r="AI348" i="39"/>
  <c r="V348" i="39"/>
  <c r="W348" i="39"/>
  <c r="AI406" i="39"/>
  <c r="V406" i="39"/>
  <c r="W406" i="39"/>
  <c r="AI252" i="39"/>
  <c r="W252" i="39"/>
  <c r="V252" i="39"/>
  <c r="AI443" i="39"/>
  <c r="V443" i="39"/>
  <c r="W443" i="39"/>
  <c r="AI148" i="39"/>
  <c r="V148" i="39"/>
  <c r="W148" i="39"/>
  <c r="AI449" i="39"/>
  <c r="V449" i="39"/>
  <c r="W449" i="39"/>
  <c r="AI48" i="39"/>
  <c r="V48" i="39"/>
  <c r="W48" i="39"/>
  <c r="AI367" i="39"/>
  <c r="V367" i="39"/>
  <c r="W367" i="39"/>
  <c r="AI298" i="39"/>
  <c r="V298" i="39"/>
  <c r="W298" i="39"/>
  <c r="AI132" i="39"/>
  <c r="V132" i="39"/>
  <c r="W132" i="39"/>
  <c r="AI378" i="39"/>
  <c r="V378" i="39"/>
  <c r="W378" i="39"/>
  <c r="AI193" i="39"/>
  <c r="W193" i="39"/>
  <c r="V193" i="39"/>
  <c r="AI215" i="39"/>
  <c r="V215" i="39"/>
  <c r="W215" i="39"/>
  <c r="AI330" i="39"/>
  <c r="V330" i="39"/>
  <c r="W330" i="39"/>
  <c r="AI118" i="39"/>
  <c r="V118" i="39"/>
  <c r="W118" i="39"/>
  <c r="AI454" i="39"/>
  <c r="W454" i="39"/>
  <c r="V454" i="39"/>
  <c r="AI455" i="39"/>
  <c r="V455" i="39"/>
  <c r="W455" i="39"/>
  <c r="AI149" i="39"/>
  <c r="W149" i="39"/>
  <c r="V149" i="39"/>
  <c r="AI448" i="39"/>
  <c r="V448" i="39"/>
  <c r="W448" i="39"/>
  <c r="AI31" i="39"/>
  <c r="V31" i="39"/>
  <c r="W31" i="39"/>
  <c r="AI434" i="39"/>
  <c r="W434" i="39"/>
  <c r="V434" i="39"/>
  <c r="AI157" i="39"/>
  <c r="W157" i="39"/>
  <c r="V157" i="39"/>
  <c r="AI322" i="39"/>
  <c r="V322" i="39"/>
  <c r="W322" i="39"/>
  <c r="AI47" i="39"/>
  <c r="V47" i="39"/>
  <c r="W47" i="39"/>
  <c r="AI209" i="39"/>
  <c r="V209" i="39"/>
  <c r="W209" i="39"/>
  <c r="AI358" i="39"/>
  <c r="V358" i="39"/>
  <c r="W358" i="39"/>
  <c r="AI423" i="39"/>
  <c r="V423" i="39"/>
  <c r="W423" i="39"/>
  <c r="AI153" i="39"/>
  <c r="V153" i="39"/>
  <c r="W153" i="39"/>
  <c r="AI145" i="39"/>
  <c r="V145" i="39"/>
  <c r="W145" i="39"/>
  <c r="AI450" i="39"/>
  <c r="V450" i="39"/>
  <c r="W450" i="39"/>
  <c r="AI273" i="39"/>
  <c r="W273" i="39"/>
  <c r="V273" i="39"/>
  <c r="AI271" i="39"/>
  <c r="V271" i="39"/>
  <c r="W271" i="39"/>
  <c r="AI224" i="39"/>
  <c r="V224" i="39"/>
  <c r="W224" i="39"/>
  <c r="AI407" i="39"/>
  <c r="V407" i="39"/>
  <c r="W407" i="39"/>
  <c r="AI430" i="39"/>
  <c r="V430" i="39"/>
  <c r="W430" i="39"/>
  <c r="AI415" i="39"/>
  <c r="V415" i="39"/>
  <c r="W415" i="39"/>
  <c r="AI180" i="39"/>
  <c r="V180" i="39"/>
  <c r="W180" i="39"/>
  <c r="AI207" i="39"/>
  <c r="V207" i="39"/>
  <c r="W207" i="39"/>
  <c r="AI451" i="39"/>
  <c r="V451" i="39"/>
  <c r="W451" i="39"/>
  <c r="AI288" i="39"/>
  <c r="V288" i="39"/>
  <c r="W288" i="39"/>
  <c r="AI75" i="39"/>
  <c r="V75" i="39"/>
  <c r="W75" i="39"/>
  <c r="AI122" i="39"/>
  <c r="V122" i="39"/>
  <c r="W122" i="39"/>
  <c r="AI438" i="39"/>
  <c r="V438" i="39"/>
  <c r="W438" i="39"/>
  <c r="AI191" i="39"/>
  <c r="V191" i="39"/>
  <c r="W191" i="39"/>
  <c r="AI171" i="39"/>
  <c r="V171" i="39"/>
  <c r="W171" i="39"/>
  <c r="AI101" i="39"/>
  <c r="V101" i="39"/>
  <c r="W101" i="39"/>
  <c r="AI351" i="39"/>
  <c r="V351" i="39"/>
  <c r="W351" i="39"/>
  <c r="AI230" i="39"/>
  <c r="V230" i="39"/>
  <c r="W230" i="39"/>
  <c r="AI175" i="39"/>
  <c r="W175" i="39"/>
  <c r="V175" i="39"/>
  <c r="AI114" i="39"/>
  <c r="V114" i="39"/>
  <c r="W114" i="39"/>
  <c r="AI387" i="39"/>
  <c r="V387" i="39"/>
  <c r="W387" i="39"/>
  <c r="AI344" i="39"/>
  <c r="W344" i="39"/>
  <c r="V344" i="39"/>
  <c r="AI154" i="39"/>
  <c r="V154" i="39"/>
  <c r="W154" i="39"/>
  <c r="AI431" i="39"/>
  <c r="V431" i="39"/>
  <c r="W431" i="39"/>
  <c r="AI126" i="39"/>
  <c r="V126" i="39"/>
  <c r="W126" i="39"/>
  <c r="AI237" i="39"/>
  <c r="W237" i="39"/>
  <c r="V237" i="39"/>
  <c r="AI336" i="39"/>
  <c r="V336" i="39"/>
  <c r="W336" i="39"/>
  <c r="AI255" i="39"/>
  <c r="W255" i="39"/>
  <c r="V255" i="39"/>
  <c r="AI110" i="39"/>
  <c r="V110" i="39"/>
  <c r="W110" i="39"/>
  <c r="AI452" i="39"/>
  <c r="W452" i="39"/>
  <c r="V452" i="39"/>
  <c r="AI167" i="39"/>
  <c r="W167" i="39"/>
  <c r="V167" i="39"/>
  <c r="AI190" i="39"/>
  <c r="W190" i="39"/>
  <c r="V190" i="39"/>
  <c r="AI352" i="39"/>
  <c r="W352" i="39"/>
  <c r="V352" i="39"/>
  <c r="AI218" i="39"/>
  <c r="V218" i="39"/>
  <c r="W218" i="39"/>
  <c r="AI347" i="39"/>
  <c r="V347" i="39"/>
  <c r="W347" i="39"/>
  <c r="AI199" i="39"/>
  <c r="V199" i="39"/>
  <c r="W199" i="39"/>
  <c r="AI197" i="39"/>
  <c r="V197" i="39"/>
  <c r="W197" i="39"/>
  <c r="AI156" i="39"/>
  <c r="V156" i="39"/>
  <c r="W156" i="39"/>
  <c r="AI212" i="39"/>
  <c r="V212" i="39"/>
  <c r="W212" i="39"/>
  <c r="AI65" i="39"/>
  <c r="V65" i="39"/>
  <c r="W65" i="39"/>
  <c r="AI61" i="39"/>
  <c r="V61" i="39"/>
  <c r="W61" i="39"/>
  <c r="AI289" i="39"/>
  <c r="V289" i="39"/>
  <c r="W289" i="39"/>
  <c r="AI329" i="39"/>
  <c r="W329" i="39"/>
  <c r="V329" i="39"/>
  <c r="AI242" i="39"/>
  <c r="V242" i="39"/>
  <c r="W242" i="39"/>
  <c r="AI305" i="39"/>
  <c r="V305" i="39"/>
  <c r="W305" i="39"/>
  <c r="AI71" i="39"/>
  <c r="V71" i="39"/>
  <c r="W71" i="39"/>
  <c r="AI206" i="39"/>
  <c r="V206" i="39"/>
  <c r="W206" i="39"/>
  <c r="AI68" i="39"/>
  <c r="V68" i="39"/>
  <c r="W68" i="39"/>
  <c r="AI216" i="39"/>
  <c r="V216" i="39"/>
  <c r="W216" i="39"/>
  <c r="AI54" i="39"/>
  <c r="W54" i="39"/>
  <c r="V54" i="39"/>
  <c r="AI299" i="39"/>
  <c r="W299" i="39"/>
  <c r="V299" i="39"/>
  <c r="AI115" i="39"/>
  <c r="V115" i="39"/>
  <c r="W115" i="39"/>
  <c r="AI286" i="39"/>
  <c r="V286" i="39"/>
  <c r="W286" i="39"/>
  <c r="AI141" i="39"/>
  <c r="W141" i="39"/>
  <c r="V141" i="39"/>
  <c r="AI166" i="39"/>
  <c r="V166" i="39"/>
  <c r="W166" i="39"/>
  <c r="AI377" i="39"/>
  <c r="V377" i="39"/>
  <c r="W377" i="39"/>
  <c r="AI198" i="39"/>
  <c r="V198" i="39"/>
  <c r="W198" i="39"/>
  <c r="AI140" i="39"/>
  <c r="V140" i="39"/>
  <c r="W140" i="39"/>
  <c r="AI325" i="39"/>
  <c r="V325" i="39"/>
  <c r="W325" i="39"/>
  <c r="AI294" i="39"/>
  <c r="V294" i="39"/>
  <c r="W294" i="39"/>
  <c r="AI136" i="39"/>
  <c r="V136" i="39"/>
  <c r="W136" i="39"/>
  <c r="AI185" i="39"/>
  <c r="W185" i="39"/>
  <c r="V185" i="39"/>
  <c r="AI297" i="39"/>
  <c r="V297" i="39"/>
  <c r="W297" i="39"/>
  <c r="AI417" i="39"/>
  <c r="V417" i="39"/>
  <c r="W417" i="39"/>
  <c r="AI291" i="39"/>
  <c r="W291" i="39"/>
  <c r="V291" i="39"/>
  <c r="AI39" i="39"/>
  <c r="V39" i="39"/>
  <c r="W39" i="39"/>
  <c r="AI42" i="39"/>
  <c r="V42" i="39"/>
  <c r="W42" i="39"/>
  <c r="AI447" i="39"/>
  <c r="V447" i="39"/>
  <c r="W447" i="39"/>
  <c r="AI334" i="39"/>
  <c r="V334" i="39"/>
  <c r="W334" i="39"/>
  <c r="AI429" i="39"/>
  <c r="W429" i="39"/>
  <c r="V429" i="39"/>
  <c r="AI323" i="39"/>
  <c r="V323" i="39"/>
  <c r="W323" i="39"/>
  <c r="AI326" i="39"/>
  <c r="W326" i="39"/>
  <c r="V326" i="39"/>
  <c r="AI53" i="39"/>
  <c r="V53" i="39"/>
  <c r="W53" i="39"/>
  <c r="AI138" i="39"/>
  <c r="V138" i="39"/>
  <c r="W138" i="39"/>
  <c r="AI404" i="39"/>
  <c r="V404" i="39"/>
  <c r="W404" i="39"/>
  <c r="AI321" i="39"/>
  <c r="W321" i="39"/>
  <c r="V321" i="39"/>
  <c r="AI187" i="39"/>
  <c r="W187" i="39"/>
  <c r="V187" i="39"/>
  <c r="AI281" i="39"/>
  <c r="W281" i="39"/>
  <c r="V281" i="39"/>
  <c r="AI357" i="39"/>
  <c r="V357" i="39"/>
  <c r="W357" i="39"/>
  <c r="AI111" i="39"/>
  <c r="V111" i="39"/>
  <c r="W111" i="39"/>
  <c r="AI375" i="39"/>
  <c r="V375" i="39"/>
  <c r="W375" i="39"/>
  <c r="AI161" i="39"/>
  <c r="W161" i="39"/>
  <c r="V161" i="39"/>
  <c r="AI370" i="39"/>
  <c r="V370" i="39"/>
  <c r="W370" i="39"/>
  <c r="AI261" i="39"/>
  <c r="W261" i="39"/>
  <c r="V261" i="39"/>
  <c r="AI234" i="39"/>
  <c r="V234" i="39"/>
  <c r="W234" i="39"/>
  <c r="AI40" i="39"/>
  <c r="V40" i="39"/>
  <c r="W40" i="39"/>
  <c r="AI422" i="39"/>
  <c r="V422" i="39"/>
  <c r="W422" i="39"/>
  <c r="AI144" i="39"/>
  <c r="V144" i="39"/>
  <c r="W144" i="39"/>
  <c r="AI35" i="39"/>
  <c r="V35" i="39"/>
  <c r="W35" i="39"/>
  <c r="AI381" i="39"/>
  <c r="V381" i="39"/>
  <c r="W381" i="39"/>
  <c r="AI50" i="39"/>
  <c r="V50" i="39"/>
  <c r="W50" i="39"/>
  <c r="AI219" i="39"/>
  <c r="W219" i="39"/>
  <c r="V219" i="39"/>
  <c r="AI188" i="39"/>
  <c r="V188" i="39"/>
  <c r="W188" i="39"/>
  <c r="AI264" i="39"/>
  <c r="V264" i="39"/>
  <c r="W264" i="39"/>
  <c r="AI30" i="39"/>
  <c r="W30" i="39"/>
  <c r="V30" i="39"/>
  <c r="AI408" i="39"/>
  <c r="W408" i="39"/>
  <c r="V408" i="39"/>
  <c r="AI239" i="39"/>
  <c r="W239" i="39"/>
  <c r="V239" i="39"/>
  <c r="AI246" i="39"/>
  <c r="V246" i="39"/>
  <c r="W246" i="39"/>
  <c r="AI172" i="39"/>
  <c r="V172" i="39"/>
  <c r="W172" i="39"/>
  <c r="AI376" i="39"/>
  <c r="W376" i="39"/>
  <c r="V376" i="39"/>
  <c r="AI58" i="39"/>
  <c r="V58" i="39"/>
  <c r="W58" i="39"/>
  <c r="AI241" i="39"/>
  <c r="W241" i="39"/>
  <c r="V241" i="39"/>
  <c r="AI301" i="39"/>
  <c r="V301" i="39"/>
  <c r="W301" i="39"/>
  <c r="AI220" i="39"/>
  <c r="V220" i="39"/>
  <c r="W220" i="39"/>
  <c r="AI38" i="39"/>
  <c r="W38" i="39"/>
  <c r="V38" i="39"/>
  <c r="AI433" i="39"/>
  <c r="V433" i="39"/>
  <c r="W433" i="39"/>
  <c r="AI109" i="39"/>
  <c r="W109" i="39"/>
  <c r="V109" i="39"/>
  <c r="AI139" i="39"/>
  <c r="V139" i="39"/>
  <c r="W139" i="39"/>
  <c r="AI70" i="39"/>
  <c r="W70" i="39"/>
  <c r="V70" i="39"/>
  <c r="AI155" i="39"/>
  <c r="V155" i="39"/>
  <c r="W155" i="39"/>
  <c r="AI128" i="39"/>
  <c r="V128" i="39"/>
  <c r="W128" i="39"/>
  <c r="AI86" i="39"/>
  <c r="W86" i="39"/>
  <c r="V86" i="39"/>
  <c r="AI402" i="39"/>
  <c r="V402" i="39"/>
  <c r="W402" i="39"/>
  <c r="AI102" i="39"/>
  <c r="W102" i="39"/>
  <c r="V102" i="39"/>
  <c r="AI365" i="39"/>
  <c r="V365" i="39"/>
  <c r="W365" i="39"/>
  <c r="AI227" i="39"/>
  <c r="W227" i="39"/>
  <c r="V227" i="39"/>
  <c r="AI135" i="39"/>
  <c r="V135" i="39"/>
  <c r="W135" i="39"/>
  <c r="AI183" i="39"/>
  <c r="V183" i="39"/>
  <c r="W183" i="39"/>
  <c r="AI83" i="39"/>
  <c r="V83" i="39"/>
  <c r="W83" i="39"/>
  <c r="AI427" i="39"/>
  <c r="V427" i="39"/>
  <c r="W427" i="39"/>
  <c r="AI125" i="39"/>
  <c r="W125" i="39"/>
  <c r="V125" i="39"/>
  <c r="AI361" i="39"/>
  <c r="V361" i="39"/>
  <c r="W361" i="39"/>
  <c r="AI119" i="39"/>
  <c r="V119" i="39"/>
  <c r="W119" i="39"/>
  <c r="AI63" i="39"/>
  <c r="V63" i="39"/>
  <c r="W63" i="39"/>
  <c r="AI418" i="39"/>
  <c r="W418" i="39"/>
  <c r="V418" i="39"/>
  <c r="AI412" i="39"/>
  <c r="V412" i="39"/>
  <c r="W412" i="39"/>
  <c r="AI350" i="39"/>
  <c r="V350" i="39"/>
  <c r="W350" i="39"/>
  <c r="AI300" i="39"/>
  <c r="V300" i="39"/>
  <c r="W300" i="39"/>
  <c r="AI235" i="39"/>
  <c r="W235" i="39"/>
  <c r="V235" i="39"/>
  <c r="AI93" i="39"/>
  <c r="V93" i="39"/>
  <c r="W93" i="39"/>
  <c r="AI396" i="39"/>
  <c r="V396" i="39"/>
  <c r="W396" i="39"/>
  <c r="AI306" i="39"/>
  <c r="V306" i="39"/>
  <c r="W306" i="39"/>
  <c r="AI69" i="39"/>
  <c r="V69" i="39"/>
  <c r="W69" i="39"/>
  <c r="AI280" i="39"/>
  <c r="V280" i="39"/>
  <c r="W280" i="39"/>
  <c r="AI62" i="39"/>
  <c r="W62" i="39"/>
  <c r="V62" i="39"/>
  <c r="AI89" i="39"/>
  <c r="V89" i="39"/>
  <c r="W89" i="39"/>
  <c r="AI311" i="39"/>
  <c r="W311" i="39"/>
  <c r="V311" i="39"/>
  <c r="AI173" i="39"/>
  <c r="W173" i="39"/>
  <c r="V173" i="39"/>
  <c r="AI293" i="39"/>
  <c r="V293" i="39"/>
  <c r="W293" i="39"/>
  <c r="AI390" i="39"/>
  <c r="V390" i="39"/>
  <c r="W390" i="39"/>
  <c r="AI186" i="39"/>
  <c r="V186" i="39"/>
  <c r="W186" i="39"/>
  <c r="AI253" i="39"/>
  <c r="W253" i="39"/>
  <c r="V253" i="39"/>
  <c r="AI265" i="39"/>
  <c r="W265" i="39"/>
  <c r="V265" i="39"/>
  <c r="AI442" i="39"/>
  <c r="W442" i="39"/>
  <c r="V442" i="39"/>
  <c r="AI231" i="39"/>
  <c r="W231" i="39"/>
  <c r="V231" i="39"/>
  <c r="AI146" i="39"/>
  <c r="V146" i="39"/>
  <c r="W146" i="39"/>
  <c r="AI445" i="39"/>
  <c r="V445" i="39"/>
  <c r="W445" i="39"/>
  <c r="AI127" i="39"/>
  <c r="V127" i="39"/>
  <c r="W127" i="39"/>
  <c r="AI116" i="39"/>
  <c r="V116" i="39"/>
  <c r="W116" i="39"/>
  <c r="AI337" i="39"/>
  <c r="W337" i="39"/>
  <c r="V337" i="39"/>
  <c r="AI419" i="39"/>
  <c r="V419" i="39"/>
  <c r="W419" i="39"/>
  <c r="AI435" i="39"/>
  <c r="V435" i="39"/>
  <c r="W435" i="39"/>
  <c r="AI309" i="39"/>
  <c r="V309" i="39"/>
  <c r="W309" i="39"/>
  <c r="AI285" i="39"/>
  <c r="V285" i="39"/>
  <c r="W285" i="39"/>
  <c r="AI250" i="39"/>
  <c r="V250" i="39"/>
  <c r="W250" i="39"/>
  <c r="AI360" i="39"/>
  <c r="W360" i="39"/>
  <c r="V360" i="39"/>
  <c r="AI202" i="39"/>
  <c r="V202" i="39"/>
  <c r="W202" i="39"/>
  <c r="AI383" i="39"/>
  <c r="V383" i="39"/>
  <c r="W383" i="39"/>
  <c r="AI292" i="39"/>
  <c r="V292" i="39"/>
  <c r="W292" i="39"/>
  <c r="AI134" i="39"/>
  <c r="V134" i="39"/>
  <c r="W134" i="39"/>
  <c r="AI37" i="39"/>
  <c r="V37" i="39"/>
  <c r="W37" i="39"/>
  <c r="AI124" i="39"/>
  <c r="V124" i="39"/>
  <c r="W124" i="39"/>
  <c r="P16" i="39"/>
  <c r="P14" i="39"/>
  <c r="P11" i="39"/>
  <c r="P6" i="39"/>
  <c r="P24" i="39"/>
  <c r="P3" i="39"/>
  <c r="P5" i="39"/>
  <c r="P17" i="39"/>
  <c r="P28" i="39"/>
  <c r="P9" i="39"/>
  <c r="P8" i="39"/>
  <c r="P12" i="39"/>
  <c r="P25" i="39"/>
  <c r="P15" i="39"/>
  <c r="P23" i="39"/>
  <c r="P29" i="39"/>
  <c r="P4" i="39"/>
  <c r="P26" i="39"/>
  <c r="P7" i="39"/>
  <c r="P21" i="39"/>
  <c r="P27" i="39"/>
  <c r="P18" i="39"/>
  <c r="P22" i="39"/>
  <c r="P13" i="39"/>
  <c r="P19" i="39"/>
  <c r="P10" i="39"/>
  <c r="P20" i="39"/>
  <c r="Q2" i="39"/>
  <c r="AE3" i="39"/>
  <c r="B2" i="39"/>
  <c r="AC2" i="39"/>
  <c r="D17" i="39"/>
  <c r="AJ17" i="39" s="1"/>
  <c r="L17" i="39"/>
  <c r="AQ17" i="39" s="1"/>
  <c r="E17" i="39"/>
  <c r="M17" i="39"/>
  <c r="AS17" i="39" s="1"/>
  <c r="F17" i="39"/>
  <c r="AM17" i="39" s="1"/>
  <c r="N17" i="39"/>
  <c r="G17" i="39"/>
  <c r="R17" i="39" s="1"/>
  <c r="O17" i="39"/>
  <c r="H17" i="39"/>
  <c r="Q17" i="39"/>
  <c r="J17" i="39"/>
  <c r="K17" i="39"/>
  <c r="AK17" i="39" s="1"/>
  <c r="B17" i="39"/>
  <c r="C17" i="39"/>
  <c r="AB17" i="39" s="1"/>
  <c r="I17" i="39"/>
  <c r="Z17" i="39" s="1"/>
  <c r="G12" i="39"/>
  <c r="R12" i="39" s="1"/>
  <c r="O12" i="39"/>
  <c r="H12" i="39"/>
  <c r="Q12" i="39"/>
  <c r="I12" i="39"/>
  <c r="Z12" i="39" s="1"/>
  <c r="B12" i="39"/>
  <c r="J12" i="39"/>
  <c r="AN12" i="39" s="1"/>
  <c r="C12" i="39"/>
  <c r="AB12" i="39" s="1"/>
  <c r="K12" i="39"/>
  <c r="AK12" i="39" s="1"/>
  <c r="D12" i="39"/>
  <c r="L12" i="39"/>
  <c r="AQ12" i="39" s="1"/>
  <c r="E12" i="39"/>
  <c r="F12" i="39"/>
  <c r="AM12" i="39" s="1"/>
  <c r="M12" i="39"/>
  <c r="AS12" i="39" s="1"/>
  <c r="N12" i="39"/>
  <c r="I26" i="39"/>
  <c r="Z26" i="39" s="1"/>
  <c r="B26" i="39"/>
  <c r="C26" i="39"/>
  <c r="AB26" i="39" s="1"/>
  <c r="K26" i="39"/>
  <c r="AK26" i="39" s="1"/>
  <c r="D26" i="39"/>
  <c r="L26" i="39"/>
  <c r="AQ26" i="39" s="1"/>
  <c r="G26" i="39"/>
  <c r="R26" i="39" s="1"/>
  <c r="H26" i="39"/>
  <c r="J26" i="39"/>
  <c r="AN26" i="39" s="1"/>
  <c r="M26" i="39"/>
  <c r="AS26" i="39" s="1"/>
  <c r="N26" i="39"/>
  <c r="O26" i="39"/>
  <c r="E26" i="39"/>
  <c r="Q26" i="39"/>
  <c r="F26" i="39"/>
  <c r="AM26" i="39" s="1"/>
  <c r="F4" i="39"/>
  <c r="AM4" i="39" s="1"/>
  <c r="N4" i="39"/>
  <c r="G4" i="39"/>
  <c r="R4" i="39" s="1"/>
  <c r="O4" i="39"/>
  <c r="H4" i="39"/>
  <c r="Q4" i="39"/>
  <c r="I4" i="39"/>
  <c r="Z4" i="39" s="1"/>
  <c r="B4" i="39"/>
  <c r="J4" i="39"/>
  <c r="AN4" i="39" s="1"/>
  <c r="C4" i="39"/>
  <c r="AB4" i="39" s="1"/>
  <c r="K4" i="39"/>
  <c r="AK4" i="39" s="1"/>
  <c r="D4" i="39"/>
  <c r="L4" i="39"/>
  <c r="AQ4" i="39" s="1"/>
  <c r="E4" i="39"/>
  <c r="M4" i="39"/>
  <c r="AS4" i="39" s="1"/>
  <c r="J2" i="39"/>
  <c r="N2" i="39"/>
  <c r="K2" i="39"/>
  <c r="I2" i="39"/>
  <c r="Z2" i="39" s="1"/>
  <c r="H2" i="39"/>
  <c r="G2" i="39"/>
  <c r="R2" i="39" s="1"/>
  <c r="F2" i="39"/>
  <c r="E2" i="39"/>
  <c r="O2" i="39"/>
  <c r="M2" i="39"/>
  <c r="AS2" i="39" s="1"/>
  <c r="D2" i="39"/>
  <c r="L2" i="39"/>
  <c r="AQ2" i="39" s="1"/>
  <c r="C2" i="39"/>
  <c r="AB2" i="39" s="1"/>
  <c r="H18" i="39"/>
  <c r="Q18" i="39"/>
  <c r="I18" i="39"/>
  <c r="Z18" i="39" s="1"/>
  <c r="B18" i="39"/>
  <c r="J18" i="39"/>
  <c r="AN18" i="39" s="1"/>
  <c r="C18" i="39"/>
  <c r="AB18" i="39" s="1"/>
  <c r="AI18" i="39" s="1"/>
  <c r="K18" i="39"/>
  <c r="AK18" i="39" s="1"/>
  <c r="D18" i="39"/>
  <c r="L18" i="39"/>
  <c r="AQ18" i="39" s="1"/>
  <c r="M18" i="39"/>
  <c r="AS18" i="39" s="1"/>
  <c r="N18" i="39"/>
  <c r="O18" i="39"/>
  <c r="E18" i="39"/>
  <c r="F18" i="39"/>
  <c r="AM18" i="39" s="1"/>
  <c r="G18" i="39"/>
  <c r="R18" i="39" s="1"/>
  <c r="G10" i="39"/>
  <c r="R10" i="39" s="1"/>
  <c r="O10" i="39"/>
  <c r="H10" i="39"/>
  <c r="Q10" i="39"/>
  <c r="I10" i="39"/>
  <c r="Z10" i="39" s="1"/>
  <c r="B10" i="39"/>
  <c r="J10" i="39"/>
  <c r="C10" i="39"/>
  <c r="AB10" i="39" s="1"/>
  <c r="K10" i="39"/>
  <c r="D10" i="39"/>
  <c r="L10" i="39"/>
  <c r="AQ10" i="39" s="1"/>
  <c r="M10" i="39"/>
  <c r="AS10" i="39" s="1"/>
  <c r="N10" i="39"/>
  <c r="E10" i="39"/>
  <c r="F10" i="39"/>
  <c r="H16" i="39"/>
  <c r="Q16" i="39"/>
  <c r="I16" i="39"/>
  <c r="Z16" i="39" s="1"/>
  <c r="B16" i="39"/>
  <c r="J16" i="39"/>
  <c r="AN16" i="39" s="1"/>
  <c r="C16" i="39"/>
  <c r="AB16" i="39" s="1"/>
  <c r="K16" i="39"/>
  <c r="AK16" i="39" s="1"/>
  <c r="D16" i="39"/>
  <c r="AJ16" i="39" s="1"/>
  <c r="L16" i="39"/>
  <c r="AQ16" i="39" s="1"/>
  <c r="G16" i="39"/>
  <c r="R16" i="39" s="1"/>
  <c r="M16" i="39"/>
  <c r="N16" i="39"/>
  <c r="O16" i="39"/>
  <c r="E16" i="39"/>
  <c r="F16" i="39"/>
  <c r="AM16" i="39" s="1"/>
  <c r="G29" i="39"/>
  <c r="R29" i="39" s="1"/>
  <c r="O29" i="39"/>
  <c r="H29" i="39"/>
  <c r="Q29" i="39"/>
  <c r="C29" i="39"/>
  <c r="AB29" i="39" s="1"/>
  <c r="M29" i="39"/>
  <c r="AS29" i="39" s="1"/>
  <c r="D29" i="39"/>
  <c r="AJ29" i="39" s="1"/>
  <c r="N29" i="39"/>
  <c r="E29" i="39"/>
  <c r="F29" i="39"/>
  <c r="AM29" i="39" s="1"/>
  <c r="J29" i="39"/>
  <c r="AN29" i="39" s="1"/>
  <c r="I29" i="39"/>
  <c r="Z29" i="39" s="1"/>
  <c r="K29" i="39"/>
  <c r="AK29" i="39" s="1"/>
  <c r="B29" i="39"/>
  <c r="L29" i="39"/>
  <c r="AQ29" i="39" s="1"/>
  <c r="I24" i="39"/>
  <c r="Z24" i="39" s="1"/>
  <c r="B24" i="39"/>
  <c r="J24" i="39"/>
  <c r="AN24" i="39" s="1"/>
  <c r="C24" i="39"/>
  <c r="AB24" i="39" s="1"/>
  <c r="K24" i="39"/>
  <c r="D24" i="39"/>
  <c r="AJ24" i="39" s="1"/>
  <c r="L24" i="39"/>
  <c r="AQ24" i="39" s="1"/>
  <c r="O24" i="39"/>
  <c r="Q24" i="39"/>
  <c r="E24" i="39"/>
  <c r="F24" i="39"/>
  <c r="AM24" i="39" s="1"/>
  <c r="G24" i="39"/>
  <c r="R24" i="39" s="1"/>
  <c r="H24" i="39"/>
  <c r="M24" i="39"/>
  <c r="AS24" i="39" s="1"/>
  <c r="N24" i="39"/>
  <c r="G27" i="39"/>
  <c r="R27" i="39" s="1"/>
  <c r="O27" i="39"/>
  <c r="H27" i="39"/>
  <c r="Q27" i="39"/>
  <c r="J27" i="39"/>
  <c r="AN27" i="39" s="1"/>
  <c r="K27" i="39"/>
  <c r="AK27" i="39" s="1"/>
  <c r="B27" i="39"/>
  <c r="L27" i="39"/>
  <c r="AQ27" i="39" s="1"/>
  <c r="C27" i="39"/>
  <c r="AB27" i="39" s="1"/>
  <c r="M27" i="39"/>
  <c r="AS27" i="39" s="1"/>
  <c r="D27" i="39"/>
  <c r="AJ27" i="39" s="1"/>
  <c r="N27" i="39"/>
  <c r="E27" i="39"/>
  <c r="F27" i="39"/>
  <c r="AM27" i="39" s="1"/>
  <c r="I27" i="39"/>
  <c r="Y27" i="39" s="1"/>
  <c r="E25" i="39"/>
  <c r="M25" i="39"/>
  <c r="AS25" i="39" s="1"/>
  <c r="F25" i="39"/>
  <c r="AM25" i="39" s="1"/>
  <c r="N25" i="39"/>
  <c r="G25" i="39"/>
  <c r="R25" i="39" s="1"/>
  <c r="O25" i="39"/>
  <c r="H25" i="39"/>
  <c r="Q25" i="39"/>
  <c r="K25" i="39"/>
  <c r="AK25" i="39" s="1"/>
  <c r="L25" i="39"/>
  <c r="AQ25" i="39" s="1"/>
  <c r="B25" i="39"/>
  <c r="C25" i="39"/>
  <c r="AB25" i="39" s="1"/>
  <c r="D25" i="39"/>
  <c r="AJ25" i="39" s="1"/>
  <c r="I25" i="39"/>
  <c r="AO25" i="39" s="1"/>
  <c r="J25" i="39"/>
  <c r="E23" i="39"/>
  <c r="M23" i="39"/>
  <c r="AS23" i="39" s="1"/>
  <c r="F23" i="39"/>
  <c r="AM23" i="39" s="1"/>
  <c r="N23" i="39"/>
  <c r="G23" i="39"/>
  <c r="R23" i="39" s="1"/>
  <c r="O23" i="39"/>
  <c r="H23" i="39"/>
  <c r="Q23" i="39"/>
  <c r="C23" i="39"/>
  <c r="AB23" i="39" s="1"/>
  <c r="D23" i="39"/>
  <c r="AJ23" i="39" s="1"/>
  <c r="I23" i="39"/>
  <c r="Z23" i="39" s="1"/>
  <c r="J23" i="39"/>
  <c r="AN23" i="39" s="1"/>
  <c r="K23" i="39"/>
  <c r="AK23" i="39" s="1"/>
  <c r="L23" i="39"/>
  <c r="AQ23" i="39" s="1"/>
  <c r="B23" i="39"/>
  <c r="C15" i="39"/>
  <c r="AB15" i="39" s="1"/>
  <c r="D15" i="39"/>
  <c r="L15" i="39"/>
  <c r="AQ15" i="39" s="1"/>
  <c r="E15" i="39"/>
  <c r="M15" i="39"/>
  <c r="AS15" i="39" s="1"/>
  <c r="F15" i="39"/>
  <c r="AM15" i="39" s="1"/>
  <c r="N15" i="39"/>
  <c r="G15" i="39"/>
  <c r="R15" i="39" s="1"/>
  <c r="O15" i="39"/>
  <c r="H15" i="39"/>
  <c r="Q15" i="39"/>
  <c r="I15" i="39"/>
  <c r="Z15" i="39" s="1"/>
  <c r="J15" i="39"/>
  <c r="AN15" i="39" s="1"/>
  <c r="K15" i="39"/>
  <c r="AK15" i="39" s="1"/>
  <c r="B15" i="39"/>
  <c r="E21" i="39"/>
  <c r="M21" i="39"/>
  <c r="AS21" i="39" s="1"/>
  <c r="F21" i="39"/>
  <c r="AM21" i="39" s="1"/>
  <c r="N21" i="39"/>
  <c r="G21" i="39"/>
  <c r="R21" i="39" s="1"/>
  <c r="O21" i="39"/>
  <c r="H21" i="39"/>
  <c r="Q21" i="39"/>
  <c r="K21" i="39"/>
  <c r="AK21" i="39" s="1"/>
  <c r="L21" i="39"/>
  <c r="AQ21" i="39" s="1"/>
  <c r="B21" i="39"/>
  <c r="C21" i="39"/>
  <c r="AB21" i="39" s="1"/>
  <c r="D21" i="39"/>
  <c r="AJ21" i="39" s="1"/>
  <c r="I21" i="39"/>
  <c r="X21" i="39" s="1"/>
  <c r="J21" i="39"/>
  <c r="AN21" i="39" s="1"/>
  <c r="D19" i="39"/>
  <c r="AJ19" i="39" s="1"/>
  <c r="L19" i="39"/>
  <c r="AQ19" i="39" s="1"/>
  <c r="E19" i="39"/>
  <c r="M19" i="39"/>
  <c r="AS19" i="39" s="1"/>
  <c r="F19" i="39"/>
  <c r="AM19" i="39" s="1"/>
  <c r="N19" i="39"/>
  <c r="G19" i="39"/>
  <c r="R19" i="39" s="1"/>
  <c r="O19" i="39"/>
  <c r="H19" i="39"/>
  <c r="Q19" i="39"/>
  <c r="K19" i="39"/>
  <c r="AK19" i="39" s="1"/>
  <c r="B19" i="39"/>
  <c r="C19" i="39"/>
  <c r="AB19" i="39" s="1"/>
  <c r="AI19" i="39" s="1"/>
  <c r="I19" i="39"/>
  <c r="AD19" i="39" s="1"/>
  <c r="J19" i="39"/>
  <c r="AN19" i="39" s="1"/>
  <c r="C7" i="39"/>
  <c r="AB7" i="39" s="1"/>
  <c r="K7" i="39"/>
  <c r="AK7" i="39" s="1"/>
  <c r="D7" i="39"/>
  <c r="AJ7" i="39" s="1"/>
  <c r="L7" i="39"/>
  <c r="AQ7" i="39" s="1"/>
  <c r="E7" i="39"/>
  <c r="M7" i="39"/>
  <c r="F7" i="39"/>
  <c r="AM7" i="39" s="1"/>
  <c r="N7" i="39"/>
  <c r="G7" i="39"/>
  <c r="R7" i="39" s="1"/>
  <c r="O7" i="39"/>
  <c r="H7" i="39"/>
  <c r="Q7" i="39"/>
  <c r="I7" i="39"/>
  <c r="AO7" i="39" s="1"/>
  <c r="J7" i="39"/>
  <c r="AN7" i="39" s="1"/>
  <c r="B7" i="39"/>
  <c r="I22" i="39"/>
  <c r="AD22" i="39" s="1"/>
  <c r="B22" i="39"/>
  <c r="J22" i="39"/>
  <c r="AN22" i="39" s="1"/>
  <c r="C22" i="39"/>
  <c r="AB22" i="39" s="1"/>
  <c r="K22" i="39"/>
  <c r="AK22" i="39" s="1"/>
  <c r="D22" i="39"/>
  <c r="AJ22" i="39" s="1"/>
  <c r="L22" i="39"/>
  <c r="AQ22" i="39" s="1"/>
  <c r="G22" i="39"/>
  <c r="R22" i="39" s="1"/>
  <c r="H22" i="39"/>
  <c r="M22" i="39"/>
  <c r="AS22" i="39" s="1"/>
  <c r="N22" i="39"/>
  <c r="O22" i="39"/>
  <c r="Q22" i="39"/>
  <c r="E22" i="39"/>
  <c r="F22" i="39"/>
  <c r="AM22" i="39" s="1"/>
  <c r="C13" i="39"/>
  <c r="AB13" i="39" s="1"/>
  <c r="K13" i="39"/>
  <c r="AK13" i="39" s="1"/>
  <c r="D13" i="39"/>
  <c r="AJ13" i="39" s="1"/>
  <c r="L13" i="39"/>
  <c r="AQ13" i="39" s="1"/>
  <c r="E13" i="39"/>
  <c r="M13" i="39"/>
  <c r="F13" i="39"/>
  <c r="N13" i="39"/>
  <c r="G13" i="39"/>
  <c r="R13" i="39" s="1"/>
  <c r="O13" i="39"/>
  <c r="H13" i="39"/>
  <c r="Q13" i="39"/>
  <c r="B13" i="39"/>
  <c r="I13" i="39"/>
  <c r="Z13" i="39" s="1"/>
  <c r="J13" i="39"/>
  <c r="AN13" i="39" s="1"/>
  <c r="C11" i="39"/>
  <c r="AB11" i="39" s="1"/>
  <c r="AI11" i="39" s="1"/>
  <c r="K11" i="39"/>
  <c r="AK11" i="39" s="1"/>
  <c r="D11" i="39"/>
  <c r="AJ11" i="39" s="1"/>
  <c r="L11" i="39"/>
  <c r="AQ11" i="39" s="1"/>
  <c r="E11" i="39"/>
  <c r="M11" i="39"/>
  <c r="AS11" i="39" s="1"/>
  <c r="F11" i="39"/>
  <c r="AM11" i="39" s="1"/>
  <c r="N11" i="39"/>
  <c r="G11" i="39"/>
  <c r="R11" i="39" s="1"/>
  <c r="O11" i="39"/>
  <c r="H11" i="39"/>
  <c r="Q11" i="39"/>
  <c r="B11" i="39"/>
  <c r="I11" i="39"/>
  <c r="Z11" i="39" s="1"/>
  <c r="J11" i="39"/>
  <c r="G14" i="39"/>
  <c r="R14" i="39" s="1"/>
  <c r="O14" i="39"/>
  <c r="H14" i="39"/>
  <c r="Q14" i="39"/>
  <c r="I14" i="39"/>
  <c r="Z14" i="39" s="1"/>
  <c r="B14" i="39"/>
  <c r="J14" i="39"/>
  <c r="AN14" i="39" s="1"/>
  <c r="C14" i="39"/>
  <c r="AB14" i="39" s="1"/>
  <c r="K14" i="39"/>
  <c r="D14" i="39"/>
  <c r="AJ14" i="39" s="1"/>
  <c r="L14" i="39"/>
  <c r="AQ14" i="39" s="1"/>
  <c r="E14" i="39"/>
  <c r="F14" i="39"/>
  <c r="AM14" i="39" s="1"/>
  <c r="M14" i="39"/>
  <c r="AS14" i="39" s="1"/>
  <c r="N14" i="39"/>
  <c r="C5" i="39"/>
  <c r="AB5" i="39" s="1"/>
  <c r="K5" i="39"/>
  <c r="AK5" i="39" s="1"/>
  <c r="D5" i="39"/>
  <c r="AJ5" i="39" s="1"/>
  <c r="L5" i="39"/>
  <c r="AQ5" i="39" s="1"/>
  <c r="E5" i="39"/>
  <c r="M5" i="39"/>
  <c r="AS5" i="39" s="1"/>
  <c r="F5" i="39"/>
  <c r="AM5" i="39" s="1"/>
  <c r="N5" i="39"/>
  <c r="G5" i="39"/>
  <c r="R5" i="39" s="1"/>
  <c r="O5" i="39"/>
  <c r="H5" i="39"/>
  <c r="Q5" i="39"/>
  <c r="B5" i="39"/>
  <c r="I5" i="39"/>
  <c r="Z5" i="39" s="1"/>
  <c r="J5" i="39"/>
  <c r="AN5" i="39" s="1"/>
  <c r="C28" i="39"/>
  <c r="AB28" i="39" s="1"/>
  <c r="K28" i="39"/>
  <c r="AK28" i="39" s="1"/>
  <c r="D28" i="39"/>
  <c r="AJ28" i="39" s="1"/>
  <c r="L28" i="39"/>
  <c r="AQ28" i="39" s="1"/>
  <c r="M28" i="39"/>
  <c r="AS28" i="39" s="1"/>
  <c r="B28" i="39"/>
  <c r="N28" i="39"/>
  <c r="E28" i="39"/>
  <c r="O28" i="39"/>
  <c r="F28" i="39"/>
  <c r="AM28" i="39" s="1"/>
  <c r="Q28" i="39"/>
  <c r="H28" i="39"/>
  <c r="J28" i="39"/>
  <c r="AN28" i="39" s="1"/>
  <c r="I28" i="39"/>
  <c r="AD28" i="39" s="1"/>
  <c r="G28" i="39"/>
  <c r="R28" i="39" s="1"/>
  <c r="B3" i="39"/>
  <c r="AF3" i="39" s="1"/>
  <c r="J3" i="39"/>
  <c r="AN3" i="39" s="1"/>
  <c r="C3" i="39"/>
  <c r="AB3" i="39" s="1"/>
  <c r="K3" i="39"/>
  <c r="D3" i="39"/>
  <c r="L3" i="39"/>
  <c r="AQ3" i="39" s="1"/>
  <c r="E3" i="39"/>
  <c r="M3" i="39"/>
  <c r="AS3" i="39" s="1"/>
  <c r="F3" i="39"/>
  <c r="AM3" i="39" s="1"/>
  <c r="N3" i="39"/>
  <c r="G3" i="39"/>
  <c r="R3" i="39" s="1"/>
  <c r="O3" i="39"/>
  <c r="H3" i="39"/>
  <c r="Q3" i="39"/>
  <c r="I3" i="39"/>
  <c r="Z3" i="39" s="1"/>
  <c r="G6" i="39"/>
  <c r="R6" i="39" s="1"/>
  <c r="O6" i="39"/>
  <c r="H6" i="39"/>
  <c r="Q6" i="39"/>
  <c r="I6" i="39"/>
  <c r="Z6" i="39" s="1"/>
  <c r="B6" i="39"/>
  <c r="J6" i="39"/>
  <c r="AN6" i="39" s="1"/>
  <c r="C6" i="39"/>
  <c r="AB6" i="39" s="1"/>
  <c r="K6" i="39"/>
  <c r="AK6" i="39" s="1"/>
  <c r="D6" i="39"/>
  <c r="AJ6" i="39" s="1"/>
  <c r="L6" i="39"/>
  <c r="AQ6" i="39" s="1"/>
  <c r="E6" i="39"/>
  <c r="F6" i="39"/>
  <c r="M6" i="39"/>
  <c r="AS6" i="39" s="1"/>
  <c r="N6" i="39"/>
  <c r="H20" i="39"/>
  <c r="Q20" i="39"/>
  <c r="I20" i="39"/>
  <c r="Z20" i="39" s="1"/>
  <c r="B20" i="39"/>
  <c r="J20" i="39"/>
  <c r="AN20" i="39" s="1"/>
  <c r="C20" i="39"/>
  <c r="AB20" i="39" s="1"/>
  <c r="AI20" i="39" s="1"/>
  <c r="K20" i="39"/>
  <c r="AK20" i="39" s="1"/>
  <c r="D20" i="39"/>
  <c r="AJ20" i="39" s="1"/>
  <c r="L20" i="39"/>
  <c r="AQ20" i="39" s="1"/>
  <c r="N20" i="39"/>
  <c r="O20" i="39"/>
  <c r="E20" i="39"/>
  <c r="F20" i="39"/>
  <c r="AM20" i="39" s="1"/>
  <c r="G20" i="39"/>
  <c r="R20" i="39" s="1"/>
  <c r="M20" i="39"/>
  <c r="AS20" i="39" s="1"/>
  <c r="C9" i="39"/>
  <c r="AB9" i="39" s="1"/>
  <c r="K9" i="39"/>
  <c r="AK9" i="39" s="1"/>
  <c r="D9" i="39"/>
  <c r="AJ9" i="39" s="1"/>
  <c r="L9" i="39"/>
  <c r="AQ9" i="39" s="1"/>
  <c r="E9" i="39"/>
  <c r="M9" i="39"/>
  <c r="F9" i="39"/>
  <c r="N9" i="39"/>
  <c r="G9" i="39"/>
  <c r="R9" i="39" s="1"/>
  <c r="O9" i="39"/>
  <c r="H9" i="39"/>
  <c r="Q9" i="39"/>
  <c r="B9" i="39"/>
  <c r="I9" i="39"/>
  <c r="X9" i="39" s="1"/>
  <c r="J9" i="39"/>
  <c r="AN9" i="39" s="1"/>
  <c r="G8" i="39"/>
  <c r="R8" i="39" s="1"/>
  <c r="O8" i="39"/>
  <c r="H8" i="39"/>
  <c r="Q8" i="39"/>
  <c r="I8" i="39"/>
  <c r="Z8" i="39" s="1"/>
  <c r="B8" i="39"/>
  <c r="J8" i="39"/>
  <c r="AN8" i="39" s="1"/>
  <c r="C8" i="39"/>
  <c r="AB8" i="39" s="1"/>
  <c r="K8" i="39"/>
  <c r="AK8" i="39" s="1"/>
  <c r="D8" i="39"/>
  <c r="AJ8" i="39" s="1"/>
  <c r="L8" i="39"/>
  <c r="AQ8" i="39" s="1"/>
  <c r="E8" i="39"/>
  <c r="F8" i="39"/>
  <c r="AM8" i="39" s="1"/>
  <c r="M8" i="39"/>
  <c r="AS8" i="39" s="1"/>
  <c r="N8" i="39"/>
  <c r="X27" i="39"/>
  <c r="AL29" i="39"/>
  <c r="AH29" i="39"/>
  <c r="AE29" i="39"/>
  <c r="AU29" i="39"/>
  <c r="AC29" i="39"/>
  <c r="AL28" i="39"/>
  <c r="AE28" i="39"/>
  <c r="AU28" i="39"/>
  <c r="AC28" i="39"/>
  <c r="AL27" i="39"/>
  <c r="AE27" i="39"/>
  <c r="AD27" i="39"/>
  <c r="AU27" i="39"/>
  <c r="AC27" i="39"/>
  <c r="AL26" i="39"/>
  <c r="AJ26" i="39"/>
  <c r="AH26" i="39"/>
  <c r="AE26" i="39"/>
  <c r="AU26" i="39"/>
  <c r="AC26" i="39"/>
  <c r="AU25" i="39"/>
  <c r="AN25" i="39"/>
  <c r="AL25" i="39"/>
  <c r="AE25" i="39"/>
  <c r="AC25" i="39"/>
  <c r="AL24" i="39"/>
  <c r="AK24" i="39"/>
  <c r="AE24" i="39"/>
  <c r="AU24" i="39"/>
  <c r="AC24" i="39"/>
  <c r="AL23" i="39"/>
  <c r="AH23" i="39"/>
  <c r="AE23" i="39"/>
  <c r="AU23" i="39"/>
  <c r="AC23" i="39"/>
  <c r="AL22" i="39"/>
  <c r="AE22" i="39"/>
  <c r="AU22" i="39"/>
  <c r="AC22" i="39"/>
  <c r="AL21" i="39"/>
  <c r="AE21" i="39"/>
  <c r="AU21" i="39"/>
  <c r="AC21" i="39"/>
  <c r="AL20" i="39"/>
  <c r="AE20" i="39"/>
  <c r="AU20" i="39"/>
  <c r="AC20" i="39"/>
  <c r="AL19" i="39"/>
  <c r="AE19" i="39"/>
  <c r="AU19" i="39"/>
  <c r="AC19" i="39"/>
  <c r="AF19" i="39" s="1"/>
  <c r="AL18" i="39"/>
  <c r="AJ18" i="39"/>
  <c r="AE18" i="39"/>
  <c r="AU18" i="39"/>
  <c r="AC18" i="39"/>
  <c r="AU17" i="39"/>
  <c r="AN17" i="39"/>
  <c r="AL17" i="39"/>
  <c r="AE17" i="39"/>
  <c r="AC17" i="39"/>
  <c r="AS16" i="39"/>
  <c r="AR16" i="39"/>
  <c r="AL16" i="39"/>
  <c r="AH16" i="39"/>
  <c r="AE16" i="39"/>
  <c r="AU16" i="39"/>
  <c r="AC16" i="39"/>
  <c r="AF16" i="39" s="1"/>
  <c r="AL15" i="39"/>
  <c r="AJ15" i="39"/>
  <c r="AH15" i="39"/>
  <c r="AE15" i="39"/>
  <c r="AU15" i="39"/>
  <c r="AC15" i="39"/>
  <c r="AL14" i="39"/>
  <c r="AK14" i="39"/>
  <c r="AH14" i="39"/>
  <c r="AE14" i="39"/>
  <c r="AU14" i="39"/>
  <c r="AC14" i="39"/>
  <c r="AS13" i="39"/>
  <c r="AM13" i="39"/>
  <c r="AL13" i="39"/>
  <c r="AE13" i="39"/>
  <c r="AD13" i="39"/>
  <c r="AU13" i="39"/>
  <c r="AC13" i="39"/>
  <c r="AL12" i="39"/>
  <c r="AJ12" i="39"/>
  <c r="AE12" i="39"/>
  <c r="AD12" i="39"/>
  <c r="AU12" i="39"/>
  <c r="AC12" i="39"/>
  <c r="AI12" i="39"/>
  <c r="AR11" i="39"/>
  <c r="AN11" i="39"/>
  <c r="AL11" i="39"/>
  <c r="AU11" i="39"/>
  <c r="AC11" i="39"/>
  <c r="AR10" i="39"/>
  <c r="AN10" i="39"/>
  <c r="AM10" i="39"/>
  <c r="AL10" i="39"/>
  <c r="AK10" i="39"/>
  <c r="AJ10" i="39"/>
  <c r="AU10" i="39"/>
  <c r="AC10" i="39"/>
  <c r="AS9" i="39"/>
  <c r="AM9" i="39"/>
  <c r="AL9" i="39"/>
  <c r="AU9" i="39"/>
  <c r="AC9" i="39"/>
  <c r="AL8" i="39"/>
  <c r="AU8" i="39"/>
  <c r="AC8" i="39"/>
  <c r="AS7" i="39"/>
  <c r="AL7" i="39"/>
  <c r="AD7" i="39"/>
  <c r="AU7" i="39"/>
  <c r="AC7" i="39"/>
  <c r="AM6" i="39"/>
  <c r="AL6" i="39"/>
  <c r="AD6" i="39"/>
  <c r="AC6" i="39"/>
  <c r="AR5" i="39"/>
  <c r="AL5" i="39"/>
  <c r="AH5" i="39"/>
  <c r="AC5" i="39"/>
  <c r="AF5" i="39" s="1"/>
  <c r="AI5" i="39"/>
  <c r="AL4" i="39"/>
  <c r="AJ4" i="39"/>
  <c r="AH4" i="39"/>
  <c r="AD4" i="39"/>
  <c r="AC4" i="39"/>
  <c r="AF4" i="39" s="1"/>
  <c r="AI4" i="39"/>
  <c r="AL3" i="39"/>
  <c r="AK3" i="39"/>
  <c r="AJ3" i="39"/>
  <c r="AH3" i="39"/>
  <c r="AR2" i="39"/>
  <c r="AN2" i="39"/>
  <c r="AM2" i="39"/>
  <c r="AL2" i="39"/>
  <c r="AK2" i="39"/>
  <c r="AJ2" i="39"/>
  <c r="AH2" i="39"/>
  <c r="AU2" i="39"/>
  <c r="AF2" i="39"/>
  <c r="AD21" i="39" l="1"/>
  <c r="AD3" i="39"/>
  <c r="AD2" i="39"/>
  <c r="AH6" i="39"/>
  <c r="AF10" i="39"/>
  <c r="Z9" i="39"/>
  <c r="Z22" i="39"/>
  <c r="Z25" i="39"/>
  <c r="Z27" i="39"/>
  <c r="Z28" i="39"/>
  <c r="Z7" i="39"/>
  <c r="Z19" i="39"/>
  <c r="Z21" i="39"/>
  <c r="AP21" i="39" s="1"/>
  <c r="X23" i="39"/>
  <c r="AD15" i="39"/>
  <c r="AF17" i="39"/>
  <c r="AD10" i="39"/>
  <c r="AR26" i="39"/>
  <c r="AH20" i="39"/>
  <c r="Y7" i="39"/>
  <c r="AR14" i="39"/>
  <c r="AF21" i="39"/>
  <c r="AR27" i="39"/>
  <c r="AH8" i="39"/>
  <c r="Y15" i="39"/>
  <c r="AR4" i="39"/>
  <c r="AD17" i="39"/>
  <c r="AR19" i="39"/>
  <c r="AW250" i="39"/>
  <c r="AT250" i="39"/>
  <c r="AV250" i="39"/>
  <c r="AT127" i="39"/>
  <c r="AV127" i="39"/>
  <c r="AW127" i="39"/>
  <c r="AV265" i="39"/>
  <c r="AW265" i="39"/>
  <c r="AT265" i="39"/>
  <c r="AV186" i="39"/>
  <c r="AT186" i="39"/>
  <c r="AW186" i="39"/>
  <c r="AT69" i="39"/>
  <c r="AW69" i="39"/>
  <c r="AV69" i="39"/>
  <c r="AT135" i="39"/>
  <c r="AV135" i="39"/>
  <c r="AW135" i="39"/>
  <c r="AT86" i="39"/>
  <c r="AV86" i="39"/>
  <c r="AW86" i="39"/>
  <c r="AT38" i="39"/>
  <c r="AV38" i="39"/>
  <c r="AW38" i="39"/>
  <c r="AV144" i="39"/>
  <c r="AW144" i="39"/>
  <c r="AT144" i="39"/>
  <c r="AV187" i="39"/>
  <c r="AT187" i="39"/>
  <c r="AW187" i="39"/>
  <c r="AT138" i="39"/>
  <c r="AV138" i="39"/>
  <c r="AW138" i="39"/>
  <c r="AV447" i="39"/>
  <c r="AW447" i="39"/>
  <c r="AT447" i="39"/>
  <c r="AV136" i="39"/>
  <c r="AT136" i="39"/>
  <c r="AW136" i="39"/>
  <c r="AV286" i="39"/>
  <c r="AW286" i="39"/>
  <c r="AT286" i="39"/>
  <c r="AW71" i="39"/>
  <c r="AT71" i="39"/>
  <c r="AV71" i="39"/>
  <c r="AV212" i="39"/>
  <c r="AW212" i="39"/>
  <c r="AT212" i="39"/>
  <c r="AV431" i="39"/>
  <c r="AW431" i="39"/>
  <c r="AT431" i="39"/>
  <c r="AT175" i="39"/>
  <c r="AW175" i="39"/>
  <c r="AV175" i="39"/>
  <c r="AV101" i="39"/>
  <c r="AW101" i="39"/>
  <c r="AT101" i="39"/>
  <c r="AV207" i="39"/>
  <c r="AT207" i="39"/>
  <c r="AW207" i="39"/>
  <c r="AW271" i="39"/>
  <c r="AT271" i="39"/>
  <c r="AV271" i="39"/>
  <c r="AT209" i="39"/>
  <c r="AV209" i="39"/>
  <c r="AW209" i="39"/>
  <c r="AT454" i="39"/>
  <c r="AV454" i="39"/>
  <c r="AW454" i="39"/>
  <c r="AV215" i="39"/>
  <c r="AW215" i="39"/>
  <c r="AT215" i="39"/>
  <c r="AT449" i="39"/>
  <c r="AV449" i="39"/>
  <c r="AW449" i="39"/>
  <c r="AT57" i="39"/>
  <c r="AV57" i="39"/>
  <c r="AW57" i="39"/>
  <c r="AW105" i="39"/>
  <c r="AT105" i="39"/>
  <c r="AV105" i="39"/>
  <c r="AT324" i="39"/>
  <c r="AV324" i="39"/>
  <c r="AW324" i="39"/>
  <c r="AV189" i="39"/>
  <c r="AW189" i="39"/>
  <c r="AT189" i="39"/>
  <c r="AV211" i="39"/>
  <c r="AW211" i="39"/>
  <c r="AT211" i="39"/>
  <c r="AT340" i="39"/>
  <c r="AV340" i="39"/>
  <c r="AW340" i="39"/>
  <c r="AT379" i="39"/>
  <c r="AV379" i="39"/>
  <c r="AW379" i="39"/>
  <c r="AV328" i="39"/>
  <c r="AW328" i="39"/>
  <c r="AT328" i="39"/>
  <c r="AT279" i="39"/>
  <c r="AV279" i="39"/>
  <c r="AW279" i="39"/>
  <c r="AV295" i="39"/>
  <c r="AT295" i="39"/>
  <c r="AW295" i="39"/>
  <c r="AV244" i="39"/>
  <c r="AW244" i="39"/>
  <c r="AT244" i="39"/>
  <c r="AW374" i="39"/>
  <c r="AT374" i="39"/>
  <c r="AV374" i="39"/>
  <c r="AV303" i="39"/>
  <c r="AT303" i="39"/>
  <c r="AW303" i="39"/>
  <c r="AW34" i="39"/>
  <c r="AT34" i="39"/>
  <c r="AV34" i="39"/>
  <c r="AT51" i="39"/>
  <c r="AV51" i="39"/>
  <c r="AW51" i="39"/>
  <c r="AT66" i="39"/>
  <c r="AV66" i="39"/>
  <c r="AW66" i="39"/>
  <c r="AT133" i="39"/>
  <c r="AV133" i="39"/>
  <c r="AW133" i="39"/>
  <c r="AT162" i="39"/>
  <c r="AV162" i="39"/>
  <c r="AW162" i="39"/>
  <c r="AT43" i="39"/>
  <c r="AV43" i="39"/>
  <c r="AW43" i="39"/>
  <c r="AW200" i="39"/>
  <c r="AT200" i="39"/>
  <c r="AV200" i="39"/>
  <c r="AV100" i="39"/>
  <c r="AT100" i="39"/>
  <c r="AW100" i="39"/>
  <c r="AT174" i="39"/>
  <c r="AW174" i="39"/>
  <c r="AV174" i="39"/>
  <c r="AT312" i="39"/>
  <c r="AV312" i="39"/>
  <c r="AW312" i="39"/>
  <c r="AV164" i="39"/>
  <c r="AW164" i="39"/>
  <c r="AT164" i="39"/>
  <c r="AW151" i="39"/>
  <c r="AT151" i="39"/>
  <c r="AV151" i="39"/>
  <c r="AW274" i="39"/>
  <c r="AT274" i="39"/>
  <c r="AV274" i="39"/>
  <c r="X10" i="39"/>
  <c r="AT383" i="39"/>
  <c r="AV383" i="39"/>
  <c r="AW383" i="39"/>
  <c r="AT435" i="39"/>
  <c r="AV435" i="39"/>
  <c r="AW435" i="39"/>
  <c r="AV93" i="39"/>
  <c r="AT93" i="39"/>
  <c r="AW93" i="39"/>
  <c r="AV418" i="39"/>
  <c r="AW418" i="39"/>
  <c r="AT418" i="39"/>
  <c r="AT361" i="39"/>
  <c r="AV361" i="39"/>
  <c r="AW361" i="39"/>
  <c r="AT70" i="39"/>
  <c r="AV70" i="39"/>
  <c r="AW70" i="39"/>
  <c r="AT241" i="39"/>
  <c r="AV241" i="39"/>
  <c r="AW241" i="39"/>
  <c r="AT30" i="39"/>
  <c r="AV30" i="39"/>
  <c r="AW30" i="39"/>
  <c r="AW234" i="39"/>
  <c r="AT234" i="39"/>
  <c r="AV234" i="39"/>
  <c r="AT161" i="39"/>
  <c r="AV161" i="39"/>
  <c r="AW161" i="39"/>
  <c r="AT357" i="39"/>
  <c r="AV357" i="39"/>
  <c r="AW357" i="39"/>
  <c r="AW140" i="39"/>
  <c r="AT140" i="39"/>
  <c r="AV140" i="39"/>
  <c r="AW242" i="39"/>
  <c r="AT242" i="39"/>
  <c r="AV242" i="39"/>
  <c r="AV197" i="39"/>
  <c r="AW197" i="39"/>
  <c r="AT197" i="39"/>
  <c r="AT190" i="39"/>
  <c r="AW190" i="39"/>
  <c r="AV190" i="39"/>
  <c r="AW110" i="39"/>
  <c r="AT110" i="39"/>
  <c r="AV110" i="39"/>
  <c r="AT387" i="39"/>
  <c r="AV387" i="39"/>
  <c r="AW387" i="39"/>
  <c r="AT438" i="39"/>
  <c r="AV438" i="39"/>
  <c r="AW438" i="39"/>
  <c r="AT430" i="39"/>
  <c r="AV430" i="39"/>
  <c r="AW430" i="39"/>
  <c r="AV145" i="39"/>
  <c r="AW145" i="39"/>
  <c r="AT145" i="39"/>
  <c r="AW455" i="39"/>
  <c r="AT455" i="39"/>
  <c r="AV455" i="39"/>
  <c r="AT378" i="39"/>
  <c r="AW378" i="39"/>
  <c r="AV378" i="39"/>
  <c r="AW269" i="39"/>
  <c r="AT269" i="39"/>
  <c r="AV269" i="39"/>
  <c r="AT428" i="39"/>
  <c r="AV428" i="39"/>
  <c r="AW428" i="39"/>
  <c r="AV315" i="39"/>
  <c r="AT315" i="39"/>
  <c r="AW315" i="39"/>
  <c r="AV143" i="39"/>
  <c r="AW143" i="39"/>
  <c r="AT143" i="39"/>
  <c r="AW382" i="39"/>
  <c r="AT382" i="39"/>
  <c r="AV382" i="39"/>
  <c r="AT257" i="39"/>
  <c r="AV257" i="39"/>
  <c r="AW257" i="39"/>
  <c r="AT335" i="39"/>
  <c r="AV335" i="39"/>
  <c r="AW335" i="39"/>
  <c r="AT409" i="39"/>
  <c r="AV409" i="39"/>
  <c r="AW409" i="39"/>
  <c r="AT436" i="39"/>
  <c r="AV436" i="39"/>
  <c r="AW436" i="39"/>
  <c r="AV355" i="39"/>
  <c r="AW355" i="39"/>
  <c r="AT355" i="39"/>
  <c r="AW92" i="39"/>
  <c r="AT92" i="39"/>
  <c r="AV92" i="39"/>
  <c r="AV316" i="39"/>
  <c r="AT316" i="39"/>
  <c r="AW316" i="39"/>
  <c r="AW314" i="39"/>
  <c r="AT314" i="39"/>
  <c r="AV314" i="39"/>
  <c r="AT343" i="39"/>
  <c r="AV343" i="39"/>
  <c r="AW343" i="39"/>
  <c r="AT158" i="39"/>
  <c r="AW158" i="39"/>
  <c r="AV158" i="39"/>
  <c r="AT103" i="39"/>
  <c r="AV103" i="39"/>
  <c r="AW103" i="39"/>
  <c r="AT405" i="39"/>
  <c r="AV405" i="39"/>
  <c r="AW405" i="39"/>
  <c r="AT41" i="39"/>
  <c r="AV41" i="39"/>
  <c r="AW41" i="39"/>
  <c r="AT229" i="39"/>
  <c r="AV229" i="39"/>
  <c r="AW229" i="39"/>
  <c r="AV302" i="39"/>
  <c r="AW302" i="39"/>
  <c r="AT302" i="39"/>
  <c r="AW240" i="39"/>
  <c r="AT240" i="39"/>
  <c r="AV240" i="39"/>
  <c r="AW97" i="39"/>
  <c r="AT97" i="39"/>
  <c r="AV97" i="39"/>
  <c r="AW91" i="39"/>
  <c r="AT91" i="39"/>
  <c r="AV91" i="39"/>
  <c r="AT327" i="39"/>
  <c r="AV327" i="39"/>
  <c r="AW327" i="39"/>
  <c r="AW366" i="39"/>
  <c r="AT366" i="39"/>
  <c r="AV366" i="39"/>
  <c r="AT233" i="39"/>
  <c r="AV233" i="39"/>
  <c r="AW233" i="39"/>
  <c r="AV107" i="39"/>
  <c r="AW107" i="39"/>
  <c r="AT107" i="39"/>
  <c r="AT371" i="39"/>
  <c r="AV371" i="39"/>
  <c r="AW371" i="39"/>
  <c r="AV393" i="39"/>
  <c r="AT393" i="39"/>
  <c r="AW393" i="39"/>
  <c r="AT117" i="39"/>
  <c r="AV117" i="39"/>
  <c r="AW117" i="39"/>
  <c r="AV178" i="39"/>
  <c r="AT178" i="39"/>
  <c r="AW178" i="39"/>
  <c r="AF12" i="39"/>
  <c r="Y10" i="39"/>
  <c r="AV231" i="39"/>
  <c r="AT231" i="39"/>
  <c r="AW231" i="39"/>
  <c r="AT173" i="39"/>
  <c r="AW173" i="39"/>
  <c r="AV173" i="39"/>
  <c r="AW350" i="39"/>
  <c r="AV350" i="39"/>
  <c r="AT350" i="39"/>
  <c r="AV83" i="39"/>
  <c r="AW83" i="39"/>
  <c r="AT83" i="39"/>
  <c r="AV102" i="39"/>
  <c r="AW102" i="39"/>
  <c r="AT102" i="39"/>
  <c r="AV128" i="39"/>
  <c r="AT128" i="39"/>
  <c r="AW128" i="39"/>
  <c r="AT109" i="39"/>
  <c r="AV109" i="39"/>
  <c r="AW109" i="39"/>
  <c r="AT220" i="39"/>
  <c r="AV220" i="39"/>
  <c r="AW220" i="39"/>
  <c r="AV376" i="39"/>
  <c r="AW376" i="39"/>
  <c r="AT376" i="39"/>
  <c r="AV219" i="39"/>
  <c r="AW219" i="39"/>
  <c r="AT219" i="39"/>
  <c r="AW326" i="39"/>
  <c r="AT326" i="39"/>
  <c r="AV326" i="39"/>
  <c r="AT297" i="39"/>
  <c r="AW297" i="39"/>
  <c r="AV297" i="39"/>
  <c r="AT166" i="39"/>
  <c r="AW166" i="39"/>
  <c r="AV166" i="39"/>
  <c r="AT54" i="39"/>
  <c r="AV54" i="39"/>
  <c r="AW54" i="39"/>
  <c r="AW206" i="39"/>
  <c r="AT206" i="39"/>
  <c r="AV206" i="39"/>
  <c r="AT61" i="39"/>
  <c r="AV61" i="39"/>
  <c r="AW61" i="39"/>
  <c r="AT218" i="39"/>
  <c r="AW218" i="39"/>
  <c r="AV218" i="39"/>
  <c r="AW230" i="39"/>
  <c r="AT230" i="39"/>
  <c r="AV230" i="39"/>
  <c r="AT288" i="39"/>
  <c r="AV288" i="39"/>
  <c r="AW288" i="39"/>
  <c r="AW358" i="39"/>
  <c r="AT358" i="39"/>
  <c r="AV358" i="39"/>
  <c r="AT157" i="39"/>
  <c r="AV157" i="39"/>
  <c r="AW157" i="39"/>
  <c r="AV31" i="39"/>
  <c r="AW31" i="39"/>
  <c r="AT31" i="39"/>
  <c r="AW118" i="39"/>
  <c r="AV118" i="39"/>
  <c r="AT118" i="39"/>
  <c r="AV367" i="39"/>
  <c r="AT367" i="39"/>
  <c r="AW367" i="39"/>
  <c r="AV252" i="39"/>
  <c r="AW252" i="39"/>
  <c r="AT252" i="39"/>
  <c r="AT104" i="39"/>
  <c r="AW104" i="39"/>
  <c r="AV104" i="39"/>
  <c r="AT182" i="39"/>
  <c r="AW182" i="39"/>
  <c r="AV182" i="39"/>
  <c r="AV60" i="39"/>
  <c r="AW60" i="39"/>
  <c r="AT60" i="39"/>
  <c r="AW214" i="39"/>
  <c r="AT214" i="39"/>
  <c r="AV214" i="39"/>
  <c r="AT345" i="39"/>
  <c r="AV345" i="39"/>
  <c r="AW345" i="39"/>
  <c r="AW204" i="39"/>
  <c r="AT204" i="39"/>
  <c r="AV204" i="39"/>
  <c r="AW256" i="39"/>
  <c r="AT256" i="39"/>
  <c r="AV256" i="39"/>
  <c r="AT425" i="39"/>
  <c r="AV425" i="39"/>
  <c r="AW425" i="39"/>
  <c r="AT353" i="39"/>
  <c r="AW353" i="39"/>
  <c r="AV353" i="39"/>
  <c r="AV163" i="39"/>
  <c r="AW163" i="39"/>
  <c r="AT163" i="39"/>
  <c r="AT267" i="39"/>
  <c r="AV267" i="39"/>
  <c r="AW267" i="39"/>
  <c r="AT64" i="39"/>
  <c r="AV64" i="39"/>
  <c r="AW64" i="39"/>
  <c r="AW226" i="39"/>
  <c r="AT226" i="39"/>
  <c r="AV226" i="39"/>
  <c r="AT243" i="39"/>
  <c r="AV243" i="39"/>
  <c r="AW243" i="39"/>
  <c r="AT444" i="39"/>
  <c r="AV444" i="39"/>
  <c r="AW444" i="39"/>
  <c r="AT411" i="39"/>
  <c r="AV411" i="39"/>
  <c r="AW411" i="39"/>
  <c r="AT416" i="39"/>
  <c r="AV416" i="39"/>
  <c r="AW416" i="39"/>
  <c r="AT403" i="39"/>
  <c r="AW403" i="39"/>
  <c r="AV403" i="39"/>
  <c r="AT81" i="39"/>
  <c r="AW81" i="39"/>
  <c r="AV81" i="39"/>
  <c r="AT99" i="39"/>
  <c r="AV99" i="39"/>
  <c r="AW99" i="39"/>
  <c r="AV426" i="39"/>
  <c r="AW426" i="39"/>
  <c r="AT426" i="39"/>
  <c r="AW318" i="39"/>
  <c r="AV318" i="39"/>
  <c r="AT318" i="39"/>
  <c r="AT369" i="39"/>
  <c r="AW369" i="39"/>
  <c r="AV369" i="39"/>
  <c r="AT414" i="39"/>
  <c r="AV414" i="39"/>
  <c r="AW414" i="39"/>
  <c r="AV181" i="39"/>
  <c r="AT181" i="39"/>
  <c r="AW181" i="39"/>
  <c r="AT262" i="39"/>
  <c r="AV262" i="39"/>
  <c r="AW262" i="39"/>
  <c r="AT373" i="39"/>
  <c r="AV373" i="39"/>
  <c r="AW373" i="39"/>
  <c r="AV384" i="39"/>
  <c r="AW384" i="39"/>
  <c r="AT384" i="39"/>
  <c r="AT177" i="39"/>
  <c r="AV177" i="39"/>
  <c r="AW177" i="39"/>
  <c r="AT131" i="39"/>
  <c r="AV131" i="39"/>
  <c r="AW131" i="39"/>
  <c r="AT320" i="39"/>
  <c r="AV320" i="39"/>
  <c r="AW320" i="39"/>
  <c r="AT313" i="39"/>
  <c r="AV313" i="39"/>
  <c r="AW313" i="39"/>
  <c r="AW134" i="39"/>
  <c r="AV134" i="39"/>
  <c r="AT134" i="39"/>
  <c r="AW360" i="39"/>
  <c r="AT360" i="39"/>
  <c r="AV360" i="39"/>
  <c r="AV285" i="39"/>
  <c r="AT285" i="39"/>
  <c r="AW285" i="39"/>
  <c r="AT337" i="39"/>
  <c r="AV337" i="39"/>
  <c r="AW337" i="39"/>
  <c r="AW445" i="39"/>
  <c r="AV445" i="39"/>
  <c r="AT445" i="39"/>
  <c r="AV253" i="39"/>
  <c r="AT253" i="39"/>
  <c r="AW253" i="39"/>
  <c r="AW390" i="39"/>
  <c r="AV390" i="39"/>
  <c r="AT390" i="39"/>
  <c r="AT62" i="39"/>
  <c r="AV62" i="39"/>
  <c r="AW62" i="39"/>
  <c r="AW306" i="39"/>
  <c r="AV306" i="39"/>
  <c r="AT306" i="39"/>
  <c r="AW63" i="39"/>
  <c r="AV63" i="39"/>
  <c r="AT63" i="39"/>
  <c r="AV239" i="39"/>
  <c r="AT239" i="39"/>
  <c r="AW239" i="39"/>
  <c r="AT264" i="39"/>
  <c r="AV264" i="39"/>
  <c r="AW264" i="39"/>
  <c r="AT422" i="39"/>
  <c r="AV422" i="39"/>
  <c r="AW422" i="39"/>
  <c r="AT375" i="39"/>
  <c r="AV375" i="39"/>
  <c r="AW375" i="39"/>
  <c r="AW321" i="39"/>
  <c r="AT321" i="39"/>
  <c r="AV321" i="39"/>
  <c r="AW429" i="39"/>
  <c r="AT429" i="39"/>
  <c r="AV429" i="39"/>
  <c r="AW42" i="39"/>
  <c r="AT42" i="39"/>
  <c r="AV42" i="39"/>
  <c r="AV294" i="39"/>
  <c r="AW294" i="39"/>
  <c r="AT294" i="39"/>
  <c r="AT115" i="39"/>
  <c r="AV115" i="39"/>
  <c r="AW115" i="39"/>
  <c r="AT305" i="39"/>
  <c r="AV305" i="39"/>
  <c r="AW305" i="39"/>
  <c r="AT237" i="39"/>
  <c r="AV237" i="39"/>
  <c r="AW237" i="39"/>
  <c r="AT154" i="39"/>
  <c r="AW154" i="39"/>
  <c r="AV154" i="39"/>
  <c r="AV171" i="39"/>
  <c r="AW171" i="39"/>
  <c r="AT171" i="39"/>
  <c r="AT180" i="39"/>
  <c r="AV180" i="39"/>
  <c r="AW180" i="39"/>
  <c r="AV47" i="39"/>
  <c r="AW47" i="39"/>
  <c r="AT47" i="39"/>
  <c r="AW148" i="39"/>
  <c r="AT148" i="39"/>
  <c r="AV148" i="39"/>
  <c r="AT221" i="39"/>
  <c r="AV221" i="39"/>
  <c r="AW221" i="39"/>
  <c r="AT391" i="39"/>
  <c r="AV391" i="39"/>
  <c r="AW391" i="39"/>
  <c r="AW263" i="39"/>
  <c r="AV263" i="39"/>
  <c r="AT263" i="39"/>
  <c r="AV339" i="39"/>
  <c r="AW339" i="39"/>
  <c r="AT339" i="39"/>
  <c r="AT394" i="39"/>
  <c r="AW394" i="39"/>
  <c r="AV394" i="39"/>
  <c r="AV137" i="39"/>
  <c r="AT137" i="39"/>
  <c r="AW137" i="39"/>
  <c r="AT397" i="39"/>
  <c r="AV397" i="39"/>
  <c r="AW397" i="39"/>
  <c r="AT194" i="39"/>
  <c r="AV194" i="39"/>
  <c r="AW194" i="39"/>
  <c r="AV112" i="39"/>
  <c r="AT112" i="39"/>
  <c r="AW112" i="39"/>
  <c r="AV121" i="39"/>
  <c r="AT121" i="39"/>
  <c r="AW121" i="39"/>
  <c r="AT441" i="39"/>
  <c r="AV441" i="39"/>
  <c r="AW441" i="39"/>
  <c r="AT150" i="39"/>
  <c r="AV150" i="39"/>
  <c r="AW150" i="39"/>
  <c r="AW79" i="39"/>
  <c r="AT79" i="39"/>
  <c r="AV79" i="39"/>
  <c r="AT432" i="39"/>
  <c r="AV432" i="39"/>
  <c r="AW432" i="39"/>
  <c r="AT33" i="39"/>
  <c r="AV33" i="39"/>
  <c r="AW33" i="39"/>
  <c r="AV76" i="39"/>
  <c r="AW76" i="39"/>
  <c r="AT76" i="39"/>
  <c r="AV266" i="39"/>
  <c r="AW266" i="39"/>
  <c r="AT266" i="39"/>
  <c r="AT254" i="39"/>
  <c r="AV254" i="39"/>
  <c r="AW254" i="39"/>
  <c r="AV52" i="39"/>
  <c r="AW52" i="39"/>
  <c r="AT52" i="39"/>
  <c r="AV129" i="39"/>
  <c r="AW129" i="39"/>
  <c r="AT129" i="39"/>
  <c r="AW421" i="39"/>
  <c r="AT421" i="39"/>
  <c r="AV421" i="39"/>
  <c r="AV88" i="39"/>
  <c r="AT88" i="39"/>
  <c r="AW88" i="39"/>
  <c r="AW437" i="39"/>
  <c r="AT437" i="39"/>
  <c r="AV437" i="39"/>
  <c r="AV287" i="39"/>
  <c r="AW287" i="39"/>
  <c r="AT287" i="39"/>
  <c r="AV223" i="39"/>
  <c r="AT223" i="39"/>
  <c r="AW223" i="39"/>
  <c r="AT386" i="39"/>
  <c r="AW386" i="39"/>
  <c r="AV386" i="39"/>
  <c r="AF18" i="39"/>
  <c r="AW124" i="39"/>
  <c r="AT124" i="39"/>
  <c r="AV124" i="39"/>
  <c r="AV227" i="39"/>
  <c r="AT227" i="39"/>
  <c r="AW227" i="39"/>
  <c r="AT402" i="39"/>
  <c r="AW402" i="39"/>
  <c r="AV402" i="39"/>
  <c r="AT433" i="39"/>
  <c r="AV433" i="39"/>
  <c r="AW433" i="39"/>
  <c r="AV172" i="39"/>
  <c r="AW172" i="39"/>
  <c r="AT172" i="39"/>
  <c r="AW50" i="39"/>
  <c r="AT50" i="39"/>
  <c r="AV50" i="39"/>
  <c r="AT198" i="39"/>
  <c r="AV198" i="39"/>
  <c r="AW198" i="39"/>
  <c r="AV216" i="39"/>
  <c r="AT216" i="39"/>
  <c r="AW216" i="39"/>
  <c r="AT199" i="39"/>
  <c r="AW199" i="39"/>
  <c r="AV199" i="39"/>
  <c r="AW167" i="39"/>
  <c r="AV167" i="39"/>
  <c r="AT167" i="39"/>
  <c r="AT114" i="39"/>
  <c r="AW114" i="39"/>
  <c r="AV114" i="39"/>
  <c r="AT122" i="39"/>
  <c r="AV122" i="39"/>
  <c r="AW122" i="39"/>
  <c r="AT273" i="39"/>
  <c r="AV273" i="39"/>
  <c r="AW273" i="39"/>
  <c r="AW153" i="39"/>
  <c r="AV153" i="39"/>
  <c r="AT153" i="39"/>
  <c r="AW132" i="39"/>
  <c r="AV132" i="39"/>
  <c r="AT132" i="39"/>
  <c r="AT406" i="39"/>
  <c r="AV406" i="39"/>
  <c r="AW406" i="39"/>
  <c r="AT74" i="39"/>
  <c r="AW74" i="39"/>
  <c r="AV74" i="39"/>
  <c r="AW308" i="39"/>
  <c r="AT308" i="39"/>
  <c r="AV308" i="39"/>
  <c r="AT160" i="39"/>
  <c r="AW160" i="39"/>
  <c r="AV160" i="39"/>
  <c r="AV385" i="39"/>
  <c r="AT385" i="39"/>
  <c r="AW385" i="39"/>
  <c r="AW282" i="39"/>
  <c r="AT282" i="39"/>
  <c r="AV282" i="39"/>
  <c r="AV364" i="39"/>
  <c r="AW364" i="39"/>
  <c r="AT364" i="39"/>
  <c r="AT82" i="39"/>
  <c r="AV82" i="39"/>
  <c r="AW82" i="39"/>
  <c r="AT395" i="39"/>
  <c r="AV395" i="39"/>
  <c r="AW395" i="39"/>
  <c r="AV401" i="39"/>
  <c r="AT401" i="39"/>
  <c r="AW401" i="39"/>
  <c r="AT296" i="39"/>
  <c r="AV296" i="39"/>
  <c r="AW296" i="39"/>
  <c r="AT354" i="39"/>
  <c r="AV354" i="39"/>
  <c r="AW354" i="39"/>
  <c r="AW342" i="39"/>
  <c r="AV342" i="39"/>
  <c r="AT342" i="39"/>
  <c r="AT399" i="39"/>
  <c r="AV399" i="39"/>
  <c r="AW399" i="39"/>
  <c r="AT201" i="39"/>
  <c r="AW201" i="39"/>
  <c r="AV201" i="39"/>
  <c r="AV195" i="39"/>
  <c r="AT195" i="39"/>
  <c r="AW195" i="39"/>
  <c r="AW388" i="39"/>
  <c r="AV388" i="39"/>
  <c r="AT388" i="39"/>
  <c r="AW108" i="39"/>
  <c r="AT108" i="39"/>
  <c r="AV108" i="39"/>
  <c r="AT341" i="39"/>
  <c r="AV341" i="39"/>
  <c r="AW341" i="39"/>
  <c r="AV268" i="39"/>
  <c r="AW268" i="39"/>
  <c r="AT268" i="39"/>
  <c r="AV84" i="39"/>
  <c r="AW84" i="39"/>
  <c r="AT84" i="39"/>
  <c r="AV307" i="39"/>
  <c r="AW307" i="39"/>
  <c r="AT307" i="39"/>
  <c r="AT232" i="39"/>
  <c r="AV232" i="39"/>
  <c r="AW232" i="39"/>
  <c r="AW192" i="39"/>
  <c r="AT192" i="39"/>
  <c r="AV192" i="39"/>
  <c r="AT210" i="39"/>
  <c r="AW210" i="39"/>
  <c r="AV210" i="39"/>
  <c r="AW169" i="39"/>
  <c r="AT169" i="39"/>
  <c r="AV169" i="39"/>
  <c r="AW372" i="39"/>
  <c r="AT372" i="39"/>
  <c r="AV372" i="39"/>
  <c r="AT98" i="39"/>
  <c r="AV98" i="39"/>
  <c r="AW98" i="39"/>
  <c r="AV120" i="39"/>
  <c r="AW120" i="39"/>
  <c r="AT120" i="39"/>
  <c r="AW168" i="39"/>
  <c r="AT168" i="39"/>
  <c r="AV168" i="39"/>
  <c r="AT37" i="39"/>
  <c r="AV37" i="39"/>
  <c r="AW37" i="39"/>
  <c r="AW116" i="39"/>
  <c r="AT116" i="39"/>
  <c r="AV116" i="39"/>
  <c r="AV442" i="39"/>
  <c r="AW442" i="39"/>
  <c r="AT442" i="39"/>
  <c r="AV311" i="39"/>
  <c r="AT311" i="39"/>
  <c r="AW311" i="39"/>
  <c r="AW280" i="39"/>
  <c r="AT280" i="39"/>
  <c r="AV280" i="39"/>
  <c r="AV235" i="39"/>
  <c r="AT235" i="39"/>
  <c r="AW235" i="39"/>
  <c r="AT412" i="39"/>
  <c r="AV412" i="39"/>
  <c r="AW412" i="39"/>
  <c r="AT125" i="39"/>
  <c r="AW125" i="39"/>
  <c r="AV125" i="39"/>
  <c r="AT183" i="39"/>
  <c r="AW183" i="39"/>
  <c r="AV183" i="39"/>
  <c r="AV155" i="39"/>
  <c r="AT155" i="39"/>
  <c r="AW155" i="39"/>
  <c r="AT301" i="39"/>
  <c r="AV301" i="39"/>
  <c r="AW301" i="39"/>
  <c r="AT35" i="39"/>
  <c r="AV35" i="39"/>
  <c r="AW35" i="39"/>
  <c r="AV261" i="39"/>
  <c r="AW261" i="39"/>
  <c r="AT261" i="39"/>
  <c r="AT370" i="39"/>
  <c r="AW370" i="39"/>
  <c r="AV370" i="39"/>
  <c r="AT281" i="39"/>
  <c r="AV281" i="39"/>
  <c r="AW281" i="39"/>
  <c r="AW404" i="39"/>
  <c r="AT404" i="39"/>
  <c r="AV404" i="39"/>
  <c r="AW334" i="39"/>
  <c r="AT334" i="39"/>
  <c r="AV334" i="39"/>
  <c r="AV291" i="39"/>
  <c r="AW291" i="39"/>
  <c r="AT291" i="39"/>
  <c r="AT329" i="39"/>
  <c r="AV329" i="39"/>
  <c r="AW329" i="39"/>
  <c r="AV65" i="39"/>
  <c r="AW65" i="39"/>
  <c r="AT65" i="39"/>
  <c r="AT255" i="39"/>
  <c r="AV255" i="39"/>
  <c r="AW255" i="39"/>
  <c r="AW126" i="39"/>
  <c r="AT126" i="39"/>
  <c r="AV126" i="39"/>
  <c r="AT351" i="39"/>
  <c r="AV351" i="39"/>
  <c r="AW351" i="39"/>
  <c r="AT451" i="39"/>
  <c r="AW451" i="39"/>
  <c r="AV451" i="39"/>
  <c r="AT224" i="39"/>
  <c r="AV224" i="39"/>
  <c r="AW224" i="39"/>
  <c r="AV434" i="39"/>
  <c r="AW434" i="39"/>
  <c r="AT434" i="39"/>
  <c r="AT448" i="39"/>
  <c r="AV448" i="39"/>
  <c r="AW448" i="39"/>
  <c r="AT330" i="39"/>
  <c r="AV330" i="39"/>
  <c r="AW330" i="39"/>
  <c r="AT48" i="39"/>
  <c r="AV48" i="39"/>
  <c r="AW48" i="39"/>
  <c r="AT213" i="39"/>
  <c r="AV213" i="39"/>
  <c r="AW213" i="39"/>
  <c r="AW276" i="39"/>
  <c r="AT276" i="39"/>
  <c r="AV276" i="39"/>
  <c r="AW380" i="39"/>
  <c r="AT380" i="39"/>
  <c r="AV380" i="39"/>
  <c r="AT247" i="39"/>
  <c r="AV247" i="39"/>
  <c r="AW247" i="39"/>
  <c r="AV260" i="39"/>
  <c r="AW260" i="39"/>
  <c r="AT260" i="39"/>
  <c r="AT46" i="39"/>
  <c r="AV46" i="39"/>
  <c r="AW46" i="39"/>
  <c r="AT225" i="39"/>
  <c r="AV225" i="39"/>
  <c r="AW225" i="39"/>
  <c r="AT304" i="39"/>
  <c r="AW304" i="39"/>
  <c r="AV304" i="39"/>
  <c r="AT332" i="39"/>
  <c r="AV332" i="39"/>
  <c r="AW332" i="39"/>
  <c r="AT259" i="39"/>
  <c r="AV259" i="39"/>
  <c r="AW259" i="39"/>
  <c r="AV170" i="39"/>
  <c r="AW170" i="39"/>
  <c r="AT170" i="39"/>
  <c r="AT440" i="39"/>
  <c r="AV440" i="39"/>
  <c r="AW440" i="39"/>
  <c r="AV363" i="39"/>
  <c r="AT363" i="39"/>
  <c r="AW363" i="39"/>
  <c r="AT67" i="39"/>
  <c r="AV67" i="39"/>
  <c r="AW67" i="39"/>
  <c r="AV36" i="39"/>
  <c r="AW36" i="39"/>
  <c r="AT36" i="39"/>
  <c r="AV277" i="39"/>
  <c r="AT277" i="39"/>
  <c r="AW277" i="39"/>
  <c r="AT319" i="39"/>
  <c r="AV319" i="39"/>
  <c r="AW319" i="39"/>
  <c r="AT249" i="39"/>
  <c r="AV249" i="39"/>
  <c r="AW249" i="39"/>
  <c r="AT338" i="39"/>
  <c r="AV338" i="39"/>
  <c r="AW338" i="39"/>
  <c r="AV439" i="39"/>
  <c r="AW439" i="39"/>
  <c r="AT439" i="39"/>
  <c r="AV278" i="39"/>
  <c r="AW278" i="39"/>
  <c r="AT278" i="39"/>
  <c r="AV245" i="39"/>
  <c r="AT245" i="39"/>
  <c r="AW245" i="39"/>
  <c r="AT456" i="39"/>
  <c r="AV456" i="39"/>
  <c r="AW456" i="39"/>
  <c r="AT205" i="39"/>
  <c r="AW205" i="39"/>
  <c r="AV205" i="39"/>
  <c r="AV410" i="39"/>
  <c r="AW410" i="39"/>
  <c r="AT410" i="39"/>
  <c r="AV196" i="39"/>
  <c r="AW196" i="39"/>
  <c r="AT196" i="39"/>
  <c r="AT446" i="39"/>
  <c r="AV446" i="39"/>
  <c r="AW446" i="39"/>
  <c r="AT152" i="39"/>
  <c r="AW152" i="39"/>
  <c r="AV152" i="39"/>
  <c r="AT356" i="39"/>
  <c r="AV356" i="39"/>
  <c r="AW356" i="39"/>
  <c r="AH13" i="39"/>
  <c r="AH27" i="39"/>
  <c r="AT292" i="39"/>
  <c r="AV292" i="39"/>
  <c r="AW292" i="39"/>
  <c r="AT309" i="39"/>
  <c r="AW309" i="39"/>
  <c r="AV309" i="39"/>
  <c r="AT146" i="39"/>
  <c r="AV146" i="39"/>
  <c r="AW146" i="39"/>
  <c r="AT293" i="39"/>
  <c r="AW293" i="39"/>
  <c r="AV293" i="39"/>
  <c r="AW396" i="39"/>
  <c r="AT396" i="39"/>
  <c r="AV396" i="39"/>
  <c r="AV119" i="39"/>
  <c r="AW119" i="39"/>
  <c r="AT119" i="39"/>
  <c r="AT365" i="39"/>
  <c r="AV365" i="39"/>
  <c r="AW365" i="39"/>
  <c r="AT139" i="39"/>
  <c r="AW139" i="39"/>
  <c r="AV139" i="39"/>
  <c r="AW58" i="39"/>
  <c r="AT58" i="39"/>
  <c r="AV58" i="39"/>
  <c r="AV408" i="39"/>
  <c r="AW408" i="39"/>
  <c r="AT408" i="39"/>
  <c r="AV188" i="39"/>
  <c r="AW188" i="39"/>
  <c r="AT188" i="39"/>
  <c r="AT40" i="39"/>
  <c r="AV40" i="39"/>
  <c r="AW40" i="39"/>
  <c r="AT111" i="39"/>
  <c r="AV111" i="39"/>
  <c r="AW111" i="39"/>
  <c r="AT53" i="39"/>
  <c r="AV53" i="39"/>
  <c r="AW53" i="39"/>
  <c r="AV39" i="39"/>
  <c r="AW39" i="39"/>
  <c r="AT39" i="39"/>
  <c r="AV185" i="39"/>
  <c r="AT185" i="39"/>
  <c r="AW185" i="39"/>
  <c r="AT325" i="39"/>
  <c r="AV325" i="39"/>
  <c r="AW325" i="39"/>
  <c r="AT141" i="39"/>
  <c r="AV141" i="39"/>
  <c r="AW141" i="39"/>
  <c r="AV156" i="39"/>
  <c r="AT156" i="39"/>
  <c r="AW156" i="39"/>
  <c r="AV352" i="39"/>
  <c r="AW352" i="39"/>
  <c r="AT352" i="39"/>
  <c r="AT191" i="39"/>
  <c r="AW191" i="39"/>
  <c r="AV191" i="39"/>
  <c r="AV415" i="39"/>
  <c r="AW415" i="39"/>
  <c r="AT415" i="39"/>
  <c r="AV450" i="39"/>
  <c r="AW450" i="39"/>
  <c r="AT450" i="39"/>
  <c r="AT322" i="39"/>
  <c r="AV322" i="39"/>
  <c r="AW322" i="39"/>
  <c r="AT443" i="39"/>
  <c r="AW443" i="39"/>
  <c r="AV443" i="39"/>
  <c r="AT106" i="39"/>
  <c r="AW106" i="39"/>
  <c r="AV106" i="39"/>
  <c r="AV398" i="39"/>
  <c r="AW398" i="39"/>
  <c r="AT398" i="39"/>
  <c r="AT283" i="39"/>
  <c r="AV283" i="39"/>
  <c r="AW283" i="39"/>
  <c r="AT123" i="39"/>
  <c r="AV123" i="39"/>
  <c r="AW123" i="39"/>
  <c r="AT165" i="39"/>
  <c r="AV165" i="39"/>
  <c r="AW165" i="39"/>
  <c r="AT96" i="39"/>
  <c r="AV96" i="39"/>
  <c r="AW96" i="39"/>
  <c r="AT236" i="39"/>
  <c r="AV236" i="39"/>
  <c r="AW236" i="39"/>
  <c r="AW176" i="39"/>
  <c r="AT176" i="39"/>
  <c r="AV176" i="39"/>
  <c r="AV392" i="39"/>
  <c r="AW392" i="39"/>
  <c r="AT392" i="39"/>
  <c r="AT90" i="39"/>
  <c r="AV90" i="39"/>
  <c r="AW90" i="39"/>
  <c r="AW284" i="39"/>
  <c r="AT284" i="39"/>
  <c r="AV284" i="39"/>
  <c r="AV113" i="39"/>
  <c r="AT113" i="39"/>
  <c r="AW113" i="39"/>
  <c r="AW248" i="39"/>
  <c r="AT248" i="39"/>
  <c r="AV248" i="39"/>
  <c r="AW87" i="39"/>
  <c r="AT87" i="39"/>
  <c r="AV87" i="39"/>
  <c r="AV85" i="39"/>
  <c r="AW85" i="39"/>
  <c r="AT85" i="39"/>
  <c r="AT275" i="39"/>
  <c r="AV275" i="39"/>
  <c r="AW275" i="39"/>
  <c r="AW290" i="39"/>
  <c r="AT290" i="39"/>
  <c r="AV290" i="39"/>
  <c r="AT420" i="39"/>
  <c r="AV420" i="39"/>
  <c r="AW420" i="39"/>
  <c r="AW222" i="39"/>
  <c r="AT222" i="39"/>
  <c r="AV222" i="39"/>
  <c r="AV208" i="39"/>
  <c r="AT208" i="39"/>
  <c r="AW208" i="39"/>
  <c r="AT359" i="39"/>
  <c r="AV359" i="39"/>
  <c r="AW359" i="39"/>
  <c r="AT203" i="39"/>
  <c r="AW203" i="39"/>
  <c r="AV203" i="39"/>
  <c r="AT270" i="39"/>
  <c r="AV270" i="39"/>
  <c r="AW270" i="39"/>
  <c r="AV400" i="39"/>
  <c r="AT400" i="39"/>
  <c r="AW400" i="39"/>
  <c r="AT389" i="39"/>
  <c r="AV389" i="39"/>
  <c r="AW389" i="39"/>
  <c r="AT333" i="39"/>
  <c r="AV333" i="39"/>
  <c r="AW333" i="39"/>
  <c r="AW272" i="39"/>
  <c r="AT272" i="39"/>
  <c r="AV272" i="39"/>
  <c r="AW159" i="39"/>
  <c r="AT159" i="39"/>
  <c r="AV159" i="39"/>
  <c r="AT32" i="39"/>
  <c r="AV32" i="39"/>
  <c r="AW32" i="39"/>
  <c r="AW453" i="39"/>
  <c r="AT453" i="39"/>
  <c r="AV453" i="39"/>
  <c r="AV44" i="39"/>
  <c r="AW44" i="39"/>
  <c r="AT44" i="39"/>
  <c r="AT77" i="39"/>
  <c r="AV77" i="39"/>
  <c r="AW77" i="39"/>
  <c r="AR9" i="39"/>
  <c r="AT202" i="39"/>
  <c r="AW202" i="39"/>
  <c r="AV202" i="39"/>
  <c r="AT419" i="39"/>
  <c r="AV419" i="39"/>
  <c r="AW419" i="39"/>
  <c r="AT89" i="39"/>
  <c r="AW89" i="39"/>
  <c r="AV89" i="39"/>
  <c r="AT300" i="39"/>
  <c r="AV300" i="39"/>
  <c r="AW300" i="39"/>
  <c r="AT427" i="39"/>
  <c r="AV427" i="39"/>
  <c r="AW427" i="39"/>
  <c r="AT246" i="39"/>
  <c r="AV246" i="39"/>
  <c r="AW246" i="39"/>
  <c r="AT381" i="39"/>
  <c r="AV381" i="39"/>
  <c r="AW381" i="39"/>
  <c r="AV323" i="39"/>
  <c r="AW323" i="39"/>
  <c r="AT323" i="39"/>
  <c r="AT417" i="39"/>
  <c r="AV417" i="39"/>
  <c r="AW417" i="39"/>
  <c r="AV377" i="39"/>
  <c r="AT377" i="39"/>
  <c r="AW377" i="39"/>
  <c r="AV299" i="39"/>
  <c r="AT299" i="39"/>
  <c r="AW299" i="39"/>
  <c r="AV68" i="39"/>
  <c r="AW68" i="39"/>
  <c r="AT68" i="39"/>
  <c r="AT289" i="39"/>
  <c r="AW289" i="39"/>
  <c r="AV289" i="39"/>
  <c r="AV347" i="39"/>
  <c r="AW347" i="39"/>
  <c r="AT347" i="39"/>
  <c r="AT452" i="39"/>
  <c r="AV452" i="39"/>
  <c r="AW452" i="39"/>
  <c r="AV336" i="39"/>
  <c r="AW336" i="39"/>
  <c r="AT336" i="39"/>
  <c r="AV344" i="39"/>
  <c r="AW344" i="39"/>
  <c r="AT344" i="39"/>
  <c r="AT75" i="39"/>
  <c r="AV75" i="39"/>
  <c r="AW75" i="39"/>
  <c r="AV407" i="39"/>
  <c r="AT407" i="39"/>
  <c r="AW407" i="39"/>
  <c r="AV423" i="39"/>
  <c r="AW423" i="39"/>
  <c r="AT423" i="39"/>
  <c r="AT149" i="39"/>
  <c r="AW149" i="39"/>
  <c r="AV149" i="39"/>
  <c r="AT193" i="39"/>
  <c r="AV193" i="39"/>
  <c r="AW193" i="39"/>
  <c r="AW298" i="39"/>
  <c r="AV298" i="39"/>
  <c r="AT298" i="39"/>
  <c r="AT348" i="39"/>
  <c r="AW348" i="39"/>
  <c r="AV348" i="39"/>
  <c r="AT317" i="39"/>
  <c r="AV317" i="39"/>
  <c r="AW317" i="39"/>
  <c r="AT368" i="39"/>
  <c r="AW368" i="39"/>
  <c r="AV368" i="39"/>
  <c r="AT72" i="39"/>
  <c r="AV72" i="39"/>
  <c r="AW72" i="39"/>
  <c r="AT349" i="39"/>
  <c r="AV349" i="39"/>
  <c r="AW349" i="39"/>
  <c r="AV94" i="39"/>
  <c r="AT94" i="39"/>
  <c r="AW94" i="39"/>
  <c r="AT346" i="39"/>
  <c r="AV346" i="39"/>
  <c r="AW346" i="39"/>
  <c r="AT251" i="39"/>
  <c r="AV251" i="39"/>
  <c r="AW251" i="39"/>
  <c r="AT95" i="39"/>
  <c r="AV95" i="39"/>
  <c r="AW95" i="39"/>
  <c r="AV73" i="39"/>
  <c r="AW73" i="39"/>
  <c r="AT73" i="39"/>
  <c r="AT228" i="39"/>
  <c r="AV228" i="39"/>
  <c r="AW228" i="39"/>
  <c r="AT78" i="39"/>
  <c r="AV78" i="39"/>
  <c r="AW78" i="39"/>
  <c r="AT49" i="39"/>
  <c r="AV49" i="39"/>
  <c r="AW49" i="39"/>
  <c r="AW184" i="39"/>
  <c r="AV184" i="39"/>
  <c r="AT184" i="39"/>
  <c r="AT56" i="39"/>
  <c r="AV56" i="39"/>
  <c r="AW56" i="39"/>
  <c r="AW310" i="39"/>
  <c r="AT310" i="39"/>
  <c r="AV310" i="39"/>
  <c r="AT59" i="39"/>
  <c r="AV59" i="39"/>
  <c r="AW59" i="39"/>
  <c r="AT130" i="39"/>
  <c r="AV130" i="39"/>
  <c r="AW130" i="39"/>
  <c r="AT179" i="39"/>
  <c r="AV179" i="39"/>
  <c r="AW179" i="39"/>
  <c r="AT147" i="39"/>
  <c r="AW147" i="39"/>
  <c r="AV147" i="39"/>
  <c r="AT142" i="39"/>
  <c r="AV142" i="39"/>
  <c r="AW142" i="39"/>
  <c r="AT424" i="39"/>
  <c r="AV424" i="39"/>
  <c r="AW424" i="39"/>
  <c r="AV331" i="39"/>
  <c r="AW331" i="39"/>
  <c r="AT331" i="39"/>
  <c r="AW258" i="39"/>
  <c r="AT258" i="39"/>
  <c r="AV258" i="39"/>
  <c r="AW413" i="39"/>
  <c r="AT413" i="39"/>
  <c r="AV413" i="39"/>
  <c r="AV55" i="39"/>
  <c r="AW55" i="39"/>
  <c r="AT55" i="39"/>
  <c r="AT45" i="39"/>
  <c r="AV45" i="39"/>
  <c r="AW45" i="39"/>
  <c r="AW238" i="39"/>
  <c r="AT238" i="39"/>
  <c r="AV238" i="39"/>
  <c r="AT217" i="39"/>
  <c r="AV217" i="39"/>
  <c r="AW217" i="39"/>
  <c r="AV80" i="39"/>
  <c r="AT80" i="39"/>
  <c r="AW80" i="39"/>
  <c r="AW362" i="39"/>
  <c r="AT362" i="39"/>
  <c r="AV362" i="39"/>
  <c r="AP27" i="39"/>
  <c r="AR18" i="39"/>
  <c r="AH7" i="39"/>
  <c r="AD9" i="39"/>
  <c r="AH9" i="39"/>
  <c r="AF11" i="39"/>
  <c r="AF13" i="39"/>
  <c r="AF14" i="39"/>
  <c r="AF8" i="39"/>
  <c r="AD8" i="39"/>
  <c r="AF9" i="39"/>
  <c r="AR3" i="39"/>
  <c r="AR15" i="39"/>
  <c r="AR21" i="39"/>
  <c r="AD23" i="39"/>
  <c r="AD20" i="39"/>
  <c r="AR13" i="39"/>
  <c r="Y29" i="39"/>
  <c r="AR6" i="39"/>
  <c r="AH10" i="39"/>
  <c r="AR22" i="39"/>
  <c r="AD5" i="39"/>
  <c r="AF7" i="39"/>
  <c r="AR7" i="39"/>
  <c r="AD11" i="39"/>
  <c r="AD14" i="39"/>
  <c r="AF15" i="39"/>
  <c r="AH12" i="39"/>
  <c r="Y17" i="39"/>
  <c r="AR17" i="39"/>
  <c r="AF22" i="39"/>
  <c r="AF24" i="39"/>
  <c r="AO17" i="39"/>
  <c r="AH25" i="39"/>
  <c r="AD26" i="39"/>
  <c r="AO26" i="39"/>
  <c r="X26" i="39"/>
  <c r="Y26" i="39"/>
  <c r="AH18" i="39"/>
  <c r="X17" i="39"/>
  <c r="Y14" i="39"/>
  <c r="X14" i="39"/>
  <c r="AR23" i="39"/>
  <c r="AR28" i="39"/>
  <c r="AR29" i="39"/>
  <c r="X6" i="39"/>
  <c r="Y6" i="39"/>
  <c r="X7" i="39"/>
  <c r="AR20" i="39"/>
  <c r="AF27" i="39"/>
  <c r="X19" i="39"/>
  <c r="AF6" i="39"/>
  <c r="AD18" i="39"/>
  <c r="Y23" i="39"/>
  <c r="AO19" i="39"/>
  <c r="X15" i="39"/>
  <c r="B2" i="43"/>
  <c r="X20" i="39"/>
  <c r="AH11" i="39"/>
  <c r="Y9" i="39"/>
  <c r="Y18" i="39"/>
  <c r="AO4" i="39"/>
  <c r="Y12" i="39"/>
  <c r="X4" i="39"/>
  <c r="X12" i="39"/>
  <c r="X18" i="39"/>
  <c r="AH21" i="39"/>
  <c r="Y4" i="39"/>
  <c r="AO12" i="39"/>
  <c r="AF29" i="39"/>
  <c r="AH19" i="39"/>
  <c r="AR25" i="39"/>
  <c r="AR12" i="39"/>
  <c r="AF26" i="39"/>
  <c r="X2" i="39"/>
  <c r="Y22" i="39"/>
  <c r="AD24" i="39"/>
  <c r="AF25" i="39"/>
  <c r="AP7" i="39"/>
  <c r="X24" i="39"/>
  <c r="Y21" i="39"/>
  <c r="AH17" i="39"/>
  <c r="Y3" i="39"/>
  <c r="AP9" i="39"/>
  <c r="Y24" i="39"/>
  <c r="X16" i="39"/>
  <c r="AD16" i="39"/>
  <c r="X29" i="39"/>
  <c r="AD29" i="39"/>
  <c r="Y16" i="39"/>
  <c r="AH22" i="39"/>
  <c r="AF23" i="39"/>
  <c r="AH24" i="39"/>
  <c r="AH28" i="39"/>
  <c r="X25" i="39"/>
  <c r="X28" i="39"/>
  <c r="AF28" i="39"/>
  <c r="X3" i="39"/>
  <c r="X13" i="39"/>
  <c r="Y25" i="39"/>
  <c r="AF20" i="39"/>
  <c r="AR24" i="39"/>
  <c r="Y28" i="39"/>
  <c r="Y13" i="39"/>
  <c r="AD25" i="39"/>
  <c r="Y8" i="39"/>
  <c r="AO2" i="39"/>
  <c r="AR8" i="39"/>
  <c r="Y20" i="39"/>
  <c r="X11" i="39"/>
  <c r="X8" i="39"/>
  <c r="X5" i="39"/>
  <c r="Y11" i="39"/>
  <c r="Y19" i="39"/>
  <c r="X22" i="39"/>
  <c r="Y2" i="39"/>
  <c r="Y5" i="39"/>
  <c r="AP25" i="39"/>
  <c r="AP19" i="39"/>
  <c r="AO16" i="39"/>
  <c r="AO23" i="39"/>
  <c r="AO18" i="39"/>
  <c r="AP14" i="39"/>
  <c r="AP18" i="39"/>
  <c r="AP2" i="39"/>
  <c r="AP20" i="39"/>
  <c r="AP24" i="39"/>
  <c r="AP11" i="39"/>
  <c r="AP15" i="39"/>
  <c r="AP6" i="39"/>
  <c r="AO5" i="39"/>
  <c r="AO14" i="39"/>
  <c r="AO15" i="39"/>
  <c r="AO6" i="39"/>
  <c r="AO8" i="39"/>
  <c r="AO9" i="39"/>
  <c r="AO27" i="39"/>
  <c r="AO11" i="39"/>
  <c r="AO13" i="39"/>
  <c r="AO29" i="39"/>
  <c r="AO21" i="39"/>
  <c r="AO24" i="39"/>
  <c r="AO20" i="39"/>
  <c r="AO10" i="39"/>
  <c r="AO3" i="39"/>
  <c r="AO22" i="39"/>
  <c r="AO28" i="39"/>
  <c r="V28" i="39"/>
  <c r="W28" i="39"/>
  <c r="V11" i="39"/>
  <c r="W11" i="39"/>
  <c r="AW11" i="39" s="1"/>
  <c r="V22" i="39"/>
  <c r="W22" i="39"/>
  <c r="AV22" i="39" s="1"/>
  <c r="V15" i="39"/>
  <c r="W15" i="39"/>
  <c r="W25" i="39"/>
  <c r="AT25" i="39" s="1"/>
  <c r="V25" i="39"/>
  <c r="W27" i="39"/>
  <c r="AW27" i="39" s="1"/>
  <c r="V27" i="39"/>
  <c r="V10" i="39"/>
  <c r="W10" i="39"/>
  <c r="AW10" i="39" s="1"/>
  <c r="V9" i="39"/>
  <c r="W9" i="39"/>
  <c r="AV9" i="39" s="1"/>
  <c r="W21" i="39"/>
  <c r="AT21" i="39" s="1"/>
  <c r="V21" i="39"/>
  <c r="V29" i="39"/>
  <c r="W29" i="39"/>
  <c r="AT29" i="39" s="1"/>
  <c r="V16" i="39"/>
  <c r="W16" i="39"/>
  <c r="V20" i="39"/>
  <c r="W20" i="39"/>
  <c r="AW20" i="39" s="1"/>
  <c r="V19" i="39"/>
  <c r="W19" i="39"/>
  <c r="AW19" i="39" s="1"/>
  <c r="V8" i="39"/>
  <c r="W8" i="39"/>
  <c r="W23" i="39"/>
  <c r="AW23" i="39" s="1"/>
  <c r="V23" i="39"/>
  <c r="V14" i="39"/>
  <c r="W14" i="39"/>
  <c r="AV14" i="39" s="1"/>
  <c r="V13" i="39"/>
  <c r="W13" i="39"/>
  <c r="AW13" i="39" s="1"/>
  <c r="V7" i="39"/>
  <c r="W7" i="39"/>
  <c r="V18" i="39"/>
  <c r="W18" i="39"/>
  <c r="AT18" i="39" s="1"/>
  <c r="V26" i="39"/>
  <c r="W26" i="39"/>
  <c r="AW26" i="39" s="1"/>
  <c r="V6" i="39"/>
  <c r="W6" i="39"/>
  <c r="AV6" i="39" s="1"/>
  <c r="V3" i="39"/>
  <c r="W3" i="39"/>
  <c r="V5" i="39"/>
  <c r="W5" i="39"/>
  <c r="V24" i="39"/>
  <c r="W24" i="39"/>
  <c r="AV24" i="39" s="1"/>
  <c r="W2" i="39"/>
  <c r="AV2" i="39" s="1"/>
  <c r="V2" i="39"/>
  <c r="V4" i="39"/>
  <c r="W4" i="39"/>
  <c r="V12" i="39"/>
  <c r="W12" i="39"/>
  <c r="AW12" i="39" s="1"/>
  <c r="V17" i="39"/>
  <c r="W17" i="39"/>
  <c r="AT17" i="39" s="1"/>
  <c r="AP23" i="39"/>
  <c r="AP12" i="39"/>
  <c r="AP22" i="39"/>
  <c r="AP28" i="39"/>
  <c r="AP10" i="39"/>
  <c r="AP29" i="39"/>
  <c r="AP8" i="39"/>
  <c r="AP16" i="39"/>
  <c r="AP26" i="39"/>
  <c r="AP13" i="39"/>
  <c r="AP17" i="39"/>
  <c r="AU3" i="39"/>
  <c r="AU5" i="39"/>
  <c r="AU4" i="39"/>
  <c r="AI29" i="39"/>
  <c r="AI13" i="39"/>
  <c r="AI10" i="39"/>
  <c r="AI2" i="39"/>
  <c r="AI7" i="39"/>
  <c r="AI14" i="39"/>
  <c r="AI16" i="39"/>
  <c r="AI6" i="39"/>
  <c r="AI3" i="39"/>
  <c r="AI8" i="39"/>
  <c r="AI15" i="39"/>
  <c r="AI22" i="39"/>
  <c r="AI23" i="39"/>
  <c r="AI21" i="39"/>
  <c r="AI24" i="39"/>
  <c r="AI25" i="39"/>
  <c r="AI9" i="39"/>
  <c r="AI17" i="39"/>
  <c r="AI28" i="39"/>
  <c r="AI27" i="39"/>
  <c r="AI26" i="39"/>
  <c r="AV10" i="39" l="1"/>
  <c r="AT10" i="39"/>
  <c r="AW25" i="39"/>
  <c r="AV25" i="39"/>
  <c r="AW2" i="39"/>
  <c r="AT14" i="39"/>
  <c r="AT2" i="39"/>
  <c r="AT26" i="39"/>
  <c r="AW14" i="39"/>
  <c r="AT22" i="39"/>
  <c r="AW22" i="39"/>
  <c r="AV26" i="39"/>
  <c r="AV13" i="39"/>
  <c r="AT23" i="39"/>
  <c r="AT13" i="39"/>
  <c r="AV23" i="39"/>
  <c r="AV17" i="39"/>
  <c r="AT9" i="39"/>
  <c r="AT24" i="39"/>
  <c r="AW24" i="39"/>
  <c r="AW17" i="39"/>
  <c r="AW9" i="39"/>
  <c r="AV12" i="39"/>
  <c r="AT11" i="39"/>
  <c r="AP5" i="39"/>
  <c r="AP4" i="39"/>
  <c r="AP3" i="39"/>
  <c r="AT12" i="39"/>
  <c r="AV11" i="39"/>
  <c r="AW29" i="39"/>
  <c r="AW21" i="39"/>
  <c r="AV21" i="39"/>
  <c r="AT20" i="39"/>
  <c r="AV20" i="39"/>
  <c r="AT19" i="39"/>
  <c r="AV29" i="39"/>
  <c r="AV19" i="39"/>
  <c r="AT5" i="39"/>
  <c r="AV5" i="39"/>
  <c r="AT27" i="39"/>
  <c r="AV27" i="39"/>
  <c r="AW5" i="39"/>
  <c r="AW6" i="39"/>
  <c r="AW18" i="39"/>
  <c r="AV18" i="39"/>
  <c r="AV4" i="39"/>
  <c r="AW4" i="39"/>
  <c r="AT4" i="39"/>
  <c r="AW28" i="39"/>
  <c r="AV28" i="39"/>
  <c r="AT28" i="39"/>
  <c r="AV15" i="39"/>
  <c r="AW15" i="39"/>
  <c r="AT15" i="39"/>
  <c r="AT16" i="39"/>
  <c r="AV16" i="39"/>
  <c r="AW16" i="39"/>
  <c r="AT8" i="39"/>
  <c r="AW8" i="39"/>
  <c r="AV8" i="39"/>
  <c r="AV7" i="39"/>
  <c r="AW7" i="39"/>
  <c r="AT7" i="39"/>
  <c r="AT3" i="39"/>
  <c r="AW3" i="39"/>
  <c r="AV3" i="39"/>
  <c r="AU6" i="39" l="1"/>
  <c r="AT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<sst xmlns="http://schemas.openxmlformats.org/spreadsheetml/2006/main" count="41359" uniqueCount="29715">
  <si>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</si>
  <si>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</si>
  <si>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</si>
  <si>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</si>
  <si>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</si>
  <si>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</si>
  <si>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</si>
  <si>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</si>
  <si>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</si>
  <si>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</si>
  <si>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</si>
  <si>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</si>
  <si>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</si>
  <si>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</si>
  <si>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</si>
  <si>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</si>
  <si>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</si>
  <si>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</si>
  <si>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</si>
  <si>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</si>
  <si>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</si>
  <si>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</si>
  <si>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</si>
  <si>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</si>
  <si>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</si>
  <si>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</si>
  <si>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</si>
  <si>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</si>
  <si>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</si>
  <si>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</si>
  <si>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</si>
  <si>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</si>
  <si>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</si>
  <si>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</si>
  <si>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</si>
  <si>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</si>
  <si>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</si>
  <si>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</si>
  <si>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</si>
  <si>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</si>
  <si>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</si>
  <si>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</si>
  <si>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</si>
  <si>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</si>
  <si>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</si>
  <si>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</si>
  <si>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</si>
  <si>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</si>
  <si>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</si>
  <si>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</si>
  <si>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</si>
  <si>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</si>
  <si>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</si>
  <si>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</si>
  <si>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</si>
  <si>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</si>
  <si>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</si>
  <si>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</si>
  <si>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</si>
  <si>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</si>
  <si>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</si>
  <si>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</si>
  <si>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</si>
  <si>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</si>
  <si>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</si>
  <si>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</si>
  <si>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</si>
  <si>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</si>
  <si>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</si>
  <si>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</si>
  <si>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</si>
  <si>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</si>
  <si>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</si>
  <si>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</si>
  <si>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</si>
  <si>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</si>
  <si>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</si>
  <si>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</si>
  <si>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</si>
  <si>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</si>
  <si>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</si>
  <si>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</si>
  <si>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</si>
  <si>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</si>
  <si>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</si>
  <si>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</si>
  <si>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</si>
  <si>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</si>
  <si>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</si>
  <si>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</si>
  <si>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</si>
  <si>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</si>
  <si>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</si>
  <si>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</si>
  <si>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</si>
  <si>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</si>
  <si>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</si>
  <si>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</si>
  <si>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</si>
  <si>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</si>
  <si>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</si>
  <si>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</si>
  <si>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</si>
  <si>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</si>
  <si>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</si>
  <si>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</si>
  <si>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</si>
  <si>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</si>
  <si>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</si>
  <si>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</si>
  <si>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</si>
  <si>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</si>
  <si>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</si>
  <si>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</si>
  <si>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</si>
  <si>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</si>
  <si>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</si>
  <si>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</si>
  <si>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</si>
  <si>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</si>
  <si>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</si>
  <si>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</si>
  <si>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</si>
  <si>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</si>
  <si>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</si>
  <si>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</si>
  <si>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</si>
  <si>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</si>
  <si>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</si>
  <si>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</si>
  <si>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</si>
  <si>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</si>
  <si>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</si>
  <si>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</si>
  <si>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</si>
  <si>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</si>
  <si>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</si>
  <si>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</si>
  <si>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</si>
  <si>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</si>
  <si>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</si>
  <si>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</si>
  <si>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</si>
  <si>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</si>
  <si>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</si>
  <si>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</si>
  <si>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</si>
  <si>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</si>
  <si>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</si>
  <si>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</si>
  <si>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</si>
  <si>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</si>
  <si>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</si>
  <si>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</si>
  <si>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</si>
  <si>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</si>
  <si>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</si>
  <si>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</si>
  <si>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</si>
  <si>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</si>
  <si>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</si>
  <si>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</si>
  <si>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</si>
  <si>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</si>
  <si>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</si>
  <si>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</si>
  <si>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</si>
  <si>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</si>
  <si>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</si>
  <si>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</si>
  <si>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</si>
  <si>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</si>
  <si>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</si>
  <si>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</si>
  <si>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</si>
  <si>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</si>
  <si>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</si>
  <si>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</si>
  <si>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</si>
  <si>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</si>
  <si>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</si>
  <si>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</si>
  <si>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</si>
  <si>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</si>
  <si>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</si>
  <si>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</si>
  <si>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</si>
  <si>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</si>
  <si>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</si>
  <si>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</si>
  <si>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</si>
  <si>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</si>
  <si>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</si>
  <si>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</si>
  <si>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</si>
  <si>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</si>
  <si>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</si>
  <si>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</si>
  <si>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</si>
  <si>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</si>
  <si>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</si>
  <si>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</si>
  <si>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</si>
  <si>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</si>
  <si>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</si>
  <si>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</si>
  <si>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</si>
  <si>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</si>
  <si>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</si>
  <si>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</si>
  <si>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</si>
  <si>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</si>
  <si>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</si>
  <si>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</si>
  <si>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</si>
  <si>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</si>
  <si>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</si>
  <si>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</si>
  <si>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</si>
  <si>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</si>
  <si>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</si>
  <si>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</si>
  <si>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</si>
  <si>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</si>
  <si>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</si>
  <si>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</si>
  <si>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</si>
  <si>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</si>
  <si>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</si>
  <si>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</si>
  <si>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</si>
  <si>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</si>
  <si>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</si>
  <si>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</si>
  <si>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</si>
  <si>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</si>
  <si>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</si>
  <si>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</si>
  <si>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</si>
  <si>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</si>
  <si>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</si>
  <si>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</si>
  <si>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</si>
  <si>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</si>
  <si>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</si>
  <si>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</si>
  <si>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</si>
  <si>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</si>
  <si>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</si>
  <si>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</si>
  <si>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</si>
  <si>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</si>
  <si>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</si>
  <si>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</si>
  <si>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</si>
  <si>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</si>
  <si>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</si>
  <si>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</si>
  <si>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</si>
  <si>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</si>
  <si>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</si>
  <si>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</si>
  <si>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</si>
  <si>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</si>
  <si>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</si>
  <si>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</si>
  <si>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</si>
  <si>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</si>
  <si>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</si>
  <si>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</si>
  <si>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</si>
  <si>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</si>
  <si>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</si>
  <si>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</si>
  <si>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</si>
  <si>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</si>
  <si>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</si>
  <si>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</si>
  <si>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</si>
  <si>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</si>
  <si>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</si>
  <si>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</si>
  <si>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</si>
  <si>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</si>
  <si>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</si>
  <si>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</si>
  <si>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</si>
  <si>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</si>
  <si>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</si>
  <si>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</si>
  <si>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</si>
  <si>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</si>
  <si>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</si>
  <si>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</si>
  <si>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</si>
  <si>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</si>
  <si>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</si>
  <si>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</si>
  <si>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</si>
  <si>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</si>
  <si>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</si>
  <si>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</si>
  <si>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</si>
  <si>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</si>
  <si>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</si>
  <si>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</si>
  <si>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</si>
  <si>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</si>
  <si>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</si>
  <si>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</si>
  <si>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</si>
  <si>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</si>
  <si>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</si>
  <si>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</si>
  <si>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</si>
  <si>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</si>
  <si>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</si>
  <si>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</si>
  <si>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</si>
  <si>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</si>
  <si>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</si>
  <si>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</si>
  <si>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</si>
  <si>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</si>
  <si>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</si>
  <si>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</si>
  <si>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</si>
  <si>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</si>
  <si>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</si>
  <si>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</si>
  <si>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</si>
  <si>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</si>
  <si>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</si>
  <si>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</si>
  <si>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</si>
  <si>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</si>
  <si>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</si>
  <si>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</si>
  <si>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</si>
  <si>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</si>
  <si>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</si>
  <si>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</si>
  <si>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</si>
  <si>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</si>
  <si>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</si>
  <si>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</si>
  <si>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</si>
  <si>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</si>
  <si>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</si>
  <si>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</si>
  <si>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</si>
  <si>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</si>
  <si>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</si>
  <si>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</si>
  <si>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</si>
  <si>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</si>
  <si>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</si>
  <si>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</si>
  <si>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</si>
  <si>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</si>
  <si>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</si>
  <si>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</si>
  <si>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</si>
  <si>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</si>
  <si>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</si>
  <si>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</si>
  <si>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</si>
  <si>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</si>
  <si>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</si>
  <si>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</si>
  <si>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</si>
  <si>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</si>
  <si>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</si>
  <si>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</si>
  <si>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</si>
  <si>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</si>
  <si>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</si>
  <si>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</si>
  <si>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</si>
  <si>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</si>
  <si>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</si>
  <si>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</si>
  <si>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</si>
  <si>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</si>
  <si>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</si>
  <si>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</si>
  <si>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</si>
  <si>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</si>
  <si>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</si>
  <si>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</si>
  <si>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</si>
  <si>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</si>
  <si>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</si>
  <si>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</si>
  <si>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</si>
  <si>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</si>
  <si>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</si>
  <si>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</si>
  <si>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</si>
  <si>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</si>
  <si>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</si>
  <si>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</si>
  <si>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</si>
  <si>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</si>
  <si>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</si>
  <si>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</si>
  <si>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</si>
  <si>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</si>
  <si>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</si>
  <si>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</si>
  <si>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</si>
  <si>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</si>
  <si>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</si>
  <si>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</si>
  <si>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</si>
  <si>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</si>
  <si>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</si>
  <si>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</si>
  <si>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</si>
  <si>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</si>
  <si>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</si>
  <si>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</si>
  <si>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</si>
  <si>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</si>
  <si>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</si>
  <si>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</si>
  <si>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</si>
  <si>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</si>
  <si>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</si>
  <si>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</si>
  <si>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</si>
  <si>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</si>
  <si>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</si>
  <si>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</si>
  <si>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</si>
  <si>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</si>
  <si>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</si>
  <si>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</si>
  <si>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</si>
  <si>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</si>
  <si>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</si>
  <si>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</si>
  <si>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</si>
  <si>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</si>
  <si>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</si>
  <si>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</si>
  <si>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</si>
  <si>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</si>
  <si>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</si>
  <si>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</si>
  <si>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</si>
  <si>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</si>
  <si>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</si>
  <si>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</si>
  <si>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</si>
  <si>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</si>
  <si>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</si>
  <si>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</si>
  <si>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</si>
  <si>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</si>
  <si>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</si>
  <si>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</si>
  <si>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</si>
  <si>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</si>
  <si>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</si>
  <si>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</si>
  <si>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</si>
  <si>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</si>
  <si>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</si>
  <si>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</si>
  <si>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</si>
  <si>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</si>
  <si>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</si>
  <si>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</si>
  <si>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</si>
  <si>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</si>
  <si>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</si>
  <si>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</si>
  <si>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</si>
  <si>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</si>
  <si>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</si>
  <si>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</si>
  <si>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</si>
  <si>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</si>
  <si>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</si>
  <si>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</si>
  <si>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</si>
  <si>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</si>
  <si>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</si>
  <si>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</si>
  <si>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</si>
  <si>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</si>
  <si>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</si>
  <si>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</si>
  <si>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</si>
  <si>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</si>
  <si>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</si>
  <si>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</si>
  <si>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</si>
  <si>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</si>
  <si>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</si>
  <si>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</si>
  <si>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</si>
  <si>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</si>
  <si>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</si>
  <si>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</si>
  <si>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</si>
  <si>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</si>
  <si>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</si>
  <si>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</si>
  <si>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</si>
  <si>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</si>
  <si>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</si>
  <si>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</si>
  <si>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</si>
  <si>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</si>
  <si>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</si>
  <si>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</si>
  <si>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</si>
  <si>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</si>
  <si>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</si>
  <si>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</si>
  <si>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</si>
  <si>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</si>
  <si>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</si>
  <si>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</si>
  <si>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</si>
  <si>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</si>
  <si>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</si>
  <si>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</si>
  <si>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</si>
  <si>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</si>
  <si>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</si>
  <si>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</si>
  <si>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</si>
  <si>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</si>
  <si>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</si>
  <si>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</si>
  <si>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</si>
  <si>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</si>
  <si>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</si>
  <si>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</si>
  <si>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</si>
  <si>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</si>
  <si>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</si>
  <si>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</si>
  <si>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</si>
  <si>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</si>
  <si>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</si>
  <si>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</si>
  <si>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</si>
  <si>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</si>
  <si>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</si>
  <si>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</si>
  <si>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</si>
  <si>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</si>
  <si>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</si>
  <si>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</si>
  <si>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</si>
  <si>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</si>
  <si>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</si>
  <si>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</si>
  <si>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</si>
  <si>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</si>
  <si>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</si>
  <si>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</si>
  <si>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</si>
  <si>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</si>
  <si>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</si>
  <si>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</si>
  <si>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</si>
  <si>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</si>
  <si>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</si>
  <si>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</si>
  <si>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</si>
  <si>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</si>
  <si>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</si>
  <si>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</si>
  <si>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</si>
  <si>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</si>
  <si>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</si>
  <si>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</si>
  <si>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</si>
  <si>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</si>
  <si>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</si>
  <si>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</si>
  <si>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</si>
  <si>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</si>
  <si>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</si>
  <si>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</si>
  <si>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</si>
  <si>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</si>
  <si>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</si>
  <si>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</si>
  <si>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</si>
  <si>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</si>
  <si>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</si>
  <si>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</si>
  <si>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</si>
  <si>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</si>
  <si>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</si>
  <si>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</si>
  <si>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</si>
  <si>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</si>
  <si>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</si>
  <si>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</si>
  <si>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</si>
  <si>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</si>
  <si>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</si>
  <si>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</si>
  <si>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</si>
  <si>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</si>
  <si>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</si>
  <si>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</si>
  <si>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</si>
  <si>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</si>
  <si>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</si>
  <si>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</si>
  <si>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</si>
  <si>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</si>
  <si>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</si>
  <si>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</si>
  <si>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</si>
  <si>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</si>
  <si>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</si>
  <si>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</si>
  <si>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</si>
  <si>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</si>
  <si>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</si>
  <si>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</si>
  <si>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</si>
  <si>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</si>
  <si>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</si>
  <si>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</si>
  <si>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</si>
  <si>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</si>
  <si>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</si>
  <si>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</si>
  <si>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</si>
  <si>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</si>
  <si>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</si>
  <si>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</si>
  <si>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</si>
  <si>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</si>
  <si>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</si>
  <si>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</si>
  <si>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</si>
  <si>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</si>
  <si>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</si>
  <si>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</si>
  <si>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</si>
  <si>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</si>
  <si>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</si>
  <si>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</si>
  <si>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</si>
  <si>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</si>
  <si>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</si>
  <si>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</si>
  <si>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</si>
  <si>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</si>
  <si>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</si>
  <si>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</si>
  <si>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</si>
  <si>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</si>
  <si>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</si>
  <si>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</si>
  <si>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</si>
  <si>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</si>
  <si>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</si>
  <si>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</si>
  <si>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</si>
  <si>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</si>
  <si>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</si>
  <si>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</si>
  <si>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</si>
  <si>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</si>
  <si>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</si>
  <si>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</si>
  <si>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</si>
  <si>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</si>
  <si>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</si>
  <si>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</si>
  <si>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</si>
  <si>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</si>
  <si>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</si>
  <si>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</si>
  <si>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</si>
  <si>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</si>
  <si>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</si>
  <si>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</si>
  <si>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</si>
  <si>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</si>
  <si>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</si>
  <si>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</si>
  <si>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</si>
  <si>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</si>
  <si>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</si>
  <si>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</si>
  <si>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</si>
  <si>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</si>
  <si>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</si>
  <si>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</si>
  <si>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</si>
  <si>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</si>
  <si>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</si>
  <si>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</si>
  <si>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</si>
  <si>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</si>
  <si>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</si>
  <si>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</si>
  <si>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</si>
  <si>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</si>
  <si>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</si>
  <si>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</si>
  <si>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</si>
  <si>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</si>
  <si>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</si>
  <si>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</si>
  <si>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</si>
  <si>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</si>
  <si>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</si>
  <si>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</si>
  <si>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</si>
  <si>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</si>
  <si>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</si>
  <si>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</si>
  <si>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</si>
  <si>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</si>
  <si>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</si>
  <si>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</si>
  <si>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</si>
  <si>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</si>
  <si>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</si>
  <si>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</si>
  <si>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</si>
  <si>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</si>
  <si>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</si>
  <si>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</si>
  <si>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</si>
  <si>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</si>
  <si>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</si>
  <si>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</si>
  <si>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</si>
  <si>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</si>
  <si>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</si>
  <si>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</si>
  <si>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</si>
  <si>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</si>
  <si>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</si>
  <si>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</si>
  <si>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</si>
  <si>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</si>
  <si>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</si>
  <si>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</si>
  <si>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</si>
  <si>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</si>
  <si>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</si>
  <si>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</si>
  <si>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</si>
  <si>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</si>
  <si>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</si>
  <si>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</si>
  <si>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</si>
  <si>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</si>
  <si>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</si>
  <si>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</si>
  <si>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</si>
  <si>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</si>
  <si>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</si>
  <si>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</si>
  <si>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</si>
  <si>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</si>
  <si>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</si>
  <si>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</si>
  <si>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</si>
  <si>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</si>
  <si>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</si>
  <si>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</si>
  <si>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</si>
  <si>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</si>
  <si>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</si>
  <si>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</si>
  <si>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</si>
  <si>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</si>
  <si>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</si>
  <si>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</si>
  <si>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</si>
  <si>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</si>
  <si>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</si>
  <si>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</si>
  <si>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</si>
  <si>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</si>
  <si>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</si>
  <si>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</si>
  <si>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</si>
  <si>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</si>
  <si>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</si>
  <si>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</si>
  <si>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</si>
  <si>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</si>
  <si>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</si>
  <si>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</si>
  <si>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</si>
  <si>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</si>
  <si>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</si>
  <si>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</si>
  <si>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</si>
  <si>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</si>
  <si>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</si>
  <si>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</si>
  <si>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</si>
  <si>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</si>
  <si>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</si>
  <si>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</si>
  <si>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</si>
  <si>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</si>
  <si>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</si>
  <si>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</si>
  <si>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</si>
  <si>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</si>
  <si>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</si>
  <si>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</si>
  <si>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</si>
  <si>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</si>
  <si>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</si>
  <si>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</si>
  <si>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</si>
  <si>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</si>
  <si>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</si>
  <si>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</si>
  <si>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</si>
  <si>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</si>
  <si>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</si>
  <si>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</si>
  <si>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</si>
  <si>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</si>
  <si>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</si>
  <si>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</si>
  <si>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</si>
  <si>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</si>
  <si>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</si>
  <si>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</si>
  <si>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</si>
  <si>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</si>
  <si>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</si>
  <si>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</si>
  <si>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</si>
  <si>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</si>
  <si>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</si>
  <si>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</si>
  <si>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</si>
  <si>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</si>
  <si>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</si>
  <si>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</si>
  <si>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</si>
  <si>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</si>
  <si>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</si>
  <si>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</si>
  <si>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</si>
  <si>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</si>
  <si>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</si>
  <si>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</si>
  <si>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</si>
  <si>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</si>
  <si>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</si>
  <si>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</si>
  <si>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</si>
  <si>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</si>
  <si>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</si>
  <si>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</si>
  <si>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</si>
  <si>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</si>
  <si>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</si>
  <si>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</si>
  <si>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</si>
  <si>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</si>
  <si>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</si>
  <si>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</si>
  <si>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</si>
  <si>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</si>
  <si>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</si>
  <si>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</si>
  <si>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</si>
  <si>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</si>
  <si>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</si>
  <si>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</si>
  <si>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</si>
  <si>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</si>
  <si>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</si>
  <si>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</si>
  <si>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</si>
  <si>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</si>
  <si>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</si>
  <si>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</si>
  <si>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</si>
  <si>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</si>
  <si>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</si>
  <si>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</si>
  <si>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</si>
  <si>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</si>
  <si>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</si>
  <si>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</si>
  <si>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</si>
  <si>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</si>
  <si>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</si>
  <si>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</si>
  <si>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</si>
  <si>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</si>
  <si>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</si>
  <si>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</si>
  <si>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</si>
  <si>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</si>
  <si>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</si>
  <si>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</si>
  <si>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</si>
  <si>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</si>
  <si>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</si>
  <si>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</si>
  <si>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</si>
  <si>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</si>
  <si>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</si>
  <si>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</si>
  <si>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</si>
  <si>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</si>
  <si>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</si>
  <si>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</si>
  <si>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</si>
  <si>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</si>
  <si>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</si>
  <si>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</si>
  <si>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</si>
  <si>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</si>
  <si>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</si>
  <si>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</si>
  <si>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</si>
  <si>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</si>
  <si>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</si>
  <si>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</si>
  <si>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</si>
  <si>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</si>
  <si>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</si>
  <si>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</si>
  <si>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</si>
  <si>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</si>
  <si>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</si>
  <si>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</si>
  <si>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</si>
  <si>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</si>
  <si>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</si>
  <si>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</si>
  <si>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</si>
  <si>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</si>
  <si>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</si>
  <si>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</si>
  <si>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</si>
  <si>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</si>
  <si>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</si>
  <si>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</si>
  <si>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</si>
  <si>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</si>
  <si>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</si>
  <si>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</si>
  <si>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</si>
  <si>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</si>
  <si>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</si>
  <si>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</si>
  <si>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</si>
  <si>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</si>
  <si>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</si>
  <si>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</si>
  <si>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</si>
  <si>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</si>
  <si>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</si>
  <si>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</si>
  <si>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</si>
  <si>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</si>
  <si>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</si>
  <si>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</si>
  <si>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</si>
  <si>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</si>
  <si>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</si>
  <si>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</si>
  <si>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</si>
  <si>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</si>
  <si>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</si>
  <si>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</si>
  <si>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</si>
  <si>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</si>
  <si>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</si>
  <si>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</si>
  <si>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</si>
  <si>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</si>
  <si>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</si>
  <si>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</si>
  <si>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</si>
  <si>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</si>
  <si>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</si>
  <si>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</si>
  <si>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</si>
  <si>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</si>
  <si>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</si>
  <si>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</si>
  <si>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</si>
  <si>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</si>
  <si>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</si>
  <si>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</si>
  <si>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</si>
  <si>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</si>
  <si>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</si>
  <si>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</si>
  <si>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</si>
  <si>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</si>
  <si>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</si>
  <si>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</si>
  <si>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</si>
  <si>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</si>
  <si>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</si>
  <si>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</si>
  <si>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</si>
  <si>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</si>
  <si>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</si>
  <si>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</si>
  <si>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</si>
  <si>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</si>
  <si>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</si>
  <si>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</si>
  <si>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</si>
  <si>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</si>
  <si>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</si>
  <si>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</si>
  <si>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</si>
  <si>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</si>
  <si>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</si>
  <si>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</si>
  <si>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</si>
  <si>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</si>
  <si>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</si>
  <si>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</si>
  <si>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</si>
  <si>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</si>
  <si>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</si>
  <si>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</si>
  <si>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</si>
  <si>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</si>
  <si>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</si>
  <si>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</si>
  <si>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</si>
  <si>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</si>
  <si>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</si>
  <si>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</si>
  <si>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</si>
  <si>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</si>
  <si>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</si>
  <si>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</si>
  <si>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</si>
  <si>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</si>
  <si>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</si>
  <si>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</si>
  <si>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</si>
  <si>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</si>
  <si>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</si>
  <si>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</si>
  <si>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</si>
  <si>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</si>
  <si>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</si>
  <si>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</si>
  <si>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</si>
  <si>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</si>
  <si>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</si>
  <si>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</si>
  <si>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</si>
  <si>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</si>
  <si>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</si>
  <si>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</si>
  <si>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</si>
  <si>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</si>
  <si>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</si>
  <si>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</si>
  <si>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</si>
  <si>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</si>
  <si>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</si>
  <si>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</si>
  <si>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</si>
  <si>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</si>
  <si>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</si>
  <si>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</si>
  <si>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</si>
  <si>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</si>
  <si>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</si>
  <si>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</si>
  <si>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</si>
  <si>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</si>
  <si>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</si>
  <si>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</si>
  <si>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</si>
  <si>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</si>
  <si>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</si>
  <si>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</si>
  <si>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</si>
  <si>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</si>
  <si>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</si>
  <si>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</si>
  <si>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</si>
  <si>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</si>
  <si>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</si>
  <si>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</si>
  <si>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</si>
  <si>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</si>
  <si>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</si>
  <si>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</si>
  <si>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</si>
  <si>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</si>
  <si>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</si>
  <si>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</si>
  <si>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</si>
  <si>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</si>
  <si>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</si>
  <si>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</si>
  <si>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</si>
  <si>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</si>
  <si>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</si>
  <si>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</si>
  <si>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</si>
  <si>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</si>
  <si>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</si>
  <si>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</si>
  <si>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</si>
  <si>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</si>
  <si>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</si>
  <si>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</si>
  <si>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</si>
  <si>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</si>
  <si>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</si>
  <si>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</si>
  <si>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</si>
  <si>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</si>
  <si>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</si>
  <si>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</si>
  <si>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</si>
  <si>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</si>
  <si>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</si>
  <si>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</si>
  <si>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</si>
  <si>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</si>
  <si>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</si>
  <si>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</si>
  <si>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</si>
  <si>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</si>
  <si>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</si>
  <si>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</si>
  <si>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</si>
  <si>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</si>
  <si>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</si>
  <si>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</si>
  <si>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</si>
  <si>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</si>
  <si>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</si>
  <si>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</si>
  <si>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</si>
  <si>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</si>
  <si>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</si>
  <si>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</si>
  <si>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</si>
  <si>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</si>
  <si>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</si>
  <si>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</si>
  <si>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</si>
  <si>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</si>
  <si>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</si>
  <si>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</si>
  <si>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</si>
  <si>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</si>
  <si>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</si>
  <si>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</si>
  <si>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</si>
  <si>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</si>
  <si>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</si>
  <si>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</si>
  <si>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</si>
  <si>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</si>
  <si>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</si>
  <si>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</si>
  <si>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</si>
  <si>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</si>
  <si>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</si>
  <si>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</si>
  <si>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</si>
  <si>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</si>
  <si>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</si>
  <si>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</si>
  <si>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</si>
  <si>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</si>
  <si>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</si>
  <si>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</si>
  <si>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</si>
  <si>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</si>
  <si>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</si>
  <si>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</si>
  <si>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</si>
  <si>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</si>
  <si>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</si>
  <si>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</si>
  <si>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</si>
  <si>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</si>
  <si>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</si>
  <si>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</si>
  <si>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</si>
  <si>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</si>
  <si>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</si>
  <si>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</si>
  <si>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</si>
  <si>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</si>
  <si>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</si>
  <si>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</si>
  <si>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</si>
  <si>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</si>
  <si>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</si>
  <si>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</si>
  <si>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</si>
  <si>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</si>
  <si>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</si>
  <si>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</si>
  <si>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</si>
  <si>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</si>
  <si>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</si>
  <si>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</si>
  <si>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</si>
  <si>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</si>
  <si>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</si>
  <si>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</si>
  <si>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</si>
  <si>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</si>
  <si>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</si>
  <si>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</si>
  <si>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</si>
  <si>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</si>
  <si>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</si>
  <si>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</si>
  <si>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</si>
  <si>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</si>
  <si>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</si>
  <si>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</si>
  <si>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</si>
  <si>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</si>
  <si>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</si>
  <si>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</si>
  <si>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</si>
  <si>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</si>
  <si>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</si>
  <si>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</si>
  <si>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</si>
  <si>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</si>
  <si>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</si>
  <si>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</si>
  <si>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</si>
  <si>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</si>
  <si>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</si>
  <si>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</si>
  <si>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</si>
  <si>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</si>
  <si>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</si>
  <si>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</si>
  <si>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</si>
  <si>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</si>
  <si>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</si>
  <si>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</si>
  <si>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</si>
  <si>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</si>
  <si>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</si>
  <si>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</si>
  <si>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</si>
  <si>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</si>
  <si>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</si>
  <si>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</si>
  <si>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</si>
  <si>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</si>
  <si>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</si>
  <si>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</si>
  <si>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</si>
  <si>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</si>
  <si>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</si>
  <si>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</si>
  <si>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</si>
  <si>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</si>
  <si>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</si>
  <si>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</si>
  <si>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</si>
  <si>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</si>
  <si>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</si>
  <si>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</si>
  <si>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</si>
  <si>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</si>
  <si>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</si>
  <si>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</si>
  <si>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</si>
  <si>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</si>
  <si>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</si>
  <si>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</si>
  <si>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</si>
  <si>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</si>
  <si>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</si>
  <si>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</si>
  <si>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</si>
  <si>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</si>
  <si>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</si>
  <si>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</si>
  <si>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</si>
  <si>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</si>
  <si>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</si>
  <si>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</si>
  <si>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</si>
  <si>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</si>
  <si>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</si>
  <si>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</si>
  <si>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</si>
  <si>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</si>
  <si>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</si>
  <si>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</si>
  <si>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</si>
  <si>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</si>
  <si>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</si>
  <si>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</si>
  <si>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</si>
  <si>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</si>
  <si>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</si>
  <si>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</si>
  <si>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</si>
  <si>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</si>
  <si>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</si>
  <si>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</si>
  <si>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</si>
  <si>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</si>
  <si>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</si>
  <si>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</si>
  <si>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</si>
  <si>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</si>
  <si>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</si>
  <si>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</si>
  <si>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</si>
  <si>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</si>
  <si>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</si>
  <si>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</si>
  <si>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</si>
  <si>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</si>
  <si>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</si>
  <si>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</si>
  <si>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</si>
  <si>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</si>
  <si>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</si>
  <si>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</si>
  <si>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</si>
  <si>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</si>
  <si>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</si>
  <si>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</si>
  <si>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</si>
  <si>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</si>
  <si>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</si>
  <si>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</si>
  <si>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</si>
  <si>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</si>
  <si>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</si>
  <si>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</si>
  <si>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</si>
  <si>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</si>
  <si>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</si>
  <si>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</si>
  <si>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</si>
  <si>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</si>
  <si>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</si>
  <si>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</si>
  <si>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</si>
  <si>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</si>
  <si>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</si>
  <si>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</si>
  <si>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</si>
  <si>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</si>
  <si>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</si>
  <si>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</si>
  <si>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</si>
  <si>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</si>
  <si>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</si>
  <si>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</si>
  <si>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</si>
  <si>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</si>
  <si>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</si>
  <si>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</si>
  <si>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</si>
  <si>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</si>
  <si>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</si>
  <si>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</si>
  <si>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</si>
  <si>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</si>
  <si>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</si>
  <si>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</si>
  <si>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</si>
  <si>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</si>
  <si>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</si>
  <si>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</si>
  <si>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</si>
  <si>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</si>
  <si>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</si>
  <si>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</si>
  <si>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</si>
  <si>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</si>
  <si>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</si>
  <si>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</si>
  <si>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</si>
  <si>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</si>
  <si>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</si>
  <si>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</si>
  <si>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</si>
  <si>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</si>
  <si>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</si>
  <si>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</si>
  <si>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</si>
  <si>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</si>
  <si>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</si>
  <si>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</si>
  <si>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</si>
  <si>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</si>
  <si>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</si>
  <si>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</si>
  <si>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</si>
  <si>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</si>
  <si>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</si>
  <si>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</si>
  <si>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</si>
  <si>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</si>
  <si>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</si>
  <si>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</si>
  <si>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</si>
  <si>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</si>
  <si>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</si>
  <si>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</si>
  <si>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</si>
  <si>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</si>
  <si>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</si>
  <si>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</si>
  <si>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</si>
  <si>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</si>
  <si>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</si>
  <si>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</si>
  <si>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</si>
  <si>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</si>
  <si>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</si>
  <si>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</si>
  <si>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</si>
  <si>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</si>
  <si>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</si>
  <si>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</si>
  <si>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</si>
  <si>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</si>
  <si>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</si>
  <si>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</si>
  <si>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</si>
  <si>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</si>
  <si>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</si>
  <si>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</si>
  <si>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</si>
  <si>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</si>
  <si>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</si>
  <si>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</si>
  <si>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</si>
  <si>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</si>
  <si>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</si>
  <si>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</si>
  <si>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</si>
  <si>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</si>
  <si>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</si>
  <si>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</si>
  <si>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</si>
  <si>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</si>
  <si>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</si>
  <si>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</si>
  <si>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</si>
  <si>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</si>
  <si>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</si>
  <si>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</si>
  <si>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</si>
  <si>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</si>
  <si>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</si>
  <si>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</si>
  <si>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</si>
  <si>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</si>
  <si>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</si>
  <si>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</si>
  <si>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</si>
  <si>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</si>
  <si>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</si>
  <si>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</si>
  <si>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</si>
  <si>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</si>
  <si>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</si>
  <si>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</si>
  <si>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</si>
  <si>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</si>
  <si>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</si>
  <si>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</si>
  <si>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</si>
  <si>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</si>
  <si>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</si>
  <si>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</si>
  <si>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</si>
  <si>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</si>
  <si>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</si>
  <si>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</si>
  <si>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</si>
  <si>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</si>
  <si>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</si>
  <si>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</si>
  <si>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</si>
  <si>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</si>
  <si>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</si>
  <si>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</si>
  <si>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</si>
  <si>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</si>
  <si>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</si>
  <si>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</si>
  <si>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</si>
  <si>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</si>
  <si>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</si>
  <si>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</si>
  <si>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</si>
  <si>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</si>
  <si>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</si>
  <si>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</si>
  <si>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</si>
  <si>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</si>
  <si>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</si>
  <si>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</si>
  <si>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</si>
  <si>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</si>
  <si>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</si>
  <si>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</si>
  <si>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</si>
  <si>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</si>
  <si>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</si>
  <si>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</si>
  <si>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</si>
  <si>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</si>
  <si>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</si>
  <si>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</si>
  <si>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</si>
  <si>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</si>
  <si>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</si>
  <si>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</si>
  <si>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</si>
  <si>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</si>
  <si>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</si>
  <si>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</si>
  <si>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</si>
  <si>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</si>
  <si>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</si>
  <si>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</si>
  <si>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</si>
  <si>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</si>
  <si>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</si>
  <si>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</si>
  <si>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</si>
  <si>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</si>
  <si>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</si>
  <si>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</si>
  <si>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</si>
  <si>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</si>
  <si>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</si>
  <si>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</si>
  <si>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</si>
  <si>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</si>
  <si>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</si>
  <si>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</si>
  <si>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</si>
  <si>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</si>
  <si>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</si>
  <si>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</si>
  <si>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</si>
  <si>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</si>
  <si>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</si>
  <si>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</si>
  <si>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</si>
  <si>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</si>
  <si>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</si>
  <si>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</si>
  <si>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</si>
  <si>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</si>
  <si>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</si>
  <si>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</si>
  <si>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</si>
  <si>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</si>
  <si>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</si>
  <si>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</si>
  <si>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</si>
  <si>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</si>
  <si>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</si>
  <si>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</si>
  <si>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</si>
  <si>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</si>
  <si>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</si>
  <si>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</si>
  <si>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</si>
  <si>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</si>
  <si>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</si>
  <si>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</si>
  <si>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</si>
  <si>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</si>
  <si>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</si>
  <si>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</si>
  <si>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</si>
  <si>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</si>
  <si>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</si>
  <si>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</si>
  <si>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</si>
  <si>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</si>
  <si>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</si>
  <si>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</si>
  <si>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</si>
  <si>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</si>
  <si>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</si>
  <si>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</si>
  <si>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</si>
  <si>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</si>
  <si>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</si>
  <si>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</si>
  <si>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</si>
  <si>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</si>
  <si>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</si>
  <si>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</si>
  <si>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</si>
  <si>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</si>
  <si>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</si>
  <si>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</si>
  <si>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</si>
  <si>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</si>
  <si>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</si>
  <si>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</si>
  <si>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</si>
  <si>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</si>
  <si>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</si>
  <si>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</si>
  <si>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</si>
  <si>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</si>
  <si>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</si>
  <si>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</si>
  <si>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</si>
  <si>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</si>
  <si>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</si>
  <si>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</si>
  <si>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</si>
  <si>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</si>
  <si>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</si>
  <si>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</si>
  <si>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</si>
  <si>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</si>
  <si>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</si>
  <si>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</si>
  <si>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</si>
  <si>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</si>
  <si>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</si>
  <si>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</si>
  <si>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</si>
  <si>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</si>
  <si>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</si>
  <si>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</si>
  <si>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</si>
  <si>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</si>
  <si>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</si>
  <si>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</si>
  <si>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</si>
  <si>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</si>
  <si>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</si>
  <si>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</si>
  <si>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</si>
  <si>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</si>
  <si>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</si>
  <si>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</si>
  <si>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</si>
  <si>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</si>
  <si>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</si>
  <si>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</si>
  <si>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</si>
  <si>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</si>
  <si>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</si>
  <si>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</si>
  <si>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</si>
  <si>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</si>
  <si>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</si>
  <si>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</si>
  <si>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</si>
  <si>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</si>
  <si>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</si>
  <si>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</si>
  <si>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</si>
  <si>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</si>
  <si>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</si>
  <si>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</si>
  <si>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</si>
  <si>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</si>
  <si>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</si>
  <si>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</si>
  <si>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</si>
  <si>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</si>
  <si>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</si>
  <si>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</si>
  <si>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</si>
  <si>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</si>
  <si>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</si>
  <si>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</si>
  <si>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</si>
  <si>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</si>
  <si>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</si>
  <si>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</si>
  <si>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</si>
  <si>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</si>
  <si>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</si>
  <si>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</si>
  <si>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</si>
  <si>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</si>
  <si>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</si>
  <si>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</si>
  <si>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</si>
  <si>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</si>
  <si>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</si>
  <si>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</si>
  <si>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</si>
  <si>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</si>
  <si>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</si>
  <si>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</si>
  <si>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</si>
  <si>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</si>
  <si>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</si>
  <si>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</si>
  <si>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</si>
  <si>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</si>
  <si>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</si>
  <si>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</si>
  <si>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</si>
  <si>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</si>
  <si>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</si>
  <si>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</si>
  <si>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</si>
  <si>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</si>
  <si>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</si>
  <si>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</si>
  <si>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</si>
  <si>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</si>
  <si>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</si>
  <si>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</si>
  <si>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</si>
  <si>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</si>
  <si>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</si>
  <si>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</si>
  <si>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</si>
  <si>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</si>
  <si>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</si>
  <si>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</si>
  <si>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</si>
  <si>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</si>
  <si>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</si>
  <si>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</si>
  <si>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</si>
  <si>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</si>
  <si>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</si>
  <si>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</si>
  <si>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</si>
  <si>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</si>
  <si>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</si>
  <si>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</si>
  <si>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</si>
  <si>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</si>
  <si>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</si>
  <si>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</si>
  <si>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</si>
  <si>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</si>
  <si>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</si>
  <si>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</si>
  <si>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</si>
  <si>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</si>
  <si>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</si>
  <si>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</si>
  <si>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</si>
  <si>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</si>
  <si>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</si>
  <si>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</si>
  <si>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</si>
  <si>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</si>
  <si>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</si>
  <si>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</si>
  <si>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</si>
  <si>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</si>
  <si>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</si>
  <si>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</si>
  <si>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</si>
  <si>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</si>
  <si>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</si>
  <si>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</si>
  <si>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</si>
  <si>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</si>
  <si>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</si>
  <si>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</si>
  <si>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</si>
  <si>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</si>
  <si>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</si>
  <si>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</si>
  <si>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</si>
  <si>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</si>
  <si>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</si>
  <si>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</si>
  <si>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</si>
  <si>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</si>
  <si>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</si>
  <si>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</si>
  <si>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</si>
  <si>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</si>
  <si>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</si>
  <si>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</si>
  <si>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</si>
  <si>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</si>
  <si>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</si>
  <si>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</si>
  <si>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</si>
  <si>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</si>
  <si>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</si>
  <si>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</si>
  <si>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</si>
  <si>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</si>
  <si>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</si>
  <si>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</si>
  <si>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</si>
  <si>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</si>
  <si>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</si>
  <si>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</si>
  <si>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</si>
  <si>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</si>
  <si>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</si>
  <si>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</si>
  <si>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</si>
  <si>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</si>
  <si>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</si>
  <si>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</si>
  <si>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</si>
  <si>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</si>
  <si>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</si>
  <si>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</si>
  <si>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</si>
  <si>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</si>
  <si>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</si>
  <si>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</si>
  <si>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</si>
  <si>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</si>
  <si>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</si>
  <si>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</si>
  <si>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</si>
  <si>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</si>
  <si>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</si>
  <si>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</si>
  <si>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</si>
  <si>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</si>
  <si>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</si>
  <si>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</si>
  <si>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</si>
  <si>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</si>
  <si>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</si>
  <si>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</si>
  <si>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</si>
  <si>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</si>
  <si>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</si>
  <si>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</si>
  <si>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</si>
  <si>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</si>
  <si>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</si>
  <si>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</si>
  <si>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</si>
  <si>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</si>
  <si>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</si>
  <si>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</si>
  <si>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</si>
  <si>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</si>
  <si>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</si>
  <si>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</si>
  <si>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</si>
  <si>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</si>
  <si>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</si>
  <si>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</si>
  <si>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</si>
  <si>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</si>
  <si>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</si>
  <si>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</si>
  <si>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</si>
  <si>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</si>
  <si>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</si>
  <si>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</si>
  <si>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</si>
  <si>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</si>
  <si>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</si>
  <si>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</si>
  <si>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</si>
  <si>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</si>
  <si>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</si>
  <si>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</si>
  <si>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</si>
  <si>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</si>
  <si>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</si>
  <si>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</si>
  <si>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</si>
  <si>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</si>
  <si>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</si>
  <si>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</si>
  <si>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</si>
  <si>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</si>
  <si>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</si>
  <si>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</si>
  <si>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</si>
  <si>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</si>
  <si>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</si>
  <si>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</si>
  <si>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</si>
  <si>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</si>
  <si>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</si>
  <si>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</si>
  <si>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</si>
  <si>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</si>
  <si>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</si>
  <si>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</si>
  <si>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</si>
  <si>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</si>
  <si>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</si>
  <si>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</si>
  <si>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</si>
  <si>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</si>
  <si>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</si>
  <si>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</si>
  <si>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</si>
  <si>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</si>
  <si>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</si>
  <si>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</si>
  <si>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</si>
  <si>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</si>
  <si>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</si>
  <si>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</si>
  <si>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</si>
  <si>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</si>
  <si>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</si>
  <si>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</si>
  <si>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</si>
  <si>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</si>
  <si>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</si>
  <si>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</si>
  <si>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</si>
  <si>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</si>
  <si>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</si>
  <si>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</si>
  <si>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</si>
  <si>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</si>
  <si>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</si>
  <si>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</si>
  <si>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</si>
  <si>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</si>
  <si>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</si>
  <si>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</si>
  <si>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</si>
  <si>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</si>
  <si>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</si>
  <si>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</si>
  <si>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</si>
  <si>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</si>
  <si>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</si>
  <si>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</si>
  <si>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</si>
  <si>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</si>
  <si>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</si>
  <si>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</si>
  <si>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</si>
  <si>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</si>
  <si>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</si>
  <si>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</si>
  <si>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</si>
  <si>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</si>
  <si>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</si>
  <si>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</si>
  <si>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</si>
  <si>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</si>
  <si>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</si>
  <si>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</si>
  <si>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</si>
  <si>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</si>
  <si>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</si>
  <si>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</si>
  <si>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</si>
  <si>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</si>
  <si>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</si>
  <si>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</si>
  <si>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</si>
  <si>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</si>
  <si>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</si>
  <si>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</si>
  <si>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</si>
  <si>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</si>
  <si>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</si>
  <si>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</si>
  <si>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</si>
  <si>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</si>
  <si>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</si>
  <si>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</si>
  <si>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</si>
  <si>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</si>
  <si>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</si>
  <si>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</si>
  <si>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</si>
  <si>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</si>
  <si>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</si>
  <si>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</si>
  <si>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</si>
  <si>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</si>
  <si>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</si>
  <si>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</si>
  <si>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</si>
  <si>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</si>
  <si>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</si>
  <si>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</si>
  <si>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</si>
  <si>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</si>
  <si>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</si>
  <si>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</si>
  <si>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</si>
  <si>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</si>
  <si>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</si>
  <si>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</si>
  <si>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</si>
  <si>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</si>
  <si>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</si>
  <si>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</si>
  <si>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</si>
  <si>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</si>
  <si>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</si>
  <si>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</si>
  <si>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</si>
  <si>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</si>
  <si>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</si>
  <si>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</si>
  <si>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</si>
  <si>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</si>
  <si>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</si>
  <si>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</si>
  <si>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</si>
  <si>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</si>
  <si>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</si>
  <si>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</si>
  <si>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</si>
  <si>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</si>
  <si>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</si>
  <si>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</si>
  <si>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</si>
  <si>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</si>
  <si>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</si>
  <si>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</si>
  <si>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</si>
  <si>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</si>
  <si>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</si>
  <si>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</si>
  <si>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</si>
  <si>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</si>
  <si>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</si>
  <si>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</si>
  <si>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</si>
  <si>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</si>
  <si>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</si>
  <si>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</si>
  <si>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</si>
  <si>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</si>
  <si>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</si>
  <si>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</si>
  <si>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</si>
  <si>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</si>
  <si>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</si>
  <si>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</si>
  <si>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</si>
  <si>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</si>
  <si>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</si>
  <si>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</si>
  <si>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</si>
  <si>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</si>
  <si>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</si>
  <si>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</si>
  <si>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</si>
  <si>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</si>
  <si>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</si>
  <si>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</si>
  <si>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</si>
  <si>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</si>
  <si>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</si>
  <si>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</si>
  <si>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</si>
  <si>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</si>
  <si>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</si>
  <si>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</si>
  <si>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</si>
  <si>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</si>
  <si>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</si>
  <si>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</si>
  <si>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</si>
  <si>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</si>
  <si>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</si>
  <si>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</si>
  <si>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</si>
  <si>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</si>
  <si>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</si>
  <si>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</si>
  <si>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</si>
  <si>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</si>
  <si>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</si>
  <si>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</si>
  <si>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</si>
  <si>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</si>
  <si>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</si>
  <si>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</si>
  <si>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</si>
  <si>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</si>
  <si>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</si>
  <si>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</si>
  <si>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</si>
  <si>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</si>
  <si>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</si>
  <si>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</si>
  <si>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</si>
  <si>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</si>
  <si>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</si>
  <si>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</si>
  <si>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</si>
  <si>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</si>
  <si>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</si>
  <si>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</si>
  <si>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</si>
  <si>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</si>
  <si>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</si>
  <si>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</si>
  <si>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</si>
  <si>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</si>
  <si>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</si>
  <si>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</si>
  <si>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</si>
  <si>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</si>
  <si>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</si>
  <si>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</si>
  <si>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</si>
  <si>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</si>
  <si>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</si>
  <si>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</si>
  <si>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</si>
  <si>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</si>
  <si>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</si>
  <si>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</si>
  <si>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</si>
  <si>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</si>
  <si>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</si>
  <si>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</si>
  <si>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</si>
  <si>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</si>
  <si>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</si>
  <si>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</si>
  <si>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</si>
  <si>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</si>
  <si>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</si>
  <si>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</si>
  <si>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</si>
  <si>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</si>
  <si>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</si>
  <si>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</si>
  <si>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</si>
  <si>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</si>
  <si>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</si>
  <si>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</si>
  <si>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</si>
  <si>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</si>
  <si>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</si>
  <si>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</si>
  <si>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</si>
  <si>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</si>
  <si>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</si>
  <si>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</si>
  <si>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</si>
  <si>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</si>
  <si>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</si>
  <si>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</si>
  <si>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</si>
  <si>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</si>
  <si>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</si>
  <si>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</si>
  <si>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</si>
  <si>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</si>
  <si>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</si>
  <si>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</si>
  <si>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</si>
  <si>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</si>
  <si>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</si>
  <si>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</si>
  <si>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</si>
  <si>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</si>
  <si>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</si>
  <si>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</si>
  <si>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</si>
  <si>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</si>
  <si>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</si>
  <si>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</si>
  <si>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</si>
  <si>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</si>
  <si>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</si>
  <si>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</si>
  <si>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</si>
  <si>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</si>
  <si>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</si>
  <si>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</si>
  <si>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</si>
  <si>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</si>
  <si>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</si>
  <si>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</si>
  <si>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</si>
  <si>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</si>
  <si>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</si>
  <si>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</si>
  <si>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</si>
  <si>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</si>
  <si>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</si>
  <si>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</si>
  <si>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</si>
  <si>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</si>
  <si>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</si>
  <si>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</si>
  <si>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</si>
  <si>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</si>
  <si>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</si>
  <si>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</si>
  <si>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</si>
  <si>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</si>
  <si>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</si>
  <si>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</si>
  <si>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</si>
  <si>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</si>
  <si>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</si>
  <si>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</si>
  <si>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</si>
  <si>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</si>
  <si>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</si>
  <si>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</si>
  <si>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</si>
  <si>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</si>
  <si>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</si>
  <si>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</si>
  <si>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</si>
  <si>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</si>
  <si>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</si>
  <si>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</si>
  <si>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</si>
  <si>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</si>
  <si>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</si>
  <si>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</si>
  <si>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</si>
  <si>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</si>
  <si>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</si>
  <si>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</si>
  <si>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</si>
  <si>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</si>
  <si>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</si>
  <si>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</si>
  <si>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</si>
  <si>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</si>
  <si>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</si>
  <si>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</si>
  <si>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</si>
  <si>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</si>
  <si>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</si>
  <si>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</si>
  <si>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</si>
  <si>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</si>
  <si>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</si>
  <si>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</si>
  <si>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</si>
  <si>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</si>
  <si>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</si>
  <si>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</si>
  <si>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</si>
  <si>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</si>
  <si>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</si>
  <si>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</si>
  <si>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</si>
  <si>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</si>
  <si>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</si>
  <si>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</si>
  <si>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</si>
  <si>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</si>
  <si>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</si>
  <si>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</si>
  <si>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</si>
  <si>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</si>
  <si>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</si>
  <si>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</si>
  <si>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</si>
  <si>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</si>
  <si>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</si>
  <si>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</si>
  <si>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</si>
  <si>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</si>
  <si>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</si>
  <si>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</si>
  <si>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</si>
  <si>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</si>
  <si>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</si>
  <si>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</si>
  <si>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</si>
  <si>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</si>
  <si>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</si>
  <si>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</si>
  <si>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</si>
  <si>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</si>
  <si>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</si>
  <si>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</si>
  <si>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</si>
  <si>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</si>
  <si>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</si>
  <si>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</si>
  <si>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</si>
  <si>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</si>
  <si>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</si>
  <si>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</si>
  <si>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</si>
  <si>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</si>
  <si>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</si>
  <si>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</si>
  <si>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</si>
  <si>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</si>
  <si>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</si>
  <si>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</si>
  <si>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</si>
  <si>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</si>
  <si>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</si>
  <si>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</si>
  <si>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</si>
  <si>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</si>
  <si>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</si>
  <si>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</si>
  <si>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</si>
  <si>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</si>
  <si>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</si>
  <si>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</si>
  <si>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</si>
  <si>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</si>
  <si>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</si>
  <si>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</si>
  <si>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</si>
  <si>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</si>
  <si>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</si>
  <si>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</si>
  <si>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</si>
  <si>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</si>
  <si>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</si>
  <si>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</si>
  <si>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</si>
  <si>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</si>
  <si>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</si>
  <si>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</si>
  <si>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</si>
  <si>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</si>
  <si>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</si>
  <si>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</si>
  <si>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</si>
  <si>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</si>
  <si>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</si>
  <si>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</si>
  <si>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</si>
  <si>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</si>
  <si>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</si>
  <si>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</si>
  <si>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</si>
  <si>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</si>
  <si>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</si>
  <si>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</si>
  <si>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</si>
  <si>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</si>
  <si>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</si>
  <si>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</si>
  <si>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</si>
  <si>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</si>
  <si>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</si>
  <si>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</si>
  <si>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</si>
  <si>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</si>
  <si>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</si>
  <si>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</si>
  <si>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</si>
  <si>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</si>
  <si>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</si>
  <si>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</si>
  <si>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</si>
  <si>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</si>
  <si>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</si>
  <si>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</si>
  <si>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</si>
  <si>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</si>
  <si>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</si>
  <si>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</si>
  <si>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</si>
  <si>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</si>
  <si>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</si>
  <si>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</si>
  <si>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</si>
  <si>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</si>
  <si>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</si>
  <si>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</si>
  <si>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</si>
  <si>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</si>
  <si>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</si>
  <si>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</si>
  <si>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</si>
  <si>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</si>
  <si>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</si>
  <si>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</si>
  <si>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</si>
  <si>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</si>
  <si>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</si>
  <si>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</si>
  <si>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</si>
  <si>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</si>
  <si>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</si>
  <si>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</si>
  <si>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</si>
  <si>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</si>
  <si>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</si>
  <si>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</si>
  <si>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</si>
  <si>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</si>
  <si>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</si>
  <si>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</si>
  <si>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</si>
  <si>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</si>
  <si>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</si>
  <si>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</si>
  <si>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</si>
  <si>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</si>
  <si>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</si>
  <si>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</si>
  <si>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</si>
  <si>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</si>
  <si>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</si>
  <si>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</si>
  <si>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</si>
  <si>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</si>
  <si>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</si>
  <si>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</si>
  <si>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</si>
  <si>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</si>
  <si>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</si>
  <si>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</si>
  <si>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</si>
  <si>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</si>
  <si>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</si>
  <si>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</si>
  <si>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</si>
  <si>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</si>
  <si>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</si>
  <si>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</si>
  <si>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</si>
  <si>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</si>
  <si>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</si>
  <si>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</si>
  <si>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</si>
  <si>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</si>
  <si>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</si>
  <si>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</si>
  <si>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</si>
  <si>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</si>
  <si>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</si>
  <si>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</si>
  <si>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</si>
  <si>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</si>
  <si>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</si>
  <si>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</si>
  <si>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</si>
  <si>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</si>
  <si>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</si>
  <si>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</si>
  <si>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</si>
  <si>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</si>
  <si>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</si>
  <si>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</si>
  <si>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</si>
  <si>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</si>
  <si>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</si>
  <si>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</si>
  <si>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</si>
  <si>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</si>
  <si>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</si>
  <si>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</si>
  <si>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</si>
  <si>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</si>
  <si>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</si>
  <si>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</si>
  <si>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</si>
  <si>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</si>
  <si>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</si>
  <si>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</si>
  <si>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</si>
  <si>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</si>
  <si>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</si>
  <si>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</si>
  <si>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</si>
  <si>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</si>
  <si>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</si>
  <si>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</si>
  <si>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</si>
  <si>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</si>
  <si>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</si>
  <si>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</si>
  <si>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</si>
  <si>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</si>
  <si>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</si>
  <si>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</si>
  <si>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</si>
  <si>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</si>
  <si>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</si>
  <si>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</si>
  <si>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</si>
  <si>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</si>
  <si>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</si>
  <si>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</si>
  <si>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</si>
  <si>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</si>
  <si>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</si>
  <si>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</si>
  <si>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</si>
  <si>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</si>
  <si>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</si>
  <si>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</si>
  <si>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</si>
  <si>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</si>
  <si>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</si>
  <si>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</si>
  <si>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</si>
  <si>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</si>
  <si>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</si>
  <si>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</si>
  <si>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</si>
  <si>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</si>
  <si>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</si>
  <si>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</si>
  <si>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</si>
  <si>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</si>
  <si>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</si>
  <si>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</si>
  <si>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</si>
  <si>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</si>
  <si>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</si>
  <si>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</si>
  <si>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</si>
  <si>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</si>
  <si>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</si>
  <si>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</si>
  <si>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</si>
  <si>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</si>
  <si>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</si>
  <si>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</si>
  <si>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</si>
  <si>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</si>
  <si>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</si>
  <si>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</si>
  <si>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</si>
  <si>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</si>
  <si>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</si>
  <si>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</si>
  <si>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</si>
  <si>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</si>
  <si>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</si>
  <si>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</si>
  <si>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</si>
  <si>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</si>
  <si>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</si>
  <si>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</si>
  <si>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</si>
  <si>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</si>
  <si>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</si>
  <si>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</si>
  <si>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</si>
  <si>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</si>
  <si>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</si>
  <si>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</si>
  <si>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</si>
  <si>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</si>
  <si>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</si>
  <si>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</si>
  <si>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</si>
  <si>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</si>
  <si>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</si>
  <si>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</si>
  <si>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</si>
  <si>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</si>
  <si>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</si>
  <si>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</si>
  <si>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</si>
  <si>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</si>
  <si>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</si>
  <si>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</si>
  <si>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</si>
  <si>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</si>
  <si>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</si>
  <si>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</si>
  <si>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</si>
  <si>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</si>
  <si>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</si>
  <si>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</si>
  <si>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</si>
  <si>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</si>
  <si>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</si>
  <si>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</si>
  <si>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</si>
  <si>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</si>
  <si>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</si>
  <si>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</si>
  <si>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</si>
  <si>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</si>
  <si>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</si>
  <si>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</si>
  <si>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</si>
  <si>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</si>
  <si>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</si>
  <si>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</si>
  <si>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</si>
  <si>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</si>
  <si>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</si>
  <si>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</si>
  <si>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</si>
  <si>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</si>
  <si>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</si>
  <si>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</si>
  <si>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</si>
  <si>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</si>
  <si>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</si>
  <si>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</si>
  <si>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</si>
  <si>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</si>
  <si>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</si>
  <si>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</si>
  <si>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</si>
  <si>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</si>
  <si>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</si>
  <si>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</si>
  <si>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</si>
  <si>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</si>
  <si>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</si>
  <si>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</si>
  <si>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</si>
  <si>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</si>
  <si>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</si>
  <si>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</si>
  <si>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</si>
  <si>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</si>
  <si>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</si>
  <si>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</si>
  <si>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</si>
  <si>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</si>
  <si>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</si>
  <si>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</si>
  <si>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</si>
  <si>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</si>
  <si>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</si>
  <si>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</si>
  <si>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</si>
  <si>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</si>
  <si>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</si>
  <si>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</si>
  <si>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</si>
  <si>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</si>
  <si>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</si>
  <si>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</si>
  <si>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</si>
  <si>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</si>
  <si>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</si>
  <si>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</si>
  <si>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</si>
  <si>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</si>
  <si>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</si>
  <si>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</si>
  <si>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</si>
  <si>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</si>
  <si>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</si>
  <si>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</si>
  <si>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</si>
  <si>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</si>
  <si>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</si>
  <si>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</si>
  <si>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</si>
  <si>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</si>
  <si>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</si>
  <si>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</si>
  <si>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</si>
  <si>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</si>
  <si>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</si>
  <si>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</si>
  <si>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</si>
  <si>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</si>
  <si>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</si>
  <si>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</si>
  <si>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</si>
  <si>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</si>
  <si>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</si>
  <si>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</si>
  <si>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</si>
  <si>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</si>
  <si>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</si>
  <si>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</si>
  <si>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</si>
  <si>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</si>
  <si>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</si>
  <si>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</si>
  <si>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</si>
  <si>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</si>
  <si>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</si>
  <si>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</si>
  <si>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</si>
  <si>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</si>
  <si>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</si>
  <si>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</si>
  <si>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</si>
  <si>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</si>
  <si>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</si>
  <si>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</si>
  <si>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</si>
  <si>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</si>
  <si>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</si>
  <si>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</si>
  <si>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</si>
  <si>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</si>
  <si>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</si>
  <si>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</si>
  <si>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</si>
  <si>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</si>
  <si>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</si>
  <si>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</si>
  <si>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</si>
  <si>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</si>
  <si>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</si>
  <si>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</si>
  <si>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</si>
  <si>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</si>
  <si>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</si>
  <si>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</si>
  <si>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</si>
  <si>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</si>
  <si>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</si>
  <si>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</si>
  <si>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</si>
  <si>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</si>
  <si>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</si>
  <si>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</si>
  <si>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</si>
  <si>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</si>
  <si>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</si>
  <si>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</si>
  <si>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</si>
  <si>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</si>
  <si>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</si>
  <si>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</si>
  <si>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</si>
  <si>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</si>
  <si>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</si>
  <si>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</si>
  <si>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</si>
  <si>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</si>
  <si>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</si>
  <si>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</si>
  <si>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</si>
  <si>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</si>
  <si>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</si>
  <si>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</si>
  <si>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</si>
  <si>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</si>
  <si>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</si>
  <si>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</si>
  <si>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</si>
  <si>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</si>
  <si>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</si>
  <si>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</si>
  <si>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</si>
  <si>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</si>
  <si>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</si>
  <si>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</si>
  <si>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</si>
  <si>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</si>
  <si>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</si>
  <si>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</si>
  <si>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</si>
  <si>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</si>
  <si>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</si>
  <si>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</si>
  <si>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</si>
  <si>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</si>
  <si>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</si>
  <si>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</si>
  <si>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</si>
  <si>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</si>
  <si>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</si>
  <si>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</si>
  <si>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</si>
  <si>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</si>
  <si>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</si>
  <si>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</si>
  <si>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</si>
  <si>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</si>
  <si>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</si>
  <si>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</si>
  <si>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</si>
  <si>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</si>
  <si>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</si>
  <si>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</si>
  <si>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</si>
  <si>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</si>
  <si>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</si>
  <si>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</si>
  <si>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</si>
  <si>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</si>
  <si>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</si>
  <si>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</si>
  <si>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</si>
  <si>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</si>
  <si>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</si>
  <si>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</si>
  <si>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</si>
  <si>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</si>
  <si>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</si>
  <si>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</si>
  <si>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</si>
  <si>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</si>
  <si>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</si>
  <si>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</si>
  <si>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</si>
  <si>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</si>
  <si>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</si>
  <si>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</si>
  <si>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</si>
  <si>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</si>
  <si>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</si>
  <si>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</si>
  <si>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</si>
  <si>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</si>
  <si>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</si>
  <si>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</si>
  <si>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</si>
  <si>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</si>
  <si>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</si>
  <si>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</si>
  <si>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</si>
  <si>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</si>
  <si>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</si>
  <si>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</si>
  <si>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</si>
  <si>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</si>
  <si>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</si>
  <si>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</si>
  <si>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</si>
  <si>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</si>
  <si>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</si>
  <si>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</si>
  <si>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</si>
  <si>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</si>
  <si>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</si>
  <si>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</si>
  <si>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</si>
  <si>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</si>
  <si>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</si>
  <si>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</si>
  <si>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</si>
  <si>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</si>
  <si>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</si>
  <si>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</si>
  <si>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</si>
  <si>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</si>
  <si>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</si>
  <si>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</si>
  <si>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</si>
  <si>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</si>
  <si>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</si>
  <si>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</si>
  <si>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</si>
  <si>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</si>
  <si>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</si>
  <si>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</si>
  <si>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</si>
  <si>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</si>
  <si>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</si>
  <si>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</si>
  <si>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</si>
  <si>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</si>
  <si>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</si>
  <si>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</si>
  <si>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</si>
  <si>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</si>
  <si>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</si>
  <si>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</si>
  <si>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</si>
  <si>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</si>
  <si>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</si>
  <si>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</si>
  <si>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</si>
  <si>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</si>
  <si>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</si>
  <si>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</si>
  <si>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</si>
  <si>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</si>
  <si>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</si>
  <si>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</si>
  <si>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</si>
  <si>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</si>
  <si>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</si>
  <si>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</si>
  <si>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</si>
  <si>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</si>
  <si>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</si>
  <si>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</si>
  <si>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</si>
  <si>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</si>
  <si>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</si>
  <si>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</si>
  <si>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</si>
  <si>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</si>
  <si>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</si>
  <si>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</si>
  <si>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</si>
  <si>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</si>
  <si>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</si>
  <si>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</si>
  <si>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</si>
  <si>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</si>
  <si>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</si>
  <si>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</si>
  <si>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</si>
  <si>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</si>
  <si>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</si>
  <si>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</si>
  <si>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</si>
  <si>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</si>
  <si>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</si>
  <si>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</si>
  <si>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</si>
  <si>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</si>
  <si>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</si>
  <si>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</si>
  <si>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</si>
  <si>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</si>
  <si>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</si>
  <si>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</si>
  <si>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</si>
  <si>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</si>
  <si>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</si>
  <si>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</si>
  <si>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</si>
  <si>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</si>
  <si>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</si>
  <si>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</si>
  <si>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</si>
  <si>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</si>
  <si>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</si>
  <si>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</si>
  <si>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</si>
  <si>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</si>
  <si>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</si>
  <si>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</si>
  <si>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</si>
  <si>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</si>
  <si>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</si>
  <si>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</si>
  <si>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</si>
  <si>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</si>
  <si>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</si>
  <si>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</si>
  <si>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</si>
  <si>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</si>
  <si>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</si>
  <si>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</si>
  <si>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</si>
  <si>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</si>
  <si>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</si>
  <si>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</si>
  <si>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</si>
  <si>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</si>
  <si>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</si>
  <si>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</si>
  <si>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</si>
  <si>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</si>
  <si>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</si>
  <si>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</si>
  <si>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</si>
  <si>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</si>
  <si>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</si>
  <si>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</si>
  <si>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</si>
  <si>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</si>
  <si>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</si>
  <si>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</si>
  <si>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</si>
  <si>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</si>
  <si>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</si>
  <si>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</si>
  <si>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</si>
  <si>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</si>
  <si>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</si>
  <si>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</si>
  <si>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</si>
  <si>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</si>
  <si>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</si>
  <si>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</si>
  <si>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</si>
  <si>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</si>
  <si>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</si>
  <si>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</si>
  <si>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</si>
  <si>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</si>
  <si>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</si>
  <si>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</si>
  <si>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</si>
  <si>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</si>
  <si>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</si>
  <si>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</si>
  <si>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</si>
  <si>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</si>
  <si>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</si>
  <si>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</si>
  <si>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</si>
  <si>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</si>
  <si>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</si>
  <si>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</si>
  <si>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</si>
  <si>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</si>
  <si>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</si>
  <si>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</si>
  <si>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</si>
  <si>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</si>
  <si>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</si>
  <si>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</si>
  <si>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</si>
  <si>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</si>
  <si>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</si>
  <si>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</si>
  <si>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</si>
  <si>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</si>
  <si>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</si>
  <si>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</si>
  <si>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</si>
  <si>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</si>
  <si>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</si>
  <si>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</si>
  <si>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</si>
  <si>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</si>
  <si>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</si>
  <si>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</si>
  <si>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</si>
  <si>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</si>
  <si>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</si>
  <si>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</si>
  <si>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</si>
  <si>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</si>
  <si>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</si>
  <si>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</si>
  <si>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</si>
  <si>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</si>
  <si>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</si>
  <si>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</si>
  <si>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</si>
  <si>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</si>
  <si>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</si>
  <si>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</si>
  <si>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</si>
  <si>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</si>
  <si>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</si>
  <si>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</si>
  <si>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</si>
  <si>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</si>
  <si>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</si>
  <si>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</si>
  <si>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</si>
  <si>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</si>
  <si>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</si>
  <si>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</si>
  <si>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</si>
  <si>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</si>
  <si>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</si>
  <si>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</si>
  <si>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</si>
  <si>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</si>
  <si>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</si>
  <si>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</si>
  <si>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</si>
  <si>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</si>
  <si>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</si>
  <si>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</si>
  <si>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</si>
  <si>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</si>
  <si>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</si>
  <si>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</si>
  <si>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</si>
  <si>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</si>
  <si>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</si>
  <si>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</si>
  <si>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</si>
  <si>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</si>
  <si>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</si>
  <si>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</si>
  <si>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</si>
  <si>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</si>
  <si>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</si>
  <si>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</si>
  <si>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</si>
  <si>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</si>
  <si>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</si>
  <si>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</si>
  <si>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</si>
  <si>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</si>
  <si>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</si>
  <si>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</si>
  <si>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</si>
  <si>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</si>
  <si>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</si>
  <si>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</si>
  <si>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</si>
  <si>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</si>
  <si>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</si>
  <si>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</si>
  <si>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</si>
  <si>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</si>
  <si>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</si>
  <si>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</si>
  <si>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</si>
  <si>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</si>
  <si>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</si>
  <si>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</si>
  <si>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</si>
  <si>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</si>
  <si>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</si>
  <si>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</si>
  <si>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</si>
  <si>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</si>
  <si>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</si>
  <si>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</si>
  <si>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</si>
  <si>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</si>
  <si>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</si>
  <si>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</si>
  <si>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</si>
  <si>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</si>
  <si>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</si>
  <si>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</si>
  <si>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</si>
  <si>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</si>
  <si>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</si>
  <si>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</si>
  <si>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</si>
  <si>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</si>
  <si>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</si>
  <si>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</si>
  <si>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</si>
  <si>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</si>
  <si>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</si>
  <si>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</si>
  <si>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</si>
  <si>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</si>
  <si>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</si>
  <si>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</si>
  <si>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</si>
  <si>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</si>
  <si>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</si>
  <si>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</si>
  <si>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</si>
  <si>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</si>
  <si>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</si>
  <si>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</si>
  <si>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</si>
  <si>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</si>
  <si>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</si>
  <si>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</si>
  <si>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</si>
  <si>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</si>
  <si>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</si>
  <si>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</si>
  <si>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</si>
  <si>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</si>
  <si>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</si>
  <si>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</si>
  <si>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</si>
  <si>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</si>
  <si>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</si>
  <si>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</si>
  <si>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</si>
  <si>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</si>
  <si>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</si>
  <si>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</si>
  <si>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</si>
  <si>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</si>
  <si>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</si>
  <si>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</si>
  <si>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</si>
  <si>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</si>
  <si>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</si>
  <si>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</si>
  <si>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</si>
  <si>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</si>
  <si>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</si>
  <si>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</si>
  <si>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</si>
  <si>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</si>
  <si>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</si>
  <si>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</si>
  <si>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</si>
  <si>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</si>
  <si>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</si>
  <si>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</si>
  <si>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</si>
  <si>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</si>
  <si>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</si>
  <si>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</si>
  <si>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</si>
  <si>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</si>
  <si>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</si>
  <si>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</si>
  <si>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</si>
  <si>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</si>
  <si>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</si>
  <si>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</si>
  <si>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</si>
  <si>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</si>
  <si>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</si>
  <si>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</si>
  <si>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</si>
  <si>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</si>
  <si>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</si>
  <si>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</si>
  <si>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</si>
  <si>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</si>
  <si>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</si>
  <si>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</si>
  <si>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</si>
  <si>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</si>
  <si>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</si>
  <si>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</si>
  <si>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</si>
  <si>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</si>
  <si>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</si>
  <si>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</si>
  <si>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</si>
  <si>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</si>
  <si>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</si>
  <si>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</si>
  <si>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</si>
  <si>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</si>
  <si>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</si>
  <si>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</si>
  <si>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</si>
  <si>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</si>
  <si>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</si>
  <si>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</si>
  <si>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</si>
  <si>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</si>
  <si>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</si>
  <si>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</si>
  <si>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</si>
  <si>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</si>
  <si>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</si>
  <si>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</si>
  <si>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</si>
  <si>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</si>
  <si>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</si>
  <si>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</si>
  <si>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</si>
  <si>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</si>
  <si>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</si>
  <si>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</si>
  <si>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</si>
  <si>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</si>
  <si>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</si>
  <si>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</si>
  <si>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</si>
  <si>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</si>
  <si>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</si>
  <si>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</si>
  <si>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</si>
  <si>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</si>
  <si>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</si>
  <si>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</si>
  <si>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</si>
  <si>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</si>
  <si>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</si>
  <si>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</si>
  <si>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</si>
  <si>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</si>
  <si>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</si>
  <si>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</si>
  <si>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</si>
  <si>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</si>
  <si>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</si>
  <si>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</si>
  <si>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</si>
  <si>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</si>
  <si>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</si>
  <si>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</si>
  <si>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</si>
  <si>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</si>
  <si>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</si>
  <si>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</si>
  <si>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</si>
  <si>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</si>
  <si>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</si>
  <si>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</si>
  <si>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</si>
  <si>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</si>
  <si>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</si>
  <si>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</si>
  <si>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</si>
  <si>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</si>
  <si>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</si>
  <si>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</si>
  <si>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</si>
  <si>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</si>
  <si>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</si>
  <si>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</si>
  <si>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</si>
  <si>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</si>
  <si>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</si>
  <si>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</si>
  <si>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</si>
  <si>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</si>
  <si>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</si>
  <si>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</si>
  <si>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</si>
  <si>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</si>
  <si>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</si>
  <si>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</si>
  <si>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</si>
  <si>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</si>
  <si>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</si>
  <si>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</si>
  <si>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</si>
  <si>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</si>
  <si>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</si>
  <si>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</si>
  <si>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</si>
  <si>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</si>
  <si>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</si>
  <si>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</si>
  <si>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</si>
  <si>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</si>
  <si>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</si>
  <si>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</si>
  <si>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</si>
  <si>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</si>
  <si>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</si>
  <si>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</si>
  <si>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</si>
  <si>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</si>
  <si>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</si>
  <si>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</si>
  <si>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</si>
  <si>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</si>
  <si>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</si>
  <si>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</si>
  <si>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</si>
  <si>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</si>
  <si>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</si>
  <si>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</si>
  <si>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</si>
  <si>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</si>
  <si>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</si>
  <si>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</si>
  <si>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</si>
  <si>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</si>
  <si>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</si>
  <si>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</si>
  <si>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</si>
  <si>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</si>
  <si>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</si>
  <si>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</si>
  <si>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</si>
  <si>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</si>
  <si>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</si>
  <si>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</si>
  <si>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</si>
  <si>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</si>
  <si>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</si>
  <si>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</si>
  <si>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</si>
  <si>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</si>
  <si>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</si>
  <si>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</si>
  <si>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</si>
  <si>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</si>
  <si>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</si>
  <si>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</si>
  <si>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</si>
  <si>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</si>
  <si>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</si>
  <si>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</si>
  <si>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</si>
  <si>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</si>
  <si>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</si>
  <si>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</si>
  <si>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</si>
  <si>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</si>
  <si>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</si>
  <si>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</si>
  <si>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</si>
  <si>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</si>
  <si>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</si>
  <si>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</si>
  <si>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</si>
  <si>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</si>
  <si>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</si>
  <si>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</si>
  <si>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</si>
  <si>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</si>
  <si>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</si>
  <si>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</si>
  <si>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</si>
  <si>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</si>
  <si>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</si>
  <si>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</si>
  <si>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</si>
  <si>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</si>
  <si>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</si>
  <si>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</si>
  <si>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</si>
  <si>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</si>
  <si>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</si>
  <si>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</si>
  <si>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</si>
  <si>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</si>
  <si>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</si>
  <si>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</si>
  <si>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</si>
  <si>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</si>
  <si>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</si>
  <si>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</si>
  <si>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</si>
  <si>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</si>
  <si>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</si>
  <si>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</si>
  <si>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</si>
  <si>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</si>
  <si>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</si>
  <si>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</si>
  <si>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</si>
  <si>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</si>
  <si>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</si>
  <si>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</si>
  <si>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</si>
  <si>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</si>
  <si>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</si>
  <si>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</si>
  <si>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</si>
  <si>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</si>
  <si>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</si>
  <si>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</si>
  <si>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</si>
  <si>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</si>
  <si>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</si>
  <si>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</si>
  <si>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</si>
  <si>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</si>
  <si>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</si>
  <si>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</si>
  <si>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</si>
  <si>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</si>
  <si>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</si>
  <si>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</si>
  <si>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</si>
  <si>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</si>
  <si>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</si>
  <si>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</si>
  <si>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</si>
  <si>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</si>
  <si>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</si>
  <si>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</si>
  <si>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</si>
  <si>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</si>
  <si>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</si>
  <si>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</si>
  <si>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</si>
  <si>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</si>
  <si>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</si>
  <si>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</si>
  <si>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</si>
  <si>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</si>
  <si>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</si>
  <si>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</si>
  <si>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</si>
  <si>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</si>
  <si>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</si>
  <si>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</si>
  <si>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</si>
  <si>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</si>
  <si>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</si>
  <si>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</si>
  <si>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</si>
  <si>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</si>
  <si>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</si>
  <si>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</si>
  <si>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</si>
  <si>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</si>
  <si>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</si>
  <si>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</si>
  <si>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</si>
  <si>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</si>
  <si>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</si>
  <si>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</si>
  <si>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</si>
  <si>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</si>
  <si>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</si>
  <si>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</si>
  <si>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</si>
  <si>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</si>
  <si>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</si>
  <si>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</si>
  <si>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</si>
  <si>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</si>
  <si>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</si>
  <si>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</si>
  <si>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</si>
  <si>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</si>
  <si>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</si>
  <si>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</si>
  <si>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</si>
  <si>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</si>
  <si>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</si>
  <si>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</si>
  <si>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</si>
  <si>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</si>
  <si>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</si>
  <si>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</si>
  <si>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</si>
  <si>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</si>
  <si>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</si>
  <si>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</si>
  <si>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</si>
  <si>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</si>
  <si>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</si>
  <si>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</si>
  <si>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</si>
  <si>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</si>
  <si>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</si>
  <si>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</si>
  <si>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</si>
  <si>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</si>
  <si>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</si>
  <si>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</si>
  <si>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</si>
  <si>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</si>
  <si>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</si>
  <si>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</si>
  <si>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</si>
  <si>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</si>
  <si>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</si>
  <si>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</si>
  <si>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</si>
  <si>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</si>
  <si>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</si>
  <si>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</si>
  <si>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</si>
  <si>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</si>
  <si>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</si>
  <si>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</si>
  <si>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</si>
  <si>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</si>
  <si>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</si>
  <si>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</si>
  <si>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</si>
  <si>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</si>
  <si>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</si>
  <si>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</si>
  <si>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</si>
  <si>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</si>
  <si>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</si>
  <si>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</si>
  <si>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</si>
  <si>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</si>
  <si>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</si>
  <si>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</si>
  <si>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</si>
  <si>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</si>
  <si>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</si>
  <si>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</si>
  <si>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</si>
  <si>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</si>
  <si>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</si>
  <si>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</si>
  <si>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</si>
  <si>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</si>
  <si>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</si>
  <si>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</si>
  <si>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</si>
  <si>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</si>
  <si>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</si>
  <si>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</si>
  <si>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</si>
  <si>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</si>
  <si>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</si>
  <si>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</si>
  <si>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</si>
  <si>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</si>
  <si>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</si>
  <si>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</si>
  <si>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</si>
  <si>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</si>
  <si>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</si>
  <si>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</si>
  <si>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</si>
  <si>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</si>
  <si>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</si>
  <si>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</si>
  <si>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</si>
  <si>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</si>
  <si>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</si>
  <si>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</si>
  <si>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</si>
  <si>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</si>
  <si>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</si>
  <si>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</si>
  <si>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</si>
  <si>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</si>
  <si>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</si>
  <si>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</si>
  <si>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</si>
  <si>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</si>
  <si>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</si>
  <si>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</si>
  <si>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</si>
  <si>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</si>
  <si>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</si>
  <si>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</si>
  <si>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</si>
  <si>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</si>
  <si>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</si>
  <si>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</si>
  <si>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</si>
  <si>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</si>
  <si>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</si>
  <si>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</si>
  <si>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</si>
  <si>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</si>
  <si>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</si>
  <si>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</si>
  <si>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</si>
  <si>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</si>
  <si>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</si>
  <si>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</si>
  <si>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</si>
  <si>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</si>
  <si>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</si>
  <si>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</si>
  <si>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</si>
  <si>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</si>
  <si>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</si>
  <si>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</si>
  <si>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</si>
  <si>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</si>
  <si>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</si>
  <si>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</si>
  <si>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</si>
  <si>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</si>
  <si>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</si>
  <si>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</si>
  <si>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</si>
  <si>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</si>
  <si>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</si>
  <si>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</si>
  <si>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</si>
  <si>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</si>
  <si>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</si>
  <si>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</si>
  <si>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</si>
  <si>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</si>
  <si>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</si>
  <si>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</si>
  <si>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</si>
  <si>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</si>
  <si>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</si>
  <si>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</si>
  <si>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</si>
  <si>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</si>
  <si>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</si>
  <si>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</si>
  <si>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</si>
  <si>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</si>
  <si>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</si>
  <si>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</si>
  <si>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</si>
  <si>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</si>
  <si>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</si>
  <si>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</si>
  <si>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</si>
  <si>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</si>
  <si>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</si>
  <si>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</si>
  <si>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</si>
  <si>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</si>
  <si>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</si>
  <si>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</si>
  <si>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</si>
  <si>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</si>
  <si>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</si>
  <si>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</si>
  <si>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</si>
  <si>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</si>
  <si>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</si>
  <si>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</si>
  <si>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</si>
  <si>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</si>
  <si>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</si>
  <si>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</si>
  <si>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</si>
  <si>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</si>
  <si>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</si>
  <si>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</si>
  <si>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</si>
  <si>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</si>
  <si>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</si>
  <si>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</si>
  <si>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</si>
  <si>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</si>
  <si>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</si>
  <si>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</si>
  <si>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</si>
  <si>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</si>
  <si>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</si>
  <si>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</si>
  <si>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</si>
  <si>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</si>
  <si>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</si>
  <si>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</si>
  <si>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</si>
  <si>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</si>
  <si>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</si>
  <si>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</si>
  <si>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</si>
  <si>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</si>
  <si>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</si>
  <si>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</si>
  <si>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</si>
  <si>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</si>
  <si>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</si>
  <si>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</si>
  <si>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</si>
  <si>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</si>
  <si>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</si>
  <si>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</si>
  <si>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</si>
  <si>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</si>
  <si>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</si>
  <si>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</si>
  <si>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</si>
  <si>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</si>
  <si>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</si>
  <si>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</si>
  <si>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</si>
  <si>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</si>
  <si>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</si>
  <si>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</si>
  <si>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</si>
  <si>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</si>
  <si>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</si>
  <si>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</si>
  <si>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</si>
  <si>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</si>
  <si>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</si>
  <si>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</si>
  <si>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</si>
  <si>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</si>
  <si>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</si>
  <si>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</si>
  <si>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</si>
  <si>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</si>
  <si>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</si>
  <si>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</si>
  <si>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</si>
  <si>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</si>
  <si>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</si>
  <si>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</si>
  <si>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</si>
  <si>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</si>
  <si>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</si>
  <si>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</si>
  <si>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</si>
  <si>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</si>
  <si>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</si>
  <si>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</si>
  <si>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</si>
  <si>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</si>
  <si>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</si>
  <si>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</si>
  <si>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</si>
  <si>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</si>
  <si>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</si>
  <si>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</si>
  <si>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</si>
  <si>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</si>
  <si>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</si>
  <si>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</si>
  <si>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</si>
  <si>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</si>
  <si>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</si>
  <si>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</si>
  <si>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</si>
  <si>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</si>
  <si>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</si>
  <si>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</si>
  <si>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</si>
  <si>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</si>
  <si>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</si>
  <si>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</si>
  <si>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</si>
  <si>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</si>
  <si>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</si>
  <si>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</si>
  <si>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</si>
  <si>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</si>
  <si>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</si>
  <si>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</si>
  <si>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</si>
  <si>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</si>
  <si>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</si>
  <si>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</si>
  <si>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</si>
  <si>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</si>
  <si>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</si>
  <si>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</si>
  <si>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</si>
  <si>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</si>
  <si>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</si>
  <si>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</si>
  <si>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</si>
  <si>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</si>
  <si>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</si>
  <si>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</si>
  <si>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</si>
  <si>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</si>
  <si>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</si>
  <si>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</si>
  <si>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</si>
  <si>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</si>
  <si>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</si>
  <si>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</si>
  <si>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</si>
  <si>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</si>
  <si>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</si>
  <si>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</si>
  <si>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</si>
  <si>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</si>
  <si>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</si>
  <si>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</si>
  <si>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</si>
  <si>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</si>
  <si>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</si>
  <si>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</si>
  <si>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</si>
  <si>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</si>
  <si>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</si>
  <si>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</si>
  <si>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</si>
  <si>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</si>
  <si>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</si>
  <si>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</si>
  <si>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</si>
  <si>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</si>
  <si>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</si>
  <si>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</si>
  <si>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</si>
  <si>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</si>
  <si>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</si>
  <si>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</si>
  <si>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</si>
  <si>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</si>
  <si>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</si>
  <si>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</si>
  <si>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</si>
  <si>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</si>
  <si>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</si>
  <si>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</si>
  <si>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</si>
  <si>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</si>
  <si>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</si>
  <si>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</si>
  <si>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</si>
  <si>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</si>
  <si>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</si>
  <si>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</si>
  <si>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</si>
  <si>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</si>
  <si>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</si>
  <si>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</si>
  <si>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</si>
  <si>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</si>
  <si>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</si>
  <si>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</si>
  <si>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</si>
  <si>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</si>
  <si>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</si>
  <si>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</si>
  <si>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</si>
  <si>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</si>
  <si>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</si>
  <si>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</si>
  <si>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</si>
  <si>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</si>
  <si>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</si>
  <si>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</si>
  <si>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</si>
  <si>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</si>
  <si>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</si>
  <si>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</si>
  <si>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</si>
  <si>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</si>
  <si>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</si>
  <si>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</si>
  <si>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</si>
  <si>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</si>
  <si>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</si>
  <si>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</si>
  <si>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</si>
  <si>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</si>
  <si>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</si>
  <si>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</si>
  <si>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</si>
  <si>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</si>
  <si>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</si>
  <si>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</si>
  <si>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</si>
  <si>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</si>
  <si>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</si>
  <si>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</si>
  <si>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</si>
  <si>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</si>
  <si>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</si>
  <si>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</si>
  <si>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</si>
  <si>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</si>
  <si>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</si>
  <si>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</si>
  <si>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</si>
  <si>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</si>
  <si>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</si>
  <si>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</si>
  <si>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</si>
  <si>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</si>
  <si>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</si>
  <si>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</si>
  <si>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</si>
  <si>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</si>
  <si>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</si>
  <si>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</si>
  <si>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</si>
  <si>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</si>
  <si>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</si>
  <si>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</si>
  <si>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</si>
  <si>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</si>
  <si>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</si>
  <si>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</si>
  <si>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</si>
  <si>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</si>
  <si>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</si>
  <si>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</si>
  <si>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</si>
  <si>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</si>
  <si>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</si>
  <si>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</si>
  <si>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</si>
  <si>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</si>
  <si>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</si>
  <si>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</si>
  <si>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</si>
  <si>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</si>
  <si>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</si>
  <si>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</si>
  <si>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</si>
  <si>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</si>
  <si>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</si>
  <si>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</si>
  <si>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</si>
  <si>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</si>
  <si>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</si>
  <si>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</si>
  <si>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</si>
  <si>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</si>
  <si>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</si>
  <si>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</si>
  <si>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</si>
  <si>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</si>
  <si>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</si>
  <si>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</si>
  <si>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</si>
  <si>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</si>
  <si>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</si>
  <si>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</si>
  <si>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</si>
  <si>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</si>
  <si>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</si>
  <si>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</si>
  <si>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</si>
  <si>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</si>
  <si>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</si>
  <si>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</si>
  <si>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</si>
  <si>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</si>
  <si>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</si>
  <si>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</si>
  <si>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</si>
  <si>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</si>
  <si>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</si>
  <si>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</si>
  <si>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</si>
  <si>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</si>
  <si>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</si>
  <si>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</si>
  <si>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</si>
  <si>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</si>
  <si>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</si>
  <si>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</si>
  <si>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</si>
  <si>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</si>
  <si>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</si>
  <si>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</si>
  <si>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</si>
  <si>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</si>
  <si>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</si>
  <si>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</si>
  <si>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</si>
  <si>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</si>
  <si>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</si>
  <si>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</si>
  <si>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</si>
  <si>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</si>
  <si>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</si>
  <si>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</si>
  <si>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</si>
  <si>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</si>
  <si>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</si>
  <si>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</si>
  <si>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</si>
  <si>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</si>
  <si>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</si>
  <si>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</si>
  <si>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</si>
  <si>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</si>
  <si>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</si>
  <si>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</si>
  <si>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</si>
  <si>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</si>
  <si>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</si>
  <si>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</si>
  <si>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</si>
  <si>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</si>
  <si>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</si>
  <si>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</si>
  <si>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</si>
  <si>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</si>
  <si>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</si>
  <si>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</si>
  <si>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</si>
  <si>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</si>
  <si>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</si>
  <si>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</si>
  <si>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</si>
  <si>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</si>
  <si>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</si>
  <si>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</si>
  <si>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</si>
  <si>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</si>
  <si>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</si>
  <si>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</si>
  <si>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</si>
  <si>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</si>
  <si>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</si>
  <si>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</si>
  <si>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</si>
  <si>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</si>
  <si>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</si>
  <si>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</si>
  <si>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</si>
  <si>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</si>
  <si>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</si>
  <si>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</si>
  <si>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</si>
  <si>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</si>
  <si>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</si>
  <si>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</si>
  <si>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</si>
  <si>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</si>
  <si>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</si>
  <si>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</si>
  <si>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</si>
  <si>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</si>
  <si>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</si>
  <si>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</si>
  <si>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</si>
  <si>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</si>
  <si>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</si>
  <si>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</si>
  <si>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</si>
  <si>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</si>
  <si>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</si>
  <si>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</si>
  <si>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</si>
  <si>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</si>
  <si>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</si>
  <si>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</si>
  <si>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</si>
  <si>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</si>
  <si>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</si>
  <si>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</si>
  <si>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</si>
  <si>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</si>
  <si>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</si>
  <si>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</si>
  <si>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</si>
  <si>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</si>
  <si>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</si>
  <si>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</si>
  <si>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</si>
  <si>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</si>
  <si>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</si>
  <si>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</si>
  <si>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</si>
  <si>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</si>
  <si>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</si>
  <si>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</si>
  <si>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</si>
  <si>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</si>
  <si>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</si>
  <si>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</si>
  <si>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</si>
  <si>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</si>
  <si>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</si>
  <si>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</si>
  <si>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</si>
  <si>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</si>
  <si>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</si>
  <si>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</si>
  <si>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</si>
  <si>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</si>
  <si>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</si>
  <si>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</si>
  <si>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</si>
  <si>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</si>
  <si>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</si>
  <si>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</si>
  <si>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</si>
  <si>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</si>
  <si>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</si>
  <si>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</si>
  <si>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</si>
  <si>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</si>
  <si>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</si>
  <si>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</si>
  <si>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</si>
  <si>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</si>
  <si>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</si>
  <si>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</si>
  <si>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</si>
  <si>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</si>
  <si>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</si>
  <si>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</si>
  <si>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</si>
  <si>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</si>
  <si>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</si>
  <si>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</si>
  <si>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</si>
  <si>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</si>
  <si>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</si>
  <si>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</si>
  <si>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</si>
  <si>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</si>
  <si>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</si>
  <si>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</si>
  <si>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</si>
  <si>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</si>
  <si>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</si>
  <si>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</si>
  <si>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</si>
  <si>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</si>
  <si>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</si>
  <si>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</si>
  <si>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</si>
  <si>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</si>
  <si>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</si>
  <si>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</si>
  <si>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</si>
  <si>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</si>
  <si>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</si>
  <si>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</si>
  <si>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</si>
  <si>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</si>
  <si>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</si>
  <si>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</si>
  <si>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</si>
  <si>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</si>
  <si>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</si>
  <si>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</si>
  <si>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</si>
  <si>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</si>
  <si>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</si>
  <si>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</si>
  <si>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</si>
  <si>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</si>
  <si>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</si>
  <si>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</si>
  <si>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</si>
  <si>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</si>
  <si>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</si>
  <si>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</si>
  <si>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</si>
  <si>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</si>
  <si>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</si>
  <si>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</si>
  <si>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</si>
  <si>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</si>
  <si>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</si>
  <si>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</si>
  <si>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</si>
  <si>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</si>
  <si>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</si>
  <si>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</si>
  <si>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</si>
  <si>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</si>
  <si>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</si>
  <si>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</si>
  <si>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</si>
  <si>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</si>
  <si>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</si>
  <si>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</si>
  <si>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</si>
  <si>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</si>
  <si>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</si>
  <si>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</si>
  <si>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</si>
  <si>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</si>
  <si>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</si>
  <si>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</si>
  <si>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</si>
  <si>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</si>
  <si>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</si>
  <si>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</si>
  <si>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</si>
  <si>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</si>
  <si>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</si>
  <si>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</si>
  <si>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</si>
  <si>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</si>
  <si>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</si>
  <si>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</si>
  <si>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</si>
  <si>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</si>
  <si>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</si>
  <si>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</si>
  <si>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</si>
  <si>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</si>
  <si>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</si>
  <si>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</si>
  <si>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</si>
  <si>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</si>
  <si>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</si>
  <si>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</si>
  <si>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</si>
  <si>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</si>
  <si>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</si>
  <si>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</si>
  <si>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</si>
  <si>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</si>
  <si>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</si>
  <si>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</si>
  <si>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</si>
  <si>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</si>
  <si>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</si>
  <si>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</si>
  <si>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</si>
  <si>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</si>
  <si>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</si>
  <si>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</si>
  <si>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</si>
  <si>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</si>
  <si>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</si>
  <si>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</si>
  <si>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</si>
  <si>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</si>
  <si>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</si>
  <si>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</si>
  <si>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</si>
  <si>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</si>
  <si>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</si>
  <si>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</si>
  <si>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</si>
  <si>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</si>
  <si>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</si>
  <si>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</si>
  <si>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</si>
  <si>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</si>
  <si>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</si>
  <si>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</si>
  <si>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</si>
  <si>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</si>
  <si>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</si>
  <si>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</si>
  <si>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</si>
  <si>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</si>
  <si>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</si>
  <si>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</si>
  <si>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</si>
  <si>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</si>
  <si>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</si>
  <si>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</si>
  <si>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</si>
  <si>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</si>
  <si>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</si>
  <si>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</si>
  <si>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</si>
  <si>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</si>
  <si>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</si>
  <si>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</si>
  <si>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</si>
  <si>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</si>
  <si>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</si>
  <si>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</si>
  <si>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</si>
  <si>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</si>
  <si>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</si>
  <si>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</si>
  <si>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</si>
  <si>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</si>
  <si>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</si>
  <si>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</si>
  <si>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</si>
  <si>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</si>
  <si>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</si>
  <si>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</si>
  <si>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</si>
  <si>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</si>
  <si>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</si>
  <si>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</si>
  <si>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</si>
  <si>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</si>
  <si>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</si>
  <si>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</si>
  <si>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</si>
  <si>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</si>
  <si>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</si>
  <si>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</si>
  <si>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</si>
  <si>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</si>
  <si>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</si>
  <si>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</si>
  <si>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</si>
  <si>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</si>
  <si>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</si>
  <si>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</si>
  <si>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</si>
  <si>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</si>
  <si>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</si>
  <si>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</si>
  <si>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</si>
  <si>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</si>
  <si>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</si>
  <si>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</si>
  <si>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</si>
  <si>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</si>
  <si>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</si>
  <si>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</si>
  <si>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</si>
  <si>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</si>
  <si>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</si>
  <si>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</si>
  <si>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</si>
  <si>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</si>
  <si>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</si>
  <si>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</si>
  <si>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</si>
  <si>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</si>
  <si>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</si>
  <si>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</si>
  <si>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</si>
  <si>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</si>
  <si>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</si>
  <si>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</si>
  <si>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</si>
  <si>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</si>
  <si>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</si>
  <si>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</si>
  <si>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</si>
  <si>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</si>
  <si>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</si>
  <si>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</si>
  <si>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</si>
  <si>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</si>
  <si>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</si>
  <si>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</si>
  <si>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</si>
  <si>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</si>
  <si>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</si>
  <si>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</si>
  <si>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</si>
  <si>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</si>
  <si>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</si>
  <si>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</si>
  <si>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</si>
  <si>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</si>
  <si>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</si>
  <si>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</si>
  <si>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</si>
  <si>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</si>
  <si>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</si>
  <si>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</si>
  <si>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</si>
  <si>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</si>
  <si>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</si>
  <si>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</si>
  <si>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</si>
  <si>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</si>
  <si>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</si>
  <si>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</si>
  <si>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</si>
  <si>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</si>
  <si>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</si>
  <si>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</si>
  <si>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</si>
  <si>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</si>
  <si>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</si>
  <si>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</si>
  <si>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</si>
  <si>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</si>
  <si>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</si>
  <si>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</si>
  <si>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</si>
  <si>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</si>
  <si>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</si>
  <si>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</si>
  <si>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</si>
  <si>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</si>
  <si>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</si>
  <si>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</si>
  <si>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</si>
  <si>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</si>
  <si>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</si>
  <si>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</si>
  <si>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</si>
  <si>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</si>
  <si>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</si>
  <si>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</si>
  <si>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</si>
  <si>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</si>
  <si>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</si>
  <si>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</si>
  <si>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</si>
  <si>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</si>
  <si>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</si>
  <si>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</si>
  <si>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</si>
  <si>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</si>
  <si>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</si>
  <si>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</si>
  <si>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</si>
  <si>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</si>
  <si>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</si>
  <si>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</si>
  <si>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</si>
  <si>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</si>
  <si>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</si>
  <si>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</si>
  <si>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</si>
  <si>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</si>
  <si>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</si>
  <si>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</si>
  <si>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</si>
  <si>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</si>
  <si>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</si>
  <si>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</si>
  <si>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</si>
  <si>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</si>
  <si>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</si>
  <si>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</si>
  <si>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</si>
  <si>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</si>
  <si>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</si>
  <si>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</si>
  <si>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</si>
  <si>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</si>
  <si>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</si>
  <si>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</si>
  <si>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</si>
  <si>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</si>
  <si>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</si>
  <si>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</si>
  <si>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</si>
  <si>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</si>
  <si>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</si>
  <si>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</si>
  <si>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</si>
  <si>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</si>
  <si>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</si>
  <si>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</si>
  <si>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</si>
  <si>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</si>
  <si>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</si>
  <si>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</si>
  <si>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</si>
  <si>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</si>
  <si>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</si>
  <si>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</si>
  <si>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</si>
  <si>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</si>
  <si>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</si>
  <si>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</si>
  <si>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</si>
  <si>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</si>
  <si>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</si>
  <si>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</si>
  <si>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</si>
  <si>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</si>
  <si>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</si>
  <si>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</si>
  <si>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</si>
  <si>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</si>
  <si>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</si>
  <si>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</si>
  <si>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</si>
  <si>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</si>
  <si>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</si>
  <si>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</si>
  <si>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</si>
  <si>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</si>
  <si>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</si>
  <si>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</si>
  <si>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</si>
  <si>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</si>
  <si>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</si>
  <si>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</si>
  <si>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</si>
  <si>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</si>
  <si>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</si>
  <si>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</si>
  <si>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</si>
  <si>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</si>
  <si>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</si>
  <si>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</si>
  <si>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</si>
  <si>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</si>
  <si>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</si>
  <si>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</si>
  <si>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</si>
  <si>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</si>
  <si>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</si>
  <si>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</si>
  <si>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</si>
  <si>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</si>
  <si>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</si>
  <si>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</si>
  <si>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</si>
  <si>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</si>
  <si>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</si>
  <si>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</si>
  <si>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</si>
  <si>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</si>
  <si>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</si>
  <si>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</si>
  <si>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</si>
  <si>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</si>
  <si>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</si>
  <si>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</si>
  <si>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</si>
  <si>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</si>
  <si>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</si>
  <si>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</si>
  <si>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</si>
  <si>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</si>
  <si>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</si>
  <si>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</si>
  <si>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</si>
  <si>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</si>
  <si>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</si>
  <si>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</si>
  <si>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</si>
  <si>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</si>
  <si>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</si>
  <si>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</si>
  <si>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</si>
  <si>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</si>
  <si>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</si>
  <si>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</si>
  <si>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</si>
  <si>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</si>
  <si>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</si>
  <si>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</si>
  <si>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</si>
  <si>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</si>
  <si>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</si>
  <si>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</si>
  <si>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</si>
  <si>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</si>
  <si>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</si>
  <si>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</si>
  <si>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</si>
  <si>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</si>
  <si>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</si>
  <si>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</si>
  <si>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</si>
  <si>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</si>
  <si>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</si>
  <si>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</si>
  <si>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</si>
  <si>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</si>
  <si>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</si>
  <si>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</si>
  <si>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</si>
  <si>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</si>
  <si>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</si>
  <si>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</si>
  <si>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</si>
  <si>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</si>
  <si>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</si>
  <si>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</si>
  <si>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</si>
  <si>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</si>
  <si>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</si>
  <si>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</si>
  <si>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</si>
  <si>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</si>
  <si>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</si>
  <si>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</si>
  <si>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</si>
  <si>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</si>
  <si>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</si>
  <si>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</si>
  <si>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</si>
  <si>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</si>
  <si>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</si>
  <si>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</si>
  <si>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</si>
  <si>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</si>
  <si>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</si>
  <si>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</si>
  <si>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</si>
  <si>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</si>
  <si>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</si>
  <si>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</si>
  <si>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</si>
  <si>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</si>
  <si>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</si>
  <si>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</si>
  <si>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</si>
  <si>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</si>
  <si>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</si>
  <si>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</si>
  <si>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</si>
  <si>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</si>
  <si>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</si>
  <si>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</si>
  <si>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</si>
  <si>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</si>
  <si>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</si>
  <si>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</si>
  <si>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</si>
  <si>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</si>
  <si>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</si>
  <si>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</si>
  <si>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</si>
  <si>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</si>
  <si>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</si>
  <si>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</si>
  <si>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</si>
  <si>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</si>
  <si>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</si>
  <si>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</si>
  <si>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</si>
  <si>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</si>
  <si>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</si>
  <si>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</si>
  <si>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</si>
  <si>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</si>
  <si>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</si>
  <si>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</si>
  <si>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</si>
  <si>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</si>
  <si>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</si>
  <si>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</si>
  <si>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</si>
  <si>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</si>
  <si>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</si>
  <si>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</si>
  <si>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</si>
  <si>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</si>
  <si>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</si>
  <si>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</si>
  <si>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</si>
  <si>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</si>
  <si>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</si>
  <si>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</si>
  <si>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</si>
  <si>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</si>
  <si>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</si>
  <si>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</si>
  <si>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</si>
  <si>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</si>
  <si>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</si>
  <si>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</si>
  <si>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</si>
  <si>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</si>
  <si>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</si>
  <si>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</si>
  <si>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</si>
  <si>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</si>
  <si>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</si>
  <si>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</si>
  <si>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</si>
  <si>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</si>
  <si>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</si>
  <si>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</si>
  <si>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</si>
  <si>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</si>
  <si>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</si>
  <si>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</si>
  <si>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</si>
  <si>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</si>
  <si>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</si>
  <si>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</si>
  <si>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</si>
  <si>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</si>
  <si>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</si>
  <si>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</si>
  <si>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</si>
  <si>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</si>
  <si>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</si>
  <si>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</si>
  <si>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</si>
  <si>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</si>
  <si>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</si>
  <si>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</si>
  <si>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</si>
  <si>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</si>
  <si>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</si>
  <si>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</si>
  <si>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</si>
  <si>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</si>
  <si>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</si>
  <si>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</si>
  <si>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</si>
  <si>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</si>
  <si>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</si>
  <si>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</si>
  <si>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</si>
  <si>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</si>
  <si>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</si>
  <si>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</si>
  <si>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</si>
  <si>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</si>
  <si>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</si>
  <si>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</si>
  <si>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</si>
  <si>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</si>
  <si>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</si>
  <si>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</si>
  <si>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</si>
  <si>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</si>
  <si>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</si>
  <si>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</si>
  <si>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</si>
  <si>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</si>
  <si>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</si>
  <si>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</si>
  <si>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</si>
  <si>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</si>
  <si>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</si>
  <si>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</si>
  <si>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</si>
  <si>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</si>
  <si>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</si>
  <si>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</si>
  <si>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</si>
  <si>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</si>
  <si>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</si>
  <si>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</si>
  <si>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</si>
  <si>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</si>
  <si>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</si>
  <si>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</si>
  <si>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</si>
  <si>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</si>
  <si>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</si>
  <si>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</si>
  <si>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</si>
  <si>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</si>
  <si>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</si>
  <si>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</si>
  <si>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</si>
  <si>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</si>
  <si>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</si>
  <si>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</si>
  <si>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</si>
  <si>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</si>
  <si>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</si>
  <si>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</si>
  <si>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</si>
  <si>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</si>
  <si>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</si>
  <si>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</si>
  <si>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</si>
  <si>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</si>
  <si>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</si>
  <si>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</si>
  <si>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</si>
  <si>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</si>
  <si>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</si>
  <si>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</si>
  <si>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</si>
  <si>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</si>
  <si>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</si>
  <si>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</si>
  <si>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</si>
  <si>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</si>
  <si>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</si>
  <si>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</si>
  <si>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</si>
  <si>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</si>
  <si>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</si>
  <si>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</si>
  <si>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</si>
  <si>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</si>
  <si>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</si>
  <si>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</si>
  <si>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</si>
  <si>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</si>
  <si>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</si>
  <si>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</si>
  <si>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</si>
  <si>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</si>
  <si>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</si>
  <si>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</si>
  <si>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</si>
  <si>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</si>
  <si>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</si>
  <si>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</si>
  <si>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</si>
  <si>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</si>
  <si>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</si>
  <si>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</si>
  <si>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</si>
  <si>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</si>
  <si>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</si>
  <si>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</si>
  <si>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</si>
  <si>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</si>
  <si>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</si>
  <si>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</si>
  <si>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</si>
  <si>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</si>
  <si>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</si>
  <si>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</si>
  <si>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</si>
  <si>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</si>
  <si>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</si>
  <si>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</si>
  <si>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</si>
  <si>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</si>
  <si>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</si>
  <si>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</si>
  <si>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</si>
  <si>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</si>
  <si>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</si>
  <si>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</si>
  <si>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</si>
  <si>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</si>
  <si>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</si>
  <si>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</si>
  <si>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</si>
  <si>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</si>
  <si>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</si>
  <si>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</si>
  <si>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</si>
  <si>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</si>
  <si>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</si>
  <si>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</si>
  <si>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</si>
  <si>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</si>
  <si>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</si>
  <si>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</si>
  <si>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</si>
  <si>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</si>
  <si>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</si>
  <si>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</si>
  <si>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</si>
  <si>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</si>
  <si>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</si>
  <si>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</si>
  <si>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</si>
  <si>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</si>
  <si>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</si>
  <si>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</si>
  <si>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</si>
  <si>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</si>
  <si>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</si>
  <si>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</si>
  <si>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</si>
  <si>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</si>
  <si>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</si>
  <si>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</si>
  <si>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</si>
  <si>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</si>
  <si>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</si>
  <si>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</si>
  <si>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</si>
  <si>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</si>
  <si>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</si>
  <si>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</si>
  <si>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</si>
  <si>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</si>
  <si>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</si>
  <si>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</si>
  <si>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</si>
  <si>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</si>
  <si>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</si>
  <si>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</si>
  <si>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</si>
  <si>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</si>
  <si>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</si>
  <si>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</si>
  <si>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</si>
  <si>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</si>
  <si>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</si>
  <si>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</si>
  <si>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</si>
  <si>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</si>
  <si>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</si>
  <si>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</si>
  <si>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</si>
  <si>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</si>
  <si>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</si>
  <si>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</si>
  <si>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</si>
  <si>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</si>
  <si>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</si>
  <si>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</si>
  <si>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</si>
  <si>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</si>
  <si>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</si>
  <si>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</si>
  <si>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</si>
  <si>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</si>
  <si>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</si>
  <si>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</si>
  <si>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</si>
  <si>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</si>
  <si>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</si>
  <si>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</si>
  <si>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</si>
  <si>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</si>
  <si>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</si>
  <si>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</si>
  <si>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</si>
  <si>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</si>
  <si>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</si>
  <si>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</si>
  <si>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</si>
  <si>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</si>
  <si>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</si>
  <si>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</si>
  <si>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</si>
  <si>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</si>
  <si>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</si>
  <si>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</si>
  <si>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</si>
  <si>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</si>
  <si>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</si>
  <si>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</si>
  <si>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</si>
  <si>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</si>
  <si>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</si>
  <si>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</si>
  <si>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</si>
  <si>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</si>
  <si>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</si>
  <si>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</si>
  <si>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</si>
  <si>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</si>
  <si>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</si>
  <si>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</si>
  <si>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</si>
  <si>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</si>
  <si>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</si>
  <si>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</si>
  <si>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</si>
  <si>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</si>
  <si>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</si>
  <si>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</si>
  <si>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</si>
  <si>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</si>
  <si>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</si>
  <si>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</si>
  <si>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</si>
  <si>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</si>
  <si>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</si>
  <si>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</si>
  <si>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</si>
  <si>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</si>
  <si>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</si>
  <si>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</si>
  <si>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</si>
  <si>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</si>
  <si>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</si>
  <si>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</si>
  <si>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</si>
  <si>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</si>
  <si>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</si>
  <si>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</si>
  <si>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</si>
  <si>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</si>
  <si>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</si>
  <si>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</si>
  <si>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</si>
  <si>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</si>
  <si>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</si>
  <si>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</si>
  <si>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</si>
  <si>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</si>
  <si>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</si>
  <si>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</si>
  <si>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</si>
  <si>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</si>
  <si>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</si>
  <si>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</si>
  <si>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</si>
  <si>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</si>
  <si>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</si>
  <si>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</si>
  <si>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</si>
  <si>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</si>
  <si>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</si>
  <si>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</si>
  <si>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</si>
  <si>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</si>
  <si>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</si>
  <si>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</si>
  <si>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</si>
  <si>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</si>
  <si>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</si>
  <si>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</si>
  <si>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</si>
  <si>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</si>
  <si>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</si>
  <si>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</si>
  <si>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</si>
  <si>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</si>
  <si>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</si>
  <si>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</si>
  <si>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</si>
  <si>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</si>
  <si>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</si>
  <si>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</si>
  <si>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</si>
  <si>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</si>
  <si>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</si>
  <si>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</si>
  <si>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</si>
  <si>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</si>
  <si>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</si>
  <si>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</si>
  <si>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</si>
  <si>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</si>
  <si>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</si>
  <si>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</si>
  <si>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</si>
  <si>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</si>
  <si>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</si>
  <si>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</si>
  <si>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</si>
  <si>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</si>
  <si>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</si>
  <si>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</si>
  <si>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</si>
  <si>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</si>
  <si>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</si>
  <si>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</si>
  <si>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</si>
  <si>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</si>
  <si>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</si>
  <si>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</si>
  <si>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</si>
  <si>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</si>
  <si>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</si>
  <si>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</si>
  <si>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</si>
  <si>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</si>
  <si>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</si>
  <si>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</si>
  <si>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</si>
  <si>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</si>
  <si>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</si>
  <si>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</si>
  <si>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</si>
  <si>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</si>
  <si>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</si>
  <si>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</si>
  <si>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</si>
  <si>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</si>
  <si>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</si>
  <si>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</si>
  <si>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</si>
  <si>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</si>
  <si>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</si>
  <si>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</si>
  <si>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</si>
  <si>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</si>
  <si>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</si>
  <si>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</si>
  <si>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</si>
  <si>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</si>
  <si>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</si>
  <si>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</si>
  <si>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</si>
  <si>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</si>
  <si>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</si>
  <si>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</si>
  <si>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</si>
  <si>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</si>
  <si>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</si>
  <si>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</si>
  <si>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</si>
  <si>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</si>
  <si>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</si>
  <si>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</si>
  <si>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</si>
  <si>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</si>
  <si>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</si>
  <si>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</si>
  <si>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</si>
  <si>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</si>
  <si>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</si>
  <si>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</si>
  <si>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</si>
  <si>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</si>
  <si>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</si>
  <si>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</si>
  <si>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</si>
  <si>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</si>
  <si>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</si>
  <si>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</si>
  <si>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</si>
  <si>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</si>
  <si>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</si>
  <si>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</si>
  <si>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</si>
  <si>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</si>
  <si>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</si>
  <si>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</si>
  <si>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</si>
  <si>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</si>
  <si>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</si>
  <si>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</si>
  <si>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</si>
  <si>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</si>
  <si>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</si>
  <si>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</si>
  <si>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</si>
  <si>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</si>
  <si>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</si>
  <si>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</si>
  <si>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</si>
  <si>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</si>
  <si>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</si>
  <si>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</si>
  <si>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</si>
  <si>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</si>
  <si>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</si>
  <si>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</si>
  <si>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</si>
  <si>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</si>
  <si>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</si>
  <si>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</si>
  <si>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</si>
  <si>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</si>
  <si>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</si>
  <si>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</si>
  <si>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</si>
  <si>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</si>
  <si>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</si>
  <si>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</si>
  <si>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</si>
  <si>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</si>
  <si>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</si>
  <si>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</si>
  <si>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</si>
  <si>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</si>
  <si>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</si>
  <si>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</si>
  <si>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</si>
  <si>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</si>
  <si>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</si>
  <si>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</si>
  <si>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</si>
  <si>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</si>
  <si>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</si>
  <si>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</si>
  <si>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</si>
  <si>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</si>
  <si>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</si>
  <si>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</si>
  <si>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</si>
  <si>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</si>
  <si>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</si>
  <si>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</si>
  <si>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</si>
  <si>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</si>
  <si>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</si>
  <si>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</si>
  <si>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</si>
  <si>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</si>
  <si>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</si>
  <si>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</si>
  <si>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</si>
  <si>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</si>
  <si>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</si>
  <si>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</si>
  <si>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</si>
  <si>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</si>
  <si>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</si>
  <si>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</si>
  <si>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</si>
  <si>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</si>
  <si>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</si>
  <si>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</si>
  <si>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</si>
  <si>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</si>
  <si>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</si>
  <si>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</si>
  <si>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</si>
  <si>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</si>
  <si>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</si>
  <si>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</si>
  <si>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</si>
  <si>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</si>
  <si>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</si>
  <si>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</si>
  <si>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</si>
  <si>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</si>
  <si>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</si>
  <si>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</si>
  <si>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</si>
  <si>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</si>
  <si>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</si>
  <si>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</si>
  <si>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</si>
  <si>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</si>
  <si>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</si>
  <si>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</si>
  <si>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</si>
  <si>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</si>
  <si>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</si>
  <si>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</si>
  <si>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</si>
  <si>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</si>
  <si>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</si>
  <si>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</si>
  <si>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</si>
  <si>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</si>
  <si>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</si>
  <si>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</si>
  <si>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</si>
  <si>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</si>
  <si>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</si>
  <si>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</si>
  <si>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</si>
  <si>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</si>
  <si>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</si>
  <si>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</si>
  <si>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</si>
  <si>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</si>
  <si>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</si>
  <si>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</si>
  <si>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</si>
  <si>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</si>
  <si>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</si>
  <si>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</si>
  <si>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</si>
  <si>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</si>
  <si>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</si>
  <si>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</si>
  <si>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</si>
  <si>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</si>
  <si>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</si>
  <si>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</si>
  <si>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</si>
  <si>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</si>
  <si>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</si>
  <si>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</si>
  <si>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</si>
  <si>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</si>
  <si>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</si>
  <si>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</si>
  <si>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</si>
  <si>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</si>
  <si>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</si>
  <si>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</si>
  <si>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</si>
  <si>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</si>
  <si>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</si>
  <si>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</si>
  <si>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</si>
  <si>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</si>
  <si>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</si>
  <si>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</si>
  <si>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</si>
  <si>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</si>
  <si>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</si>
  <si>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</si>
  <si>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</si>
  <si>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</si>
  <si>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</si>
  <si>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</si>
  <si>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</si>
  <si>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</si>
  <si>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</si>
  <si>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</si>
  <si>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</si>
  <si>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</si>
  <si>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</si>
  <si>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</si>
  <si>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</si>
  <si>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</si>
  <si>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</si>
  <si>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</si>
  <si>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</si>
  <si>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</si>
  <si>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</si>
  <si>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</si>
  <si>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</si>
  <si>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</si>
  <si>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</si>
  <si>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</si>
  <si>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</si>
  <si>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</si>
  <si>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</si>
  <si>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</si>
  <si>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</si>
  <si>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</si>
  <si>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</si>
  <si>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</si>
  <si>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</si>
  <si>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</si>
  <si>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</si>
  <si>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</si>
  <si>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</si>
  <si>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</si>
  <si>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</si>
  <si>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</si>
  <si>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</si>
  <si>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</si>
  <si>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</si>
  <si>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</si>
  <si>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</si>
  <si>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</si>
  <si>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</si>
  <si>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</si>
  <si>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</si>
  <si>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</si>
  <si>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</si>
  <si>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</si>
  <si>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</si>
  <si>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</si>
  <si>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</si>
  <si>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</si>
  <si>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</si>
  <si>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</si>
  <si>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</si>
  <si>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</si>
  <si>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</si>
  <si>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</si>
  <si>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</si>
  <si>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</si>
  <si>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</si>
  <si>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</si>
  <si>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</si>
  <si>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</si>
  <si>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</si>
  <si>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</si>
  <si>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</si>
  <si>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</si>
  <si>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</si>
  <si>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</si>
  <si>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</si>
  <si>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</si>
  <si>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</si>
  <si>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</si>
  <si>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</si>
  <si>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</si>
  <si>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</si>
  <si>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</si>
  <si>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</si>
  <si>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</si>
  <si>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</si>
  <si>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</si>
  <si>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</si>
  <si>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</si>
  <si>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</si>
  <si>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</si>
  <si>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</si>
  <si>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</si>
  <si>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</si>
  <si>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</si>
  <si>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</si>
  <si>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</si>
  <si>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</si>
  <si>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</si>
  <si>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</si>
  <si>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</si>
  <si>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</si>
  <si>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</si>
  <si>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</si>
  <si>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</si>
  <si>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</si>
  <si>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</si>
  <si>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</si>
  <si>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</si>
  <si>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</si>
  <si>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</si>
  <si>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</si>
  <si>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</si>
  <si>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</si>
  <si>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</si>
  <si>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</si>
  <si>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</si>
  <si>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</si>
  <si>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</si>
  <si>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</si>
  <si>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</si>
  <si>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</si>
  <si>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</si>
  <si>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</si>
  <si>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</si>
  <si>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</si>
  <si>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</si>
  <si>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</si>
  <si>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</si>
  <si>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</si>
  <si>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</si>
  <si>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</si>
  <si>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</si>
  <si>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</si>
  <si>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</si>
  <si>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</si>
  <si>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</si>
  <si>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</si>
  <si>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</si>
  <si>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</si>
  <si>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</si>
  <si>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</si>
  <si>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</si>
  <si>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</si>
  <si>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</si>
  <si>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</si>
  <si>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</si>
  <si>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</si>
  <si>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</si>
  <si>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</si>
  <si>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</si>
  <si>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</si>
  <si>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</si>
  <si>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</si>
  <si>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</si>
  <si>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</si>
  <si>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</si>
  <si>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</si>
  <si>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</si>
  <si>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</si>
  <si>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</si>
  <si>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</si>
  <si>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</si>
  <si>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</si>
  <si>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</si>
  <si>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</si>
  <si>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</si>
  <si>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</si>
  <si>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</si>
  <si>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</si>
  <si>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</si>
  <si>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</si>
  <si>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</si>
  <si>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</si>
  <si>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</si>
  <si>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</si>
  <si>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</si>
  <si>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</si>
  <si>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</si>
  <si>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</si>
  <si>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</si>
  <si>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</si>
  <si>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</si>
  <si>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</si>
  <si>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</si>
  <si>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</si>
  <si>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</si>
  <si>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</si>
  <si>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</si>
  <si>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</si>
  <si>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</si>
  <si>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</si>
  <si>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</si>
  <si>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</si>
  <si>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</si>
  <si>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</si>
  <si>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</si>
  <si>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</si>
  <si>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</si>
  <si>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</si>
  <si>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</si>
  <si>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</si>
  <si>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</si>
  <si>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</si>
  <si>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</si>
  <si>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</si>
  <si>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</si>
  <si>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</si>
  <si>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</si>
  <si>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</si>
  <si>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</si>
  <si>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</si>
  <si>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</si>
  <si>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</si>
  <si>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</si>
  <si>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</si>
  <si>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</si>
  <si>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</si>
  <si>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</si>
  <si>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</si>
  <si>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</si>
  <si>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</si>
  <si>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</si>
  <si>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</si>
  <si>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</si>
  <si>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</si>
  <si>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</si>
  <si>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</si>
  <si>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</si>
  <si>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</si>
  <si>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</si>
  <si>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</si>
  <si>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</si>
  <si>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</si>
  <si>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</si>
  <si>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</si>
  <si>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</si>
  <si>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</si>
  <si>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</si>
  <si>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</si>
  <si>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</si>
  <si>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</si>
  <si>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</si>
  <si>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</si>
  <si>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</si>
  <si>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</si>
  <si>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</si>
  <si>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</si>
  <si>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</si>
  <si>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</si>
  <si>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</si>
  <si>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</si>
  <si>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</si>
  <si>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</si>
  <si>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</si>
  <si>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</si>
  <si>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</si>
  <si>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</si>
  <si>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</si>
  <si>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</si>
  <si>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</si>
  <si>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</si>
  <si>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</si>
  <si>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</si>
  <si>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</si>
  <si>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</si>
  <si>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</si>
  <si>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</si>
  <si>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</si>
  <si>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</si>
  <si>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</si>
  <si>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</si>
  <si>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</si>
  <si>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</si>
  <si>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</si>
  <si>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</si>
  <si>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</si>
  <si>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</si>
  <si>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</si>
  <si>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</si>
  <si>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</si>
  <si>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</si>
  <si>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</si>
  <si>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</si>
  <si>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</si>
  <si>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</si>
  <si>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</si>
  <si>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</si>
  <si>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</si>
  <si>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</si>
  <si>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</si>
  <si>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</si>
  <si>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</si>
  <si>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</si>
  <si>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</si>
  <si>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</si>
  <si>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</si>
  <si>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</si>
  <si>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</si>
  <si>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</si>
  <si>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</si>
  <si>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</si>
  <si>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</si>
  <si>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</si>
  <si>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</si>
  <si>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</si>
  <si>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</si>
  <si>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</si>
  <si>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</si>
  <si>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</si>
  <si>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</si>
  <si>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</si>
  <si>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</si>
  <si>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</si>
  <si>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</si>
  <si>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</si>
  <si>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</si>
  <si>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</si>
  <si>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</si>
  <si>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</si>
  <si>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</si>
  <si>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</si>
  <si>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</si>
  <si>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</si>
  <si>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</si>
  <si>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</si>
  <si>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</si>
  <si>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</si>
  <si>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</si>
  <si>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</si>
  <si>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</si>
  <si>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</si>
  <si>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</si>
  <si>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</si>
  <si>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</si>
  <si>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</si>
  <si>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</si>
  <si>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</si>
  <si>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</si>
  <si>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</si>
  <si>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</si>
  <si>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</si>
  <si>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</si>
  <si>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</si>
  <si>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</si>
  <si>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</si>
  <si>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</si>
  <si>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</si>
  <si>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</si>
  <si>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</si>
  <si>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</si>
  <si>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</si>
  <si>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</si>
  <si>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</si>
  <si>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</si>
  <si>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</si>
  <si>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</si>
  <si>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</si>
  <si>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</si>
  <si>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</si>
  <si>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</si>
  <si>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</si>
  <si>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</si>
  <si>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</si>
  <si>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</si>
  <si>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</si>
  <si>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</si>
  <si>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</si>
  <si>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</si>
  <si>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</si>
  <si>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</si>
  <si>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</si>
  <si>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</si>
  <si>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</si>
  <si>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</si>
  <si>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</si>
  <si>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</si>
  <si>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</si>
  <si>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</si>
  <si>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</si>
  <si>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</si>
  <si>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</si>
  <si>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</si>
  <si>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</si>
  <si>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</si>
  <si>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</si>
  <si>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</si>
  <si>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</si>
  <si>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</si>
  <si>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</si>
  <si>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</si>
  <si>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</si>
  <si>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</si>
  <si>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</si>
  <si>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</si>
  <si>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</si>
  <si>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</si>
  <si>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</si>
  <si>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</si>
  <si>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</si>
  <si>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</si>
  <si>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</si>
  <si>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</si>
  <si>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</si>
  <si>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</si>
  <si>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</si>
  <si>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</si>
  <si>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</si>
  <si>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</si>
  <si>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</si>
  <si>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</si>
  <si>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</si>
  <si>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</si>
  <si>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</si>
  <si>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</si>
  <si>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</si>
  <si>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</si>
  <si>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</si>
  <si>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</si>
  <si>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</si>
  <si>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</si>
  <si>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</si>
  <si>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</si>
  <si>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</si>
  <si>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</si>
  <si>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</si>
  <si>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</si>
  <si>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</si>
  <si>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</si>
  <si>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</si>
  <si>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</si>
  <si>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</si>
  <si>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</si>
  <si>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</si>
  <si>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</si>
  <si>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</si>
  <si>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</si>
  <si>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</si>
  <si>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</si>
  <si>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</si>
  <si>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</si>
  <si>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</si>
  <si>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</si>
  <si>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</si>
  <si>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</si>
  <si>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</si>
  <si>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</si>
  <si>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</si>
  <si>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</si>
  <si>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</si>
  <si>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</si>
  <si>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</si>
  <si>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</si>
  <si>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</si>
  <si>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</si>
  <si>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</si>
  <si>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</si>
  <si>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</si>
  <si>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</si>
  <si>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</si>
  <si>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</si>
  <si>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</si>
  <si>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</si>
  <si>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</si>
  <si>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</si>
  <si>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</si>
  <si>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</si>
  <si>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</si>
  <si>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</si>
  <si>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</si>
  <si>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</si>
  <si>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</si>
  <si>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</si>
  <si>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</si>
  <si>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</si>
  <si>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</si>
  <si>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</si>
  <si>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</si>
  <si>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</si>
  <si>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</si>
  <si>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</si>
  <si>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</si>
  <si>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</si>
  <si>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</si>
  <si>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</si>
  <si>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</si>
  <si>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</si>
  <si>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</si>
  <si>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</si>
  <si>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</si>
  <si>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</si>
  <si>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</si>
  <si>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</si>
  <si>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</si>
  <si>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</si>
  <si>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</si>
  <si>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</si>
  <si>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</si>
  <si>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</si>
  <si>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</si>
  <si>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</si>
  <si>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</si>
  <si>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</si>
  <si>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</si>
  <si>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</si>
  <si>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</si>
  <si>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</si>
  <si>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</si>
  <si>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</si>
  <si>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</si>
  <si>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</si>
  <si>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</si>
  <si>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</si>
  <si>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</si>
  <si>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</si>
  <si>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</si>
  <si>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</si>
  <si>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</si>
  <si>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</si>
  <si>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</si>
  <si>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</si>
  <si>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</si>
  <si>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</si>
  <si>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</si>
  <si>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</si>
  <si>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</si>
  <si>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</si>
  <si>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</si>
  <si>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</si>
  <si>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</si>
  <si>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</si>
  <si>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</si>
  <si>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</si>
  <si>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</si>
  <si>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</si>
  <si>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</si>
  <si>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</si>
  <si>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</si>
  <si>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</si>
  <si>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</si>
  <si>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</si>
  <si>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</si>
  <si>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</si>
  <si>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</si>
  <si>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</si>
  <si>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</si>
  <si>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</si>
  <si>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</si>
  <si>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</si>
  <si>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</si>
  <si>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</si>
  <si>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</si>
  <si>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</si>
  <si>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</si>
  <si>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</si>
  <si>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</si>
  <si>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</si>
  <si>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</si>
  <si>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</si>
  <si>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</si>
  <si>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</si>
  <si>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</si>
  <si>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</si>
  <si>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</si>
  <si>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</si>
  <si>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</si>
  <si>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</si>
  <si>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</si>
  <si>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</si>
  <si>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</si>
  <si>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</si>
  <si>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</si>
  <si>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</si>
  <si>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</si>
  <si>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</si>
  <si>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</si>
  <si>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</si>
  <si>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</si>
  <si>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</si>
  <si>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</si>
  <si>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</si>
  <si>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</si>
  <si>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</si>
  <si>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</si>
  <si>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</si>
  <si>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</si>
  <si>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</si>
  <si>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</si>
  <si>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</si>
  <si>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</si>
  <si>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</si>
  <si>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</si>
  <si>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</si>
  <si>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</si>
  <si>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</si>
  <si>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</si>
  <si>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</si>
  <si>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</si>
  <si>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</si>
  <si>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</si>
  <si>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</si>
  <si>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</si>
  <si>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</si>
  <si>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</si>
  <si>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</si>
  <si>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</si>
  <si>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</si>
  <si>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</si>
  <si>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</si>
  <si>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</si>
  <si>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</si>
  <si>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</si>
  <si>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</si>
  <si>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</si>
  <si>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</si>
  <si>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</si>
  <si>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</si>
  <si>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</si>
  <si>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</si>
  <si>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</si>
  <si>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</si>
  <si>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</si>
  <si>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</si>
  <si>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</si>
  <si>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</si>
  <si>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</si>
  <si>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</si>
  <si>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</si>
  <si>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</si>
  <si>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</si>
  <si>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</si>
  <si>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</si>
  <si>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</si>
  <si>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</si>
  <si>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</si>
  <si>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</si>
  <si>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</si>
  <si>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</si>
  <si>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</si>
  <si>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</si>
  <si>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</si>
  <si>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</si>
  <si>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</si>
  <si>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</si>
  <si>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</si>
  <si>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</si>
  <si>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</si>
  <si>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</si>
  <si>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</si>
  <si>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</si>
  <si>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</si>
  <si>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</si>
  <si>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</si>
  <si>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</si>
  <si>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</si>
  <si>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</si>
  <si>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</si>
  <si>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</si>
  <si>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</si>
  <si>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</si>
  <si>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</si>
  <si>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</si>
  <si>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</si>
  <si>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</si>
  <si>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</si>
  <si>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</si>
  <si>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</si>
  <si>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</si>
  <si>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</si>
  <si>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</si>
  <si>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</si>
  <si>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</si>
  <si>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</si>
  <si>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</si>
  <si>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</si>
  <si>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</si>
  <si>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</si>
  <si>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</si>
  <si>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</si>
  <si>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</si>
  <si>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</si>
  <si>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</si>
  <si>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</si>
  <si>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</si>
  <si>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</si>
  <si>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</si>
  <si>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</si>
  <si>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</si>
  <si>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</si>
  <si>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</si>
  <si>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</si>
  <si>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</si>
  <si>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</si>
  <si>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</si>
  <si>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</si>
  <si>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</si>
  <si>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</si>
  <si>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</si>
  <si>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</si>
  <si>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</si>
  <si>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</si>
  <si>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</si>
  <si>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</si>
  <si>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</si>
  <si>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</si>
  <si>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</si>
  <si>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</si>
  <si>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</si>
  <si>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</si>
  <si>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</si>
  <si>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</si>
  <si>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</si>
  <si>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</si>
  <si>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</si>
  <si>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</si>
  <si>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</si>
  <si>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</si>
  <si>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</si>
  <si>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</si>
  <si>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</si>
  <si>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</si>
  <si>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</si>
  <si>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</si>
  <si>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</si>
  <si>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</si>
  <si>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</si>
  <si>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</si>
  <si>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</si>
  <si>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</si>
  <si>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</si>
  <si>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</si>
  <si>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</si>
  <si>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</si>
  <si>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</si>
  <si>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</si>
  <si>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</si>
  <si>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</si>
  <si>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</si>
  <si>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</si>
  <si>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</si>
  <si>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</si>
  <si>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</si>
  <si>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</si>
  <si>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</si>
  <si>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</si>
  <si>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</si>
  <si>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</si>
  <si>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</si>
  <si>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</si>
  <si>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</si>
  <si>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</si>
  <si>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</si>
  <si>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</si>
  <si>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</si>
  <si>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</si>
  <si>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</si>
  <si>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</si>
  <si>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</si>
  <si>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</si>
  <si>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</si>
  <si>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</si>
  <si>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</si>
  <si>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</si>
  <si>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</si>
  <si>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</si>
  <si>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</si>
  <si>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</si>
  <si>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</si>
  <si>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</si>
  <si>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</si>
  <si>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</si>
  <si>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</si>
  <si>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</si>
  <si>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</si>
  <si>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</si>
  <si>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</si>
  <si>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</si>
  <si>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</si>
  <si>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</si>
  <si>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</si>
  <si>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</si>
  <si>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</si>
  <si>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</si>
  <si>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</si>
  <si>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</si>
  <si>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</si>
  <si>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</si>
  <si>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</si>
  <si>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</si>
  <si>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</si>
  <si>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</si>
  <si>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</si>
  <si>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</si>
  <si>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</si>
  <si>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</si>
  <si>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</si>
  <si>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</si>
  <si>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</si>
  <si>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</si>
  <si>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</si>
  <si>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</si>
  <si>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</si>
  <si>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</si>
  <si>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</si>
  <si>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</si>
  <si>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</si>
  <si>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</si>
  <si>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</si>
  <si>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</si>
  <si>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</si>
  <si>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</si>
  <si>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</si>
  <si>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</si>
  <si>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</si>
  <si>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</si>
  <si>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</si>
  <si>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</si>
  <si>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</si>
  <si>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</si>
  <si>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</si>
  <si>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</si>
  <si>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</si>
  <si>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</si>
  <si>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</si>
  <si>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</si>
  <si>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</si>
  <si>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</si>
  <si>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</si>
  <si>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</si>
  <si>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</si>
  <si>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</si>
  <si>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</si>
  <si>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</si>
  <si>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</si>
  <si>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</si>
  <si>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</si>
  <si>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</si>
  <si>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</si>
  <si>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</si>
  <si>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</si>
  <si>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</si>
  <si>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</si>
  <si>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</si>
  <si>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</si>
  <si>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</si>
  <si>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</si>
  <si>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</si>
  <si>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</si>
  <si>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</si>
  <si>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</si>
  <si>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</si>
  <si>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</si>
  <si>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</si>
  <si>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</si>
  <si>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</si>
  <si>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</si>
  <si>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</si>
  <si>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</si>
  <si>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</si>
  <si>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</si>
  <si>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</si>
  <si>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</si>
  <si>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</si>
  <si>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</si>
  <si>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</si>
  <si>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</si>
  <si>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</si>
  <si>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</si>
  <si>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</si>
  <si>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</si>
  <si>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</si>
  <si>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</si>
  <si>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</si>
  <si>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</si>
  <si>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</si>
  <si>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</si>
  <si>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</si>
  <si>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</si>
  <si>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</si>
  <si>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</si>
  <si>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</si>
  <si>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</si>
  <si>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</si>
  <si>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</si>
  <si>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</si>
  <si>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</si>
  <si>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</si>
  <si>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</si>
  <si>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</si>
  <si>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</si>
  <si>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</si>
  <si>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</si>
  <si>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</si>
  <si>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</si>
  <si>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</si>
  <si>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</si>
  <si>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</si>
  <si>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</si>
  <si>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</si>
  <si>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</si>
  <si>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</si>
  <si>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</si>
  <si>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</si>
  <si>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</si>
  <si>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</si>
  <si>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</si>
  <si>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</si>
  <si>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</si>
  <si>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</si>
  <si>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</si>
  <si>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</si>
  <si>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</si>
  <si>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</si>
  <si>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</si>
  <si>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</si>
  <si>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</si>
  <si>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</si>
  <si>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</si>
  <si>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</si>
  <si>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</si>
  <si>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</si>
  <si>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</si>
  <si>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</si>
  <si>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</si>
  <si>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</si>
  <si>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</si>
  <si>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</si>
  <si>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</si>
  <si>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</si>
  <si>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</si>
  <si>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</si>
  <si>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</si>
  <si>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</si>
  <si>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</si>
  <si>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</si>
  <si>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</si>
  <si>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</si>
  <si>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</si>
  <si>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</si>
  <si>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</si>
  <si>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</si>
  <si>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</si>
  <si>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</si>
  <si>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</si>
  <si>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</si>
  <si>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</si>
  <si>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</si>
  <si>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</si>
  <si>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</si>
  <si>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</si>
  <si>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</si>
  <si>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</si>
  <si>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</si>
  <si>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</si>
  <si>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</si>
  <si>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</si>
  <si>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</si>
  <si>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</si>
  <si>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</si>
  <si>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</si>
  <si>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</si>
  <si>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</si>
  <si>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</si>
  <si>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</si>
  <si>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</si>
  <si>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</si>
  <si>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</si>
  <si>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</si>
  <si>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</si>
  <si>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</si>
  <si>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</si>
  <si>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</si>
  <si>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</si>
  <si>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</si>
  <si>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</si>
  <si>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</si>
  <si>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</si>
  <si>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</si>
  <si>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</si>
  <si>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</si>
  <si>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</si>
  <si>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</si>
  <si>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</si>
  <si>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</si>
  <si>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</si>
  <si>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</si>
  <si>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</si>
  <si>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</si>
  <si>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</si>
  <si>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</si>
  <si>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</si>
  <si>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</si>
  <si>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</si>
  <si>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</si>
  <si>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</si>
  <si>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</si>
  <si>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</si>
  <si>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</si>
  <si>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</si>
  <si>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</si>
  <si>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</si>
  <si>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</si>
  <si>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</si>
  <si>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</si>
  <si>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</si>
  <si>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</si>
  <si>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</si>
  <si>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</si>
  <si>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</si>
  <si>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</si>
  <si>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</si>
  <si>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</si>
  <si>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</si>
  <si>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</si>
  <si>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</si>
  <si>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</si>
  <si>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</si>
  <si>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</si>
  <si>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</si>
  <si>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</si>
  <si>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</si>
  <si>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</si>
  <si>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</si>
  <si>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</si>
  <si>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</si>
  <si>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</si>
  <si>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</si>
  <si>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</si>
  <si>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</si>
  <si>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</si>
  <si>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</si>
  <si>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</si>
  <si>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</si>
  <si>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</si>
  <si>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</si>
  <si>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</si>
  <si>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</si>
  <si>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</si>
  <si>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</si>
  <si>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</si>
  <si>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</si>
  <si>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</si>
  <si>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</si>
  <si>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</si>
  <si>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</si>
  <si>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</si>
  <si>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</si>
  <si>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</si>
  <si>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</si>
  <si>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</si>
  <si>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</si>
  <si>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</si>
  <si>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</si>
  <si>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</si>
  <si>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</si>
  <si>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</si>
  <si>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</si>
  <si>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</si>
  <si>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</si>
  <si>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</si>
  <si>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</si>
  <si>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</si>
  <si>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</si>
  <si>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</si>
  <si>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</si>
  <si>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</si>
  <si>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</si>
  <si>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</si>
  <si>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</si>
  <si>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</si>
  <si>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</si>
  <si>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</si>
  <si>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</si>
  <si>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</si>
  <si>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</si>
  <si>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</si>
  <si>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</si>
  <si>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</si>
  <si>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</si>
  <si>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</si>
  <si>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</si>
  <si>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</si>
  <si>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</si>
  <si>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</si>
  <si>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</si>
  <si>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</si>
  <si>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</si>
  <si>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</si>
  <si>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</si>
  <si>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</si>
  <si>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</si>
  <si>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</si>
  <si>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</si>
  <si>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</si>
  <si>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</si>
  <si>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</si>
  <si>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</si>
  <si>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</si>
  <si>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</si>
  <si>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</si>
  <si>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</si>
  <si>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</si>
  <si>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</si>
  <si>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</si>
  <si>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</si>
  <si>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</si>
  <si>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</si>
  <si>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</si>
  <si>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</si>
  <si>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</si>
  <si>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</si>
  <si>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</si>
  <si>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</si>
  <si>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</si>
  <si>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</si>
  <si>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</si>
  <si>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</si>
  <si>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</si>
  <si>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</si>
  <si>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</si>
  <si>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</si>
  <si>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</si>
  <si>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</si>
  <si>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</si>
  <si>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</si>
  <si>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</si>
  <si>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</si>
  <si>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</si>
  <si>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</si>
  <si>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</si>
  <si>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</si>
  <si>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</si>
  <si>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</si>
  <si>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</si>
  <si>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</si>
  <si>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</si>
  <si>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</si>
  <si>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</si>
  <si>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</si>
  <si>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</si>
  <si>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</si>
  <si>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</si>
  <si>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</si>
  <si>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</si>
  <si>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</si>
  <si>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</si>
  <si>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</si>
  <si>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</si>
  <si>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</si>
  <si>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</si>
  <si>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</si>
  <si>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</si>
  <si>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</si>
  <si>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</si>
  <si>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</si>
  <si>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</si>
  <si>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</si>
  <si>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</si>
  <si>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</si>
  <si>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</si>
  <si>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</si>
  <si>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</si>
  <si>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</si>
  <si>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</si>
  <si>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</si>
  <si>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</si>
  <si>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</si>
  <si>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</si>
  <si>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</si>
  <si>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</si>
  <si>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</si>
  <si>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</si>
  <si>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</si>
  <si>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</si>
  <si>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</si>
  <si>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</si>
  <si>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</si>
  <si>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</si>
  <si>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</si>
  <si>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</si>
  <si>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</si>
  <si>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</si>
  <si>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</si>
  <si>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</si>
  <si>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</si>
  <si>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</si>
  <si>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</si>
  <si>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</si>
  <si>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</si>
  <si>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</si>
  <si>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</si>
  <si>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</si>
  <si>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</si>
  <si>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</si>
  <si>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</si>
  <si>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</si>
  <si>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</si>
  <si>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</si>
  <si>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</si>
  <si>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</si>
  <si>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</si>
  <si>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</si>
  <si>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</si>
  <si>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</si>
  <si>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</si>
  <si>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</si>
  <si>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</si>
  <si>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</si>
  <si>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</si>
  <si>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</si>
  <si>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</si>
  <si>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</si>
  <si>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</si>
  <si>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</si>
  <si>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</si>
  <si>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</si>
  <si>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</si>
  <si>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</si>
  <si>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</si>
  <si>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</si>
  <si>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</si>
  <si>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</si>
  <si>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</si>
  <si>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</si>
  <si>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</si>
  <si>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</si>
  <si>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</si>
  <si>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</si>
  <si>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</si>
  <si>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</si>
  <si>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</si>
  <si>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</si>
  <si>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</si>
  <si>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</si>
  <si>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</si>
  <si>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</si>
  <si>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</si>
  <si>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</si>
  <si>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</si>
  <si>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</si>
  <si>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</si>
  <si>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</si>
  <si>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</si>
  <si>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</si>
  <si>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</si>
  <si>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</si>
  <si>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</si>
  <si>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</si>
  <si>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</si>
  <si>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</si>
  <si>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</si>
  <si>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</si>
  <si>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</si>
  <si>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</si>
  <si>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</si>
  <si>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</si>
  <si>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</si>
  <si>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</si>
  <si>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</si>
  <si>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</si>
  <si>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</si>
  <si>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</si>
  <si>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</si>
  <si>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</si>
  <si>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</si>
  <si>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</si>
  <si>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</si>
  <si>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</si>
  <si>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</si>
  <si>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</si>
  <si>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</si>
  <si>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</si>
  <si>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</si>
  <si>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</si>
  <si>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</si>
  <si>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</si>
  <si>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</si>
  <si>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</si>
  <si>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</si>
  <si>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</si>
  <si>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</si>
  <si>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</si>
  <si>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</si>
  <si>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</si>
  <si>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</si>
  <si>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</si>
  <si>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</si>
  <si>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</si>
  <si>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</si>
  <si>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</si>
  <si>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</si>
  <si>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</si>
  <si>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</si>
  <si>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</si>
  <si>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</si>
  <si>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</si>
  <si>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</si>
  <si>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</si>
  <si>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</si>
  <si>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</si>
  <si>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</si>
  <si>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</si>
  <si>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</si>
  <si>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</si>
  <si>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</si>
  <si>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</si>
  <si>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</si>
  <si>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</si>
  <si>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</si>
  <si>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</si>
  <si>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</si>
  <si>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</si>
  <si>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</si>
  <si>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</si>
  <si>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</si>
  <si>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</si>
  <si>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</si>
  <si>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</si>
  <si>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</si>
  <si>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</si>
  <si>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</si>
  <si>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</si>
  <si>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</si>
  <si>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</si>
  <si>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</si>
  <si>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</si>
  <si>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</si>
  <si>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</si>
  <si>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</si>
  <si>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</si>
  <si>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</si>
  <si>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</si>
  <si>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</si>
  <si>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</si>
  <si>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</si>
  <si>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</si>
  <si>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</si>
  <si>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</si>
  <si>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</si>
  <si>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</si>
  <si>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</si>
  <si>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</si>
  <si>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</si>
  <si>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</si>
  <si>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</si>
  <si>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</si>
  <si>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</si>
  <si>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</si>
  <si>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</si>
  <si>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</si>
  <si>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</si>
  <si>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</si>
  <si>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</si>
  <si>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</si>
  <si>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</si>
  <si>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</si>
  <si>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</si>
  <si>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</si>
  <si>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</si>
  <si>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</si>
  <si>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</si>
  <si>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</si>
  <si>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</si>
  <si>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</si>
  <si>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</si>
  <si>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</si>
  <si>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</si>
  <si>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</si>
  <si>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</si>
  <si>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</si>
  <si>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</si>
  <si>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</si>
  <si>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</si>
  <si>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</si>
  <si>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</si>
  <si>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</si>
  <si>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</si>
  <si>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</si>
  <si>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</si>
  <si>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</si>
  <si>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</si>
  <si>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</si>
  <si>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</si>
  <si>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</si>
  <si>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</si>
  <si>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</si>
  <si>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</si>
  <si>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</si>
  <si>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</si>
  <si>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</si>
  <si>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</si>
  <si>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</si>
  <si>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</si>
  <si>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</si>
  <si>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</si>
  <si>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</si>
  <si>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</si>
  <si>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</si>
  <si>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</si>
  <si>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</si>
  <si>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</si>
  <si>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</si>
  <si>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</si>
  <si>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</si>
  <si>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</si>
  <si>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</si>
  <si>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</si>
  <si>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</si>
  <si>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</si>
  <si>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</si>
  <si>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</si>
  <si>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</si>
  <si>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</si>
  <si>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</si>
  <si>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</si>
  <si>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</si>
  <si>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</si>
  <si>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</si>
  <si>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</si>
  <si>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</si>
  <si>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</si>
  <si>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</si>
  <si>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</si>
  <si>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</si>
  <si>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</si>
  <si>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</si>
  <si>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</si>
  <si>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</si>
  <si>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</si>
  <si>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</si>
  <si>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</si>
  <si>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</si>
  <si>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</si>
  <si>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</si>
  <si>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</si>
  <si>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</si>
  <si>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</si>
  <si>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</si>
  <si>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</si>
  <si>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</si>
  <si>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</si>
  <si>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</si>
  <si>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</si>
  <si>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</si>
  <si>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</si>
  <si>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</si>
  <si>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</si>
  <si>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</si>
  <si>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</si>
  <si>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</si>
  <si>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</si>
  <si>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</si>
  <si>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</si>
  <si>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</si>
  <si>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</si>
  <si>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</si>
  <si>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</si>
  <si>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</si>
  <si>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</si>
  <si>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</si>
  <si>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</si>
  <si>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</si>
  <si>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</si>
  <si>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</si>
  <si>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</si>
  <si>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</si>
  <si>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</si>
  <si>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</si>
  <si>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</si>
  <si>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</si>
  <si>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</si>
  <si>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</si>
  <si>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</si>
  <si>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</si>
  <si>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</si>
  <si>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</si>
  <si>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</si>
  <si>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</si>
  <si>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</si>
  <si>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</si>
  <si>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</si>
  <si>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</si>
  <si>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</si>
  <si>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</si>
  <si>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</si>
  <si>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</si>
  <si>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</si>
  <si>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</si>
  <si>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</si>
  <si>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</si>
  <si>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</si>
  <si>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</si>
  <si>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</si>
  <si>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</si>
  <si>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</si>
  <si>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</si>
  <si>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</si>
  <si>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</si>
  <si>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</si>
  <si>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</si>
  <si>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</si>
  <si>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</si>
  <si>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</si>
  <si>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</si>
  <si>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</si>
  <si>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</si>
  <si>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</si>
  <si>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</si>
  <si>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</si>
  <si>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</si>
  <si>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</si>
  <si>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</si>
  <si>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</si>
  <si>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</si>
  <si>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</si>
  <si>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</si>
  <si>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</si>
  <si>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</si>
  <si>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</si>
  <si>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</si>
  <si>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</si>
  <si>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</si>
  <si>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</si>
  <si>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</si>
  <si>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</si>
  <si>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</si>
  <si>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</si>
  <si>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</si>
  <si>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</si>
  <si>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</si>
  <si>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</si>
  <si>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</si>
  <si>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</si>
  <si>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</si>
  <si>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</si>
  <si>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</si>
  <si>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</si>
  <si>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</si>
  <si>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</si>
  <si>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</si>
  <si>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</si>
  <si>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</si>
  <si>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</si>
  <si>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</si>
  <si>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</si>
  <si>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</si>
  <si>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</si>
  <si>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</si>
  <si>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</si>
  <si>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</si>
  <si>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</si>
  <si>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</si>
  <si>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</si>
  <si>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</si>
  <si>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</si>
  <si>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</si>
  <si>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</si>
  <si>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</si>
  <si>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</si>
  <si>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</si>
  <si>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</si>
  <si>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</si>
  <si>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</si>
  <si>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</si>
  <si>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</si>
  <si>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</si>
  <si>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</si>
  <si>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</si>
  <si>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</si>
  <si>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</si>
  <si>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</si>
  <si>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</si>
  <si>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</si>
  <si>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</si>
  <si>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</si>
  <si>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</si>
  <si>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</si>
  <si>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</si>
  <si>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</si>
  <si>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</si>
  <si>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</si>
  <si>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</si>
  <si>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</si>
  <si>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</si>
  <si>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</si>
  <si>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</si>
  <si>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</si>
  <si>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</si>
  <si>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</si>
  <si>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</si>
  <si>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</si>
  <si>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</si>
  <si>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</si>
  <si>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</si>
  <si>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</si>
  <si>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</si>
  <si>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</si>
  <si>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</si>
  <si>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</si>
  <si>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</si>
  <si>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</si>
  <si>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</si>
  <si>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</si>
  <si>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</si>
  <si>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</si>
  <si>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</si>
  <si>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</si>
  <si>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</si>
  <si>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</si>
  <si>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</si>
  <si>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</si>
  <si>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</si>
  <si>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</si>
  <si>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</si>
  <si>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</si>
  <si>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</si>
  <si>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</si>
  <si>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</si>
  <si>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</si>
  <si>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</si>
  <si>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</si>
  <si>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</si>
  <si>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</si>
  <si>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</si>
  <si>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</si>
  <si>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</si>
  <si>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</si>
  <si>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</si>
  <si>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</si>
  <si>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</si>
  <si>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</si>
  <si>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</si>
  <si>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</si>
  <si>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</si>
  <si>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</si>
  <si>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</si>
  <si>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</si>
  <si>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</si>
  <si>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</si>
  <si>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</si>
  <si>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</si>
  <si>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</si>
  <si>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</si>
  <si>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</si>
  <si>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</si>
  <si>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</si>
  <si>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</si>
  <si>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</si>
  <si>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</si>
  <si>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</si>
  <si>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</si>
  <si>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</si>
  <si>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</si>
  <si>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</si>
  <si>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</si>
  <si>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</si>
  <si>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</si>
  <si>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</si>
  <si>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</si>
  <si>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</si>
  <si>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</si>
  <si>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</si>
  <si>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</si>
  <si>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</si>
  <si>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</si>
  <si>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</si>
  <si>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</si>
  <si>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</si>
  <si>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</si>
  <si>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</si>
  <si>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</si>
  <si>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</si>
  <si>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</si>
  <si>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</si>
  <si>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</si>
  <si>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</si>
  <si>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</si>
  <si>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</si>
  <si>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</si>
  <si>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</si>
  <si>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</si>
  <si>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</si>
  <si>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</si>
  <si>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</si>
  <si>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</si>
  <si>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</si>
  <si>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</si>
  <si>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</si>
  <si>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</si>
  <si>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</si>
  <si>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</si>
  <si>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</si>
  <si>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</si>
  <si>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</si>
  <si>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</si>
  <si>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</si>
  <si>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</si>
  <si>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</si>
  <si>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</si>
  <si>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</si>
  <si>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</si>
  <si>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</si>
  <si>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</si>
  <si>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</si>
  <si>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</si>
  <si>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</si>
  <si>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</si>
  <si>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</si>
  <si>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</si>
  <si>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</si>
  <si>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</si>
  <si>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</si>
  <si>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</si>
  <si>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</si>
  <si>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</si>
  <si>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</si>
  <si>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</si>
  <si>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</si>
  <si>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</si>
  <si>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</si>
  <si>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</si>
  <si>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</si>
  <si>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</si>
  <si>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</si>
  <si>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</si>
  <si>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</si>
  <si>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</si>
  <si>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</si>
  <si>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</si>
  <si>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</si>
  <si>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</si>
  <si>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</si>
  <si>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</si>
  <si>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</si>
  <si>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</si>
  <si>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</si>
  <si>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</si>
  <si>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</si>
  <si>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</si>
  <si>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</si>
  <si>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</si>
  <si>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</si>
  <si>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</si>
  <si>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</si>
  <si>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</si>
  <si>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</si>
  <si>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</si>
  <si>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</si>
  <si>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</si>
  <si>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</si>
  <si>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</si>
  <si>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</si>
  <si>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</si>
  <si>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</si>
  <si>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</si>
  <si>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</si>
  <si>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</si>
  <si>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</si>
  <si>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</si>
  <si>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</si>
  <si>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</si>
  <si>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</si>
  <si>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</si>
  <si>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</si>
  <si>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</si>
  <si>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</si>
  <si>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</si>
  <si>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</si>
  <si>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</si>
  <si>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</si>
  <si>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</si>
  <si>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</si>
  <si>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</si>
  <si>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</si>
  <si>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</si>
  <si>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</si>
  <si>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</si>
  <si>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</si>
  <si>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</si>
  <si>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</si>
  <si>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</si>
  <si>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</si>
  <si>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</si>
  <si>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</si>
  <si>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</si>
  <si>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</si>
  <si>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</si>
  <si>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</si>
  <si>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</si>
  <si>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</si>
  <si>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</si>
  <si>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</si>
  <si>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</si>
  <si>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</si>
  <si>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</si>
  <si>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</si>
  <si>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</si>
  <si>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</si>
  <si>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</si>
  <si>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</si>
  <si>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</si>
  <si>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</si>
  <si>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</si>
  <si>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</si>
  <si>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</si>
  <si>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</si>
  <si>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</si>
  <si>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</si>
  <si>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</si>
  <si>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</si>
  <si>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</si>
  <si>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</si>
  <si>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</si>
  <si>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</si>
  <si>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</si>
  <si>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</si>
  <si>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</si>
  <si>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</si>
  <si>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</si>
  <si>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</si>
  <si>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</si>
  <si>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</si>
  <si>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</si>
  <si>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</si>
  <si>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</si>
  <si>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</si>
  <si>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</si>
  <si>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</si>
  <si>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</si>
  <si>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</si>
  <si>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</si>
  <si>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</si>
  <si>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</si>
  <si>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</si>
  <si>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</si>
  <si>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</si>
  <si>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</si>
  <si>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</si>
  <si>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</si>
  <si>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</si>
  <si>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</si>
  <si>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</si>
  <si>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</si>
  <si>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</si>
  <si>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</si>
  <si>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</si>
  <si>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</si>
  <si>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</si>
  <si>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</si>
  <si>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</si>
  <si>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</si>
  <si>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</si>
  <si>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</si>
  <si>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</si>
  <si>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</si>
  <si>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</si>
  <si>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</si>
  <si>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</si>
  <si>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</si>
  <si>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</si>
  <si>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</si>
  <si>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</si>
  <si>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</si>
  <si>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</si>
  <si>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</si>
  <si>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</si>
  <si>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</si>
  <si>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</si>
  <si>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</si>
  <si>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</si>
  <si>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</si>
  <si>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</si>
  <si>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</si>
  <si>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</si>
  <si>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</si>
  <si>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</si>
  <si>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</si>
  <si>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</si>
  <si>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</si>
  <si>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</si>
  <si>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</si>
  <si>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</si>
  <si>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</si>
  <si>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</si>
  <si>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</si>
  <si>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</si>
  <si>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</si>
  <si>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</si>
  <si>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</si>
  <si>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</si>
  <si>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</si>
  <si>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</si>
  <si>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</si>
  <si>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</si>
  <si>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</si>
  <si>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</si>
  <si>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</si>
  <si>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</si>
  <si>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</si>
  <si>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</si>
  <si>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</si>
  <si>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</si>
  <si>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</si>
  <si>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</si>
  <si>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</si>
  <si>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</si>
  <si>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</si>
  <si>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</si>
  <si>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</si>
  <si>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</si>
  <si>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</si>
  <si>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</si>
  <si>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</si>
  <si>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</si>
  <si>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</si>
  <si>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</si>
  <si>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</si>
  <si>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</si>
  <si>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</si>
  <si>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</si>
  <si>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</si>
  <si>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</si>
  <si>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</si>
  <si>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</si>
  <si>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</si>
  <si>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</si>
  <si>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</si>
  <si>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</si>
  <si>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</si>
  <si>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</si>
  <si>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</si>
  <si>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</si>
  <si>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</si>
  <si>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</si>
  <si>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</si>
  <si>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</si>
  <si>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</si>
  <si>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</si>
  <si>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</si>
  <si>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</si>
  <si>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</si>
  <si>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</si>
  <si>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</si>
  <si>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</si>
  <si>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</si>
  <si>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</si>
  <si>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</si>
  <si>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</si>
  <si>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</si>
  <si>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</si>
  <si>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</si>
  <si>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</si>
  <si>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</si>
  <si>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</si>
  <si>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</si>
  <si>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</si>
  <si>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</si>
  <si>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</si>
  <si>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</si>
  <si>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</si>
  <si>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</si>
  <si>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</si>
  <si>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</si>
  <si>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</si>
  <si>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</si>
  <si>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</si>
  <si>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</si>
  <si>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</si>
  <si>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</si>
  <si>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</si>
  <si>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</si>
  <si>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</si>
  <si>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</si>
  <si>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</si>
  <si>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</si>
  <si>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</si>
  <si>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</si>
  <si>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</si>
  <si>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</si>
  <si>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</si>
  <si>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</si>
  <si>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</si>
  <si>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</si>
  <si>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</si>
  <si>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</si>
  <si>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</si>
  <si>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</si>
  <si>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</si>
  <si>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</si>
  <si>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</si>
  <si>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</si>
  <si>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</si>
  <si>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</si>
  <si>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</si>
  <si>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</si>
  <si>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</si>
  <si>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</si>
  <si>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</si>
  <si>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</si>
  <si>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</si>
  <si>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</si>
  <si>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</si>
  <si>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</si>
  <si>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</si>
  <si>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</si>
  <si>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</si>
  <si>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</si>
  <si>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</si>
  <si>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</si>
  <si>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</si>
  <si>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</si>
  <si>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</si>
  <si>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</si>
  <si>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</si>
  <si>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</si>
  <si>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</si>
  <si>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</si>
  <si>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</si>
  <si>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</si>
  <si>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</si>
  <si>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</si>
  <si>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</si>
  <si>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</si>
  <si>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</si>
  <si>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</si>
  <si>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</si>
  <si>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</si>
  <si>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</si>
  <si>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</si>
  <si>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</si>
  <si>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</si>
  <si>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</si>
  <si>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</si>
  <si>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</si>
  <si>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</si>
  <si>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</si>
  <si>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</si>
  <si>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</si>
  <si>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</si>
  <si>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</si>
  <si>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</si>
  <si>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</si>
  <si>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</si>
  <si>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</si>
  <si>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</si>
  <si>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</si>
  <si>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</si>
  <si>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</si>
  <si>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</si>
  <si>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</si>
  <si>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</si>
  <si>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</si>
  <si>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</si>
  <si>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</si>
  <si>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</si>
  <si>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</si>
  <si>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</si>
  <si>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</si>
  <si>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</si>
  <si>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</si>
  <si>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</si>
  <si>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</si>
  <si>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</si>
  <si>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</si>
  <si>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</si>
  <si>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</si>
  <si>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</si>
  <si>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</si>
  <si>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</si>
  <si>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</si>
  <si>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</si>
  <si>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</si>
  <si>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</si>
  <si>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</si>
  <si>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</si>
  <si>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</si>
  <si>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</si>
  <si>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</si>
  <si>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</si>
  <si>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</si>
  <si>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</si>
  <si>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</si>
  <si>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</si>
  <si>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</si>
  <si>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</si>
  <si>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</si>
  <si>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</si>
  <si>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</si>
  <si>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</si>
  <si>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</si>
  <si>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</si>
  <si>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</si>
  <si>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</si>
  <si>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</si>
  <si>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</si>
  <si>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</si>
  <si>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</si>
  <si>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</si>
  <si>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</si>
  <si>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</si>
  <si>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</si>
  <si>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</si>
  <si>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</si>
  <si>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</si>
  <si>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</si>
  <si>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</si>
  <si>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</si>
  <si>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</si>
  <si>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</si>
  <si>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</si>
  <si>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</si>
  <si>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</si>
  <si>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</si>
  <si>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</si>
  <si>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</si>
  <si>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</si>
  <si>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</si>
  <si>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</si>
  <si>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</si>
  <si>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</si>
  <si>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</si>
  <si>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</si>
  <si>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</si>
  <si>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</si>
  <si>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</si>
  <si>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</si>
  <si>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</si>
  <si>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</si>
  <si>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</si>
  <si>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</si>
  <si>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</si>
  <si>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</si>
  <si>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</si>
  <si>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</si>
  <si>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</si>
  <si>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</si>
  <si>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</si>
  <si>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</si>
  <si>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</si>
  <si>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</si>
  <si>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</si>
  <si>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</si>
  <si>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</si>
  <si>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</si>
  <si>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</si>
  <si>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</si>
  <si>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</si>
  <si>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</si>
  <si>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</si>
  <si>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</si>
  <si>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</si>
  <si>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</si>
  <si>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</si>
  <si>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</si>
  <si>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</si>
  <si>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</si>
  <si>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</si>
  <si>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</si>
  <si>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</si>
  <si>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</si>
  <si>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</si>
  <si>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</si>
  <si>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</si>
  <si>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</si>
  <si>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</si>
  <si>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</si>
  <si>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</si>
  <si>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</si>
  <si>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</si>
  <si>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</si>
  <si>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</si>
  <si>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</si>
  <si>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</si>
  <si>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</si>
  <si>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</si>
  <si>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</si>
  <si>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</si>
  <si>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</si>
  <si>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</si>
  <si>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</si>
  <si>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</si>
  <si>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</si>
  <si>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</si>
  <si>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</si>
  <si>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</si>
  <si>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</si>
  <si>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</si>
  <si>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</si>
  <si>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</si>
  <si>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</si>
  <si>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</si>
  <si>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</si>
  <si>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</si>
  <si>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</si>
  <si>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</si>
  <si>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</si>
  <si>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</si>
  <si>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</si>
  <si>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</si>
  <si>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</si>
  <si>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</si>
  <si>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</si>
  <si>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</si>
  <si>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</si>
  <si>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</si>
  <si>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</si>
  <si>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</si>
  <si>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</si>
  <si>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</si>
  <si>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</si>
  <si>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</si>
  <si>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</si>
  <si>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</si>
  <si>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</si>
  <si>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</si>
  <si>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</si>
  <si>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</si>
  <si>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</si>
  <si>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</si>
  <si>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</si>
  <si>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</si>
  <si>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</si>
  <si>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</si>
  <si>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</si>
  <si>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</si>
  <si>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</si>
  <si>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</si>
  <si>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</si>
  <si>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</si>
  <si>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</si>
  <si>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</si>
  <si>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</si>
  <si>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</si>
  <si>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</si>
  <si>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</si>
  <si>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</si>
  <si>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</si>
  <si>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</si>
  <si>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</si>
  <si>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</si>
  <si>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</si>
  <si>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</si>
  <si>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</si>
  <si>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</si>
  <si>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</si>
  <si>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</si>
  <si>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</si>
  <si>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</si>
  <si>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</si>
  <si>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</si>
  <si>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</si>
  <si>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</si>
  <si>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</si>
  <si>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</si>
  <si>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</si>
  <si>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</si>
  <si>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</si>
  <si>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</si>
  <si>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</si>
  <si>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</si>
  <si>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</si>
  <si>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</si>
  <si>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</si>
  <si>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</si>
  <si>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</si>
  <si>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</si>
  <si>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</si>
  <si>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</si>
  <si>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</si>
  <si>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</si>
  <si>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</si>
  <si>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</si>
  <si>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</si>
  <si>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</si>
  <si>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</si>
  <si>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</si>
  <si>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</si>
  <si>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</si>
  <si>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</si>
  <si>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</si>
  <si>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</si>
  <si>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</si>
  <si>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</si>
  <si>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</si>
  <si>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</si>
  <si>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</si>
  <si>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</si>
  <si>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</si>
  <si>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</si>
  <si>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</si>
  <si>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</si>
  <si>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</si>
  <si>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</si>
  <si>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</si>
  <si>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</si>
  <si>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</si>
  <si>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</si>
  <si>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</si>
  <si>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</si>
  <si>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</si>
  <si>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</si>
  <si>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</si>
  <si>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</si>
  <si>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</si>
  <si>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</si>
  <si>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</si>
  <si>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</si>
  <si>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</si>
  <si>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</si>
  <si>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</si>
  <si>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</si>
  <si>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</si>
  <si>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</si>
  <si>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</si>
  <si>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</si>
  <si>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</si>
  <si>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</si>
  <si>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</si>
  <si>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</si>
  <si>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</si>
  <si>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</si>
  <si>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</si>
  <si>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</si>
  <si>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</si>
  <si>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</si>
  <si>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</si>
  <si>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</si>
  <si>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</si>
  <si>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</si>
  <si>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</si>
  <si>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</si>
  <si>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</si>
  <si>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</si>
  <si>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</si>
  <si>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</si>
  <si>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</si>
  <si>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</si>
  <si>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</si>
  <si>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</si>
  <si>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</si>
  <si>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</si>
  <si>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</si>
  <si>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</si>
  <si>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</si>
  <si>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</si>
  <si>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</si>
  <si>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</si>
  <si>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</si>
  <si>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</si>
  <si>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</si>
  <si>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</si>
  <si>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</si>
  <si>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</si>
  <si>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</si>
  <si>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</si>
  <si>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</si>
  <si>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</si>
  <si>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</si>
  <si>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</si>
  <si>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</si>
  <si>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</si>
  <si>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</si>
  <si>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</si>
  <si>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</si>
  <si>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</si>
  <si>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</si>
  <si>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</si>
  <si>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</si>
  <si>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</si>
  <si>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</si>
  <si>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</si>
  <si>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</si>
  <si>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</si>
  <si>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</si>
  <si>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</si>
  <si>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</si>
  <si>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</si>
  <si>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</si>
  <si>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</si>
  <si>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</si>
  <si>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</si>
  <si>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</si>
  <si>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</si>
  <si>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</si>
  <si>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</si>
  <si>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</si>
  <si>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</si>
  <si>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</si>
  <si>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</si>
  <si>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</si>
  <si>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</si>
  <si>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</si>
  <si>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</si>
  <si>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</si>
  <si>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</si>
  <si>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</si>
  <si>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</si>
  <si>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</si>
  <si>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</si>
  <si>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</si>
  <si>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</si>
  <si>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</si>
  <si>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</si>
  <si>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</si>
  <si>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</si>
  <si>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</si>
  <si>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</si>
  <si>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</si>
  <si>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</si>
  <si>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</si>
  <si>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</si>
  <si>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</si>
  <si>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</si>
  <si>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</si>
  <si>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</si>
  <si>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</si>
  <si>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</si>
  <si>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</si>
  <si>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</si>
  <si>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</si>
  <si>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</si>
  <si>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</si>
  <si>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</si>
  <si>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</si>
  <si>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</si>
  <si>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</si>
  <si>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</si>
  <si>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</si>
  <si>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</si>
  <si>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</si>
  <si>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</si>
  <si>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</si>
  <si>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</si>
  <si>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</si>
  <si>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</si>
  <si>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</si>
  <si>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</si>
  <si>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</si>
  <si>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</si>
  <si>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</si>
  <si>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</si>
  <si>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</si>
  <si>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</si>
  <si>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</si>
  <si>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</si>
  <si>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</si>
  <si>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</si>
  <si>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</si>
  <si>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</si>
  <si>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</si>
  <si>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</si>
  <si>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</si>
  <si>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</si>
  <si>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</si>
  <si>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</si>
  <si>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</si>
  <si>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</si>
  <si>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</si>
  <si>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</si>
  <si>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</si>
  <si>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</si>
  <si>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</si>
  <si>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</si>
  <si>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</si>
  <si>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</si>
  <si>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</si>
  <si>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</si>
  <si>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</si>
  <si>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</si>
  <si>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</si>
  <si>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</si>
  <si>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</si>
  <si>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</si>
  <si>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</si>
  <si>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</si>
  <si>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</si>
  <si>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</si>
  <si>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</si>
  <si>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</si>
  <si>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</si>
  <si>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</si>
  <si>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</si>
  <si>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</si>
  <si>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</si>
  <si>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</si>
  <si>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</si>
  <si>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</si>
  <si>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</si>
  <si>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</si>
  <si>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</si>
  <si>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</si>
  <si>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</si>
  <si>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</si>
  <si>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</si>
  <si>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</si>
  <si>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</si>
  <si>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</si>
  <si>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</si>
  <si>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</si>
  <si>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</si>
  <si>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</si>
  <si>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</si>
  <si>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</si>
  <si>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</si>
  <si>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</si>
  <si>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</si>
  <si>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</si>
  <si>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</si>
  <si>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</si>
  <si>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</si>
  <si>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</si>
  <si>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</si>
  <si>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</si>
  <si>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</si>
  <si>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</si>
  <si>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</si>
  <si>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</si>
  <si>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</si>
  <si>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</si>
  <si>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</si>
  <si>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</si>
  <si>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</si>
  <si>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</si>
  <si>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</si>
  <si>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</si>
  <si>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</si>
  <si>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</si>
  <si>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</si>
  <si>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</si>
  <si>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</si>
  <si>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</si>
  <si>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</si>
  <si>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</si>
  <si>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</si>
  <si>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</si>
  <si>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</si>
  <si>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</si>
  <si>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</si>
  <si>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</si>
  <si>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</si>
  <si>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</si>
  <si>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</si>
  <si>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</si>
  <si>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</si>
  <si>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</si>
  <si>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</si>
  <si>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</si>
  <si>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</si>
  <si>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</si>
  <si>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</si>
  <si>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</si>
  <si>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</si>
  <si>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</si>
  <si>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</si>
  <si>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</si>
  <si>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</si>
  <si>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</si>
  <si>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</si>
  <si>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</si>
  <si>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</si>
  <si>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</si>
  <si>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</si>
  <si>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</si>
  <si>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</si>
  <si>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</si>
  <si>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</si>
  <si>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</si>
  <si>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</si>
  <si>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</si>
  <si>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</si>
  <si>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</si>
  <si>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</si>
  <si>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</si>
  <si>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</si>
  <si>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</si>
  <si>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</si>
  <si>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</si>
  <si>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</si>
  <si>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</si>
  <si>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</si>
  <si>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</si>
  <si>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</si>
  <si>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</si>
  <si>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</si>
  <si>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</si>
  <si>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</si>
  <si>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</si>
  <si>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</si>
  <si>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</si>
  <si>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</si>
  <si>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</si>
  <si>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</si>
  <si>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</si>
  <si>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</si>
  <si>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</si>
  <si>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</si>
  <si>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</si>
  <si>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</si>
  <si>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</si>
  <si>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</si>
  <si>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</si>
  <si>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</si>
  <si>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</si>
  <si>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</si>
  <si>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</si>
  <si>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</si>
  <si>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</si>
  <si>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</si>
  <si>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</si>
  <si>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</si>
  <si>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</si>
  <si>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</si>
  <si>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</si>
  <si>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</si>
  <si>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</si>
  <si>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</si>
  <si>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</si>
  <si>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</si>
  <si>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</si>
  <si>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</si>
  <si>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</si>
  <si>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</si>
  <si>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</si>
  <si>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</si>
  <si>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</si>
  <si>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</si>
  <si>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</si>
  <si>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</si>
  <si>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</si>
  <si>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</si>
  <si>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</si>
  <si>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</si>
  <si>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</si>
  <si>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</si>
  <si>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</si>
  <si>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</si>
  <si>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</si>
  <si>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</si>
  <si>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</si>
  <si>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</si>
  <si>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</si>
  <si>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</si>
  <si>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</si>
  <si>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</si>
  <si>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</si>
  <si>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</si>
  <si>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</si>
  <si>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</si>
  <si>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</si>
  <si>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</si>
  <si>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</si>
  <si>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</si>
  <si>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</si>
  <si>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</si>
  <si>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</si>
  <si>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</si>
  <si>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</si>
  <si>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</si>
  <si>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</si>
  <si>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</si>
  <si>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</si>
  <si>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</si>
  <si>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</si>
  <si>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</si>
  <si>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</si>
  <si>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</si>
  <si>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</si>
  <si>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</si>
  <si>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</si>
  <si>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</si>
  <si>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</si>
  <si>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</si>
  <si>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</si>
  <si>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</si>
  <si>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</si>
  <si>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</si>
  <si>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</si>
  <si>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</si>
  <si>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</si>
  <si>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</si>
  <si>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</si>
  <si>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</si>
  <si>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</si>
  <si>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</si>
  <si>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</si>
  <si>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</si>
  <si>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</si>
  <si>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</si>
  <si>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</si>
  <si>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</si>
  <si>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</si>
  <si>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</si>
  <si>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</si>
  <si>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</si>
  <si>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</si>
  <si>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</si>
  <si>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</si>
  <si>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</si>
  <si>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</si>
  <si>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</si>
  <si>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</si>
  <si>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</si>
  <si>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</si>
  <si>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</si>
  <si>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</si>
  <si>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</si>
  <si>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</si>
  <si>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</si>
  <si>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</si>
  <si>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</si>
  <si>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</si>
  <si>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</si>
  <si>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</si>
  <si>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</si>
  <si>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</si>
  <si>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</si>
  <si>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</si>
  <si>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</si>
  <si>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</si>
  <si>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</si>
  <si>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</si>
  <si>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</si>
  <si>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</si>
  <si>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</si>
  <si>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</si>
  <si>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</si>
  <si>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</si>
  <si>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</si>
  <si>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</si>
  <si>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</si>
  <si>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</si>
  <si>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</si>
  <si>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</si>
  <si>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</si>
  <si>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</si>
  <si>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</si>
  <si>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</si>
  <si>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</si>
  <si>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</si>
  <si>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</si>
  <si>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</si>
  <si>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</si>
  <si>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</si>
  <si>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</si>
  <si>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</si>
  <si>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</si>
  <si>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</si>
  <si>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</si>
  <si>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</si>
  <si>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</si>
  <si>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</si>
  <si>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</si>
  <si>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</si>
  <si>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</si>
  <si>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</si>
  <si>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</si>
  <si>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</si>
  <si>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</si>
  <si>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</si>
  <si>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</si>
  <si>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</si>
  <si>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</si>
  <si>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</si>
  <si>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</si>
  <si>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</si>
  <si>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</si>
  <si>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</si>
  <si>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</si>
  <si>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</si>
  <si>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</si>
  <si>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</si>
  <si>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</si>
  <si>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</si>
  <si>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</si>
  <si>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</si>
  <si>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</si>
  <si>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</si>
  <si>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</si>
  <si>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</si>
  <si>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</si>
  <si>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</si>
  <si>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</si>
  <si>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</si>
  <si>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</si>
  <si>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</si>
  <si>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</si>
  <si>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</si>
  <si>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</si>
  <si>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</si>
  <si>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</si>
  <si>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</si>
  <si>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</si>
  <si>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</si>
  <si>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</si>
  <si>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</si>
  <si>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</si>
  <si>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</si>
  <si>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</si>
  <si>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</si>
  <si>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</si>
  <si>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</si>
  <si>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</si>
  <si>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</si>
  <si>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</si>
  <si>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</si>
  <si>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</si>
  <si>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</si>
  <si>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</si>
  <si>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</si>
  <si>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</si>
  <si>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</si>
  <si>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</si>
  <si>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</si>
  <si>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</si>
  <si>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</si>
  <si>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</si>
  <si>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</si>
  <si>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</si>
  <si>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</si>
  <si>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</si>
  <si>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</si>
  <si>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</si>
  <si>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</si>
  <si>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</si>
  <si>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</si>
  <si>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</si>
  <si>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</si>
  <si>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</si>
  <si>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</si>
  <si>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</si>
  <si>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</si>
  <si>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</si>
  <si>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</si>
  <si>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</si>
  <si>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</si>
  <si>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</si>
  <si>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</si>
  <si>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</si>
  <si>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</si>
  <si>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</si>
  <si>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</si>
  <si>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</si>
  <si>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</si>
  <si>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</si>
  <si>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</si>
  <si>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</si>
  <si>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</si>
  <si>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</si>
  <si>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</si>
  <si>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</si>
  <si>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</si>
  <si>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</si>
  <si>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</si>
  <si>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</si>
  <si>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</si>
  <si>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</si>
  <si>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</si>
  <si>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</si>
  <si>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</si>
  <si>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</si>
  <si>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</si>
  <si>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</si>
  <si>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</si>
  <si>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</si>
  <si>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</si>
  <si>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</si>
  <si>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</si>
  <si>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</si>
  <si>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</si>
  <si>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</si>
  <si>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</si>
  <si>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</si>
  <si>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</si>
  <si>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</si>
  <si>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</si>
  <si>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</si>
  <si>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</si>
  <si>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</si>
  <si>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</si>
  <si>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</si>
  <si>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</si>
  <si>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</si>
  <si>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</si>
  <si>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</si>
  <si>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</si>
  <si>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</si>
  <si>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</si>
  <si>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</si>
  <si>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</si>
  <si>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</si>
  <si>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</si>
  <si>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</si>
  <si>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</si>
  <si>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</si>
  <si>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</si>
  <si>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</si>
  <si>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</si>
  <si>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</si>
  <si>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</si>
  <si>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</si>
  <si>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</si>
  <si>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</si>
  <si>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</si>
  <si>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</si>
  <si>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</si>
  <si>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</si>
  <si>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</si>
  <si>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</si>
  <si>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</si>
  <si>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</si>
  <si>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</si>
  <si>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</si>
  <si>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</si>
  <si>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</si>
  <si>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</si>
  <si>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</si>
  <si>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</si>
  <si>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</si>
  <si>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</si>
  <si>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</si>
  <si>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</si>
  <si>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</si>
  <si>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</si>
  <si>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</si>
  <si>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</si>
  <si>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</si>
  <si>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</si>
  <si>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</si>
  <si>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</si>
  <si>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</si>
  <si>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</si>
  <si>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</si>
  <si>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</si>
  <si>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</si>
  <si>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</si>
  <si>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</si>
  <si>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</si>
  <si>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</si>
  <si>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</si>
  <si>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</si>
  <si>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</si>
  <si>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</si>
  <si>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</si>
  <si>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</si>
  <si>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</si>
  <si>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</si>
  <si>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</si>
  <si>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</si>
  <si>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</si>
  <si>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</si>
  <si>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</si>
  <si>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</si>
  <si>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</si>
  <si>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</si>
  <si>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</si>
  <si>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</si>
  <si>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</si>
  <si>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</si>
  <si>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</si>
  <si>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</si>
  <si>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</si>
  <si>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</si>
  <si>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</si>
  <si>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</si>
  <si>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</si>
  <si>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</si>
  <si>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</si>
  <si>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</si>
  <si>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</si>
  <si>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</si>
  <si>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</si>
  <si>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</si>
  <si>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</si>
  <si>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</si>
  <si>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</si>
  <si>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</si>
  <si>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</si>
  <si>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</si>
  <si>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</si>
  <si>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</si>
  <si>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</si>
  <si>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</si>
  <si>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</si>
  <si>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</si>
  <si>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</si>
  <si>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</si>
  <si>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</si>
  <si>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</si>
  <si>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</si>
  <si>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</si>
  <si>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</si>
  <si>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</si>
  <si>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</si>
  <si>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</si>
  <si>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</si>
  <si>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</si>
  <si>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</si>
  <si>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</si>
  <si>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</si>
  <si>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</si>
  <si>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</si>
  <si>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</si>
  <si>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</si>
  <si>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</si>
  <si>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</si>
  <si>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</si>
  <si>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</si>
  <si>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</si>
  <si>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</si>
  <si>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</si>
  <si>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</si>
  <si>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</si>
  <si>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</si>
  <si>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</si>
  <si>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</si>
  <si>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</si>
  <si>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</si>
  <si>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</si>
  <si>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</si>
  <si>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</si>
  <si>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</si>
  <si>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</si>
  <si>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</si>
  <si>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</si>
  <si>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</si>
  <si>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</si>
  <si>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</si>
  <si>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</si>
  <si>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</si>
  <si>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</si>
  <si>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</si>
  <si>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</si>
  <si>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</si>
  <si>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</si>
  <si>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</si>
  <si>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</si>
  <si>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</si>
  <si>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</si>
  <si>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</si>
  <si>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</si>
  <si>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</si>
  <si>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</si>
  <si>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</si>
  <si>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</si>
  <si>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</si>
  <si>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</si>
  <si>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</si>
  <si>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</si>
  <si>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</si>
  <si>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</si>
  <si>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</si>
  <si>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</si>
  <si>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</si>
  <si>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</si>
  <si>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</si>
  <si>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</si>
  <si>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</si>
  <si>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</si>
  <si>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</si>
  <si>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</si>
  <si>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</si>
  <si>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</si>
  <si>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</si>
  <si>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</si>
  <si>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</si>
  <si>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</si>
  <si>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</si>
  <si>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</si>
  <si>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</si>
  <si>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</si>
  <si>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</si>
  <si>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</si>
  <si>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</si>
  <si>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</si>
  <si>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</si>
  <si>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</si>
  <si>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</si>
  <si>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</si>
  <si>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</si>
  <si>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</si>
  <si>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</si>
  <si>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</si>
  <si>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</si>
  <si>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</si>
  <si>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</si>
  <si>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</si>
  <si>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</si>
  <si>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</si>
  <si>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</si>
  <si>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</si>
  <si>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</si>
  <si>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</si>
  <si>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</si>
  <si>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</si>
  <si>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</si>
  <si>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</si>
  <si>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</si>
  <si>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</si>
  <si>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</si>
  <si>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</si>
  <si>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</si>
  <si>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</si>
  <si>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</si>
  <si>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</si>
  <si>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</si>
  <si>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</si>
  <si>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</si>
  <si>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</si>
  <si>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</si>
  <si>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</si>
  <si>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</si>
  <si>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</si>
  <si>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</si>
  <si>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</si>
  <si>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</si>
  <si>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</si>
  <si>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</si>
  <si>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</si>
  <si>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</si>
  <si>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</si>
  <si>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</si>
  <si>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</si>
  <si>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</si>
  <si>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</si>
  <si>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</si>
  <si>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</si>
  <si>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</si>
  <si>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</si>
  <si>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</si>
  <si>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</si>
  <si>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</si>
  <si>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</si>
  <si>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</si>
  <si>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</si>
  <si>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</si>
  <si>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</si>
  <si>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</si>
  <si>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</si>
  <si>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</si>
  <si>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</si>
  <si>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</si>
  <si>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</si>
  <si>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</si>
  <si>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</si>
  <si>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</si>
  <si>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</si>
  <si>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</si>
  <si>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</si>
  <si>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</si>
  <si>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</si>
  <si>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</si>
  <si>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</si>
  <si>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</si>
  <si>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</si>
  <si>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</si>
  <si>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</si>
  <si>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</si>
  <si>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</si>
  <si>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</si>
  <si>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</si>
  <si>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</si>
  <si>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</si>
  <si>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</si>
  <si>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</si>
  <si>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</si>
  <si>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</si>
  <si>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</si>
  <si>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</si>
  <si>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</si>
  <si>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</si>
  <si>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</si>
  <si>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</si>
  <si>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</si>
  <si>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</si>
  <si>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</si>
  <si>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</si>
  <si>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</si>
  <si>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</si>
  <si>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</si>
  <si>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</si>
  <si>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</si>
  <si>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</si>
  <si>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</si>
  <si>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</si>
  <si>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</si>
  <si>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</si>
  <si>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</si>
  <si>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</si>
  <si>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</si>
  <si>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</si>
  <si>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</si>
  <si>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</si>
  <si>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</si>
  <si>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</si>
  <si>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</si>
  <si>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</si>
  <si>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</si>
  <si>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</si>
  <si>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</si>
  <si>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</si>
  <si>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</si>
  <si>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</si>
  <si>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</si>
  <si>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</si>
  <si>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</si>
  <si>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</si>
  <si>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</si>
  <si>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</si>
  <si>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</si>
  <si>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</si>
  <si>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</si>
  <si>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</si>
  <si>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</si>
  <si>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</si>
  <si>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</si>
  <si>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</si>
  <si>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</si>
  <si>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</si>
  <si>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</si>
  <si>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</si>
  <si>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</si>
  <si>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</si>
  <si>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</si>
  <si>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</si>
  <si>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</si>
  <si>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</si>
  <si>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</si>
  <si>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</si>
  <si>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</si>
  <si>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</si>
  <si>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</si>
  <si>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</si>
  <si>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</si>
  <si>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</si>
  <si>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</si>
  <si>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</si>
  <si>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</si>
  <si>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</si>
  <si>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</si>
  <si>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</si>
  <si>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</si>
  <si>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</si>
  <si>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</si>
  <si>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</si>
  <si>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</si>
  <si>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</si>
  <si>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</si>
  <si>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</si>
  <si>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</si>
  <si>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</si>
  <si>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</si>
  <si>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</si>
  <si>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</si>
  <si>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</si>
  <si>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</si>
  <si>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</si>
  <si>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</si>
  <si>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</si>
  <si>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</si>
  <si>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</si>
  <si>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</si>
  <si>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</si>
  <si>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</si>
  <si>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</si>
  <si>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</si>
  <si>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</si>
  <si>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</si>
  <si>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</si>
  <si>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</si>
  <si>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</si>
  <si>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</si>
  <si>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</si>
  <si>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</si>
  <si>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</si>
  <si>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</si>
  <si>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</si>
  <si>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</si>
  <si>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</si>
  <si>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</si>
  <si>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</si>
  <si>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</si>
  <si>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</si>
  <si>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</si>
  <si>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</si>
  <si>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</si>
  <si>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</si>
  <si>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</si>
  <si>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</si>
  <si>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</si>
  <si>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</si>
  <si>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</si>
  <si>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</si>
  <si>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</si>
  <si>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</si>
  <si>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</si>
  <si>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</si>
  <si>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</si>
  <si>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</si>
  <si>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</si>
  <si>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</si>
  <si>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</si>
  <si>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</si>
  <si>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</si>
  <si>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</si>
  <si>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</si>
  <si>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</si>
  <si>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</si>
  <si>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</si>
  <si>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</si>
  <si>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</si>
  <si>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</si>
  <si>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</si>
  <si>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</si>
  <si>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</si>
  <si>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</si>
  <si>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</si>
  <si>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</si>
  <si>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</si>
  <si>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</si>
  <si>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</si>
  <si>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</si>
  <si>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</si>
  <si>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</si>
  <si>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</si>
  <si>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</si>
  <si>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</si>
  <si>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</si>
  <si>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</si>
  <si>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</si>
  <si>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</si>
  <si>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</si>
  <si>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</si>
  <si>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</si>
  <si>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</si>
  <si>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</si>
  <si>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</si>
  <si>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</si>
  <si>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</si>
  <si>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</si>
  <si>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</si>
  <si>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</si>
  <si>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</si>
  <si>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</si>
  <si>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</si>
  <si>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</si>
  <si>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</si>
  <si>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</si>
  <si>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</si>
  <si>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</si>
  <si>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</si>
  <si>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</si>
  <si>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</si>
  <si>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</si>
  <si>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</si>
  <si>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</si>
  <si>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</si>
  <si>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</si>
  <si>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</si>
  <si>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</si>
  <si>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</si>
  <si>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</si>
  <si>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</si>
  <si>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</si>
  <si>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</si>
  <si>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</si>
  <si>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</si>
  <si>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</si>
  <si>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</si>
  <si>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</si>
  <si>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</si>
  <si>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</si>
  <si>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</si>
  <si>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</si>
  <si>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</si>
  <si>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</si>
  <si>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</si>
  <si>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</si>
  <si>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</si>
  <si>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</si>
  <si>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</si>
  <si>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</si>
  <si>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</si>
  <si>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</si>
  <si>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</si>
  <si>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</si>
  <si>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</si>
  <si>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</si>
  <si>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</si>
  <si>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</si>
  <si>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</si>
  <si>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</si>
  <si>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</si>
  <si>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</si>
  <si>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</si>
  <si>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</si>
  <si>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</si>
  <si>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</si>
  <si>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</si>
  <si>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</si>
  <si>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</si>
  <si>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</si>
  <si>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</si>
  <si>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</si>
  <si>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</si>
  <si>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</si>
  <si>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</si>
  <si>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</si>
  <si>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</si>
  <si>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</si>
  <si>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</si>
  <si>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</si>
  <si>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</si>
  <si>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</si>
  <si>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</si>
  <si>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</si>
  <si>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</si>
  <si>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</si>
  <si>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</si>
  <si>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</si>
  <si>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</si>
  <si>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</si>
  <si>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</si>
  <si>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</si>
  <si>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</si>
  <si>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</si>
  <si>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</si>
  <si>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</si>
  <si>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</si>
  <si>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</si>
  <si>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</si>
  <si>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</si>
  <si>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</si>
  <si>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</si>
  <si>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</si>
  <si>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</si>
  <si>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</si>
  <si>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</si>
  <si>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</si>
  <si>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</si>
  <si>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</si>
  <si>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</si>
  <si>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</si>
  <si>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</si>
  <si>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</si>
  <si>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</si>
  <si>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</si>
  <si>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</si>
  <si>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</si>
  <si>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</si>
  <si>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</si>
  <si>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</si>
  <si>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</si>
  <si>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</si>
  <si>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</si>
  <si>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</si>
  <si>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</si>
  <si>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</si>
  <si>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</si>
  <si>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</si>
  <si>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</si>
  <si>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</si>
  <si>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</si>
  <si>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</si>
  <si>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</si>
  <si>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</si>
  <si>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</si>
  <si>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</si>
  <si>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</si>
  <si>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</si>
  <si>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</si>
  <si>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</si>
  <si>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</si>
  <si>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</si>
  <si>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</si>
  <si>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</si>
  <si>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</si>
  <si>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</si>
  <si>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</si>
  <si>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</si>
  <si>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</si>
  <si>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</si>
  <si>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</si>
  <si>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</si>
  <si>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</si>
  <si>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</si>
  <si>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</si>
  <si>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</si>
  <si>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</si>
  <si>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</si>
  <si>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</si>
  <si>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</si>
  <si>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</si>
  <si>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</si>
  <si>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</si>
  <si>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</si>
  <si>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</si>
  <si>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</si>
  <si>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</si>
  <si>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</si>
  <si>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</si>
  <si>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</si>
  <si>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</si>
  <si>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</si>
  <si>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</si>
  <si>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</si>
  <si>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</si>
  <si>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</si>
  <si>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</si>
  <si>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</si>
  <si>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</si>
  <si>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</si>
  <si>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</si>
  <si>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</si>
  <si>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</si>
  <si>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</si>
  <si>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</si>
  <si>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</si>
  <si>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</si>
  <si>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</si>
  <si>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</si>
  <si>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</si>
  <si>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</si>
  <si>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</si>
  <si>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</si>
  <si>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</si>
  <si>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</si>
  <si>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</si>
  <si>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</si>
  <si>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</si>
  <si>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</si>
  <si>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</si>
  <si>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</si>
  <si>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</si>
  <si>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</si>
  <si>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</si>
  <si>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</si>
  <si>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</si>
  <si>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</si>
  <si>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</si>
  <si>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</si>
  <si>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</si>
  <si>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</si>
  <si>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</si>
  <si>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</si>
  <si>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</si>
  <si>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</si>
  <si>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</si>
  <si>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</si>
  <si>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</si>
  <si>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</si>
  <si>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</si>
  <si>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</si>
  <si>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</si>
  <si>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</si>
  <si>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</si>
  <si>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</si>
  <si>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</si>
  <si>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</si>
  <si>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</si>
  <si>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</si>
  <si>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</si>
  <si>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</si>
  <si>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</si>
  <si>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</si>
  <si>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</si>
  <si>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</si>
  <si>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</si>
  <si>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</si>
  <si>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</si>
  <si>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</si>
  <si>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</si>
  <si>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</si>
  <si>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</si>
  <si>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</si>
  <si>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</si>
  <si>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</si>
  <si>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</si>
  <si>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</si>
  <si>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</si>
  <si>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</si>
  <si>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</si>
  <si>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</si>
  <si>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</si>
  <si>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</si>
  <si>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</si>
  <si>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</si>
  <si>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</si>
  <si>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</si>
  <si>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</si>
  <si>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</si>
  <si>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</si>
  <si>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</si>
  <si>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</si>
  <si>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</si>
  <si>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</si>
  <si>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</si>
  <si>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</si>
  <si>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</si>
  <si>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</si>
  <si>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</si>
  <si>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</si>
  <si>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</si>
  <si>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</si>
  <si>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</si>
  <si>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</si>
  <si>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</si>
  <si>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</si>
  <si>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</si>
  <si>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</si>
  <si>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</si>
  <si>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</si>
  <si>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</si>
  <si>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</si>
  <si>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</si>
  <si>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</si>
  <si>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</si>
  <si>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</si>
  <si>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</si>
  <si>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</si>
  <si>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</si>
  <si>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</si>
  <si>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</si>
  <si>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</si>
  <si>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</si>
  <si>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</si>
  <si>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</si>
  <si>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</si>
  <si>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</si>
  <si>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</si>
  <si>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</si>
  <si>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</si>
  <si>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</si>
  <si>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</si>
  <si>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</si>
  <si>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</si>
  <si>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</si>
  <si>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</si>
  <si>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</si>
  <si>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</si>
  <si>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</si>
  <si>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</si>
  <si>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</si>
  <si>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</si>
  <si>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</si>
  <si>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</si>
  <si>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</si>
  <si>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</si>
  <si>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</si>
  <si>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</si>
  <si>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</si>
  <si>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</si>
  <si>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</si>
  <si>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</si>
  <si>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</si>
  <si>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</si>
  <si>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</si>
  <si>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</si>
  <si>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</si>
  <si>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</si>
  <si>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</si>
  <si>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</si>
  <si>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</si>
  <si>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</si>
  <si>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</si>
  <si>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</si>
  <si>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</si>
  <si>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</si>
  <si>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</si>
  <si>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</si>
  <si>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</si>
  <si>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</si>
  <si>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</si>
  <si>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</si>
  <si>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</si>
  <si>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</si>
  <si>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</si>
  <si>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</si>
  <si>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</si>
  <si>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</si>
  <si>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</si>
  <si>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</si>
  <si>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</si>
  <si>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</si>
  <si>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</si>
  <si>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</si>
  <si>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</si>
  <si>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</si>
  <si>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</si>
  <si>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</si>
  <si>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</si>
  <si>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</si>
  <si>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</si>
  <si>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</si>
  <si>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</si>
  <si>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</si>
  <si>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</si>
  <si>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</si>
  <si>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</si>
  <si>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</si>
  <si>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</si>
  <si>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</si>
  <si>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</si>
  <si>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</si>
  <si>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</si>
  <si>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</si>
  <si>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</si>
  <si>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</si>
  <si>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</si>
  <si>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</si>
  <si>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</si>
  <si>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</si>
  <si>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</si>
  <si>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</si>
  <si>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</si>
  <si>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</si>
  <si>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</si>
  <si>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</si>
  <si>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</si>
  <si>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</si>
  <si>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</si>
  <si>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</si>
  <si>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</si>
  <si>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</si>
  <si>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</si>
  <si>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</si>
  <si>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</si>
  <si>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</si>
  <si>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</si>
  <si>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</si>
  <si>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</si>
  <si>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</si>
  <si>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</si>
  <si>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</si>
  <si>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</si>
  <si>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</si>
  <si>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</si>
  <si>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</si>
  <si>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</si>
  <si>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</si>
  <si>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</si>
  <si>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</si>
  <si>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</si>
  <si>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</si>
  <si>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</si>
  <si>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</si>
  <si>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</si>
  <si>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</si>
  <si>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</si>
  <si>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</si>
  <si>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</si>
  <si>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</si>
  <si>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</si>
  <si>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</si>
  <si>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</si>
  <si>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</si>
  <si>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</si>
  <si>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</si>
  <si>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</si>
  <si>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</si>
  <si>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</si>
  <si>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</si>
  <si>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</si>
  <si>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</si>
  <si>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</si>
  <si>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</si>
  <si>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</si>
  <si>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</si>
  <si>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</si>
  <si>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</si>
  <si>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</si>
  <si>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</si>
  <si>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</si>
  <si>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</si>
  <si>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</si>
  <si>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</si>
  <si>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</si>
  <si>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</si>
  <si>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</si>
  <si>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</si>
  <si>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</si>
  <si>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</si>
  <si>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</si>
  <si>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</si>
  <si>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</si>
  <si>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</si>
  <si>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</si>
  <si>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</si>
  <si>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</si>
  <si>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</si>
  <si>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</si>
  <si>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</si>
  <si>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</si>
  <si>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</si>
  <si>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</si>
  <si>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</si>
  <si>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</si>
  <si>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</si>
  <si>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</si>
  <si>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</si>
  <si>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</si>
  <si>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</si>
  <si>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</si>
  <si>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</si>
  <si>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</si>
  <si>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</si>
  <si>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</si>
  <si>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</si>
  <si>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</si>
  <si>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</si>
  <si>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</si>
  <si>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</si>
  <si>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</si>
  <si>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</si>
  <si>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</si>
  <si>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</si>
  <si>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</si>
  <si>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</si>
  <si>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</si>
  <si>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</si>
  <si>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</si>
  <si>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</si>
  <si>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</si>
  <si>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</si>
  <si>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</si>
  <si>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</si>
  <si>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</si>
  <si>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</si>
  <si>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</si>
  <si>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</si>
  <si>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</si>
  <si>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</si>
  <si>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</si>
  <si>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</si>
  <si>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</si>
  <si>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</si>
  <si>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</si>
  <si>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</si>
  <si>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</si>
  <si>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</si>
  <si>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</si>
  <si>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</si>
  <si>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</si>
  <si>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</si>
  <si>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</si>
  <si>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</si>
  <si>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</si>
  <si>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</si>
  <si>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</si>
  <si>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</si>
  <si>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</si>
  <si>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</si>
  <si>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</si>
  <si>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</si>
  <si>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</si>
  <si>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</si>
  <si>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</si>
  <si>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</si>
  <si>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</si>
  <si>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</si>
  <si>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</si>
  <si>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</si>
  <si>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</si>
  <si>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</si>
  <si>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</si>
  <si>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</si>
  <si>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</si>
  <si>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</si>
  <si>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</si>
  <si>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</si>
  <si>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</si>
  <si>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</si>
  <si>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</si>
  <si>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</si>
  <si>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</si>
  <si>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</si>
  <si>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</si>
  <si>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</si>
  <si>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</si>
  <si>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</si>
  <si>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</si>
  <si>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</si>
  <si>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</si>
  <si>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</si>
  <si>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</si>
  <si>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</si>
  <si>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</si>
  <si>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</si>
  <si>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</si>
  <si>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</si>
  <si>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</si>
  <si>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</si>
  <si>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</si>
  <si>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</si>
  <si>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</si>
  <si>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</si>
  <si>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</si>
  <si>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</si>
  <si>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</si>
  <si>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</si>
  <si>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</si>
  <si>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</si>
  <si>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</si>
  <si>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</si>
  <si>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</si>
  <si>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</si>
  <si>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</si>
  <si>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</si>
  <si>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</si>
  <si>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</si>
  <si>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</si>
  <si>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</si>
  <si>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</si>
  <si>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</si>
  <si>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</si>
  <si>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</si>
  <si>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</si>
  <si>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</si>
  <si>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</si>
  <si>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</si>
  <si>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</si>
  <si>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</si>
  <si>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</si>
  <si>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</si>
  <si>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</si>
  <si>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</si>
  <si>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</si>
  <si>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</si>
  <si>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</si>
  <si>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</si>
  <si>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</si>
  <si>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</si>
  <si>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</si>
  <si>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</si>
  <si>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</si>
  <si>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</si>
  <si>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</si>
  <si>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</si>
  <si>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</si>
  <si>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</si>
  <si>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</si>
  <si>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</si>
  <si>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</si>
  <si>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</si>
  <si>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</si>
  <si>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</si>
  <si>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</si>
  <si>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</si>
  <si>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</si>
  <si>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</si>
  <si>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</si>
  <si>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</si>
  <si>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</si>
  <si>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</si>
  <si>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</si>
  <si>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</si>
  <si>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</si>
  <si>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</si>
  <si>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</si>
  <si>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</si>
  <si>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</si>
  <si>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</si>
  <si>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</si>
  <si>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</si>
  <si>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</si>
  <si>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</si>
  <si>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</si>
  <si>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</si>
  <si>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</si>
  <si>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</si>
  <si>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</si>
  <si>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</si>
  <si>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</si>
  <si>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</si>
  <si>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</si>
  <si>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</si>
  <si>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</si>
  <si>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</si>
  <si>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</si>
  <si>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</si>
  <si>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</si>
  <si>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</si>
  <si>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</si>
  <si>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</si>
  <si>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</si>
  <si>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</si>
  <si>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</si>
  <si>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</si>
  <si>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</si>
  <si>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</si>
  <si>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</si>
  <si>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</si>
  <si>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</si>
  <si>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</si>
  <si>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</si>
  <si>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</si>
  <si>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</si>
  <si>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</si>
  <si>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</si>
  <si>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</si>
  <si>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</si>
  <si>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</si>
  <si>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</si>
  <si>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</si>
  <si>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</si>
  <si>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</si>
  <si>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</si>
  <si>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</si>
  <si>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</si>
  <si>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</si>
  <si>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</si>
  <si>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</si>
  <si>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</si>
  <si>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</si>
  <si>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</si>
  <si>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</si>
  <si>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</si>
  <si>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</si>
  <si>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</si>
  <si>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</si>
  <si>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</si>
  <si>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</si>
  <si>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</si>
  <si>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</si>
  <si>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</si>
  <si>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</si>
  <si>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</si>
  <si>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</si>
  <si>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</si>
  <si>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</si>
  <si>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</si>
  <si>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</si>
  <si>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</si>
  <si>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</si>
  <si>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</si>
  <si>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</si>
  <si>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</si>
  <si>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</si>
  <si>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</si>
  <si>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</si>
  <si>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</si>
  <si>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</si>
  <si>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</si>
  <si>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</si>
  <si>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</si>
  <si>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</si>
  <si>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</si>
  <si>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</si>
  <si>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</si>
  <si>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</si>
  <si>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</si>
  <si>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</si>
  <si>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</si>
  <si>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</si>
  <si>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</si>
  <si>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</si>
  <si>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</si>
  <si>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</si>
  <si>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</si>
  <si>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</si>
  <si>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</si>
  <si>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</si>
  <si>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</si>
  <si>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</si>
  <si>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</si>
  <si>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</si>
  <si>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</si>
  <si>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</si>
  <si>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</si>
  <si>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</si>
  <si>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</si>
  <si>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</si>
  <si>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</si>
  <si>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</si>
  <si>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</si>
  <si>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</si>
  <si>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</si>
  <si>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</si>
  <si>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</si>
  <si>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</si>
  <si>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</si>
  <si>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</si>
  <si>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</si>
  <si>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</si>
  <si>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</si>
  <si>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</si>
  <si>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</si>
  <si>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</si>
  <si>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</si>
  <si>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</si>
  <si>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</si>
  <si>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</si>
  <si>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</si>
  <si>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</si>
  <si>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</si>
  <si>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</si>
  <si>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</si>
  <si>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</si>
  <si>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</si>
  <si>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</si>
  <si>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</si>
  <si>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</si>
  <si>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</si>
  <si>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</si>
  <si>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</si>
  <si>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</si>
  <si>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</si>
  <si>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</si>
  <si>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</si>
  <si>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</si>
  <si>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</si>
  <si>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</si>
  <si>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</si>
  <si>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</si>
  <si>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</si>
  <si>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</si>
  <si>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</si>
  <si>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</si>
  <si>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</si>
  <si>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</si>
  <si>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</si>
  <si>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</si>
  <si>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</si>
  <si>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</si>
  <si>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</si>
  <si>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</si>
  <si>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</si>
  <si>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</si>
  <si>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</si>
  <si>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</si>
  <si>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</si>
  <si>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</si>
  <si>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</si>
  <si>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</si>
  <si>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</si>
  <si>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</si>
  <si>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</si>
  <si>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</si>
  <si>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</si>
  <si>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</si>
  <si>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</si>
  <si>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</si>
  <si>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</si>
  <si>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</si>
  <si>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</si>
  <si>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</si>
  <si>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</si>
  <si>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</si>
  <si>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</si>
  <si>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</si>
  <si>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</si>
  <si>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</si>
  <si>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</si>
  <si>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</si>
  <si>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</si>
  <si>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</si>
  <si>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</si>
  <si>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</si>
  <si>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</si>
  <si>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</si>
  <si>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</si>
  <si>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</si>
  <si>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</si>
  <si>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</si>
  <si>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</si>
  <si>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</si>
  <si>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</si>
  <si>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</si>
  <si>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</si>
  <si>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</si>
  <si>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</si>
  <si>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</si>
  <si>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</si>
  <si>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</si>
  <si>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</si>
  <si>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</si>
  <si>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</si>
  <si>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</si>
  <si>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</si>
  <si>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</si>
  <si>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</si>
  <si>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</si>
  <si>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</si>
  <si>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</si>
  <si>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</si>
  <si>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</si>
  <si>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</si>
  <si>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</si>
  <si>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</si>
  <si>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</si>
  <si>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</si>
  <si>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</si>
  <si>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</si>
  <si>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</si>
  <si>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</si>
  <si>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</si>
  <si>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</si>
  <si>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</si>
  <si>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</si>
  <si>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</si>
  <si>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</si>
  <si>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</si>
  <si>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</si>
  <si>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</si>
  <si>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</si>
  <si>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</si>
  <si>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</si>
  <si>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</si>
  <si>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</si>
  <si>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</si>
  <si>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</si>
  <si>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</si>
  <si>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</si>
  <si>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</si>
  <si>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</si>
  <si>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</si>
  <si>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</si>
  <si>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</si>
  <si>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</si>
  <si>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</si>
  <si>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</si>
  <si>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</si>
  <si>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</si>
  <si>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</si>
  <si>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</si>
  <si>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</si>
  <si>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</si>
  <si>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</si>
  <si>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</si>
  <si>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</si>
  <si>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</si>
  <si>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</si>
  <si>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</si>
  <si>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</si>
  <si>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</si>
  <si>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</si>
  <si>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</si>
  <si>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</si>
  <si>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</si>
  <si>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</si>
  <si>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</si>
  <si>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</si>
  <si>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</si>
  <si>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</si>
  <si>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</si>
  <si>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</si>
  <si>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</si>
  <si>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</si>
  <si>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</si>
  <si>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</si>
  <si>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</si>
  <si>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</si>
  <si>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</si>
  <si>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</si>
  <si>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</si>
  <si>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</si>
  <si>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</si>
  <si>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</si>
  <si>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</si>
  <si>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</si>
  <si>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</si>
  <si>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</si>
  <si>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</si>
  <si>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</si>
  <si>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</si>
  <si>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</si>
  <si>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</si>
  <si>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</si>
  <si>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</si>
  <si>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</si>
  <si>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</si>
  <si>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</si>
  <si>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</si>
  <si>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</si>
  <si>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</si>
  <si>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</si>
  <si>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</si>
  <si>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</si>
  <si>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</si>
  <si>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</si>
  <si>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</si>
  <si>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</si>
  <si>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</si>
  <si>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</si>
  <si>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</si>
  <si>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</si>
  <si>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</si>
  <si>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</si>
  <si>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</si>
  <si>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</si>
  <si>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</si>
  <si>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</si>
  <si>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</si>
  <si>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</si>
  <si>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</si>
  <si>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</si>
  <si>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</si>
  <si>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</si>
  <si>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</si>
  <si>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</si>
  <si>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</si>
  <si>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</si>
  <si>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</si>
  <si>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</si>
  <si>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</si>
  <si>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</si>
  <si>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</si>
  <si>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</si>
  <si>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</si>
  <si>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</si>
  <si>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</si>
  <si>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</si>
  <si>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</si>
  <si>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</si>
  <si>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</si>
  <si>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</si>
  <si>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</si>
  <si>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</si>
  <si>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</si>
  <si>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</si>
  <si>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</si>
  <si>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</si>
  <si>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</si>
  <si>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</si>
  <si>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</si>
  <si>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</si>
  <si>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</si>
  <si>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</si>
  <si>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</si>
  <si>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</si>
  <si>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</si>
  <si>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</si>
  <si>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</si>
  <si>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</si>
  <si>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</si>
  <si>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</si>
  <si>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</si>
  <si>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</si>
  <si>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</si>
  <si>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</si>
  <si>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</si>
  <si>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</si>
  <si>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</si>
  <si>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</si>
  <si>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</si>
  <si>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</si>
  <si>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</si>
  <si>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</si>
  <si>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</si>
  <si>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</si>
  <si>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</si>
  <si>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</si>
  <si>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</si>
  <si>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</si>
  <si>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</si>
  <si>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</si>
  <si>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</si>
  <si>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</si>
  <si>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</si>
  <si>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</si>
  <si>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</si>
  <si>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</si>
  <si>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</si>
  <si>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</si>
  <si>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</si>
  <si>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</si>
  <si>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</si>
  <si>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</si>
  <si>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</si>
  <si>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</si>
  <si>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</si>
  <si>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</si>
  <si>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</si>
  <si>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</si>
  <si>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</si>
  <si>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</si>
  <si>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</si>
  <si>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</si>
  <si>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</si>
  <si>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</si>
  <si>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</si>
  <si>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</si>
  <si>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</si>
  <si>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</si>
  <si>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</si>
  <si>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</si>
  <si>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</si>
  <si>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</si>
  <si>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</si>
  <si>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</si>
  <si>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</si>
  <si>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</si>
  <si>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</si>
  <si>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</si>
  <si>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</si>
  <si>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</si>
  <si>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</si>
  <si>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</si>
  <si>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</si>
  <si>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</si>
  <si>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</si>
  <si>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</si>
  <si>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</si>
  <si>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</si>
  <si>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</si>
  <si>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</si>
  <si>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</si>
  <si>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</si>
  <si>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</si>
  <si>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</si>
  <si>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</si>
  <si>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</si>
  <si>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</si>
  <si>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</si>
  <si>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</si>
  <si>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</si>
  <si>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</si>
  <si>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</si>
  <si>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</si>
  <si>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</si>
  <si>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</si>
  <si>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</si>
  <si>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</si>
  <si>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</si>
  <si>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</si>
  <si>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</si>
  <si>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</si>
  <si>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</si>
  <si>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</si>
  <si>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</si>
  <si>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</si>
  <si>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</si>
  <si>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</si>
  <si>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</si>
  <si>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</si>
  <si>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</si>
  <si>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</si>
  <si>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</si>
  <si>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</si>
  <si>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</si>
  <si>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</si>
  <si>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</si>
  <si>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</si>
  <si>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</si>
  <si>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</si>
  <si>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</si>
  <si>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</si>
  <si>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</si>
  <si>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</si>
  <si>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</si>
  <si>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</si>
  <si>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</si>
  <si>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</si>
  <si>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</si>
  <si>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</si>
  <si>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</si>
  <si>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</si>
  <si>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</si>
  <si>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</si>
  <si>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</si>
  <si>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</si>
  <si>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</si>
  <si>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</si>
  <si>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</si>
  <si>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</si>
  <si>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</si>
  <si>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</si>
  <si>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</si>
  <si>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</si>
  <si>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</si>
  <si>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</si>
  <si>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</si>
  <si>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</si>
  <si>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</si>
  <si>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</si>
  <si>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</si>
  <si>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</si>
  <si>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</si>
  <si>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</si>
  <si>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</si>
  <si>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</si>
  <si>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</si>
  <si>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</si>
  <si>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</si>
  <si>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</si>
  <si>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</si>
  <si>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</si>
  <si>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</si>
  <si>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</si>
  <si>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</si>
  <si>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</si>
  <si>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</si>
  <si>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</si>
  <si>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</si>
  <si>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</si>
  <si>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</si>
  <si>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</si>
  <si>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</si>
  <si>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</si>
  <si>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</si>
  <si>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</si>
  <si>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</si>
  <si>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</si>
  <si>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</si>
  <si>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</si>
  <si>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</si>
  <si>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</si>
  <si>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</si>
  <si>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</si>
  <si>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</si>
  <si>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</si>
  <si>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</si>
  <si>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</si>
  <si>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</si>
  <si>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</si>
  <si>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</si>
  <si>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</si>
  <si>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</si>
  <si>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</si>
  <si>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</si>
  <si>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</si>
  <si>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</si>
  <si>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</si>
  <si>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</si>
  <si>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</si>
  <si>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</si>
  <si>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</si>
  <si>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</si>
  <si>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</si>
  <si>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</si>
  <si>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</si>
  <si>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</si>
  <si>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</si>
  <si>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</si>
  <si>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</si>
  <si>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</si>
  <si>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</si>
  <si>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</si>
  <si>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</si>
  <si>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</si>
  <si>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</si>
  <si>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</si>
  <si>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</si>
  <si>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</si>
  <si>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</si>
  <si>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</si>
  <si>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</si>
  <si>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</si>
  <si>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</si>
  <si>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</si>
  <si>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</si>
  <si>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</si>
  <si>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</si>
  <si>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</si>
  <si>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</si>
  <si>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</si>
  <si>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</si>
  <si>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</si>
  <si>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</si>
  <si>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</si>
  <si>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</si>
  <si>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</si>
  <si>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</si>
  <si>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</si>
  <si>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</si>
  <si>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</si>
  <si>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</si>
  <si>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</si>
  <si>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</si>
  <si>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</si>
  <si>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</si>
  <si>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</si>
  <si>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</si>
  <si>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</si>
  <si>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</si>
  <si>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</si>
  <si>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</si>
  <si>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</si>
  <si>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</si>
  <si>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</si>
  <si>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</si>
  <si>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</si>
  <si>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</si>
  <si>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</si>
  <si>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</si>
  <si>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</si>
  <si>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</si>
  <si>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</si>
  <si>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</si>
  <si>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</si>
  <si>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</si>
  <si>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</si>
  <si>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</si>
  <si>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</si>
  <si>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</si>
  <si>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</si>
  <si>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</si>
  <si>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</si>
  <si>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</si>
  <si>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</si>
  <si>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</si>
  <si>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</si>
  <si>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</si>
  <si>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</si>
  <si>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</si>
  <si>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</si>
  <si>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</si>
  <si>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</si>
  <si>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</si>
  <si>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</si>
  <si>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</si>
  <si>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</si>
  <si>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</si>
  <si>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</si>
  <si>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</si>
  <si>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</si>
  <si>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</si>
  <si>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</si>
  <si>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</si>
  <si>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</si>
  <si>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</si>
  <si>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</si>
  <si>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</si>
  <si>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</si>
  <si>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</si>
  <si>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</si>
  <si>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</si>
  <si>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</si>
  <si>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</si>
  <si>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</si>
  <si>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</si>
  <si>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</si>
  <si>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</si>
  <si>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</si>
  <si>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</si>
  <si>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</si>
  <si>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</si>
  <si>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</si>
  <si>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</si>
  <si>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</si>
  <si>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</si>
  <si>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</si>
  <si>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</si>
  <si>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</si>
  <si>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</si>
  <si>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</si>
  <si>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</si>
  <si>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</si>
  <si>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</si>
  <si>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</si>
  <si>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</si>
  <si>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</si>
  <si>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</si>
  <si>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</si>
  <si>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</si>
  <si>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</si>
  <si>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</si>
  <si>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</si>
  <si>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</si>
  <si>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</si>
  <si>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</si>
  <si>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</si>
  <si>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</si>
  <si>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</si>
  <si>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</si>
  <si>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</si>
  <si>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</si>
  <si>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</si>
  <si>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</si>
  <si>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</si>
  <si>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</si>
  <si>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</si>
  <si>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</si>
  <si>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</si>
  <si>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</si>
  <si>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</si>
  <si>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</si>
  <si>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</si>
  <si>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</si>
  <si>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</si>
  <si>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</si>
  <si>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</si>
  <si>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</si>
  <si>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</si>
  <si>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</si>
  <si>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</si>
  <si>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</si>
  <si>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</si>
  <si>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</si>
  <si>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</si>
  <si>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</si>
  <si>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</si>
  <si>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</si>
  <si>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</si>
  <si>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</si>
  <si>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</si>
  <si>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</si>
  <si>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</si>
  <si>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</si>
  <si>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</si>
  <si>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</si>
  <si>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</si>
  <si>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</si>
  <si>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</si>
  <si>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</si>
  <si>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</si>
  <si>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</si>
  <si>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</si>
  <si>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</si>
  <si>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</si>
  <si>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</si>
  <si>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</si>
  <si>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</si>
  <si>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</si>
  <si>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</si>
  <si>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</si>
  <si>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</si>
  <si>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</si>
  <si>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</si>
  <si>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</si>
  <si>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</si>
  <si>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</si>
  <si>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</si>
  <si>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</si>
  <si>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</si>
  <si>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</si>
  <si>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</si>
  <si>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</si>
  <si>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</si>
  <si>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</si>
  <si>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</si>
  <si>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</si>
  <si>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</si>
  <si>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</si>
  <si>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</si>
  <si>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</si>
  <si>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</si>
  <si>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</si>
  <si>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</si>
  <si>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</si>
  <si>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</si>
  <si>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</si>
  <si>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</si>
  <si>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</si>
  <si>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</si>
  <si>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</si>
  <si>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</si>
  <si>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</si>
  <si>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</si>
  <si>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</si>
  <si>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</si>
  <si>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</si>
  <si>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</si>
  <si>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</si>
  <si>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</si>
  <si>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</si>
  <si>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</si>
  <si>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</si>
  <si>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</si>
  <si>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</si>
  <si>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</si>
  <si>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</si>
  <si>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</si>
  <si>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</si>
  <si>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</si>
  <si>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</si>
  <si>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</si>
  <si>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</si>
  <si>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</si>
  <si>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</si>
  <si>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</si>
  <si>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</si>
  <si>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</si>
  <si>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</si>
  <si>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</si>
  <si>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</si>
  <si>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</si>
  <si>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</si>
  <si>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</si>
  <si>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</si>
  <si>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</si>
  <si>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</si>
  <si>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</si>
  <si>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</si>
  <si>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</si>
  <si>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</si>
  <si>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</si>
  <si>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</si>
  <si>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</si>
  <si>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</si>
  <si>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</si>
  <si>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</si>
  <si>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</si>
  <si>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</si>
  <si>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</si>
  <si>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</si>
  <si>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</si>
  <si>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</si>
  <si>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</si>
  <si>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</si>
  <si>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</si>
  <si>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</si>
  <si>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</si>
  <si>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</si>
  <si>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</si>
  <si>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</si>
  <si>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</si>
  <si>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</si>
  <si>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</si>
  <si>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</si>
  <si>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</si>
  <si>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</si>
  <si>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</si>
  <si>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</si>
  <si>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</si>
  <si>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</si>
  <si>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</si>
  <si>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</si>
  <si>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</si>
  <si>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</si>
  <si>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</si>
  <si>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</si>
  <si>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</si>
  <si>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</si>
  <si>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</si>
  <si>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</si>
  <si>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</si>
  <si>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</si>
  <si>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</si>
  <si>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</si>
  <si>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</si>
  <si>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</si>
  <si>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</si>
  <si>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</si>
  <si>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</si>
  <si>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</si>
  <si>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</si>
  <si>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</si>
  <si>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</si>
  <si>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</si>
  <si>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</si>
  <si>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</si>
  <si>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</si>
  <si>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</si>
  <si>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</si>
  <si>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</si>
  <si>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</si>
  <si>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</si>
  <si>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</si>
  <si>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</si>
  <si>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</si>
  <si>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</si>
  <si>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</si>
  <si>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</si>
  <si>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</si>
  <si>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</si>
  <si>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</si>
  <si>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</si>
  <si>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</si>
  <si>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</si>
  <si>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</si>
  <si>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</si>
  <si>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</si>
  <si>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</si>
  <si>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</si>
  <si>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</si>
  <si>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</si>
  <si>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</si>
  <si>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</si>
  <si>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</si>
  <si>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</si>
  <si>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</si>
  <si>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</si>
  <si>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</si>
  <si>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</si>
  <si>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</si>
  <si>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</si>
  <si>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</si>
  <si>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</si>
  <si>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</si>
  <si>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</si>
  <si>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</si>
  <si>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</si>
  <si>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</si>
  <si>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</si>
  <si>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</si>
  <si>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</si>
  <si>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</si>
  <si>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</si>
  <si>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</si>
  <si>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</si>
  <si>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</si>
  <si>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</si>
  <si>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</si>
  <si>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</si>
  <si>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</si>
  <si>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</si>
  <si>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</si>
  <si>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</si>
  <si>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</si>
  <si>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</si>
  <si>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</si>
  <si>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</si>
  <si>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</si>
  <si>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</si>
  <si>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</si>
  <si>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</si>
  <si>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</si>
  <si>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</si>
  <si>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</si>
  <si>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</si>
  <si>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</si>
  <si>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</si>
  <si>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</si>
  <si>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</si>
  <si>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</si>
  <si>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</si>
  <si>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</si>
  <si>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</si>
  <si>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</si>
  <si>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</si>
  <si>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</si>
  <si>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</si>
  <si>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</si>
  <si>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</si>
  <si>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</si>
  <si>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</si>
  <si>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</si>
  <si>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</si>
  <si>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</si>
  <si>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</si>
  <si>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</si>
  <si>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</si>
  <si>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</si>
  <si>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</si>
  <si>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</si>
  <si>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</si>
  <si>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</si>
  <si>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</si>
  <si>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</si>
  <si>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</si>
  <si>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</si>
  <si>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</si>
  <si>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</si>
  <si>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</si>
  <si>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</si>
  <si>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</si>
  <si>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</si>
  <si>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</si>
  <si>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</si>
  <si>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</si>
  <si>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</si>
  <si>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</si>
  <si>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</si>
  <si>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</si>
  <si>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</si>
  <si>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</si>
  <si>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</si>
  <si>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</si>
  <si>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</si>
  <si>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</si>
  <si>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</si>
  <si>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</si>
  <si>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</si>
  <si>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</si>
  <si>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</si>
  <si>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</si>
  <si>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</si>
  <si>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</si>
  <si>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</si>
  <si>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</si>
  <si>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</si>
  <si>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</si>
  <si>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</si>
  <si>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</si>
  <si>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</si>
  <si>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</si>
  <si>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</si>
  <si>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</si>
  <si>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</si>
  <si>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</si>
  <si>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</si>
  <si>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</si>
  <si>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</si>
  <si>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</si>
  <si>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</si>
  <si>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</si>
  <si>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</si>
  <si>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</si>
  <si>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</si>
  <si>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</si>
  <si>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</si>
  <si>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</si>
  <si>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</si>
  <si>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</si>
  <si>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</si>
  <si>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</si>
  <si>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</si>
  <si>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</si>
  <si>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</si>
  <si>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</si>
  <si>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</si>
  <si>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</si>
  <si>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</si>
  <si>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</si>
  <si>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</si>
  <si>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</si>
  <si>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</si>
  <si>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</si>
  <si>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</si>
  <si>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</si>
  <si>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</si>
  <si>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</si>
  <si>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</si>
  <si>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</si>
  <si>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</si>
  <si>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</si>
  <si>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</si>
  <si>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</si>
  <si>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</si>
  <si>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</si>
  <si>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</si>
  <si>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</si>
  <si>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</si>
  <si>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</si>
  <si>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</si>
  <si>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</si>
  <si>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</si>
  <si>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</si>
  <si>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</si>
  <si>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</si>
  <si>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</si>
  <si>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</si>
  <si>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</si>
  <si>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</si>
  <si>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</si>
  <si>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</si>
  <si>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</si>
  <si>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</si>
  <si>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</si>
  <si>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</si>
  <si>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</si>
  <si>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</si>
  <si>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</si>
  <si>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</si>
  <si>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</si>
  <si>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</si>
  <si>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</si>
  <si>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</si>
  <si>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</si>
  <si>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</si>
  <si>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</si>
  <si>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</si>
  <si>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</si>
  <si>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</si>
  <si>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</si>
  <si>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</si>
  <si>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</si>
  <si>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</si>
  <si>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</si>
  <si>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</si>
  <si>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</si>
  <si>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</si>
  <si>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</si>
  <si>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</si>
  <si>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</si>
  <si>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</si>
  <si>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</si>
  <si>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</si>
  <si>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</si>
  <si>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</si>
  <si>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</si>
  <si>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</si>
  <si>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</si>
  <si>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</si>
  <si>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</si>
  <si>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</si>
  <si>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</si>
  <si>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</si>
  <si>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</si>
  <si>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</si>
  <si>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</si>
  <si>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</si>
  <si>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</si>
  <si>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</si>
  <si>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</si>
  <si>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</si>
  <si>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</si>
  <si>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</si>
  <si>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</si>
  <si>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</si>
  <si>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</si>
  <si>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</si>
  <si>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</si>
  <si>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</si>
  <si>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</si>
  <si>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</si>
  <si>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</si>
  <si>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</si>
  <si>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</si>
  <si>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</si>
  <si>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</si>
  <si>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</si>
  <si>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</si>
  <si>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</si>
  <si>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</si>
  <si>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</si>
  <si>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</si>
  <si>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</si>
  <si>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</si>
  <si>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</si>
  <si>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</si>
  <si>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</si>
  <si>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</si>
  <si>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</si>
  <si>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</si>
  <si>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</si>
  <si>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</si>
  <si>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</si>
  <si>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</si>
  <si>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</si>
  <si>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</si>
  <si>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</si>
  <si>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</si>
  <si>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</si>
  <si>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</si>
  <si>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</si>
  <si>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</si>
  <si>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</si>
  <si>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</si>
  <si>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</si>
  <si>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</si>
  <si>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</si>
  <si>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</si>
  <si>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</si>
  <si>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</si>
  <si>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</si>
  <si>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</si>
  <si>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</si>
  <si>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</si>
  <si>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</si>
  <si>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</si>
  <si>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</si>
  <si>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</si>
  <si>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</si>
  <si>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</si>
  <si>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</si>
  <si>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</si>
  <si>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</si>
  <si>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</si>
  <si>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</si>
  <si>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</si>
  <si>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</si>
  <si>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</si>
  <si>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</si>
  <si>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</si>
  <si>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</si>
  <si>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</si>
  <si>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</si>
  <si>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</si>
  <si>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</si>
  <si>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</si>
  <si>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</si>
  <si>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</si>
  <si>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</si>
  <si>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</si>
  <si>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</si>
  <si>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</si>
  <si>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</si>
  <si>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</si>
  <si>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</si>
  <si>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</si>
  <si>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</si>
  <si>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</si>
  <si>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</si>
  <si>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</si>
  <si>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</si>
  <si>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</si>
  <si>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</si>
  <si>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</si>
  <si>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</si>
  <si>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</si>
  <si>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</si>
  <si>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</si>
  <si>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</si>
  <si>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</si>
  <si>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</si>
  <si>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</si>
  <si>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</si>
  <si>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</si>
  <si>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</si>
  <si>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</si>
  <si>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</si>
  <si>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</si>
  <si>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</si>
  <si>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</si>
  <si>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</si>
  <si>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</si>
  <si>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</si>
  <si>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</si>
  <si>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</si>
  <si>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</si>
  <si>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</si>
  <si>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</si>
  <si>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</si>
  <si>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</si>
  <si>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</si>
  <si>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</si>
  <si>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</si>
  <si>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</si>
  <si>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</si>
  <si>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</si>
  <si>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</si>
  <si>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</si>
  <si>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</si>
  <si>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</si>
  <si>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</si>
  <si>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</si>
  <si>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</si>
  <si>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</si>
  <si>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</si>
  <si>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</si>
  <si>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</si>
  <si>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</si>
  <si>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</si>
  <si>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</si>
  <si>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</si>
  <si>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</si>
  <si>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</si>
  <si>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</si>
  <si>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</si>
  <si>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</si>
  <si>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</si>
  <si>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</si>
  <si>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</si>
  <si>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</si>
  <si>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</si>
  <si>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</si>
  <si>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</si>
  <si>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</si>
  <si>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</si>
  <si>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</si>
  <si>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</si>
  <si>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</si>
  <si>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</si>
  <si>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</si>
  <si>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</si>
  <si>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</si>
  <si>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</si>
  <si>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</si>
  <si>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</si>
  <si>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</si>
  <si>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</si>
  <si>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</si>
  <si>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</si>
  <si>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</si>
  <si>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</si>
  <si>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</si>
  <si>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</si>
  <si>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</si>
  <si>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</si>
  <si>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</si>
  <si>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</si>
  <si>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</si>
  <si>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</si>
  <si>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</si>
  <si>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</si>
  <si>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</si>
  <si>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</si>
  <si>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</si>
  <si>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</si>
  <si>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</si>
  <si>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</si>
  <si>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</si>
  <si>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</si>
  <si>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</si>
  <si>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</si>
  <si>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</si>
  <si>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</si>
  <si>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</si>
  <si>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</si>
  <si>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</si>
  <si>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</si>
  <si>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</si>
  <si>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</si>
  <si>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</si>
  <si>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</si>
  <si>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</si>
  <si>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</si>
  <si>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</si>
  <si>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</si>
  <si>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</si>
  <si>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</si>
  <si>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</si>
  <si>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</si>
  <si>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</si>
  <si>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</si>
  <si>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</si>
  <si>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</si>
  <si>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</si>
  <si>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</si>
  <si>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</si>
  <si>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</si>
  <si>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</si>
  <si>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</si>
  <si>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</si>
  <si>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</si>
  <si>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</si>
  <si>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</si>
  <si>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</si>
  <si>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</si>
  <si>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</si>
  <si>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</si>
  <si>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</si>
  <si>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</si>
  <si>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</si>
  <si>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</si>
  <si>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</si>
  <si>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</si>
  <si>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</si>
  <si>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</si>
  <si>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</si>
  <si>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</si>
  <si>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</si>
  <si>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</si>
  <si>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</si>
  <si>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</si>
  <si>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</si>
  <si>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</si>
  <si>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</si>
  <si>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</si>
  <si>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</si>
  <si>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</si>
  <si>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</si>
  <si>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</si>
  <si>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</si>
  <si>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</si>
  <si>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</si>
  <si>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</si>
  <si>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</si>
  <si>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</si>
  <si>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</si>
  <si>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</si>
  <si>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</si>
  <si>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</si>
  <si>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</si>
  <si>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</si>
  <si>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</si>
  <si>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</si>
  <si>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</si>
  <si>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</si>
  <si>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</si>
  <si>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</si>
  <si>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</si>
  <si>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</si>
  <si>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</si>
  <si>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</si>
  <si>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</si>
  <si>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</si>
  <si>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</si>
  <si>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</si>
  <si>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</si>
  <si>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</si>
  <si>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</si>
  <si>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</si>
  <si>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</si>
  <si>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</si>
  <si>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</si>
  <si>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</si>
  <si>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</si>
  <si>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</si>
  <si>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</si>
  <si>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</si>
  <si>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</si>
  <si>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</si>
  <si>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</si>
  <si>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</si>
  <si>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</si>
  <si>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</si>
  <si>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</si>
  <si>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</si>
  <si>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</si>
  <si>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</si>
  <si>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</si>
  <si>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</si>
  <si>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</si>
  <si>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</si>
  <si>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</si>
  <si>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</si>
  <si>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</si>
  <si>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</si>
  <si>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</si>
  <si>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</si>
  <si>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</si>
  <si>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</si>
  <si>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</si>
  <si>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</si>
  <si>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</si>
  <si>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</si>
  <si>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</si>
  <si>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</si>
  <si>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</si>
  <si>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</si>
  <si>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</si>
  <si>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</si>
  <si>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</si>
  <si>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</si>
  <si>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</si>
  <si>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</si>
  <si>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</si>
  <si>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</si>
  <si>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</si>
  <si>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</si>
  <si>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</si>
  <si>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</si>
  <si>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</si>
  <si>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</si>
  <si>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</si>
  <si>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</si>
  <si>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</si>
  <si>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</si>
  <si>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</si>
  <si>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</si>
  <si>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</si>
  <si>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</si>
  <si>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</si>
  <si>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</si>
  <si>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</si>
  <si>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</si>
  <si>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</si>
  <si>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</si>
  <si>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</si>
  <si>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</si>
  <si>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</si>
  <si>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</si>
  <si>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</si>
  <si>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</si>
  <si>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</si>
  <si>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</si>
  <si>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</si>
  <si>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</si>
  <si>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</si>
  <si>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</si>
  <si>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</si>
  <si>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</si>
  <si>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</si>
  <si>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</si>
  <si>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</si>
  <si>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</si>
  <si>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</si>
  <si>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</si>
  <si>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</si>
  <si>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</si>
  <si>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</si>
  <si>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</si>
  <si>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</si>
  <si>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</si>
  <si>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</si>
  <si>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</si>
  <si>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</si>
  <si>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</si>
  <si>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</si>
  <si>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</si>
  <si>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</si>
  <si>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</si>
  <si>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</si>
  <si>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</si>
  <si>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</si>
  <si>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</si>
  <si>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</si>
  <si>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</si>
  <si>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</si>
  <si>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</si>
  <si>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</si>
  <si>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</si>
  <si>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</si>
  <si>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</si>
  <si>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</si>
  <si>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</si>
  <si>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</si>
  <si>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</si>
  <si>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</si>
  <si>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</si>
  <si>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</si>
  <si>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</si>
  <si>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</si>
  <si>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</si>
  <si>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</si>
  <si>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</si>
  <si>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</si>
  <si>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</si>
  <si>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</si>
  <si>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</si>
  <si>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</si>
  <si>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</si>
  <si>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</si>
  <si>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</si>
  <si>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</si>
  <si>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</si>
  <si>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</si>
  <si>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</si>
  <si>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</si>
  <si>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</si>
  <si>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</si>
  <si>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</si>
  <si>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</si>
  <si>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</si>
  <si>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</si>
  <si>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</si>
  <si>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</si>
  <si>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</si>
  <si>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</si>
  <si>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</si>
  <si>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</si>
  <si>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</si>
  <si>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</si>
  <si>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</si>
  <si>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</si>
  <si>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</si>
  <si>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</si>
  <si>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</si>
  <si>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</si>
  <si>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</si>
  <si>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</si>
  <si>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</si>
  <si>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</si>
  <si>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</si>
  <si>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</si>
  <si>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</si>
  <si>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</si>
  <si>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</si>
  <si>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</si>
  <si>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</si>
  <si>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</si>
  <si>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</si>
  <si>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</si>
  <si>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</si>
  <si>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</si>
  <si>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</si>
  <si>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</si>
  <si>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</si>
  <si>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</si>
  <si>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</si>
  <si>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</si>
  <si>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</si>
  <si>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</si>
  <si>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</si>
  <si>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</si>
  <si>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</si>
  <si>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</si>
  <si>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</si>
  <si>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</si>
  <si>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</si>
  <si>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</si>
  <si>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</si>
  <si>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</si>
  <si>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</si>
  <si>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</si>
  <si>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</si>
  <si>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</si>
  <si>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</si>
  <si>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</si>
  <si>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</si>
  <si>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</si>
  <si>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</si>
  <si>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</si>
  <si>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</si>
  <si>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</si>
  <si>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</si>
  <si>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</si>
  <si>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</si>
  <si>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</si>
  <si>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</si>
  <si>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</si>
  <si>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</si>
  <si>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</si>
  <si>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</si>
  <si>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</si>
  <si>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</si>
  <si>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</si>
  <si>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</si>
  <si>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</si>
  <si>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</si>
  <si>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</si>
  <si>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</si>
  <si>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</si>
  <si>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</si>
  <si>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</si>
  <si>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</si>
  <si>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</si>
  <si>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</si>
  <si>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</si>
  <si>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</si>
  <si>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</si>
  <si>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</si>
  <si>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</si>
  <si>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</si>
  <si>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</si>
  <si>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</si>
  <si>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</si>
  <si>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</si>
  <si>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</si>
  <si>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</si>
  <si>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</si>
  <si>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</si>
  <si>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</si>
  <si>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</si>
  <si>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</si>
  <si>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</si>
  <si>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</si>
  <si>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</si>
  <si>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</si>
  <si>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</si>
  <si>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</si>
  <si>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</si>
  <si>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</si>
  <si>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</si>
  <si>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</si>
  <si>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</si>
  <si>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</si>
  <si>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</si>
  <si>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</si>
  <si>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</si>
  <si>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</si>
  <si>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</si>
  <si>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</si>
  <si>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</si>
  <si>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</si>
  <si>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</si>
  <si>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</si>
  <si>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</si>
  <si>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</si>
  <si>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</si>
  <si>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</si>
  <si>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</si>
  <si>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</si>
  <si>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</si>
  <si>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</si>
  <si>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</si>
  <si>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</si>
  <si>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</si>
  <si>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</si>
  <si>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</si>
  <si>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</si>
  <si>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</si>
  <si>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</si>
  <si>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</si>
  <si>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</si>
  <si>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</si>
  <si>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</si>
  <si>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</si>
  <si>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</si>
  <si>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</si>
  <si>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</si>
  <si>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</si>
  <si>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</si>
  <si>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</si>
  <si>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</si>
  <si>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</si>
  <si>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</si>
  <si>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</si>
  <si>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</si>
  <si>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</si>
  <si>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</si>
  <si>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</si>
  <si>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</si>
  <si>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</si>
  <si>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</si>
  <si>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</si>
  <si>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</si>
  <si>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</si>
  <si>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</si>
  <si>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</si>
  <si>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</si>
  <si>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</si>
  <si>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</si>
  <si>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</si>
  <si>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</si>
  <si>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</si>
  <si>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</si>
  <si>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</si>
  <si>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</si>
  <si>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</si>
  <si>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</si>
  <si>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</si>
  <si>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</si>
  <si>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</si>
  <si>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</si>
  <si>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</si>
  <si>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</si>
  <si>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</si>
  <si>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</si>
  <si>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</si>
  <si>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</si>
  <si>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</si>
  <si>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</si>
  <si>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</si>
  <si>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</si>
  <si>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</si>
  <si>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</si>
  <si>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</si>
  <si>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</si>
  <si>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</si>
  <si>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</si>
  <si>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</si>
  <si>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</si>
  <si>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</si>
  <si>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</si>
  <si>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</si>
  <si>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</si>
  <si>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</si>
  <si>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</si>
  <si>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</si>
  <si>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</si>
  <si>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</si>
  <si>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</si>
  <si>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</si>
  <si>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</si>
  <si>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</si>
  <si>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</si>
  <si>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</si>
  <si>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</si>
  <si>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</si>
  <si>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</si>
  <si>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</si>
  <si>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</si>
  <si>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</si>
  <si>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</si>
  <si>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</si>
  <si>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</si>
  <si>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</si>
  <si>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</si>
  <si>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</si>
  <si>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</si>
  <si>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</si>
  <si>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</si>
  <si>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</si>
  <si>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</si>
  <si>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</si>
  <si>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</si>
  <si>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</si>
  <si>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</si>
  <si>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</si>
  <si>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</si>
  <si>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</si>
  <si>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</si>
  <si>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</si>
  <si>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</si>
  <si>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</si>
  <si>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</si>
  <si>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</si>
  <si>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</si>
  <si>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</si>
  <si>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</si>
  <si>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</si>
  <si>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</si>
  <si>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</si>
  <si>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</si>
  <si>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</si>
  <si>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</si>
  <si>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</si>
  <si>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</si>
  <si>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</si>
  <si>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</si>
  <si>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</si>
  <si>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</si>
  <si>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</si>
  <si>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</si>
  <si>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</si>
  <si>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</si>
  <si>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</si>
  <si>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</si>
  <si>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</si>
  <si>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</si>
  <si>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</si>
  <si>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</si>
  <si>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</si>
  <si>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</si>
  <si>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</si>
  <si>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</si>
  <si>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</si>
  <si>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</si>
  <si>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</si>
  <si>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</si>
  <si>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</si>
  <si>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</si>
  <si>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</si>
  <si>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</si>
  <si>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</si>
  <si>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</si>
  <si>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</si>
  <si>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</si>
  <si>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</si>
  <si>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</si>
  <si>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</si>
  <si>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</si>
  <si>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</si>
  <si>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</si>
  <si>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</si>
  <si>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</si>
  <si>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</si>
  <si>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</si>
  <si>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</si>
  <si>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</si>
  <si>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</si>
  <si>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</si>
  <si>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</si>
  <si>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</si>
  <si>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</si>
  <si>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</si>
  <si>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</si>
  <si>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</si>
  <si>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</si>
  <si>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</si>
  <si>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</si>
  <si>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</si>
  <si>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</si>
  <si>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</si>
  <si>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</si>
  <si>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</si>
  <si>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</si>
  <si>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</si>
  <si>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</si>
  <si>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</si>
  <si>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</si>
  <si>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</si>
  <si>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</si>
  <si>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</si>
  <si>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</si>
  <si>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</si>
  <si>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</si>
  <si>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</si>
  <si>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</si>
  <si>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</si>
  <si>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</si>
  <si>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</si>
  <si>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</si>
  <si>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</si>
  <si>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</si>
  <si>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</si>
  <si>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</si>
  <si>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</si>
  <si>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</si>
  <si>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</si>
  <si>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</si>
  <si>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</si>
  <si>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</si>
  <si>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</si>
  <si>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</si>
  <si>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</si>
  <si>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</si>
  <si>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</si>
  <si>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</si>
  <si>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</si>
  <si>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</si>
  <si>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</si>
  <si>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</si>
  <si>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</si>
  <si>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</si>
  <si>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</si>
  <si>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</si>
  <si>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</si>
  <si>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</si>
  <si>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</si>
  <si>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</si>
  <si>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</si>
  <si>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</si>
  <si>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</si>
  <si>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</si>
  <si>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</si>
  <si>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</si>
  <si>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</si>
  <si>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</si>
  <si>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</si>
  <si>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</si>
  <si>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</si>
  <si>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</si>
  <si>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</si>
  <si>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</si>
  <si>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</si>
  <si>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</si>
  <si>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</si>
  <si>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</si>
  <si>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</si>
  <si>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</si>
  <si>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</si>
  <si>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</si>
  <si>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</si>
  <si>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</si>
  <si>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</si>
  <si>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</si>
  <si>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</si>
  <si>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</si>
  <si>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</si>
  <si>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</si>
  <si>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</si>
  <si>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</si>
  <si>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</si>
  <si>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</si>
  <si>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</si>
  <si>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</si>
  <si>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</si>
  <si>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</si>
  <si>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</si>
  <si>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</si>
  <si>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</si>
  <si>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</si>
  <si>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</si>
  <si>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</si>
  <si>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</si>
  <si>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</si>
  <si>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</si>
  <si>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</si>
  <si>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</si>
  <si>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</si>
  <si>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</si>
  <si>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</si>
  <si>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</si>
  <si>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</si>
  <si>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</si>
  <si>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</si>
  <si>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</si>
  <si>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</si>
  <si>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</si>
  <si>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</si>
  <si>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</si>
  <si>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</si>
  <si>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</si>
  <si>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</si>
  <si>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</si>
  <si>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</si>
  <si>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</si>
  <si>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</si>
  <si>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</si>
  <si>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</si>
  <si>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</si>
  <si>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</si>
  <si>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</si>
  <si>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</si>
  <si>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</si>
  <si>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</si>
  <si>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</si>
  <si>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</si>
  <si>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</si>
  <si>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</si>
  <si>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</si>
  <si>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</si>
  <si>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</si>
  <si>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</si>
  <si>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</si>
  <si>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</si>
  <si>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</si>
  <si>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</si>
  <si>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</si>
  <si>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</si>
  <si>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</si>
  <si>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</si>
  <si>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</si>
  <si>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</si>
  <si>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</si>
  <si>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</si>
  <si>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</si>
  <si>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</si>
  <si>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</si>
  <si>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</si>
  <si>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</si>
  <si>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</si>
  <si>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</si>
  <si>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</si>
  <si>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</si>
  <si>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</si>
  <si>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</si>
  <si>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</si>
  <si>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</si>
  <si>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</si>
  <si>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</si>
  <si>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</si>
  <si>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</si>
  <si>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</si>
  <si>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</si>
  <si>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</si>
  <si>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</si>
  <si>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</si>
  <si>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</si>
  <si>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</si>
  <si>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</si>
  <si>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</si>
  <si>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</si>
  <si>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</si>
  <si>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</si>
  <si>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</si>
  <si>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</si>
  <si>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</si>
  <si>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</si>
  <si>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</si>
  <si>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</si>
  <si>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</si>
  <si>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</si>
  <si>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</si>
  <si>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</si>
  <si>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</si>
  <si>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</si>
  <si>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</si>
  <si>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</si>
  <si>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</si>
  <si>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</si>
  <si>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</si>
  <si>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</si>
  <si>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</si>
  <si>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</si>
  <si>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</si>
  <si>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</si>
  <si>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</si>
  <si>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</si>
  <si>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</si>
  <si>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</si>
  <si>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</si>
  <si>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</si>
  <si>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</si>
  <si>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</si>
  <si>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</si>
  <si>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</si>
  <si>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</si>
  <si>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</si>
  <si>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</si>
  <si>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</si>
  <si>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</si>
  <si>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</si>
  <si>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</si>
  <si>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</si>
  <si>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</si>
  <si>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</si>
  <si>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</si>
  <si>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</si>
  <si>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</si>
  <si>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</si>
  <si>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</si>
  <si>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</si>
  <si>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</si>
  <si>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</si>
  <si>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</si>
  <si>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</si>
  <si>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</si>
  <si>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</si>
  <si>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</si>
  <si>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</si>
  <si>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</si>
  <si>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</si>
  <si>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</si>
  <si>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</si>
  <si>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</si>
  <si>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</si>
  <si>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</si>
  <si>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</si>
  <si>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</si>
  <si>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</si>
  <si>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</si>
  <si>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</si>
  <si>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</si>
  <si>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</si>
  <si>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</si>
  <si>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</si>
  <si>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</si>
  <si>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</si>
  <si>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</si>
  <si>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</si>
  <si>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</si>
  <si>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</si>
  <si>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</si>
  <si>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</si>
  <si>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</si>
  <si>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</si>
  <si>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</si>
  <si>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</si>
  <si>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</si>
  <si>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</si>
  <si>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</si>
  <si>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</si>
  <si>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</si>
  <si>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</si>
  <si>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</si>
  <si>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</si>
  <si>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</si>
  <si>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</si>
  <si>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</si>
  <si>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</si>
  <si>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</si>
  <si>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</si>
  <si>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</si>
  <si>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</si>
  <si>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</si>
  <si>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</si>
  <si>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</si>
  <si>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</si>
  <si>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</si>
  <si>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</si>
  <si>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</si>
  <si>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</si>
  <si>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</si>
  <si>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</si>
  <si>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</si>
  <si>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</si>
  <si>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</si>
  <si>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</si>
  <si>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</si>
  <si>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</si>
  <si>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</si>
  <si>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</si>
  <si>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</si>
  <si>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</si>
  <si>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</si>
  <si>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</si>
  <si>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</si>
  <si>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</si>
  <si>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</si>
  <si>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</si>
  <si>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</si>
  <si>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</si>
  <si>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</si>
  <si>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</si>
  <si>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</si>
  <si>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</si>
  <si>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</si>
  <si>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</si>
  <si>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</si>
  <si>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</si>
  <si>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</si>
  <si>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</si>
  <si>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</si>
  <si>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</si>
  <si>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</si>
  <si>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</si>
  <si>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</si>
  <si>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</si>
  <si>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</si>
  <si>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</si>
  <si>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</si>
  <si>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</si>
  <si>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</si>
  <si>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</si>
  <si>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</si>
  <si>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</si>
  <si>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</si>
  <si>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</si>
  <si>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</si>
  <si>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</si>
  <si>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</si>
  <si>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</si>
  <si>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</si>
  <si>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</si>
  <si>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</si>
  <si>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</si>
  <si>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</si>
  <si>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</si>
  <si>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</si>
  <si>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</si>
  <si>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</si>
  <si>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</si>
  <si>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</si>
  <si>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</si>
  <si>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</si>
  <si>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</si>
  <si>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</si>
  <si>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</si>
  <si>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</si>
  <si>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</si>
  <si>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</si>
  <si>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</si>
  <si>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</si>
  <si>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</si>
  <si>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</si>
  <si>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</si>
  <si>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</si>
  <si>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</si>
  <si>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</si>
  <si>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</si>
  <si>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</si>
  <si>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</si>
  <si>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</si>
  <si>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</si>
  <si>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</si>
  <si>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</si>
  <si>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</si>
  <si>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</si>
  <si>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</si>
  <si>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</si>
  <si>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</si>
  <si>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</si>
  <si>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</si>
  <si>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</si>
  <si>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</si>
  <si>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</si>
  <si>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</si>
  <si>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</si>
  <si>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</si>
  <si>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</si>
  <si>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</si>
  <si>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</si>
  <si>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</si>
  <si>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</si>
  <si>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</si>
  <si>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</si>
  <si>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</si>
  <si>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</si>
  <si>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</si>
  <si>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</si>
  <si>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</si>
  <si>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</si>
  <si>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</si>
  <si>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</si>
  <si>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</si>
  <si>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</si>
  <si>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</si>
  <si>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</si>
  <si>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</si>
  <si>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</si>
  <si>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</si>
  <si>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</si>
  <si>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</si>
  <si>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</si>
  <si>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</si>
  <si>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</si>
  <si>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</si>
  <si>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</si>
  <si>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</si>
  <si>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</si>
  <si>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</si>
  <si>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</si>
  <si>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</si>
  <si>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</si>
  <si>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</si>
  <si>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</si>
  <si>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</si>
  <si>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</si>
  <si>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</si>
  <si>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</si>
  <si>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</si>
  <si>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</si>
  <si>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</si>
  <si>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</si>
  <si>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</si>
  <si>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</si>
  <si>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</si>
  <si>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</si>
  <si>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</si>
  <si>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</si>
  <si>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</si>
  <si>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</si>
  <si>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</si>
  <si>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</si>
  <si>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</si>
  <si>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</si>
  <si>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</si>
  <si>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</si>
  <si>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</si>
  <si>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</si>
  <si>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</si>
  <si>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</si>
  <si>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</si>
  <si>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</si>
  <si>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</si>
  <si>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</si>
  <si>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</si>
  <si>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</si>
  <si>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</si>
  <si>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</si>
  <si>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</si>
  <si>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</si>
  <si>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</si>
  <si>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</si>
  <si>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</si>
  <si>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</si>
  <si>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</si>
  <si>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</si>
  <si>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</si>
  <si>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</si>
  <si>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</si>
  <si>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</si>
  <si>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</si>
  <si>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</si>
  <si>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</si>
  <si>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</si>
  <si>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</si>
  <si>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</si>
  <si>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</si>
  <si>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</si>
  <si>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</si>
  <si>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</si>
  <si>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</si>
  <si>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</si>
  <si>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</si>
  <si>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</si>
  <si>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</si>
  <si>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</si>
  <si>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</si>
  <si>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</si>
  <si>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</si>
  <si>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</si>
  <si>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</si>
  <si>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</si>
  <si>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</si>
  <si>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</si>
  <si>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</si>
  <si>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</si>
  <si>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</si>
  <si>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</si>
  <si>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</si>
  <si>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</si>
  <si>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</si>
  <si>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</si>
  <si>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</si>
  <si>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</si>
  <si>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</si>
  <si>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</si>
  <si>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</si>
  <si>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</si>
  <si>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</si>
  <si>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</si>
  <si>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</si>
  <si>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</si>
  <si>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</si>
  <si>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</si>
  <si>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</si>
  <si>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</si>
  <si>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</si>
  <si>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</si>
  <si>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</si>
  <si>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</si>
  <si>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</si>
  <si>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</si>
  <si>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</si>
  <si>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</si>
  <si>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</si>
  <si>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</si>
  <si>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</si>
  <si>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</si>
  <si>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</si>
  <si>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</si>
  <si>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</si>
  <si>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</si>
  <si>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</si>
  <si>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</si>
  <si>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</si>
  <si>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</si>
  <si>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</si>
  <si>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</si>
  <si>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</si>
  <si>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</si>
  <si>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</si>
  <si>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</si>
  <si>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</si>
  <si>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</si>
  <si>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</si>
  <si>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</si>
  <si>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</si>
  <si>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</si>
  <si>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</si>
  <si>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</si>
  <si>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</si>
  <si>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</si>
  <si>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</si>
  <si>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</si>
  <si>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</si>
  <si>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</si>
  <si>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</si>
  <si>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</si>
  <si>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</si>
  <si>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</si>
  <si>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</si>
  <si>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</si>
  <si>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</si>
  <si>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</si>
  <si>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</si>
  <si>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</si>
  <si>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</si>
  <si>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</si>
  <si>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</si>
  <si>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</si>
  <si>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</si>
  <si>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</si>
  <si>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</si>
  <si>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</si>
  <si>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</si>
  <si>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</si>
  <si>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</si>
  <si>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</si>
  <si>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</si>
  <si>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</si>
  <si>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</si>
  <si>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</si>
  <si>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</si>
  <si>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</si>
  <si>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</si>
  <si>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</si>
  <si>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</si>
  <si>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</si>
  <si>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</si>
  <si>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</si>
  <si>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</si>
  <si>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</si>
  <si>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</si>
  <si>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</si>
  <si>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</si>
  <si>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</si>
  <si>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</si>
  <si>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</si>
  <si>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</si>
  <si>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</si>
  <si>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</si>
  <si>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</si>
  <si>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</si>
  <si>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</si>
  <si>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</si>
  <si>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</si>
  <si>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</si>
  <si>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</si>
  <si>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</si>
  <si>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</si>
  <si>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</si>
  <si>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</si>
  <si>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</si>
  <si>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</si>
  <si>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</si>
  <si>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</si>
  <si>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</si>
  <si>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</si>
  <si>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</si>
  <si>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</si>
  <si>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</si>
  <si>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</si>
  <si>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</si>
  <si>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</si>
  <si>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</si>
  <si>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</si>
  <si>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</si>
  <si>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</si>
  <si>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</si>
  <si>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</si>
  <si>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</si>
  <si>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</si>
  <si>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</si>
  <si>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</si>
  <si>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</si>
  <si>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</si>
  <si>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</si>
  <si>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</si>
  <si>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</si>
  <si>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</si>
  <si>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</si>
  <si>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</si>
  <si>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</si>
  <si>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</si>
  <si>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</si>
  <si>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</si>
  <si>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</si>
  <si>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</si>
  <si>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</si>
  <si>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</si>
  <si>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</si>
  <si>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</si>
  <si>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</si>
  <si>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</si>
  <si>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</si>
  <si>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</si>
  <si>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</si>
  <si>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</si>
  <si>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</si>
  <si>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</si>
  <si>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</si>
  <si>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</si>
  <si>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</si>
  <si>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</si>
  <si>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</si>
  <si>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</si>
  <si>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</si>
  <si>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</si>
  <si>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</si>
  <si>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</si>
  <si>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</si>
  <si>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</si>
  <si>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</si>
  <si>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</si>
  <si>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</si>
  <si>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</si>
  <si>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</si>
  <si>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</si>
  <si>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</si>
  <si>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</si>
  <si>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</si>
  <si>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</si>
  <si>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</si>
  <si>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</si>
  <si>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</si>
  <si>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</si>
  <si>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</si>
  <si>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</si>
  <si>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</si>
  <si>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</si>
  <si>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</si>
  <si>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</si>
  <si>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</si>
  <si>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</si>
  <si>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</si>
  <si>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</si>
  <si>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</si>
  <si>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</si>
  <si>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</si>
  <si>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</si>
  <si>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</si>
  <si>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</si>
  <si>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</si>
  <si>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</si>
  <si>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</si>
  <si>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</si>
  <si>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</si>
  <si>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</si>
  <si>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</si>
  <si>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</si>
  <si>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</si>
  <si>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</si>
  <si>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</si>
  <si>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</si>
  <si>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</si>
  <si>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</si>
  <si>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</si>
  <si>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</si>
  <si>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</si>
  <si>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</si>
  <si>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</si>
  <si>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</si>
  <si>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</si>
  <si>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</si>
  <si>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</si>
  <si>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</si>
  <si>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</si>
  <si>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</si>
  <si>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</si>
  <si>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</si>
  <si>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</si>
  <si>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</si>
  <si>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</si>
  <si>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</si>
  <si>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</si>
  <si>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</si>
  <si>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</si>
  <si>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</si>
  <si>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</si>
  <si>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</si>
  <si>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</si>
  <si>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</si>
  <si>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</si>
  <si>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</si>
  <si>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</si>
  <si>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</si>
  <si>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</si>
  <si>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</si>
  <si>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</si>
  <si>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</si>
  <si>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</si>
  <si>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</si>
  <si>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</si>
  <si>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</si>
  <si>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</si>
  <si>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</si>
  <si>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</si>
  <si>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</si>
  <si>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</si>
  <si>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</si>
  <si>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</si>
  <si>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</si>
  <si>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</si>
  <si>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</si>
  <si>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</si>
  <si>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</si>
  <si>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</si>
  <si>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</si>
  <si>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</si>
  <si>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</si>
  <si>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</si>
  <si>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</si>
  <si>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</si>
  <si>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</si>
  <si>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</si>
  <si>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</si>
  <si>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</si>
  <si>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</si>
  <si>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</si>
  <si>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</si>
  <si>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</si>
  <si>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</si>
  <si>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</si>
  <si>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</si>
  <si>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</si>
  <si>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</si>
  <si>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</si>
  <si>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</si>
  <si>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</si>
  <si>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</si>
  <si>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</si>
  <si>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</si>
  <si>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</si>
  <si>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</si>
  <si>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</si>
  <si>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</si>
  <si>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</si>
  <si>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</si>
  <si>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</si>
  <si>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</si>
  <si>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</si>
  <si>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</si>
  <si>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</si>
  <si>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</si>
  <si>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</si>
  <si>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</si>
  <si>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</si>
  <si>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</si>
  <si>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</si>
  <si>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</si>
  <si>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</si>
  <si>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</si>
  <si>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</si>
  <si>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</si>
  <si>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</si>
  <si>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</si>
  <si>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</si>
  <si>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</si>
  <si>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</si>
  <si>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</si>
  <si>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</si>
  <si>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</si>
  <si>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</si>
  <si>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</si>
  <si>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</si>
  <si>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</si>
  <si>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</si>
  <si>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</si>
  <si>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</si>
  <si>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</si>
  <si>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</si>
  <si>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</si>
  <si>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</si>
  <si>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</si>
  <si>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</si>
  <si>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</si>
  <si>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</si>
  <si>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</si>
  <si>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</si>
  <si>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</si>
  <si>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</si>
  <si>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</si>
  <si>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</si>
  <si>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</si>
  <si>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</si>
  <si>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</si>
  <si>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</si>
  <si>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</si>
  <si>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</si>
  <si>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</si>
  <si>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</si>
  <si>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</si>
  <si>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</si>
  <si>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</si>
  <si>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</si>
  <si>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</si>
  <si>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</si>
  <si>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</si>
  <si>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</si>
  <si>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</si>
  <si>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</si>
  <si>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</si>
  <si>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</si>
  <si>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</si>
  <si>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</si>
  <si>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</si>
  <si>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</si>
  <si>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</si>
  <si>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</si>
  <si>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</si>
  <si>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</si>
  <si>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</si>
  <si>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</si>
  <si>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</si>
  <si>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</si>
  <si>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</si>
  <si>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</si>
  <si>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</si>
  <si>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</si>
  <si>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</si>
  <si>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</si>
  <si>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</si>
  <si>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</si>
  <si>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</si>
  <si>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</si>
  <si>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</si>
  <si>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</si>
  <si>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</si>
  <si>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</si>
  <si>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</si>
  <si>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</si>
  <si>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</si>
  <si>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</si>
  <si>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</si>
  <si>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</si>
  <si>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</si>
  <si>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</si>
  <si>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</si>
  <si>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</si>
  <si>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</si>
  <si>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</si>
  <si>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</si>
  <si>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</si>
  <si>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</si>
  <si>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</si>
  <si>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</si>
  <si>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</si>
  <si>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</si>
  <si>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</si>
  <si>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</si>
  <si>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</si>
  <si>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</si>
  <si>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</si>
  <si>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</si>
  <si>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</si>
  <si>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</si>
  <si>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</si>
  <si>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</si>
  <si>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</si>
  <si>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</si>
  <si>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</si>
  <si>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</si>
  <si>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</si>
  <si>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</si>
  <si>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</si>
  <si>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</si>
  <si>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</si>
  <si>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</si>
  <si>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</si>
  <si>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</si>
  <si>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</si>
  <si>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</si>
  <si>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</si>
  <si>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</si>
  <si>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</si>
  <si>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</si>
  <si>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</si>
  <si>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</si>
  <si>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</si>
  <si>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</si>
  <si>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</si>
  <si>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</si>
  <si>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</si>
  <si>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</si>
  <si>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</si>
  <si>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</si>
  <si>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</si>
  <si>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</si>
  <si>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</si>
  <si>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</si>
  <si>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</si>
  <si>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</si>
  <si>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</si>
  <si>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</si>
  <si>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</si>
  <si>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</si>
  <si>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</si>
  <si>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</si>
  <si>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</si>
  <si>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</si>
  <si>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</si>
  <si>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</si>
  <si>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</si>
  <si>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</si>
  <si>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</si>
  <si>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</si>
  <si>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</si>
  <si>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</si>
  <si>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</si>
  <si>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</si>
  <si>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</si>
  <si>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</si>
  <si>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</si>
  <si>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</si>
  <si>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</si>
  <si>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</si>
  <si>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</si>
  <si>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</si>
  <si>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</si>
  <si>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</si>
  <si>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</si>
  <si>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</si>
  <si>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</si>
  <si>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</si>
  <si>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</si>
  <si>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</si>
  <si>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</si>
  <si>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</si>
  <si>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</si>
  <si>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</si>
  <si>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</si>
  <si>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</si>
  <si>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</si>
  <si>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</si>
  <si>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</si>
  <si>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</si>
  <si>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</si>
  <si>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</si>
  <si>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</si>
  <si>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</si>
  <si>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</si>
  <si>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</si>
  <si>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</si>
  <si>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</si>
  <si>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</si>
  <si>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</si>
  <si>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</si>
  <si>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</si>
  <si>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</si>
  <si>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</si>
  <si>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</si>
  <si>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</si>
  <si>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</si>
  <si>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</si>
  <si>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</si>
  <si>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</si>
  <si>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</si>
  <si>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</si>
  <si>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</si>
  <si>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</si>
  <si>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</si>
  <si>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</si>
  <si>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</si>
  <si>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</si>
  <si>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</si>
  <si>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</si>
  <si>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</si>
  <si>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</si>
  <si>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</si>
  <si>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</si>
  <si>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</si>
  <si>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</si>
  <si>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</si>
  <si>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</si>
  <si>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</si>
  <si>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</si>
  <si>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</si>
  <si>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</si>
  <si>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</si>
  <si>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</si>
  <si>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</si>
  <si>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</si>
  <si>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</si>
  <si>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</si>
  <si>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</si>
  <si>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</si>
  <si>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</si>
  <si>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</si>
  <si>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</si>
  <si>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</si>
  <si>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</si>
  <si>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</si>
  <si>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</si>
  <si>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</si>
  <si>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</si>
  <si>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</si>
  <si>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</si>
  <si>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</si>
  <si>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</si>
  <si>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</si>
  <si>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</si>
  <si>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</si>
  <si>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</si>
  <si>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</si>
  <si>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</si>
  <si>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</si>
  <si>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</si>
  <si>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</si>
  <si>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</si>
  <si>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</si>
  <si>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</si>
  <si>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</si>
  <si>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</si>
  <si>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</si>
  <si>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</si>
  <si>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</si>
  <si>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</si>
  <si>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</si>
  <si>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</si>
  <si>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</si>
  <si>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</si>
  <si>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</si>
  <si>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</si>
  <si>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</si>
  <si>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</si>
  <si>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</si>
  <si>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</si>
  <si>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</si>
  <si>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</si>
  <si>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</si>
  <si>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</si>
  <si>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</si>
  <si>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</si>
  <si>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</si>
  <si>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</si>
  <si>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</si>
  <si>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</si>
  <si>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</si>
  <si>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</si>
  <si>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</si>
  <si>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</si>
  <si>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</si>
  <si>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</si>
  <si>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</si>
  <si>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</si>
  <si>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</si>
  <si>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</si>
  <si>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</si>
  <si>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</si>
  <si>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</si>
  <si>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</si>
  <si>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</si>
  <si>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</si>
  <si>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</si>
  <si>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</si>
  <si>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</si>
  <si>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</si>
  <si>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</si>
  <si>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</si>
  <si>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</si>
  <si>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</si>
  <si>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</si>
  <si>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</si>
  <si>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</si>
  <si>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</si>
  <si>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</si>
  <si>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</si>
  <si>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</si>
  <si>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</si>
  <si>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</si>
  <si>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</si>
  <si>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</si>
  <si>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</si>
  <si>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</si>
  <si>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</si>
  <si>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</si>
  <si>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</si>
  <si>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</si>
  <si>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</si>
  <si>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</si>
  <si>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</si>
  <si>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</si>
  <si>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</si>
  <si>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</si>
  <si>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</si>
  <si>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</si>
  <si>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</si>
  <si>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</si>
  <si>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</si>
  <si>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</si>
  <si>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</si>
  <si>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</si>
  <si>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</si>
  <si>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</si>
  <si>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</si>
  <si>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</si>
  <si>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</si>
  <si>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</si>
  <si>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</si>
  <si>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</si>
  <si>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</si>
  <si>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</si>
  <si>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</si>
  <si>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</si>
  <si>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</si>
  <si>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</si>
  <si>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</si>
  <si>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</si>
  <si>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</si>
  <si>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</si>
  <si>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</si>
  <si>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</si>
  <si>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</si>
  <si>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</si>
  <si>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</si>
  <si>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</si>
  <si>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</si>
  <si>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</si>
  <si>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</si>
  <si>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</si>
  <si>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</si>
  <si>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</si>
  <si>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</si>
  <si>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</si>
  <si>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</si>
  <si>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</si>
  <si>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</si>
  <si>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</si>
  <si>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</si>
  <si>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</si>
  <si>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</si>
  <si>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</si>
  <si>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</si>
  <si>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</si>
  <si>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</si>
  <si>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</si>
  <si>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</si>
  <si>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</si>
  <si>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</si>
  <si>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</si>
  <si>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</si>
  <si>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</si>
  <si>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</si>
  <si>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</si>
  <si>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</si>
  <si>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</si>
  <si>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</si>
  <si>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</si>
  <si>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</si>
  <si>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</si>
  <si>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</si>
  <si>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</si>
  <si>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</si>
  <si>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</si>
  <si>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</si>
  <si>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</si>
  <si>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</si>
  <si>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</si>
  <si>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</si>
  <si>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</si>
  <si>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</si>
  <si>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</si>
  <si>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</si>
  <si>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</si>
  <si>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</si>
  <si>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</si>
  <si>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</si>
  <si>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</si>
  <si>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</si>
  <si>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</si>
  <si>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</si>
  <si>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</si>
  <si>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</si>
  <si>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</si>
  <si>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</si>
  <si>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</si>
  <si>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</si>
  <si>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</si>
  <si>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</si>
  <si>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</si>
  <si>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</si>
  <si>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</si>
  <si>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</si>
  <si>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</si>
  <si>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</si>
  <si>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</si>
  <si>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</si>
  <si>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</si>
  <si>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</si>
  <si>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</si>
  <si>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</si>
  <si>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</si>
  <si>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</si>
  <si>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</si>
  <si>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</si>
  <si>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</si>
  <si>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</si>
  <si>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</si>
  <si>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</si>
  <si>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</si>
  <si>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</si>
  <si>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</si>
  <si>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</si>
  <si>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</si>
  <si>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</si>
  <si>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</si>
  <si>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</si>
  <si>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</si>
  <si>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</si>
  <si>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</si>
  <si>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</si>
  <si>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</si>
  <si>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</si>
  <si>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</si>
  <si>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</si>
  <si>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</si>
  <si>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</si>
  <si>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</si>
  <si>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</si>
  <si>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</si>
  <si>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</si>
  <si>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</si>
  <si>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</si>
  <si>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</si>
  <si>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</si>
  <si>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</si>
  <si>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</si>
  <si>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</si>
  <si>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</si>
  <si>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</si>
  <si>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</si>
  <si>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</si>
  <si>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</si>
  <si>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</si>
  <si>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</si>
  <si>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</si>
  <si>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</si>
  <si>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</si>
  <si>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</si>
  <si>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</si>
  <si>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</si>
  <si>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</si>
  <si>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</si>
  <si>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</si>
  <si>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</si>
  <si>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</si>
  <si>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</si>
  <si>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</si>
  <si>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</si>
  <si>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</si>
  <si>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</si>
  <si>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</si>
  <si>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</si>
  <si>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</si>
  <si>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</si>
  <si>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</si>
  <si>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</si>
  <si>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</si>
  <si>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</si>
  <si>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</si>
  <si>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</si>
  <si>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</si>
  <si>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</si>
  <si>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</si>
  <si>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</si>
  <si>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</si>
  <si>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</si>
  <si>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</si>
  <si>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</si>
  <si>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</si>
  <si>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</si>
  <si>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</si>
  <si>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</si>
  <si>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</si>
  <si>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</si>
  <si>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</si>
  <si>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</si>
  <si>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</si>
  <si>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</si>
  <si>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</si>
  <si>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</si>
  <si>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</si>
  <si>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</si>
  <si>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</si>
  <si>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</si>
  <si>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</si>
  <si>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</si>
  <si>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</si>
  <si>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</si>
  <si>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</si>
  <si>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</si>
  <si>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</si>
  <si>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</si>
  <si>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</si>
  <si>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</si>
  <si>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</si>
  <si>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</si>
  <si>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</si>
  <si>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</si>
  <si>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</si>
  <si>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</si>
  <si>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</si>
  <si>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</si>
  <si>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</si>
  <si>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</si>
  <si>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</si>
  <si>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</si>
  <si>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</si>
  <si>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</si>
  <si>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</si>
  <si>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</si>
  <si>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</si>
  <si>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</si>
  <si>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</si>
  <si>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</si>
  <si>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</si>
  <si>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</si>
  <si>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</si>
  <si>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</si>
  <si>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</si>
  <si>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</si>
  <si>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</si>
  <si>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</si>
  <si>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</si>
  <si>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</si>
  <si>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</si>
  <si>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</si>
  <si>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</si>
  <si>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</si>
  <si>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</si>
  <si>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</si>
  <si>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</si>
  <si>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</si>
  <si>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</si>
  <si>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</si>
  <si>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</si>
  <si>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</si>
  <si>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</si>
  <si>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</si>
  <si>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</si>
  <si>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</si>
  <si>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</si>
  <si>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</si>
  <si>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</si>
  <si>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</si>
  <si>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</si>
  <si>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</si>
  <si>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</si>
  <si>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</si>
  <si>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</si>
  <si>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</si>
  <si>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</si>
  <si>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</si>
  <si>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</si>
  <si>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</si>
  <si>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</si>
  <si>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</si>
  <si>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</si>
  <si>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</si>
  <si>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</si>
  <si>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</si>
  <si>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</si>
  <si>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</si>
  <si>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</si>
  <si>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</si>
  <si>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</si>
  <si>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</si>
  <si>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</si>
  <si>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</si>
  <si>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</si>
  <si>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</si>
  <si>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</si>
  <si>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</si>
  <si>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</si>
  <si>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</si>
  <si>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</si>
  <si>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</si>
  <si>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</si>
  <si>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</si>
  <si>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</si>
  <si>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</si>
  <si>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</si>
  <si>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</si>
  <si>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</si>
  <si>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</si>
  <si>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</si>
  <si>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</si>
  <si>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</si>
  <si>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</si>
  <si>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</si>
  <si>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</si>
  <si>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</si>
  <si>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</si>
  <si>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</si>
  <si>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</si>
  <si>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</si>
  <si>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</si>
  <si>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</si>
  <si>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</si>
  <si>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</si>
  <si>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</si>
  <si>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</si>
  <si>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</si>
  <si>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</si>
  <si>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</si>
  <si>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</si>
  <si>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</si>
  <si>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</si>
  <si>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</si>
  <si>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</si>
  <si>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</si>
  <si>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</si>
  <si>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</si>
  <si>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</si>
  <si>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</si>
  <si>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</si>
  <si>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</si>
  <si>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</si>
  <si>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</si>
  <si>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</si>
  <si>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</si>
  <si>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</si>
  <si>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</si>
  <si>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</si>
  <si>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</si>
  <si>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</si>
  <si>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</si>
  <si>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</si>
  <si>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</si>
  <si>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</si>
  <si>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</si>
  <si>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</si>
  <si>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</si>
  <si>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</si>
  <si>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</si>
  <si>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</si>
  <si>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</si>
  <si>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</si>
  <si>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</si>
  <si>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</si>
  <si>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</si>
  <si>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</si>
  <si>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</si>
  <si>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</si>
  <si>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</si>
  <si>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</si>
  <si>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</si>
  <si>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</si>
  <si>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</si>
  <si>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</si>
  <si>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</si>
  <si>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</si>
  <si>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</si>
  <si>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</si>
  <si>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</si>
  <si>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</si>
  <si>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</si>
  <si>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</si>
  <si>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</si>
  <si>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</si>
  <si>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</si>
  <si>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</si>
  <si>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</si>
  <si>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</si>
  <si>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</si>
  <si>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</si>
  <si>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</si>
  <si>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</si>
  <si>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</si>
  <si>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</si>
  <si>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</si>
  <si>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</si>
  <si>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</si>
  <si>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</si>
  <si>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</si>
  <si>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</si>
  <si>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</si>
  <si>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</si>
  <si>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</si>
  <si>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</si>
  <si>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</si>
  <si>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</si>
  <si>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</si>
  <si>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</si>
  <si>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</si>
  <si>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</si>
  <si>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</si>
  <si>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</si>
  <si>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</si>
  <si>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</si>
  <si>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</si>
  <si>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</si>
  <si>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</si>
  <si>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</si>
  <si>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</si>
  <si>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</si>
  <si>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</si>
  <si>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</si>
  <si>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</si>
  <si>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</si>
  <si>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</si>
  <si>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</si>
  <si>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</si>
  <si>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</si>
  <si>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</si>
  <si>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</si>
  <si>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</si>
  <si>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</si>
  <si>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</si>
  <si>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</si>
  <si>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</si>
  <si>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</si>
  <si>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</si>
  <si>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</si>
  <si>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</si>
  <si>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</si>
  <si>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</si>
  <si>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</si>
  <si>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</si>
  <si>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</si>
  <si>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</si>
  <si>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</si>
  <si>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</si>
  <si>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</si>
  <si>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</si>
  <si>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</si>
  <si>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</si>
  <si>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</si>
  <si>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</si>
  <si>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</si>
  <si>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</si>
  <si>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</si>
  <si>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</si>
  <si>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</si>
  <si>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</si>
  <si>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</si>
  <si>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</si>
  <si>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</si>
  <si>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</si>
  <si>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</si>
  <si>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</si>
  <si>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</si>
  <si>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</si>
  <si>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</si>
  <si>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</si>
  <si>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</si>
  <si>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</si>
  <si>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</si>
  <si>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</si>
  <si>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</si>
  <si>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</si>
  <si>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</si>
  <si>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</si>
  <si>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</si>
  <si>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</si>
  <si>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</si>
  <si>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</si>
  <si>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</si>
  <si>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</si>
  <si>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</si>
  <si>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</si>
  <si>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</si>
  <si>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</si>
  <si>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</si>
  <si>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</si>
  <si>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</si>
  <si>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</si>
  <si>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</si>
  <si>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</si>
  <si>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</si>
  <si>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</si>
  <si>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</si>
  <si>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</si>
  <si>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</si>
  <si>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</si>
  <si>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</si>
  <si>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</si>
  <si>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</si>
  <si>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</si>
  <si>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</si>
  <si>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</si>
  <si>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</si>
  <si>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</si>
  <si>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</si>
  <si>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</si>
  <si>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</si>
  <si>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</si>
  <si>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</si>
  <si>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</si>
  <si>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</si>
  <si>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</si>
  <si>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</si>
  <si>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</si>
  <si>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</si>
  <si>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</si>
  <si>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</si>
  <si>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</si>
  <si>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</si>
  <si>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</si>
  <si>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</si>
  <si>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</si>
  <si>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</si>
  <si>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</si>
  <si>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</si>
  <si>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</si>
  <si>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</si>
  <si>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</si>
  <si>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</si>
  <si>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</si>
  <si>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</si>
  <si>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</si>
  <si>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</si>
  <si>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</si>
  <si>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</si>
  <si>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</si>
  <si>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</si>
  <si>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</si>
  <si>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</si>
  <si>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</si>
  <si>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</si>
  <si>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</si>
  <si>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</si>
  <si>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</si>
  <si>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</si>
  <si>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</si>
  <si>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</si>
  <si>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</si>
  <si>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</si>
  <si>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</si>
  <si>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</si>
  <si>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</si>
  <si>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</si>
  <si>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</si>
  <si>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</si>
  <si>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</si>
  <si>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</si>
  <si>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</si>
  <si>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</si>
  <si>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</si>
  <si>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</si>
  <si>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</si>
  <si>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</si>
  <si>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</si>
  <si>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</si>
  <si>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</si>
  <si>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</si>
  <si>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</si>
  <si>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</si>
  <si>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</si>
  <si>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</si>
  <si>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</si>
  <si>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</si>
  <si>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</si>
  <si>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</si>
  <si>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</si>
  <si>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</si>
  <si>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</si>
  <si>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</si>
  <si>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</si>
  <si>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</si>
  <si>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</si>
  <si>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</si>
  <si>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</si>
  <si>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</si>
  <si>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</si>
  <si>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</si>
  <si>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</si>
  <si>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</si>
  <si>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</si>
  <si>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</si>
  <si>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</si>
  <si>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</si>
  <si>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</si>
  <si>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</si>
  <si>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</si>
  <si>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</si>
  <si>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</si>
  <si>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</si>
  <si>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</si>
  <si>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</si>
  <si>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</si>
  <si>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</si>
  <si>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</si>
  <si>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</si>
  <si>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</si>
  <si>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</si>
  <si>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</si>
  <si>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</si>
  <si>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</si>
  <si>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</si>
  <si>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</si>
  <si>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</si>
  <si>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</si>
  <si>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</si>
  <si>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</si>
  <si>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</si>
  <si>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</si>
  <si>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</si>
  <si>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</si>
  <si>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</si>
  <si>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</si>
  <si>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</si>
  <si>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</si>
  <si>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</si>
  <si>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</si>
  <si>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</si>
  <si>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</si>
  <si>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</si>
  <si>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</si>
  <si>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</si>
  <si>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</si>
  <si>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</si>
  <si>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</si>
  <si>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</si>
  <si>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</si>
  <si>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</si>
  <si>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</si>
  <si>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</si>
  <si>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</si>
  <si>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</si>
  <si>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</si>
  <si>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</si>
  <si>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</si>
  <si>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</si>
  <si>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</si>
  <si>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</si>
  <si>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</si>
  <si>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</si>
  <si>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</si>
  <si>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</si>
  <si>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</si>
  <si>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</si>
  <si>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</si>
  <si>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</si>
  <si>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</si>
  <si>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</si>
  <si>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</si>
  <si>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</si>
  <si>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</si>
  <si>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</si>
  <si>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</si>
  <si>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</si>
  <si>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</si>
  <si>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</si>
  <si>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</si>
  <si>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</si>
  <si>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</si>
  <si>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</si>
  <si>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</si>
  <si>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</si>
  <si>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</si>
  <si>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</si>
  <si>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</si>
  <si>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</si>
  <si>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</si>
  <si>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</si>
  <si>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</si>
  <si>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</si>
  <si>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</si>
  <si>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</si>
  <si>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</si>
  <si>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</si>
  <si>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</si>
  <si>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</si>
  <si>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</si>
  <si>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</si>
  <si>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</si>
  <si>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</si>
  <si>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</si>
  <si>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</si>
  <si>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</si>
  <si>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</si>
  <si>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</si>
  <si>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</si>
  <si>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</si>
  <si>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</si>
  <si>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</si>
  <si>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</si>
  <si>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</si>
  <si>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</si>
  <si>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</si>
  <si>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</si>
  <si>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</si>
  <si>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</si>
  <si>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</si>
  <si>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</si>
  <si>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</si>
  <si>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</si>
  <si>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</si>
  <si>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</si>
  <si>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</si>
  <si>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</si>
  <si>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</si>
  <si>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</si>
  <si>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</si>
  <si>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</si>
  <si>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</si>
  <si>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</si>
  <si>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</si>
  <si>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</si>
  <si>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</si>
  <si>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</si>
  <si>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</si>
  <si>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</si>
  <si>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</si>
  <si>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</si>
  <si>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</si>
  <si>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</si>
  <si>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</si>
  <si>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</si>
  <si>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</si>
  <si>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</si>
  <si>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</si>
  <si>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</si>
  <si>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</si>
  <si>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</si>
  <si>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</si>
  <si>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</si>
  <si>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</si>
  <si>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</si>
  <si>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</si>
  <si>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</si>
  <si>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</si>
  <si>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</si>
  <si>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</si>
  <si>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</si>
  <si>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</si>
  <si>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</si>
  <si>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</si>
  <si>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</si>
  <si>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</si>
  <si>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</si>
  <si>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</si>
  <si>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</si>
  <si>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</si>
  <si>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</si>
  <si>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</si>
  <si>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</si>
  <si>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</si>
  <si>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</si>
  <si>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</si>
  <si>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</si>
  <si>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</si>
  <si>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</si>
  <si>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</si>
  <si>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</si>
  <si>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</si>
  <si>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</si>
  <si>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</si>
  <si>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</si>
  <si>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</si>
  <si>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</si>
  <si>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</si>
  <si>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</si>
  <si>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</si>
  <si>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</si>
  <si>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</si>
  <si>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</si>
  <si>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</si>
  <si>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</si>
  <si>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</si>
  <si>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</si>
  <si>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</si>
  <si>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</si>
  <si>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</si>
  <si>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</si>
  <si>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</si>
  <si>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</si>
  <si>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</si>
  <si>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</si>
  <si>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</si>
  <si>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</si>
  <si>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</si>
  <si>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</si>
  <si>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</si>
  <si>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</si>
  <si>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</si>
  <si>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</si>
  <si>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</si>
  <si>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</si>
  <si>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</si>
  <si>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</si>
  <si>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</si>
  <si>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</si>
  <si>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</si>
  <si>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</si>
  <si>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</si>
  <si>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</si>
  <si>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</si>
  <si>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</si>
  <si>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</si>
  <si>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</si>
  <si>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</si>
  <si>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</si>
  <si>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</si>
  <si>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</si>
  <si>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</si>
  <si>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</si>
  <si>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</si>
  <si>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</si>
  <si>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</si>
  <si>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</si>
  <si>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</si>
  <si>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</si>
  <si>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</si>
  <si>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</si>
  <si>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</si>
  <si>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</si>
  <si>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</si>
  <si>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</si>
  <si>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</si>
  <si>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</si>
  <si>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</si>
  <si>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</si>
  <si>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</si>
  <si>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</si>
  <si>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</si>
  <si>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</si>
  <si>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</si>
  <si>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</si>
  <si>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</si>
  <si>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</si>
  <si>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</si>
  <si>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</si>
  <si>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</si>
  <si>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</si>
  <si>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</si>
  <si>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</si>
  <si>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</si>
  <si>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</si>
  <si>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</si>
  <si>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</si>
  <si>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</si>
  <si>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</si>
  <si>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</si>
  <si>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</si>
  <si>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</si>
  <si>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</si>
  <si>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</si>
  <si>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</si>
  <si>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</si>
  <si>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</si>
  <si>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</si>
  <si>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</si>
  <si>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</si>
  <si>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</si>
  <si>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</si>
  <si>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</si>
  <si>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</si>
  <si>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</si>
  <si>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</si>
  <si>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</si>
  <si>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</si>
  <si>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</si>
  <si>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</si>
  <si>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</si>
  <si>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</si>
  <si>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</si>
  <si>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</si>
  <si>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</si>
  <si>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</si>
  <si>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</si>
  <si>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</si>
  <si>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</si>
  <si>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</si>
  <si>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</si>
  <si>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</si>
  <si>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</si>
  <si>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</si>
  <si>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</si>
  <si>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</si>
  <si>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</si>
  <si>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</si>
  <si>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</si>
  <si>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</si>
  <si>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</si>
  <si>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</si>
  <si>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</si>
  <si>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</si>
  <si>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</si>
  <si>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</si>
  <si>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</si>
  <si>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</si>
  <si>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</si>
  <si>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</si>
  <si>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</si>
  <si>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</si>
  <si>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</si>
  <si>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</si>
  <si>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</si>
  <si>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</si>
  <si>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</si>
  <si>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</si>
  <si>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</si>
  <si>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</si>
  <si>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</si>
  <si>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</si>
  <si>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</si>
  <si>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</si>
  <si>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</si>
  <si>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</si>
  <si>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</si>
  <si>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</si>
  <si>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</si>
  <si>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</si>
  <si>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</si>
  <si>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</si>
  <si>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</si>
  <si>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</si>
  <si>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</si>
  <si>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</si>
  <si>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</si>
  <si>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</si>
  <si>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</si>
  <si>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</si>
  <si>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</si>
  <si>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</si>
  <si>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</si>
  <si>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</si>
  <si>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</si>
  <si>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</si>
  <si>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</si>
  <si>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</si>
  <si>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</si>
  <si>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</si>
  <si>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</si>
  <si>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</si>
  <si>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</si>
  <si>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</si>
  <si>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</si>
  <si>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</si>
  <si>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</si>
  <si>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</si>
  <si>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</si>
  <si>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</si>
  <si>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</si>
  <si>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</si>
  <si>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</si>
  <si>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</si>
  <si>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</si>
  <si>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</si>
  <si>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</si>
  <si>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</si>
  <si>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</si>
  <si>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</si>
  <si>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</si>
  <si>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</si>
  <si>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</si>
  <si>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</si>
  <si>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</si>
  <si>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</si>
  <si>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</si>
  <si>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</si>
  <si>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</si>
  <si>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</si>
  <si>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</si>
  <si>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</si>
  <si>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</si>
  <si>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</si>
  <si>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</si>
  <si>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</si>
  <si>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</si>
  <si>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</si>
  <si>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</si>
  <si>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</si>
  <si>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</si>
  <si>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</si>
  <si>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</si>
  <si>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</si>
  <si>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</si>
  <si>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</si>
  <si>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</si>
  <si>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</si>
  <si>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</si>
  <si>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</si>
  <si>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</si>
  <si>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</si>
  <si>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</si>
  <si>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</si>
  <si>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</si>
  <si>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</si>
  <si>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</si>
  <si>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</si>
  <si>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</si>
  <si>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</si>
  <si>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</si>
  <si>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</si>
  <si>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</si>
  <si>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</si>
  <si>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</si>
  <si>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</si>
  <si>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</si>
  <si>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</si>
  <si>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</si>
  <si>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</si>
  <si>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</si>
  <si>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</si>
  <si>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</si>
  <si>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</si>
  <si>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</si>
  <si>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</si>
  <si>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</si>
  <si>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</si>
  <si>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</si>
  <si>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</si>
  <si>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</si>
  <si>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</si>
  <si>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</si>
  <si>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</si>
  <si>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</si>
  <si>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</si>
  <si>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</si>
  <si>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</si>
  <si>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</si>
  <si>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</si>
  <si>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</si>
  <si>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</si>
  <si>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</si>
  <si>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</si>
  <si>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</si>
  <si>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</si>
  <si>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</si>
  <si>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</si>
  <si>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</si>
  <si>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</si>
  <si>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</si>
  <si>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</si>
  <si>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</si>
  <si>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</si>
  <si>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</si>
  <si>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</si>
  <si>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</si>
  <si>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</si>
  <si>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</si>
  <si>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</si>
  <si>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</si>
  <si>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</si>
  <si>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</si>
  <si>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</si>
  <si>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</si>
  <si>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</si>
  <si>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</si>
  <si>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</si>
  <si>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</si>
  <si>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</si>
  <si>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</si>
  <si>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</si>
  <si>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</si>
  <si>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</si>
  <si>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</si>
  <si>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</si>
  <si>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</si>
  <si>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</si>
  <si>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</si>
  <si>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</si>
  <si>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</si>
  <si>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</si>
  <si>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</si>
  <si>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</si>
  <si>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</si>
  <si>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</si>
  <si>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</si>
  <si>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</si>
  <si>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</si>
  <si>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</si>
  <si>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</si>
  <si>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</si>
  <si>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</si>
  <si>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</si>
  <si>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</si>
  <si>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</si>
  <si>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</si>
  <si>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</si>
  <si>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</si>
  <si>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</si>
  <si>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</si>
  <si>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</si>
  <si>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</si>
  <si>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</si>
  <si>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</si>
  <si>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</si>
  <si>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</si>
  <si>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</si>
  <si>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</si>
  <si>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</si>
  <si>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</si>
  <si>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</si>
  <si>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</si>
  <si>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</si>
  <si>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</si>
  <si>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</si>
  <si>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</si>
  <si>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</si>
  <si>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</si>
  <si>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</si>
  <si>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</si>
  <si>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</si>
  <si>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</si>
  <si>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</si>
  <si>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</si>
  <si>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</si>
  <si>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</si>
  <si>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</si>
  <si>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</si>
  <si>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</si>
  <si>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</si>
  <si>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</si>
  <si>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</si>
  <si>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</si>
  <si>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</si>
  <si>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</si>
  <si>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</si>
  <si>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</si>
  <si>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</si>
  <si>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</si>
  <si>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</si>
  <si>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</si>
  <si>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</si>
  <si>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</si>
  <si>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</si>
  <si>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</si>
  <si>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</si>
  <si>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</si>
  <si>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</si>
  <si>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</si>
  <si>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</si>
  <si>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</si>
  <si>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</si>
  <si>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</si>
  <si>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</si>
  <si>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</si>
  <si>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</si>
  <si>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</si>
  <si>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</si>
  <si>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</si>
  <si>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</si>
  <si>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</si>
  <si>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</si>
  <si>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</si>
  <si>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</si>
  <si>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</si>
  <si>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</si>
  <si>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</si>
  <si>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</si>
  <si>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</si>
  <si>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</si>
  <si>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</si>
  <si>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</si>
  <si>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</si>
  <si>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</si>
  <si>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</si>
  <si>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</si>
  <si>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</si>
  <si>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</si>
  <si>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</si>
  <si>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</si>
  <si>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</si>
  <si>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</si>
  <si>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</si>
  <si>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</si>
  <si>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</si>
  <si>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</si>
  <si>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</si>
  <si>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</si>
  <si>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</si>
  <si>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</si>
  <si>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</si>
  <si>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</si>
  <si>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</si>
  <si>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</si>
  <si>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</si>
  <si>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</si>
  <si>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</si>
  <si>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</si>
  <si>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</si>
  <si>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</si>
  <si>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</si>
  <si>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</si>
  <si>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</si>
  <si>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</si>
  <si>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</si>
  <si>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</si>
  <si>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</si>
  <si>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</si>
  <si>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</si>
  <si>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</si>
  <si>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</si>
  <si>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</si>
  <si>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</si>
  <si>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</si>
  <si>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</si>
  <si>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</si>
  <si>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</si>
  <si>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</si>
  <si>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</si>
  <si>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</si>
  <si>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</si>
  <si>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</si>
  <si>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</si>
  <si>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</si>
  <si>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</si>
  <si>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</si>
  <si>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</si>
  <si>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</si>
  <si>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</si>
  <si>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</si>
  <si>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</si>
  <si>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</si>
  <si>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</si>
  <si>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</si>
  <si>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</si>
  <si>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</si>
  <si>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</si>
  <si>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</si>
  <si>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</si>
  <si>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</si>
  <si>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</si>
  <si>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</si>
  <si>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</si>
  <si>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</si>
  <si>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</si>
  <si>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</si>
  <si>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</si>
  <si>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</si>
  <si>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</si>
  <si>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</si>
  <si>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</si>
  <si>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</si>
  <si>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</si>
  <si>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</si>
  <si>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</si>
  <si>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</si>
  <si>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</si>
  <si>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</si>
  <si>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</si>
  <si>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</si>
  <si>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</si>
  <si>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</si>
  <si>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</si>
  <si>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</si>
  <si>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</si>
  <si>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</si>
  <si>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</si>
  <si>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</si>
  <si>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</si>
  <si>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</si>
  <si>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</si>
  <si>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</si>
  <si>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</si>
  <si>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</si>
  <si>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</si>
  <si>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</si>
  <si>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</si>
  <si>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</si>
  <si>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</si>
  <si>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</si>
  <si>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</si>
  <si>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</si>
  <si>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</si>
  <si>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</si>
  <si>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</si>
  <si>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</si>
  <si>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</si>
  <si>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</si>
  <si>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</si>
  <si>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</si>
  <si>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</si>
  <si>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</si>
  <si>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</si>
  <si>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</si>
  <si>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</si>
  <si>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</si>
  <si>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</si>
  <si>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</si>
  <si>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</si>
  <si>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</si>
  <si>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</si>
  <si>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</si>
  <si>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</si>
  <si>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</si>
  <si>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</si>
  <si>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</si>
  <si>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</si>
  <si>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</si>
  <si>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</si>
  <si>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</si>
  <si>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</si>
  <si>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</si>
  <si>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</si>
  <si>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</si>
  <si>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</si>
  <si>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</si>
  <si>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</si>
  <si>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</si>
  <si>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</si>
  <si>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</si>
  <si>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</si>
  <si>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</si>
  <si>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</si>
  <si>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</si>
  <si>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</si>
  <si>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</si>
  <si>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</si>
  <si>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</si>
  <si>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</si>
  <si>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</si>
  <si>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</si>
  <si>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</si>
  <si>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</si>
  <si>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</si>
  <si>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</si>
  <si>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</si>
  <si>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</si>
  <si>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</si>
  <si>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</si>
  <si>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</si>
  <si>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</si>
  <si>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</si>
  <si>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</si>
  <si>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</si>
  <si>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</si>
  <si>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</si>
  <si>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</si>
  <si>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</si>
  <si>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</si>
  <si>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</si>
  <si>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</si>
  <si>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</si>
  <si>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</si>
  <si>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</si>
  <si>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</si>
  <si>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</si>
  <si>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</si>
  <si>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</si>
  <si>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</si>
  <si>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</si>
  <si>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</si>
  <si>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</si>
  <si>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</si>
  <si>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</si>
  <si>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</si>
  <si>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</si>
  <si>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</si>
  <si>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</si>
  <si>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</si>
  <si>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</si>
  <si>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</si>
  <si>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</si>
  <si>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</si>
  <si>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</si>
  <si>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</si>
  <si>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</si>
  <si>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</si>
  <si>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</si>
  <si>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</si>
  <si>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</si>
  <si>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</si>
  <si>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</si>
  <si>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</si>
  <si>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</si>
  <si>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</si>
  <si>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</si>
  <si>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</si>
  <si>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</si>
  <si>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</si>
  <si>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</si>
  <si>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</si>
  <si>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</si>
  <si>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</si>
  <si>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</si>
  <si>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</si>
  <si>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</si>
  <si>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</si>
  <si>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</si>
  <si>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</si>
  <si>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</si>
  <si>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</si>
  <si>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</si>
  <si>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</si>
  <si>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</si>
  <si>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</si>
  <si>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</si>
  <si>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</si>
  <si>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</si>
  <si>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</si>
  <si>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</si>
  <si>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</si>
  <si>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</si>
  <si>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</si>
  <si>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</si>
  <si>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</si>
  <si>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</si>
  <si>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</si>
  <si>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</si>
  <si>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</si>
  <si>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</si>
  <si>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</si>
  <si>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</si>
  <si>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</si>
  <si>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</si>
  <si>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</si>
  <si>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</si>
  <si>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</si>
  <si>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</si>
  <si>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</si>
  <si>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</si>
  <si>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</si>
  <si>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</si>
  <si>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</si>
  <si>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</si>
  <si>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</si>
  <si>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</si>
  <si>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</si>
  <si>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</si>
  <si>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</si>
  <si>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</si>
  <si>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</si>
  <si>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</si>
  <si>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</si>
  <si>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</si>
  <si>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</si>
  <si>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</si>
  <si>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</si>
  <si>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</si>
  <si>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</si>
  <si>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</si>
  <si>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</si>
  <si>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</si>
  <si>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</si>
  <si>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</si>
  <si>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</si>
  <si>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</si>
  <si>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</si>
  <si>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</si>
  <si>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</si>
  <si>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</si>
  <si>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</si>
  <si>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</si>
  <si>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</si>
  <si>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</si>
  <si>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</si>
  <si>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</si>
  <si>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</si>
  <si>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</si>
  <si>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</si>
  <si>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</si>
  <si>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</si>
  <si>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</si>
  <si>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</si>
  <si>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</si>
  <si>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</si>
  <si>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</si>
  <si>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</si>
  <si>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</si>
  <si>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</si>
  <si>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</si>
  <si>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</si>
  <si>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</si>
  <si>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</si>
  <si>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</si>
  <si>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</si>
  <si>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</si>
  <si>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</si>
  <si>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</si>
  <si>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</si>
  <si>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</si>
  <si>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</si>
  <si>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</si>
  <si>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</si>
  <si>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</si>
  <si>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</si>
  <si>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</si>
  <si>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</si>
  <si>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</si>
  <si>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</si>
  <si>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</si>
  <si>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</si>
  <si>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</si>
  <si>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</si>
  <si>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</si>
  <si>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</si>
  <si>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</si>
  <si>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</si>
  <si>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</si>
  <si>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</si>
  <si>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</si>
  <si>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</si>
  <si>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</si>
  <si>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</si>
  <si>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</si>
  <si>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</si>
  <si>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</si>
  <si>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</si>
  <si>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</si>
  <si>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</si>
  <si>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</si>
  <si>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</si>
  <si>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</si>
  <si>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</si>
  <si>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</si>
  <si>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</si>
  <si>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</si>
  <si>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</si>
  <si>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</si>
  <si>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</si>
  <si>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</si>
  <si>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</si>
  <si>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</si>
  <si>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</si>
  <si>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</si>
  <si>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</si>
  <si>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</si>
  <si>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</si>
  <si>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</si>
  <si>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</si>
  <si>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</si>
  <si>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</si>
  <si>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</si>
  <si>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</si>
  <si>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</si>
  <si>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</si>
  <si>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</si>
  <si>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</si>
  <si>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</si>
  <si>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</si>
  <si>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</si>
  <si>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</si>
  <si>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</si>
  <si>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</si>
  <si>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</si>
  <si>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</si>
  <si>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</si>
  <si>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</si>
  <si>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</si>
  <si>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</si>
  <si>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</si>
  <si>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</si>
  <si>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</si>
  <si>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</si>
  <si>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</si>
  <si>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</si>
  <si>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</si>
  <si>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</si>
  <si>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</si>
  <si>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</si>
  <si>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</si>
  <si>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</si>
  <si>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</si>
  <si>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</si>
  <si>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</si>
  <si>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</si>
  <si>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</si>
  <si>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</si>
  <si>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</si>
  <si>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</si>
  <si>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</si>
  <si>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</si>
  <si>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</si>
  <si>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</si>
  <si>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</si>
  <si>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</si>
  <si>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</si>
  <si>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</si>
  <si>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</si>
  <si>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</si>
  <si>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</si>
  <si>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</si>
  <si>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</si>
  <si>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</si>
  <si>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</si>
  <si>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</si>
  <si>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</si>
  <si>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</si>
  <si>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</si>
  <si>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</si>
  <si>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</si>
  <si>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</si>
  <si>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</si>
  <si>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</si>
  <si>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</si>
  <si>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</si>
  <si>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</si>
  <si>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</si>
  <si>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</si>
  <si>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</si>
  <si>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</si>
  <si>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</si>
  <si>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</si>
  <si>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</si>
  <si>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</si>
  <si>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</si>
  <si>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</si>
  <si>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</si>
  <si>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</si>
  <si>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</si>
  <si>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</si>
  <si>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</si>
  <si>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</si>
  <si>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</si>
  <si>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</si>
  <si>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</si>
  <si>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</si>
  <si>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</si>
  <si>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</si>
  <si>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</si>
  <si>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</si>
  <si>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</si>
  <si>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</si>
  <si>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</si>
  <si>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</si>
  <si>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</si>
  <si>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</si>
  <si>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</si>
  <si>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</si>
  <si>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</si>
  <si>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</si>
  <si>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</si>
  <si>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</si>
  <si>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</si>
  <si>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</si>
  <si>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</si>
  <si>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</si>
  <si>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</si>
  <si>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</si>
  <si>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</si>
  <si>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</si>
  <si>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</si>
  <si>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</si>
  <si>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</si>
  <si>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</si>
  <si>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</si>
  <si>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</si>
  <si>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</si>
  <si>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</si>
  <si>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</si>
  <si>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</si>
  <si>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</si>
  <si>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</si>
  <si>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</si>
  <si>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</si>
  <si>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</si>
  <si>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</si>
  <si>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</si>
  <si>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</si>
  <si>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</si>
  <si>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</si>
  <si>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</si>
  <si>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</si>
  <si>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</si>
  <si>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</si>
  <si>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</si>
  <si>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</si>
  <si>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</si>
  <si>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</si>
  <si>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</si>
  <si>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</si>
  <si>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</si>
  <si>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</si>
  <si>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</si>
  <si>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</si>
  <si>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</si>
  <si>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</si>
  <si>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</si>
  <si>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</si>
  <si>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</si>
  <si>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</si>
  <si>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</si>
  <si>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</si>
  <si>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</si>
  <si>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</si>
  <si>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</si>
  <si>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</si>
  <si>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</si>
  <si>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</si>
  <si>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</si>
  <si>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</si>
  <si>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</si>
  <si>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</si>
  <si>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</si>
  <si>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</si>
  <si>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</si>
  <si>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</si>
  <si>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</si>
  <si>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</si>
  <si>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</si>
  <si>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</si>
  <si>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</si>
  <si>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</si>
  <si>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</si>
  <si>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</si>
  <si>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</si>
  <si>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</si>
  <si>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</si>
  <si>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</si>
  <si>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</si>
  <si>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</si>
  <si>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</si>
  <si>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</si>
  <si>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</si>
  <si>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</si>
  <si>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</si>
  <si>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</si>
  <si>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</si>
  <si>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</si>
  <si>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</si>
  <si>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</si>
  <si>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</si>
  <si>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</si>
  <si>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</si>
  <si>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</si>
  <si>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</si>
  <si>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</si>
  <si>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</si>
  <si>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</si>
  <si>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</si>
  <si>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</si>
  <si>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</si>
  <si>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</si>
  <si>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</si>
  <si>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</si>
  <si>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</si>
  <si>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</si>
  <si>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</si>
  <si>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</si>
  <si>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</si>
  <si>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</si>
  <si>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</si>
  <si>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</si>
  <si>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</si>
  <si>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</si>
  <si>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</si>
  <si>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</si>
  <si>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</si>
  <si>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</si>
  <si>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</si>
  <si>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</si>
  <si>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</si>
  <si>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</si>
  <si>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</si>
  <si>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</si>
  <si>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</si>
  <si>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</si>
  <si>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</si>
  <si>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</si>
  <si>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</si>
  <si>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</si>
  <si>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</si>
  <si>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</si>
  <si>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</si>
  <si>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</si>
  <si>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</si>
  <si>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</si>
  <si>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</si>
  <si>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</si>
  <si>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</si>
  <si>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</si>
  <si>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</si>
  <si>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</si>
  <si>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</si>
  <si>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</si>
  <si>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</si>
  <si>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</si>
  <si>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</si>
  <si>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</si>
  <si>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</si>
  <si>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</si>
  <si>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</si>
  <si>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</si>
  <si>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</si>
  <si>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</si>
  <si>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</si>
  <si>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</si>
  <si>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</si>
  <si>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</si>
  <si>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</si>
  <si>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</si>
  <si>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</si>
  <si>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</si>
  <si>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</si>
  <si>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</si>
  <si>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</si>
  <si>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</si>
  <si>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</si>
  <si>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</si>
  <si>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</si>
  <si>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</si>
  <si>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</si>
  <si>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</si>
  <si>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</si>
  <si>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</si>
  <si>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</si>
  <si>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</si>
  <si>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</si>
  <si>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</si>
  <si>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</si>
  <si>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</si>
  <si>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</si>
  <si>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</si>
  <si>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</si>
  <si>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</si>
  <si>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</si>
  <si>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</si>
  <si>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</si>
  <si>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</si>
  <si>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</si>
  <si>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</si>
  <si>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</si>
  <si>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</si>
  <si>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</si>
  <si>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</si>
  <si>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</si>
  <si>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</si>
  <si>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</si>
  <si>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</si>
  <si>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</si>
  <si>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</si>
  <si>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</si>
  <si>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</si>
  <si>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</si>
  <si>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</si>
  <si>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</si>
  <si>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</si>
  <si>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</si>
  <si>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</si>
  <si>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</si>
  <si>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</si>
  <si>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</si>
  <si>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</si>
  <si>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</si>
  <si>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</si>
  <si>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</si>
  <si>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</si>
  <si>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</si>
  <si>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</si>
  <si>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</si>
  <si>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</si>
  <si>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</si>
  <si>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</si>
  <si>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</si>
  <si>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</si>
  <si>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</si>
  <si>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</si>
  <si>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</si>
  <si>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</si>
  <si>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</si>
  <si>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</si>
  <si>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</si>
  <si>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</si>
  <si>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</si>
  <si>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</si>
  <si>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</si>
  <si>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</si>
  <si>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</si>
  <si>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</si>
  <si>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</si>
  <si>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</si>
  <si>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</si>
  <si>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</si>
  <si>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</si>
  <si>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</si>
  <si>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</si>
  <si>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</si>
  <si>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</si>
  <si>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</si>
  <si>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</si>
  <si>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</si>
  <si>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</si>
  <si>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</si>
  <si>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</si>
  <si>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</si>
  <si>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</si>
  <si>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</si>
  <si>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</si>
  <si>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</si>
  <si>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</si>
  <si>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</si>
  <si>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</si>
  <si>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</si>
  <si>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</si>
  <si>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</si>
  <si>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</si>
  <si>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</si>
  <si>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</si>
  <si>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</si>
  <si>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</si>
  <si>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</si>
  <si>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</si>
  <si>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</si>
  <si>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</si>
  <si>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</si>
  <si>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</si>
  <si>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</si>
  <si>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</si>
  <si>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</si>
  <si>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</si>
  <si>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</si>
  <si>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</si>
  <si>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</si>
  <si>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</si>
  <si>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</si>
  <si>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</si>
  <si>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</si>
  <si>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</si>
  <si>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</si>
  <si>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</si>
  <si>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</si>
  <si>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</si>
  <si>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</si>
  <si>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</si>
  <si>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</si>
  <si>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</si>
  <si>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</si>
  <si>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</si>
  <si>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</si>
  <si>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</si>
  <si>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</si>
  <si>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</si>
  <si>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</si>
  <si>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</si>
  <si>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</si>
  <si>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</si>
  <si>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</si>
  <si>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</si>
  <si>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</si>
  <si>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</si>
  <si>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</si>
  <si>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</si>
  <si>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</si>
  <si>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</si>
  <si>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</si>
  <si>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</si>
  <si>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</si>
  <si>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</si>
  <si>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</si>
  <si>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</si>
  <si>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</si>
  <si>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</si>
  <si>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</si>
  <si>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</si>
  <si>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</si>
  <si>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</si>
  <si>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</si>
  <si>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</si>
  <si>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</si>
  <si>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</si>
  <si>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</si>
  <si>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</si>
  <si>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</si>
  <si>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</si>
  <si>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</si>
  <si>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</si>
  <si>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</si>
  <si>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</si>
  <si>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</si>
  <si>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</si>
  <si>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</si>
  <si>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</si>
  <si>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</si>
  <si>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</si>
  <si>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</si>
  <si>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</si>
  <si>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</si>
  <si>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</si>
  <si>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</si>
  <si>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</si>
  <si>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</si>
  <si>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</si>
  <si>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</si>
  <si>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</si>
  <si>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</si>
  <si>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</si>
  <si>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</si>
  <si>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</si>
  <si>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</si>
  <si>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</si>
  <si>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</si>
  <si>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</si>
  <si>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</si>
  <si>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</si>
  <si>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</si>
  <si>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</si>
  <si>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</si>
  <si>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</si>
  <si>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</si>
  <si>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</si>
  <si>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</si>
  <si>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</si>
  <si>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</si>
  <si>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</si>
  <si>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</si>
  <si>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</si>
  <si>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</si>
  <si>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</si>
  <si>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</si>
  <si>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</si>
  <si>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</si>
  <si>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</si>
  <si>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</si>
  <si>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</si>
  <si>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</si>
  <si>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</si>
  <si>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</si>
  <si>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</si>
  <si>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</si>
  <si>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</si>
  <si>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</si>
  <si>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</si>
  <si>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</si>
  <si>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</si>
  <si>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</si>
  <si>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</si>
  <si>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</si>
  <si>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</si>
  <si>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</si>
  <si>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</si>
  <si>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</si>
  <si>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</si>
  <si>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</si>
  <si>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</si>
  <si>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</si>
  <si>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</si>
  <si>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</si>
  <si>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</si>
  <si>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</si>
  <si>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</si>
  <si>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</si>
  <si>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</si>
  <si>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</si>
  <si>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</si>
  <si>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</si>
  <si>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</si>
  <si>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</si>
  <si>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</si>
  <si>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</si>
  <si>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</si>
  <si>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</si>
  <si>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</si>
  <si>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</si>
  <si>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</si>
  <si>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</si>
  <si>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</si>
  <si>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</si>
  <si>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</si>
  <si>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</si>
  <si>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</si>
  <si>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</si>
  <si>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</si>
  <si>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</si>
  <si>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</si>
  <si>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</si>
  <si>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</si>
  <si>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</si>
  <si>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</si>
  <si>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</si>
  <si>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</si>
  <si>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</si>
  <si>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</si>
  <si>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</si>
  <si>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</si>
  <si>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</si>
  <si>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</si>
  <si>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</si>
  <si>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</si>
  <si>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</si>
  <si>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</si>
  <si>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</si>
  <si>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</si>
  <si>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</si>
  <si>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</si>
  <si>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</si>
  <si>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</si>
  <si>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</si>
  <si>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</si>
  <si>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</si>
  <si>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</si>
  <si>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</si>
  <si>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</si>
  <si>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</si>
  <si>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</si>
  <si>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</si>
  <si>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</si>
  <si>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</si>
  <si>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</si>
  <si>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</si>
  <si>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</si>
  <si>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</si>
  <si>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</si>
  <si>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</si>
  <si>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</si>
  <si>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</si>
  <si>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</si>
  <si>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</si>
  <si>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</si>
  <si>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</si>
  <si>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</si>
  <si>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</si>
  <si>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</si>
  <si>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</si>
  <si>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</si>
  <si>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</si>
  <si>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</si>
  <si>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</si>
  <si>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</si>
  <si>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</si>
  <si>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</si>
  <si>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</si>
  <si>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</si>
  <si>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</si>
  <si>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</si>
  <si>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</si>
  <si>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</si>
  <si>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</si>
  <si>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</si>
  <si>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</si>
  <si>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</si>
  <si>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</si>
  <si>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</si>
  <si>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</si>
  <si>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</si>
  <si>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</si>
  <si>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</si>
  <si>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</si>
  <si>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</si>
  <si>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</si>
  <si>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</si>
  <si>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</si>
  <si>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</si>
  <si>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</si>
  <si>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</si>
  <si>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</si>
  <si>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</si>
  <si>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</si>
  <si>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</si>
  <si>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</si>
  <si>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</si>
  <si>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</si>
  <si>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</si>
  <si>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</si>
  <si>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</si>
  <si>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</si>
  <si>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</si>
  <si>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</si>
  <si>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</si>
  <si>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</si>
  <si>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</si>
  <si>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</si>
  <si>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</si>
  <si>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</si>
  <si>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</si>
  <si>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</si>
  <si>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</si>
  <si>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</si>
  <si>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</si>
  <si>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</si>
  <si>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</si>
  <si>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</si>
  <si>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</si>
  <si>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</si>
  <si>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</si>
  <si>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</si>
  <si>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</si>
  <si>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</si>
  <si>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</si>
  <si>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</si>
  <si>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</si>
  <si>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</si>
  <si>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</si>
  <si>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</si>
  <si>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</si>
  <si>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</si>
  <si>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</si>
  <si>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</si>
  <si>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</si>
  <si>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</si>
  <si>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</si>
  <si>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</si>
  <si>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</si>
  <si>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</si>
  <si>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</si>
  <si>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</si>
  <si>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</si>
  <si>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</si>
  <si>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</si>
  <si>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</si>
  <si>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</si>
  <si>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</si>
  <si>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</si>
  <si>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</si>
  <si>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</si>
  <si>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</si>
  <si>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</si>
  <si>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</si>
  <si>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</si>
  <si>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</si>
  <si>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</si>
  <si>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</si>
  <si>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</si>
  <si>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</si>
  <si>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</si>
  <si>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</si>
  <si>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</si>
  <si>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</si>
  <si>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</si>
  <si>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</si>
  <si>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</si>
  <si>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</si>
  <si>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</si>
  <si>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</si>
  <si>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</si>
  <si>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</si>
  <si>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</si>
  <si>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</si>
  <si>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</si>
  <si>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</si>
  <si>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</si>
  <si>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</si>
  <si>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</si>
  <si>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</si>
  <si>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</si>
  <si>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</si>
  <si>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</si>
  <si>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</si>
  <si>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</si>
  <si>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</si>
  <si>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</si>
  <si>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</si>
  <si>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</si>
  <si>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</si>
  <si>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</si>
  <si>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</si>
  <si>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</si>
  <si>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</si>
  <si>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</si>
  <si>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</si>
  <si>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</si>
  <si>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</si>
  <si>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</si>
  <si>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</si>
  <si>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</si>
  <si>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</si>
  <si>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</si>
  <si>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</si>
  <si>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</si>
  <si>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</si>
  <si>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</si>
  <si>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</si>
  <si>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</si>
  <si>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</si>
  <si>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</si>
  <si>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</si>
  <si>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</si>
  <si>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</si>
  <si>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</si>
  <si>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</si>
  <si>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</si>
  <si>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</si>
  <si>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</si>
  <si>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</si>
  <si>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</si>
  <si>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</si>
  <si>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</si>
  <si>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</si>
  <si>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</si>
  <si>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</si>
  <si>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</si>
  <si>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</si>
  <si>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</si>
  <si>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</si>
  <si>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</si>
  <si>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</si>
  <si>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</si>
  <si>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</si>
  <si>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</si>
  <si>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</si>
  <si>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</si>
  <si>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</si>
  <si>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</si>
  <si>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</si>
  <si>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</si>
  <si>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</si>
  <si>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</si>
  <si>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</si>
  <si>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</si>
  <si>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</si>
  <si>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</si>
  <si>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</si>
  <si>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</si>
  <si>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</si>
  <si>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</si>
  <si>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</si>
  <si>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</si>
  <si>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</si>
  <si>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</si>
  <si>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</si>
  <si>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</si>
  <si>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</si>
  <si>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</si>
  <si>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</si>
  <si>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</si>
  <si>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</si>
  <si>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</si>
  <si>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</si>
  <si>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</si>
  <si>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</si>
  <si>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</si>
  <si>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</si>
  <si>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</si>
  <si>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</si>
  <si>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</si>
  <si>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</si>
  <si>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</si>
  <si>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</si>
  <si>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</si>
  <si>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</si>
  <si>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</si>
  <si>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</si>
  <si>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</si>
  <si>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</si>
  <si>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</si>
  <si>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</si>
  <si>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</si>
  <si>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</si>
  <si>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</si>
  <si>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</si>
  <si>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</si>
  <si>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</si>
  <si>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</si>
  <si>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</si>
  <si>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</si>
  <si>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</si>
  <si>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</si>
  <si>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</si>
  <si>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</si>
  <si>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</si>
  <si>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</si>
  <si>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</si>
  <si>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</si>
  <si>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</si>
  <si>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</si>
  <si>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</si>
  <si>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</si>
  <si>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</si>
  <si>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</si>
  <si>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</si>
  <si>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</si>
  <si>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</si>
  <si>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</si>
  <si>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</si>
  <si>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</si>
  <si>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</si>
  <si>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</si>
  <si>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</si>
  <si>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</si>
  <si>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</si>
  <si>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</si>
  <si>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</si>
  <si>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</si>
  <si>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</si>
  <si>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</si>
  <si>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</si>
  <si>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</si>
  <si>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</si>
  <si>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</si>
  <si>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</si>
  <si>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</si>
  <si>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</si>
  <si>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</si>
  <si>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</si>
  <si>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</si>
  <si>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</si>
  <si>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</si>
  <si>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</si>
  <si>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</si>
  <si>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</si>
  <si>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</si>
  <si>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</si>
  <si>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</si>
  <si>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</si>
  <si>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</si>
  <si>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</si>
  <si>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</si>
  <si>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</si>
  <si>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</si>
  <si>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</si>
  <si>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</si>
  <si>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</si>
  <si>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</si>
  <si>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</si>
  <si>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</si>
  <si>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</si>
  <si>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</si>
  <si>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</si>
  <si>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</si>
  <si>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</si>
  <si>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</si>
  <si>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</si>
  <si>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</si>
  <si>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</si>
  <si>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</si>
  <si>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</si>
  <si>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</si>
  <si>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</si>
  <si>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</si>
  <si>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</si>
  <si>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</si>
  <si>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</si>
  <si>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</si>
  <si>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</si>
  <si>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</si>
  <si>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</si>
  <si>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</si>
  <si>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</si>
  <si>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</si>
  <si>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</si>
  <si>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</si>
  <si>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</si>
  <si>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</si>
  <si>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</si>
  <si>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</si>
  <si>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</si>
  <si>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</si>
  <si>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</si>
  <si>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</si>
  <si>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</si>
  <si>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</si>
  <si>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</si>
  <si>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</si>
  <si>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</si>
  <si>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</si>
  <si>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</si>
  <si>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</si>
  <si>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</si>
  <si>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</si>
  <si>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</si>
  <si>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</si>
  <si>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</si>
  <si>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</si>
  <si>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</si>
  <si>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</si>
  <si>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</si>
  <si>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</si>
  <si>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</si>
  <si>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</si>
  <si>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</si>
  <si>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</si>
  <si>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</si>
  <si>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</si>
  <si>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</si>
  <si>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</si>
  <si>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</si>
  <si>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</si>
  <si>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</si>
  <si>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</si>
  <si>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</si>
  <si>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</si>
  <si>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</si>
  <si>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</si>
  <si>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</si>
  <si>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</si>
  <si>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</si>
  <si>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</si>
  <si>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</si>
  <si>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</si>
  <si>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</si>
  <si>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</si>
  <si>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</si>
  <si>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</si>
  <si>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</si>
  <si>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</si>
  <si>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</si>
  <si>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</si>
  <si>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</si>
  <si>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</si>
  <si>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</si>
  <si>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</si>
  <si>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</si>
  <si>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</si>
  <si>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</si>
  <si>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</si>
  <si>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</si>
  <si>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</si>
  <si>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</si>
  <si>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</si>
  <si>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</si>
  <si>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</si>
  <si>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</si>
  <si>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</si>
  <si>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</si>
  <si>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</si>
  <si>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</si>
  <si>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</si>
  <si>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</si>
  <si>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</si>
  <si>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</si>
  <si>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</si>
  <si>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</si>
  <si>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</si>
  <si>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</si>
  <si>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</si>
  <si>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</si>
  <si>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</si>
  <si>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</si>
  <si>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</si>
  <si>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</si>
  <si>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</si>
  <si>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</si>
  <si>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</si>
  <si>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</si>
  <si>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</si>
  <si>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</si>
  <si>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</si>
  <si>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</si>
  <si>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</si>
  <si>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</si>
  <si>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</si>
  <si>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</si>
  <si>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</si>
  <si>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</si>
  <si>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</si>
  <si>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</si>
  <si>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</si>
  <si>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</si>
  <si>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</si>
  <si>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</si>
  <si>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</si>
  <si>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</si>
  <si>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</si>
  <si>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</si>
  <si>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</si>
  <si>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</si>
  <si>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</si>
  <si>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</si>
  <si>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</si>
  <si>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</si>
  <si>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</si>
  <si>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</si>
  <si>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</si>
  <si>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</si>
  <si>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</si>
  <si>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</si>
  <si>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</si>
  <si>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</si>
  <si>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</si>
  <si>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</si>
  <si>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</si>
  <si>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</si>
  <si>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</si>
  <si>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</si>
  <si>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</si>
  <si>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</si>
  <si>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</si>
  <si>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</si>
  <si>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</si>
  <si>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</si>
  <si>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</si>
  <si>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</si>
  <si>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</si>
  <si>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</si>
  <si>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</si>
  <si>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</si>
  <si>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</si>
  <si>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</si>
  <si>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</si>
  <si>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</si>
  <si>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</si>
  <si>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</si>
  <si>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</si>
  <si>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</si>
  <si>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</si>
  <si>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</si>
  <si>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</si>
  <si>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</si>
  <si>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</si>
  <si>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</si>
  <si>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</si>
  <si>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</si>
  <si>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</si>
  <si>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</si>
  <si>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</si>
  <si>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</si>
  <si>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</si>
  <si>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</si>
  <si>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</si>
  <si>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</si>
  <si>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</si>
  <si>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</si>
  <si>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</si>
  <si>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</si>
  <si>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</si>
  <si>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</si>
  <si>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</si>
  <si>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</si>
  <si>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</si>
  <si>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</si>
  <si>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</si>
  <si>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</si>
  <si>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</si>
  <si>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</si>
  <si>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</si>
  <si>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</si>
  <si>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</si>
  <si>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</si>
  <si>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</si>
  <si>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</si>
  <si>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</si>
  <si>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</si>
  <si>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</si>
  <si>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</si>
  <si>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</si>
  <si>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</si>
  <si>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</si>
  <si>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</si>
  <si>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</si>
  <si>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</si>
  <si>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</si>
  <si>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</si>
  <si>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</si>
  <si>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</si>
  <si>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</si>
  <si>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</si>
  <si>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</si>
  <si>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</si>
  <si>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</si>
  <si>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</si>
  <si>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</si>
  <si>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</si>
  <si>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</si>
  <si>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</si>
  <si>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</si>
  <si>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</si>
  <si>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</si>
  <si>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</si>
  <si>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</si>
  <si>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</si>
  <si>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</si>
  <si>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</si>
  <si>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</si>
  <si>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</si>
  <si>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</si>
  <si>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</si>
  <si>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</si>
  <si>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</si>
  <si>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</si>
  <si>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</si>
  <si>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</si>
  <si>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</si>
  <si>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</si>
  <si>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</si>
  <si>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</si>
  <si>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</si>
  <si>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</si>
  <si>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</si>
  <si>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</si>
  <si>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</si>
  <si>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</si>
  <si>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</si>
  <si>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</si>
  <si>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</si>
  <si>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</si>
  <si>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</si>
  <si>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</si>
  <si>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</si>
  <si>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</si>
  <si>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</si>
  <si>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</si>
  <si>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</si>
  <si>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</si>
  <si>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</si>
  <si>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</si>
  <si>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</si>
  <si>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</si>
  <si>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</si>
  <si>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</si>
  <si>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</si>
  <si>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</si>
  <si>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</si>
  <si>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</si>
  <si>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</si>
  <si>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</si>
  <si>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</si>
  <si>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</si>
  <si>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</si>
  <si>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</si>
  <si>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</si>
  <si>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</si>
  <si>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</si>
  <si>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</si>
  <si>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</si>
  <si>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</si>
  <si>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</si>
  <si>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</si>
  <si>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</si>
  <si>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</si>
  <si>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</si>
  <si>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</si>
  <si>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</si>
  <si>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</si>
  <si>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</si>
  <si>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</si>
  <si>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</si>
  <si>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</si>
  <si>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</si>
  <si>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</si>
  <si>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</si>
  <si>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</si>
  <si>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</si>
  <si>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</si>
  <si>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</si>
  <si>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</si>
  <si>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</si>
  <si>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</si>
  <si>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</si>
  <si>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</si>
  <si>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</si>
  <si>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</si>
  <si>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</si>
  <si>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</si>
  <si>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</si>
  <si>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</si>
  <si>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</si>
  <si>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</si>
  <si>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</si>
  <si>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</si>
  <si>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</si>
  <si>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</si>
  <si>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</si>
  <si>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</si>
  <si>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</si>
  <si>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</si>
  <si>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</si>
  <si>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</si>
  <si>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</si>
  <si>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</si>
  <si>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</si>
  <si>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</si>
  <si>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</si>
  <si>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</si>
  <si>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</si>
  <si>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</si>
  <si>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</si>
  <si>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</si>
  <si>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</si>
  <si>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</si>
  <si>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</si>
  <si>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</si>
  <si>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</si>
  <si>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</si>
  <si>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</si>
  <si>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</si>
  <si>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</si>
  <si>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</si>
  <si>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</si>
  <si>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</si>
  <si>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</si>
  <si>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</si>
  <si>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</si>
  <si>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</si>
  <si>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</si>
  <si>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</si>
  <si>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</si>
  <si>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</si>
  <si>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</si>
  <si>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</si>
  <si>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</si>
  <si>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</si>
  <si>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</si>
  <si>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</si>
  <si>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</si>
  <si>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</si>
  <si>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</si>
  <si>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</si>
  <si>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</si>
  <si>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</si>
  <si>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</si>
  <si>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</si>
  <si>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</si>
  <si>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</si>
  <si>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</si>
  <si>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</si>
  <si>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</si>
  <si>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</si>
  <si>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</si>
  <si>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</si>
  <si>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</si>
  <si>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</si>
  <si>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</si>
  <si>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</si>
  <si>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</si>
  <si>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</si>
  <si>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</si>
  <si>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</si>
  <si>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</si>
  <si>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</si>
  <si>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</si>
  <si>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</si>
  <si>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</si>
  <si>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</si>
  <si>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</si>
  <si>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</si>
  <si>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</si>
  <si>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</si>
  <si>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</si>
  <si>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</si>
  <si>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</si>
  <si>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</si>
  <si>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</si>
  <si>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</si>
  <si>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</si>
  <si>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</si>
  <si>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</si>
  <si>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</si>
  <si>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</si>
  <si>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</si>
  <si>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</si>
  <si>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</si>
  <si>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</si>
  <si>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</si>
  <si>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</si>
  <si>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</si>
  <si>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</si>
  <si>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</si>
  <si>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</si>
  <si>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</si>
  <si>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</si>
  <si>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</si>
  <si>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</si>
  <si>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</si>
  <si>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</si>
  <si>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</si>
  <si>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</si>
  <si>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</si>
  <si>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</si>
  <si>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</si>
  <si>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</si>
  <si>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</si>
  <si>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</si>
  <si>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</si>
  <si>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</si>
  <si>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</si>
  <si>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</si>
  <si>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</si>
  <si>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</si>
  <si>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</si>
  <si>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</si>
  <si>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</si>
  <si>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</si>
  <si>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</si>
  <si>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</si>
  <si>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</si>
  <si>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</si>
  <si>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</si>
  <si>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</si>
  <si>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</si>
  <si>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</si>
  <si>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</si>
  <si>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</si>
  <si>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</si>
  <si>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</si>
  <si>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</si>
  <si>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</si>
  <si>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</si>
  <si>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</si>
  <si>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</si>
  <si>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</si>
  <si>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</si>
  <si>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</si>
  <si>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</si>
  <si>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</si>
  <si>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</si>
  <si>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</si>
  <si>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</si>
  <si>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</si>
  <si>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</si>
  <si>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</si>
  <si>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</si>
  <si>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</si>
  <si>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</si>
  <si>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</si>
  <si>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</si>
  <si>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</si>
  <si>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</si>
  <si>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</si>
  <si>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</si>
  <si>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</si>
  <si>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</si>
  <si>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</si>
  <si>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</si>
  <si>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</si>
  <si>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</si>
  <si>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</si>
  <si>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</si>
  <si>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</si>
  <si>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</si>
  <si>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</si>
  <si>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</si>
  <si>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</si>
  <si>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</si>
  <si>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</si>
  <si>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</si>
  <si>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</si>
  <si>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</si>
  <si>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</si>
  <si>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</si>
  <si>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</si>
  <si>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</si>
  <si>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</si>
  <si>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</si>
  <si>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</si>
  <si>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</si>
  <si>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</si>
  <si>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</si>
  <si>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</si>
  <si>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</si>
  <si>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</si>
  <si>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</si>
  <si>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</si>
  <si>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</si>
  <si>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</si>
  <si>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</si>
  <si>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</si>
  <si>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</si>
  <si>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</si>
  <si>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</si>
  <si>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</si>
  <si>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</si>
  <si>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</si>
  <si>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</si>
  <si>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</si>
  <si>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</si>
  <si>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</si>
  <si>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</si>
  <si>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</si>
  <si>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</si>
  <si>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</si>
  <si>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</si>
  <si>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</si>
  <si>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</si>
  <si>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</si>
  <si>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</si>
  <si>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</si>
  <si>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</si>
  <si>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</si>
  <si>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</si>
  <si>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</si>
  <si>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</si>
  <si>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</si>
  <si>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</si>
  <si>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</si>
  <si>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</si>
  <si>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</si>
  <si>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</si>
  <si>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</si>
  <si>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</si>
  <si>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</si>
  <si>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</si>
  <si>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</si>
  <si>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</si>
  <si>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</si>
  <si>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</si>
  <si>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</si>
  <si>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</si>
  <si>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</si>
  <si>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</si>
  <si>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</si>
  <si>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</si>
  <si>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</si>
  <si>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</si>
  <si>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</si>
  <si>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</si>
  <si>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</si>
  <si>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</si>
  <si>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</si>
  <si>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</si>
  <si>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</si>
  <si>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</si>
  <si>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</si>
  <si>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</si>
  <si>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</si>
  <si>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</si>
  <si>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</si>
  <si>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</si>
  <si>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</si>
  <si>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</si>
  <si>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</si>
  <si>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</si>
  <si>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</si>
  <si>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</si>
  <si>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</si>
  <si>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</si>
  <si>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</si>
  <si>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</si>
  <si>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</si>
  <si>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</si>
  <si>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</si>
  <si>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</si>
  <si>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</si>
  <si>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</si>
  <si>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</si>
  <si>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</si>
  <si>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</si>
  <si>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</si>
  <si>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</si>
  <si>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</si>
  <si>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</si>
  <si>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</si>
  <si>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</si>
  <si>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</si>
  <si>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</si>
  <si>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</si>
  <si>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</si>
  <si>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</si>
  <si>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</si>
  <si>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</si>
  <si>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</si>
  <si>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</si>
  <si>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</si>
  <si>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</si>
  <si>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</si>
  <si>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</si>
  <si>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</si>
  <si>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</si>
  <si>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</si>
  <si>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</si>
  <si>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</si>
  <si>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</si>
  <si>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</si>
  <si>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</si>
  <si>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</si>
  <si>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</si>
  <si>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</si>
  <si>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</si>
  <si>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</si>
  <si>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</si>
  <si>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</si>
  <si>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</si>
  <si>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</si>
  <si>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</si>
  <si>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</si>
  <si>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</si>
  <si>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</si>
  <si>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</si>
  <si>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</si>
  <si>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</si>
  <si>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</si>
  <si>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</si>
  <si>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</si>
  <si>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</si>
  <si>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</si>
  <si>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</si>
  <si>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</si>
  <si>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</si>
  <si>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</si>
  <si>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</si>
  <si>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</si>
  <si>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</si>
  <si>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</si>
  <si>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</si>
  <si>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</si>
  <si>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</si>
  <si>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</si>
  <si>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</si>
  <si>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</si>
  <si>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</si>
  <si>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</si>
  <si>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</si>
  <si>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</si>
  <si>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</si>
  <si>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</si>
  <si>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</si>
  <si>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</si>
  <si>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</si>
  <si>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</si>
  <si>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</si>
  <si>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</si>
  <si>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</si>
  <si>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</si>
  <si>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</si>
  <si>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</si>
  <si>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</si>
  <si>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</si>
  <si>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</si>
  <si>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</si>
  <si>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</si>
  <si>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</si>
  <si>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</si>
  <si>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</si>
  <si>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</si>
  <si>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</si>
  <si>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</si>
  <si>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</si>
  <si>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</si>
  <si>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</si>
  <si>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</si>
  <si>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</si>
  <si>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</si>
  <si>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</si>
  <si>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</si>
  <si>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</si>
  <si>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</si>
  <si>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</si>
  <si>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</si>
  <si>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</si>
  <si>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</si>
  <si>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</si>
  <si>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</si>
  <si>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</si>
  <si>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</si>
  <si>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</si>
  <si>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</si>
  <si>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</si>
  <si>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</si>
  <si>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</si>
  <si>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</si>
  <si>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</si>
  <si>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</si>
  <si>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</si>
  <si>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</si>
  <si>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</si>
  <si>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</si>
  <si>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</si>
  <si>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</si>
  <si>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</si>
  <si>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</si>
  <si>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</si>
  <si>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</si>
  <si>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</si>
  <si>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</si>
  <si>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</si>
  <si>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</si>
  <si>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</si>
  <si>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</si>
  <si>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</si>
  <si>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</si>
  <si>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</si>
  <si>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</si>
  <si>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</si>
  <si>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</si>
  <si>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</si>
  <si>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</si>
  <si>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</si>
  <si>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</si>
  <si>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</si>
  <si>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</si>
  <si>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</si>
  <si>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</si>
  <si>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</si>
  <si>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</si>
  <si>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</si>
  <si>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</si>
  <si>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</si>
  <si>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</si>
  <si>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</si>
  <si>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</si>
  <si>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</si>
  <si>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</si>
  <si>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</si>
  <si>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</si>
  <si>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</si>
  <si>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</si>
  <si>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</si>
  <si>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</si>
  <si>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</si>
  <si>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</si>
  <si>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</si>
  <si>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</si>
  <si>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</si>
  <si>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</si>
  <si>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</si>
  <si>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</si>
  <si>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</si>
  <si>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</si>
  <si>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</si>
  <si>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</si>
  <si>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</si>
  <si>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</si>
  <si>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</si>
  <si>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</si>
  <si>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</si>
  <si>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</si>
  <si>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</si>
  <si>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</si>
  <si>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</si>
  <si>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</si>
  <si>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</si>
  <si>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</si>
  <si>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</si>
  <si>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</si>
  <si>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</si>
  <si>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</si>
  <si>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</si>
  <si>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</si>
  <si>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</si>
  <si>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</si>
  <si>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</si>
  <si>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</si>
  <si>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</si>
  <si>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</si>
  <si>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</si>
  <si>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</si>
  <si>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</si>
  <si>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</si>
  <si>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</si>
  <si>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</si>
  <si>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</si>
  <si>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</si>
  <si>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</si>
  <si>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</si>
  <si>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</si>
  <si>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</si>
  <si>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</si>
  <si>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</si>
  <si>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</si>
  <si>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</si>
  <si>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</si>
  <si>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</si>
  <si>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</si>
  <si>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</si>
  <si>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</si>
  <si>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</si>
  <si>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</si>
  <si>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</si>
  <si>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</si>
  <si>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</si>
  <si>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</si>
  <si>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</si>
  <si>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</si>
  <si>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</si>
  <si>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</si>
  <si>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</si>
  <si>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</si>
  <si>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</si>
  <si>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</si>
  <si>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</si>
  <si>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</si>
  <si>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</si>
  <si>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</si>
  <si>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</si>
  <si>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</si>
  <si>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</si>
  <si>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</si>
  <si>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</si>
  <si>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</si>
  <si>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</si>
  <si>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</si>
  <si>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</si>
  <si>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</si>
  <si>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</si>
  <si>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</si>
  <si>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</si>
  <si>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</si>
  <si>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</si>
  <si>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</si>
  <si>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</si>
  <si>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</si>
  <si>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</si>
  <si>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</si>
  <si>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</si>
  <si>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</si>
  <si>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</si>
  <si>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</si>
  <si>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</si>
  <si>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</si>
  <si>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</si>
  <si>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</si>
  <si>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</si>
  <si>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</si>
  <si>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</si>
  <si>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</si>
  <si>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</si>
  <si>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</si>
  <si>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</si>
  <si>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</si>
  <si>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</si>
  <si>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</si>
  <si>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</si>
  <si>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</si>
  <si>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</si>
  <si>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</si>
  <si>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</si>
  <si>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</si>
  <si>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</si>
  <si>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</si>
  <si>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</si>
  <si>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</si>
  <si>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</si>
  <si>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</si>
  <si>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</si>
  <si>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</si>
  <si>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</si>
  <si>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</si>
  <si>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</si>
  <si>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</si>
  <si>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</si>
  <si>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</si>
  <si>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</si>
  <si>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</si>
  <si>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</si>
  <si>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</si>
  <si>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</si>
  <si>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</si>
  <si>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</si>
  <si>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</si>
  <si>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</si>
  <si>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</si>
  <si>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</si>
  <si>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</si>
  <si>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</si>
  <si>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</si>
  <si>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</si>
  <si>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</si>
  <si>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</si>
  <si>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</si>
  <si>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</si>
  <si>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</si>
  <si>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</si>
  <si>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</si>
  <si>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</si>
  <si>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</si>
  <si>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</si>
  <si>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</si>
  <si>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</si>
  <si>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</si>
  <si>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</si>
  <si>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</si>
  <si>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</si>
  <si>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</si>
  <si>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</si>
  <si>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</si>
  <si>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</si>
  <si>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</si>
  <si>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</si>
  <si>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</si>
  <si>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</si>
  <si>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</si>
  <si>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</si>
  <si>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</si>
  <si>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</si>
  <si>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</si>
  <si>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</si>
  <si>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</si>
  <si>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</si>
  <si>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</si>
  <si>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</si>
  <si>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</si>
  <si>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</si>
  <si>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</si>
  <si>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</si>
  <si>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</si>
  <si>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</si>
  <si>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</si>
  <si>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</si>
  <si>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</si>
  <si>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</si>
  <si>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</si>
  <si>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</si>
  <si>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</si>
  <si>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</si>
  <si>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</si>
  <si>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</si>
  <si>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</si>
  <si>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</si>
  <si>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</si>
  <si>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</si>
  <si>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</si>
  <si>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</si>
  <si>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</si>
  <si>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</si>
  <si>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</si>
  <si>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</si>
  <si>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</si>
  <si>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</si>
  <si>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</si>
  <si>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</si>
  <si>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</si>
  <si>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</si>
  <si>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</si>
  <si>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</si>
  <si>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</si>
  <si>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</si>
  <si>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</si>
  <si>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</si>
  <si>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</si>
  <si>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</si>
  <si>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</si>
  <si>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</si>
  <si>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</si>
  <si>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</si>
  <si>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</si>
  <si>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</si>
  <si>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</si>
  <si>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</si>
  <si>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</si>
  <si>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</si>
  <si>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</si>
  <si>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</si>
  <si>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</si>
  <si>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</si>
  <si>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</si>
  <si>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</si>
  <si>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</si>
  <si>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</si>
  <si>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</si>
  <si>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</si>
  <si>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</si>
  <si>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</si>
  <si>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</si>
  <si>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</si>
  <si>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</si>
  <si>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</si>
  <si>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</si>
  <si>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</si>
  <si>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</si>
  <si>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</si>
  <si>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</si>
  <si>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</si>
  <si>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</si>
  <si>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</si>
  <si>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</si>
  <si>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</si>
  <si>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</si>
  <si>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</si>
  <si>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</si>
  <si>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</si>
  <si>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</si>
  <si>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</si>
  <si>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</si>
  <si>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</si>
  <si>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</si>
  <si>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</si>
  <si>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</si>
  <si>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</si>
  <si>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</si>
  <si>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</si>
  <si>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</si>
  <si>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</si>
  <si>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</si>
  <si>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</si>
  <si>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</si>
  <si>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</si>
  <si>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</si>
  <si>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</si>
  <si>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</si>
  <si>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</si>
  <si>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</si>
  <si>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</si>
  <si>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</si>
  <si>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</si>
  <si>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</si>
  <si>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</si>
  <si>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</si>
  <si>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</si>
  <si>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</si>
  <si>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</si>
  <si>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</si>
  <si>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</si>
  <si>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</si>
  <si>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</si>
  <si>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</si>
  <si>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</si>
  <si>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</si>
  <si>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</si>
  <si>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</si>
  <si>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</si>
  <si>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</si>
  <si>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</si>
  <si>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</si>
  <si>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</si>
  <si>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</si>
  <si>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</si>
  <si>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</si>
  <si>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</si>
  <si>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</si>
  <si>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</si>
  <si>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</si>
  <si>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</si>
  <si>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</si>
  <si>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</si>
  <si>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</si>
  <si>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</si>
  <si>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</si>
  <si>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</si>
  <si>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</si>
  <si>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</si>
  <si>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</si>
  <si>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</si>
  <si>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</si>
  <si>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</si>
  <si>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</si>
  <si>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</si>
  <si>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</si>
  <si>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</si>
  <si>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</si>
  <si>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</si>
  <si>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</si>
  <si>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</si>
  <si>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</si>
  <si>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</si>
  <si>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</si>
  <si>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</si>
  <si>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</si>
  <si>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</si>
  <si>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</si>
  <si>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</si>
  <si>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</si>
  <si>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</si>
  <si>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</si>
  <si>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</si>
  <si>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</si>
  <si>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</si>
  <si>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</si>
  <si>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</si>
  <si>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</si>
  <si>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</si>
  <si>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</si>
  <si>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</si>
  <si>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</si>
  <si>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</si>
  <si>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</si>
  <si>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</si>
  <si>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</si>
  <si>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</si>
  <si>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</si>
  <si>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</si>
  <si>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</si>
  <si>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</si>
  <si>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</si>
  <si>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</si>
  <si>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</si>
  <si>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</si>
  <si>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</si>
  <si>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</si>
  <si>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</si>
  <si>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</si>
  <si>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</si>
  <si>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</si>
  <si>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</si>
  <si>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</si>
  <si>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</si>
  <si>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</si>
  <si>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</si>
  <si>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</si>
  <si>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</si>
  <si>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</si>
  <si>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</si>
  <si>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</si>
  <si>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</si>
  <si>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</si>
  <si>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</si>
  <si>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</si>
  <si>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</si>
  <si>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</si>
  <si>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</si>
  <si>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</si>
  <si>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</si>
  <si>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</si>
  <si>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</si>
  <si>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</si>
  <si>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</si>
  <si>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</si>
  <si>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</si>
  <si>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</si>
  <si>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</si>
  <si>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</si>
  <si>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</si>
  <si>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</si>
  <si>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</si>
  <si>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</si>
  <si>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</si>
  <si>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</si>
  <si>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</si>
  <si>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</si>
  <si>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</si>
  <si>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</si>
  <si>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</si>
  <si>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</si>
  <si>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</si>
  <si>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</si>
  <si>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</si>
  <si>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</si>
  <si>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</si>
  <si>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</si>
  <si>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</si>
  <si>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</si>
  <si>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</si>
  <si>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</si>
  <si>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</si>
  <si>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</si>
  <si>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</si>
  <si>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</si>
  <si>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</si>
  <si>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</si>
  <si>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</si>
  <si>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</si>
  <si>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</si>
  <si>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</si>
  <si>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</si>
  <si>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</si>
  <si>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</si>
  <si>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</si>
  <si>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</si>
  <si>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</si>
  <si>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</si>
  <si>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</si>
  <si>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</si>
  <si>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</si>
  <si>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</si>
  <si>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</si>
  <si>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</si>
  <si>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</si>
  <si>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</si>
  <si>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</si>
  <si>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</si>
  <si>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</si>
  <si>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</si>
  <si>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</si>
  <si>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</si>
  <si>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</si>
  <si>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</si>
  <si>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</si>
  <si>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</si>
  <si>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</si>
  <si>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</si>
  <si>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</si>
  <si>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</si>
  <si>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</si>
  <si>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</si>
  <si>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</si>
  <si>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</si>
  <si>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</si>
  <si>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</si>
  <si>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</si>
  <si>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</si>
  <si>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</si>
  <si>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</si>
  <si>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</si>
  <si>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</si>
  <si>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</si>
  <si>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</si>
  <si>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</si>
  <si>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</si>
  <si>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</si>
  <si>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</si>
  <si>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</si>
  <si>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</si>
  <si>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</si>
  <si>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</si>
  <si>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</si>
  <si>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</si>
  <si>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</si>
  <si>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</si>
  <si>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</si>
  <si>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</si>
  <si>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</si>
  <si>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</si>
  <si>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</si>
  <si>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</si>
  <si>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</si>
  <si>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</si>
  <si>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</si>
  <si>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</si>
  <si>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</si>
  <si>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</si>
  <si>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</si>
  <si>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</si>
  <si>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</si>
  <si>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</si>
  <si>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</si>
  <si>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</si>
  <si>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</si>
  <si>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</si>
  <si>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</si>
  <si>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</si>
  <si>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</si>
  <si>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</si>
  <si>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</si>
  <si>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</si>
  <si>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</si>
  <si>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</si>
  <si>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</si>
  <si>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</si>
  <si>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</si>
  <si>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</si>
  <si>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</si>
  <si>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</si>
  <si>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</si>
  <si>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</si>
  <si>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</si>
  <si>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</si>
  <si>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</si>
  <si>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</si>
  <si>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</si>
  <si>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</si>
  <si>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</si>
  <si>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</si>
  <si>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</si>
  <si>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</si>
  <si>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</si>
  <si>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</si>
  <si>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</si>
  <si>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</si>
  <si>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</si>
  <si>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</si>
  <si>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</si>
  <si>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</si>
  <si>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</si>
  <si>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</si>
  <si>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</si>
  <si>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</si>
  <si>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</si>
  <si>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</si>
  <si>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</si>
  <si>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</si>
  <si>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</si>
  <si>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</si>
  <si>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</si>
  <si>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</si>
  <si>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</si>
  <si>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</si>
  <si>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</si>
  <si>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</si>
  <si>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</si>
  <si>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</si>
  <si>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</si>
  <si>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</si>
  <si>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</si>
  <si>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</si>
  <si>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</si>
  <si>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</si>
  <si>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</si>
  <si>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</si>
  <si>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</si>
  <si>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</si>
  <si>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</si>
  <si>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</si>
  <si>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</si>
  <si>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</si>
  <si>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</si>
  <si>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</si>
  <si>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</si>
  <si>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</si>
  <si>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</si>
  <si>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</si>
  <si>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</si>
  <si>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</si>
  <si>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</si>
  <si>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</si>
  <si>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</si>
  <si>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</si>
  <si>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</si>
  <si>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</si>
  <si>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</si>
  <si>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</si>
  <si>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</si>
  <si>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</si>
  <si>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</si>
  <si>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</si>
  <si>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</si>
  <si>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</si>
  <si>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</si>
  <si>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</si>
  <si>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</si>
  <si>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</si>
  <si>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</si>
  <si>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</si>
  <si>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</si>
  <si>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</si>
  <si>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</si>
  <si>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</si>
  <si>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</si>
  <si>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</si>
  <si>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</si>
  <si>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</si>
  <si>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</si>
  <si>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</si>
  <si>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</si>
  <si>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</si>
  <si>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</si>
  <si>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</si>
  <si>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</si>
  <si>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</si>
  <si>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</si>
  <si>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</si>
  <si>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</si>
  <si>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</si>
  <si>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</si>
  <si>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</si>
  <si>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</si>
  <si>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</si>
  <si>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</si>
  <si>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</si>
  <si>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</si>
  <si>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</si>
  <si>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</si>
  <si>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</si>
  <si>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</si>
  <si>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</si>
  <si>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</si>
  <si>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</si>
  <si>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</si>
  <si>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</si>
  <si>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</si>
  <si>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</si>
  <si>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</si>
  <si>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</si>
  <si>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</si>
  <si>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</si>
  <si>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</si>
  <si>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</si>
  <si>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</si>
  <si>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</si>
  <si>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</si>
  <si>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</si>
  <si>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</si>
  <si>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</si>
  <si>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</si>
  <si>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</si>
  <si>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</si>
  <si>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</si>
  <si>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</si>
  <si>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</si>
  <si>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</si>
  <si>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</si>
  <si>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</si>
  <si>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</si>
  <si>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</si>
  <si>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</si>
  <si>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</si>
  <si>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</si>
  <si>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</si>
  <si>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</si>
  <si>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</si>
  <si>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</si>
  <si>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</si>
  <si>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</si>
  <si>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</si>
  <si>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</si>
  <si>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</si>
  <si>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</si>
  <si>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</si>
  <si>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</si>
  <si>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</si>
  <si>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</si>
  <si>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</si>
  <si>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</si>
  <si>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</si>
  <si>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</si>
  <si>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</si>
  <si>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</si>
  <si>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</si>
  <si>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</si>
  <si>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</si>
  <si>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</si>
  <si>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</si>
  <si>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</si>
  <si>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</si>
  <si>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</si>
  <si>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</si>
  <si>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</si>
  <si>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</si>
  <si>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</si>
  <si>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</si>
  <si>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</si>
  <si>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</si>
  <si>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</si>
  <si>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</si>
  <si>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</si>
  <si>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</si>
  <si>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</si>
  <si>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</si>
  <si>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</si>
  <si>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</si>
  <si>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</si>
  <si>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</si>
  <si>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</si>
  <si>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</si>
  <si>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</si>
  <si>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</si>
  <si>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</si>
  <si>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</si>
  <si>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</si>
  <si>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</si>
  <si>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</si>
  <si>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</si>
  <si>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</si>
  <si>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</si>
  <si>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</si>
  <si>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</si>
  <si>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</si>
  <si>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</si>
  <si>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</si>
  <si>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</si>
  <si>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</si>
  <si>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</si>
  <si>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</si>
  <si>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</si>
  <si>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</si>
  <si>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</si>
  <si>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</si>
  <si>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</si>
  <si>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</si>
  <si>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</si>
  <si>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</si>
  <si>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</si>
  <si>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</si>
  <si>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</si>
  <si>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</si>
  <si>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</si>
  <si>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</si>
  <si>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</si>
  <si>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</si>
  <si>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</si>
  <si>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</si>
  <si>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</si>
  <si>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</si>
  <si>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</si>
  <si>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</si>
  <si>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</si>
  <si>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</si>
  <si>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</si>
  <si>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</si>
  <si>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</si>
  <si>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</si>
  <si>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</si>
  <si>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</si>
  <si>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</si>
  <si>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</si>
  <si>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</si>
  <si>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</si>
  <si>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</si>
  <si>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</si>
  <si>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</si>
  <si>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</si>
  <si>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</si>
  <si>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</si>
  <si>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</si>
  <si>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</si>
  <si>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</si>
  <si>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</si>
  <si>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</si>
  <si>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</si>
  <si>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</si>
  <si>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</si>
  <si>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</si>
  <si>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</si>
  <si>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</si>
  <si>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</si>
  <si>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</si>
  <si>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</si>
  <si>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</si>
  <si>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</si>
  <si>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</si>
  <si>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</si>
  <si>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</si>
  <si>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</si>
  <si>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</si>
  <si>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</si>
  <si>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</si>
  <si>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</si>
  <si>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</si>
  <si>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</si>
  <si>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</si>
  <si>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</si>
  <si>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</si>
  <si>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</si>
  <si>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</si>
  <si>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</si>
  <si>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</si>
  <si>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</si>
  <si>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</si>
  <si>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</si>
  <si>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</si>
  <si>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</si>
  <si>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</si>
  <si>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</si>
  <si>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</si>
  <si>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</si>
  <si>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</si>
  <si>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</si>
  <si>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</si>
  <si>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</si>
  <si>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</si>
  <si>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</si>
  <si>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</si>
  <si>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</si>
  <si>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</si>
  <si>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</si>
  <si>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</si>
  <si>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</si>
  <si>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</si>
  <si>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</si>
  <si>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</si>
  <si>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</si>
  <si>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</si>
  <si>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</si>
  <si>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</si>
  <si>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</si>
  <si>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</si>
  <si>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</si>
  <si>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</si>
  <si>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</si>
  <si>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</si>
  <si>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</si>
  <si>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</si>
  <si>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</si>
  <si>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</si>
  <si>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</si>
  <si>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</si>
  <si>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</si>
  <si>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</si>
  <si>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</si>
  <si>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</si>
  <si>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</si>
  <si>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</si>
  <si>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</si>
  <si>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</si>
  <si>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</si>
  <si>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</si>
  <si>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</si>
  <si>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</si>
  <si>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</si>
  <si>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</si>
  <si>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</si>
  <si>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</si>
  <si>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</si>
  <si>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</si>
  <si>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</si>
  <si>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</si>
  <si>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</si>
  <si>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</si>
  <si>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</si>
  <si>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</si>
  <si>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</si>
  <si>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</si>
  <si>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</si>
  <si>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</si>
  <si>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</si>
  <si>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</si>
  <si>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</si>
  <si>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</si>
  <si>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</si>
  <si>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</si>
  <si>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</si>
  <si>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</si>
  <si>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</si>
  <si>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</si>
  <si>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</si>
  <si>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</si>
  <si>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</si>
  <si>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</si>
  <si>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</si>
  <si>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</si>
  <si>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</si>
  <si>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</si>
  <si>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</si>
  <si>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</si>
  <si>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</si>
  <si>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</si>
  <si>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</si>
  <si>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</si>
  <si>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</si>
  <si>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</si>
  <si>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</si>
  <si>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</si>
  <si>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</si>
  <si>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</si>
  <si>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</si>
  <si>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</si>
  <si>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</si>
  <si>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</si>
  <si>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</si>
  <si>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</si>
  <si>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</si>
  <si>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</si>
  <si>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</si>
  <si>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</si>
  <si>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</si>
  <si>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</si>
  <si>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</si>
  <si>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</si>
  <si>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</si>
  <si>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</si>
  <si>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</si>
  <si>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</si>
  <si>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</si>
  <si>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</si>
  <si>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</si>
  <si>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</si>
  <si>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</si>
  <si>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</si>
  <si>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</si>
  <si>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</si>
  <si>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</si>
  <si>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</si>
  <si>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</si>
  <si>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</si>
  <si>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</si>
  <si>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</si>
  <si>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</si>
  <si>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</si>
  <si>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</si>
  <si>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</si>
  <si>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</si>
  <si>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</si>
  <si>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</si>
  <si>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</si>
  <si>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</si>
  <si>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</si>
  <si>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</si>
  <si>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</si>
  <si>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</si>
  <si>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</si>
  <si>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</si>
  <si>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</si>
  <si>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</si>
  <si>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</si>
  <si>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</si>
  <si>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</si>
  <si>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</si>
  <si>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</si>
  <si>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</si>
  <si>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</si>
  <si>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</si>
  <si>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</si>
  <si>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</si>
  <si>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</si>
  <si>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</si>
  <si>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</si>
  <si>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</si>
  <si>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</si>
  <si>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</si>
  <si>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</si>
  <si>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</si>
  <si>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</si>
  <si>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</si>
  <si>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</si>
  <si>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</si>
  <si>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</si>
  <si>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</si>
  <si>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</si>
  <si>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</si>
  <si>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</si>
  <si>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</si>
  <si>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</si>
  <si>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</si>
  <si>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</si>
  <si>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</si>
  <si>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</si>
  <si>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</si>
  <si>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</si>
  <si>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</si>
  <si>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</si>
  <si>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</si>
  <si>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</si>
  <si>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</si>
  <si>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</si>
  <si>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</si>
  <si>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</si>
  <si>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</si>
  <si>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</si>
  <si>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</si>
  <si>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</si>
  <si>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</si>
  <si>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</si>
  <si>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</si>
  <si>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</si>
  <si>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</si>
  <si>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</si>
  <si>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</si>
  <si>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</si>
  <si>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</si>
  <si>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</si>
  <si>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</si>
  <si>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</si>
  <si>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</si>
  <si>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</si>
  <si>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</si>
  <si>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</si>
  <si>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</si>
  <si>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</si>
  <si>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</si>
  <si>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</si>
  <si>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</si>
  <si>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</si>
  <si>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</si>
  <si>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</si>
  <si>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</si>
  <si>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</si>
  <si>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</si>
  <si>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</si>
  <si>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</si>
  <si>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</si>
  <si>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</si>
  <si>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</si>
  <si>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</si>
  <si>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</si>
  <si>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</si>
  <si>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</si>
  <si>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</si>
  <si>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</si>
  <si>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</si>
  <si>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</si>
  <si>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</si>
  <si>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</si>
  <si>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</si>
  <si>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</si>
  <si>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</si>
  <si>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</si>
  <si>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</si>
  <si>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</si>
  <si>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</si>
  <si>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</si>
  <si>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</si>
  <si>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</si>
  <si>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</si>
  <si>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</si>
  <si>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</si>
  <si>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</si>
  <si>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</si>
  <si>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</si>
  <si>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</si>
  <si>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</si>
  <si>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</si>
  <si>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</si>
  <si>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</si>
  <si>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</si>
  <si>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</si>
  <si>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</si>
  <si>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</si>
  <si>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</si>
  <si>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</si>
  <si>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</si>
  <si>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</si>
  <si>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</si>
  <si>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</si>
  <si>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</si>
  <si>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</si>
  <si>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</si>
  <si>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</si>
  <si>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</si>
  <si>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</si>
  <si>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</si>
  <si>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</si>
  <si>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</si>
  <si>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</si>
  <si>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</si>
  <si>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</si>
  <si>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</si>
  <si>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</si>
  <si>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</si>
  <si>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</si>
  <si>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</si>
  <si>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</si>
  <si>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</si>
  <si>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</si>
  <si>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</si>
  <si>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</si>
  <si>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</si>
  <si>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</si>
  <si>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</si>
  <si>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</si>
  <si>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</si>
  <si>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</si>
  <si>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</si>
  <si>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</si>
  <si>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</si>
  <si>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</si>
  <si>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</si>
  <si>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</si>
  <si>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</si>
  <si>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</si>
  <si>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</si>
  <si>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</si>
  <si>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</si>
  <si>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</si>
  <si>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</si>
  <si>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</si>
  <si>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</si>
  <si>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</si>
  <si>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</si>
  <si>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</si>
  <si>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</si>
  <si>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</si>
  <si>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</si>
  <si>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</si>
  <si>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</si>
  <si>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</si>
  <si>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</si>
  <si>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</si>
  <si>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</si>
  <si>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</si>
  <si>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</si>
  <si>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</si>
  <si>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</si>
  <si>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</si>
  <si>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</si>
  <si>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</si>
  <si>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</si>
  <si>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</si>
  <si>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</si>
  <si>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</si>
  <si>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</si>
  <si>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</si>
  <si>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</si>
  <si>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</si>
  <si>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</si>
  <si>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</si>
  <si>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</si>
  <si>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</si>
  <si>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</si>
  <si>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</si>
  <si>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</si>
  <si>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</si>
  <si>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</si>
  <si>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</si>
  <si>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</si>
  <si>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</si>
  <si>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</si>
  <si>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</si>
  <si>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</si>
  <si>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</si>
  <si>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</si>
  <si>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</si>
  <si>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</si>
  <si>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</si>
  <si>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</si>
  <si>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</si>
  <si>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</si>
  <si>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</si>
  <si>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</si>
  <si>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</si>
  <si>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</si>
  <si>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</si>
  <si>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</si>
  <si>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</si>
  <si>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</si>
  <si>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</si>
  <si>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</si>
  <si>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</si>
  <si>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</si>
  <si>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</si>
  <si>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</si>
  <si>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</si>
  <si>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</si>
  <si>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</si>
  <si>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</si>
  <si>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</si>
  <si>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</si>
  <si>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</si>
  <si>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</si>
  <si>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</si>
  <si>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</si>
  <si>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</si>
  <si>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</si>
  <si>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</si>
  <si>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</si>
  <si>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</si>
  <si>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</si>
  <si>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</si>
  <si>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</si>
  <si>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</si>
  <si>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</si>
  <si>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</si>
  <si>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</si>
  <si>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</si>
  <si>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</si>
  <si>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</si>
  <si>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</si>
  <si>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</si>
  <si>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</si>
  <si>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</si>
  <si>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</si>
  <si>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</si>
  <si>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</si>
  <si>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</si>
  <si>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</si>
  <si>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</si>
  <si>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</si>
  <si>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</si>
  <si>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</si>
  <si>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</si>
  <si>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</si>
  <si>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</si>
  <si>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</si>
  <si>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</si>
  <si>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</si>
  <si>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</si>
  <si>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</si>
  <si>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</si>
  <si>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</si>
  <si>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</si>
  <si>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</si>
  <si>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</si>
  <si>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</si>
  <si>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</si>
  <si>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</si>
  <si>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</si>
  <si>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</si>
  <si>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</si>
  <si>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</si>
  <si>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</si>
  <si>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</si>
  <si>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</si>
  <si>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</si>
  <si>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</si>
  <si>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</si>
  <si>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</si>
  <si>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</si>
  <si>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</si>
  <si>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</si>
  <si>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</si>
  <si>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</si>
  <si>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</si>
  <si>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</si>
  <si>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</si>
  <si>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</si>
  <si>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</si>
  <si>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</si>
  <si>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</si>
  <si>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</si>
  <si>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</si>
  <si>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</si>
  <si>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</si>
  <si>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</si>
  <si>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</si>
  <si>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</si>
  <si>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</si>
  <si>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</si>
  <si>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</si>
  <si>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</si>
  <si>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</si>
  <si>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</si>
  <si>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</si>
  <si>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</si>
  <si>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</si>
  <si>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</si>
  <si>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</si>
  <si>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</si>
  <si>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</si>
  <si>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</si>
  <si>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</si>
  <si>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</si>
  <si>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</si>
  <si>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</si>
  <si>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</si>
  <si>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</si>
  <si>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</si>
  <si>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</si>
  <si>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</si>
  <si>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</si>
  <si>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</si>
  <si>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</si>
  <si>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</si>
  <si>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</si>
  <si>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</si>
  <si>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</si>
  <si>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</si>
  <si>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</si>
  <si>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</si>
  <si>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</si>
  <si>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</si>
  <si>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</si>
  <si>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</si>
  <si>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</si>
  <si>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</si>
  <si>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</si>
  <si>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</si>
  <si>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</si>
  <si>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</si>
  <si>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</si>
  <si>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</si>
  <si>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</si>
  <si>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</si>
  <si>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</si>
  <si>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</si>
  <si>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</si>
  <si>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</si>
  <si>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</si>
  <si>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</si>
  <si>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</si>
  <si>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</si>
  <si>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</si>
  <si>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</si>
  <si>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</si>
  <si>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</si>
  <si>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</si>
  <si>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</si>
  <si>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</si>
  <si>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</si>
  <si>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</si>
  <si>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</si>
  <si>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</si>
  <si>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</si>
  <si>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</si>
  <si>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</si>
  <si>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</si>
  <si>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</si>
  <si>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</si>
  <si>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</si>
  <si>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</si>
  <si>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</si>
  <si>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</si>
  <si>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</si>
  <si>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</si>
  <si>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</si>
  <si>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</si>
  <si>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</si>
  <si>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</si>
  <si>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</si>
  <si>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</si>
  <si>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</si>
  <si>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</si>
  <si>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</si>
  <si>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</si>
  <si>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</si>
  <si>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</si>
  <si>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</si>
  <si>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</si>
  <si>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</si>
  <si>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</si>
  <si>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</si>
  <si>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</si>
  <si>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</si>
  <si>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</si>
  <si>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</si>
  <si>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</si>
  <si>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</si>
  <si>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</si>
  <si>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</si>
  <si>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</si>
  <si>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</si>
  <si>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</si>
  <si>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</si>
  <si>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</si>
  <si>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</si>
  <si>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</si>
  <si>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</si>
  <si>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</si>
  <si>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</si>
  <si>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</si>
  <si>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</si>
  <si>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</si>
  <si>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</si>
  <si>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</si>
  <si>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</si>
  <si>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</si>
  <si>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</si>
  <si>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</si>
  <si>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</si>
  <si>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</si>
  <si>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</si>
  <si>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</si>
  <si>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</si>
  <si>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</si>
  <si>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</si>
  <si>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</si>
  <si>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</si>
  <si>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</si>
  <si>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</si>
  <si>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</si>
  <si>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</si>
  <si>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</si>
  <si>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</si>
  <si>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</si>
  <si>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</si>
  <si>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</si>
  <si>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</si>
  <si>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</si>
  <si>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</si>
  <si>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</si>
  <si>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</si>
  <si>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</si>
  <si>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</si>
  <si>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</si>
  <si>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</si>
  <si>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</si>
  <si>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</si>
  <si>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</si>
  <si>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</si>
  <si>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</si>
  <si>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</si>
  <si>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</si>
  <si>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</si>
  <si>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</si>
  <si>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</si>
  <si>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</si>
  <si>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</si>
  <si>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</si>
  <si>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</si>
  <si>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</si>
  <si>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</si>
  <si>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</si>
  <si>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</si>
  <si>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</si>
  <si>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</si>
  <si>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</si>
  <si>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</si>
  <si>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</si>
  <si>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</si>
  <si>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</si>
  <si>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</si>
  <si>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</si>
  <si>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</si>
  <si>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</si>
  <si>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</si>
  <si>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</si>
  <si>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</si>
  <si>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</si>
  <si>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</si>
  <si>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</si>
  <si>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</si>
  <si>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</si>
  <si>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</si>
  <si>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</si>
  <si>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</si>
  <si>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</si>
  <si>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</si>
  <si>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</si>
  <si>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</si>
  <si>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</si>
  <si>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</si>
  <si>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</si>
  <si>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</si>
  <si>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</si>
  <si>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</si>
  <si>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</si>
  <si>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</si>
  <si>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</si>
  <si>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</si>
  <si>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</si>
  <si>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</si>
  <si>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</si>
  <si>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</si>
  <si>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</si>
  <si>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</si>
  <si>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</si>
  <si>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</si>
  <si>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</si>
  <si>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</si>
  <si>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</si>
  <si>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</si>
  <si>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</si>
  <si>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</si>
  <si>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</si>
  <si>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</si>
  <si>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</si>
  <si>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</si>
  <si>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</si>
  <si>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</si>
  <si>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</si>
  <si>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</si>
  <si>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</si>
  <si>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</si>
  <si>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</si>
  <si>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</si>
  <si>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</si>
  <si>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</si>
  <si>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</si>
  <si>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</si>
  <si>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</si>
  <si>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</si>
  <si>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</si>
  <si>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</si>
  <si>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</si>
  <si>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</si>
  <si>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</si>
  <si>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</si>
  <si>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</si>
  <si>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</si>
  <si>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</si>
  <si>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</si>
  <si>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</si>
  <si>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</si>
  <si>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</si>
  <si>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</si>
  <si>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</si>
  <si>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</si>
  <si>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</si>
  <si>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</si>
  <si>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</si>
  <si>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</si>
  <si>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</si>
  <si>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</si>
  <si>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</si>
  <si>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</si>
  <si>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</si>
  <si>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</si>
  <si>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</si>
  <si>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</si>
  <si>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</si>
  <si>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</si>
  <si>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</si>
  <si>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</si>
  <si>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</si>
  <si>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</si>
  <si>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</si>
  <si>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</si>
  <si>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</si>
  <si>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</si>
  <si>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</si>
  <si>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</si>
  <si>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</si>
  <si>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</si>
  <si>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</si>
  <si>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</si>
  <si>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</si>
  <si>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</si>
  <si>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</si>
  <si>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</si>
  <si>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</si>
  <si>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</si>
  <si>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</si>
  <si>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</si>
  <si>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</si>
  <si>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</si>
  <si>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</si>
  <si>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</si>
  <si>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</si>
  <si>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</si>
  <si>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</si>
  <si>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</si>
  <si>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</si>
  <si>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</si>
  <si>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</si>
  <si>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</si>
  <si>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</si>
  <si>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</si>
  <si>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</si>
  <si>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</si>
  <si>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</si>
  <si>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</si>
  <si>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</si>
  <si>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</si>
  <si>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</si>
  <si>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</si>
  <si>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</si>
  <si>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</si>
  <si>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</si>
  <si>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</si>
  <si>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</si>
  <si>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</si>
  <si>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</si>
  <si>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</si>
  <si>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</si>
  <si>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</si>
  <si>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</si>
  <si>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</si>
  <si>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</si>
  <si>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</si>
  <si>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</si>
  <si>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</si>
  <si>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</si>
  <si>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</si>
  <si>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</si>
  <si>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</si>
  <si>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</si>
  <si>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</si>
  <si>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</si>
  <si>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</si>
  <si>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</si>
  <si>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</si>
  <si>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</si>
  <si>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</si>
  <si>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</si>
  <si>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</si>
  <si>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</si>
  <si>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</si>
  <si>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</si>
  <si>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</si>
  <si>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</si>
  <si>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</si>
  <si>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</si>
  <si>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</si>
  <si>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</si>
  <si>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</si>
  <si>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</si>
  <si>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</si>
  <si>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</si>
  <si>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</si>
  <si>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</si>
  <si>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</si>
  <si>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</si>
  <si>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</si>
  <si>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</si>
  <si>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</si>
  <si>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</si>
  <si>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</si>
  <si>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</si>
  <si>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</si>
  <si>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</si>
  <si>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</si>
  <si>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</si>
  <si>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</si>
  <si>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</si>
  <si>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</si>
  <si>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</si>
  <si>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</si>
  <si>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</si>
  <si>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</si>
  <si>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</si>
  <si>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</si>
  <si>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</si>
  <si>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</si>
  <si>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</si>
  <si>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</si>
  <si>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</si>
  <si>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</si>
  <si>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</si>
  <si>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</si>
  <si>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</si>
  <si>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</si>
  <si>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</si>
  <si>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</si>
  <si>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</si>
  <si>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</si>
  <si>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</si>
  <si>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</si>
  <si>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</si>
  <si>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</si>
  <si>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</si>
  <si>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</si>
  <si>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</si>
  <si>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</si>
  <si>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</si>
  <si>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</si>
  <si>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</si>
  <si>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</si>
  <si>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</si>
  <si>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</si>
  <si>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</si>
  <si>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</si>
  <si>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</si>
  <si>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</si>
  <si>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</si>
  <si>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</si>
  <si>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</si>
  <si>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</si>
  <si>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</si>
  <si>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</si>
  <si>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</si>
  <si>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</si>
  <si>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</si>
  <si>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</si>
  <si>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</si>
  <si>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</si>
  <si>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</si>
  <si>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</si>
  <si>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</si>
  <si>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</si>
  <si>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</si>
  <si>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</si>
  <si>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</si>
  <si>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</si>
  <si>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</si>
  <si>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</si>
  <si>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</si>
  <si>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</si>
  <si>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</si>
  <si>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</si>
  <si>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</si>
  <si>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</si>
  <si>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</si>
  <si>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</si>
  <si>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</si>
  <si>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</si>
  <si>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</si>
  <si>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</si>
  <si>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</si>
  <si>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</si>
  <si>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</si>
  <si>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</si>
  <si>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</si>
  <si>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</si>
  <si>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</si>
  <si>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</si>
  <si>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</si>
  <si>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</si>
  <si>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</si>
  <si>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</si>
  <si>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</si>
  <si>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</si>
  <si>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</si>
  <si>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</si>
  <si>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</si>
  <si>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</si>
  <si>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</si>
  <si>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</si>
  <si>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</si>
  <si>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</si>
  <si>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</si>
  <si>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</si>
  <si>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</si>
  <si>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</si>
  <si>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</si>
  <si>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</si>
  <si>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</si>
  <si>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</si>
  <si>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</si>
  <si>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</si>
  <si>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</si>
  <si>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</si>
  <si>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</si>
  <si>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</si>
  <si>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</si>
  <si>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</si>
  <si>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</si>
  <si>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</si>
  <si>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</si>
  <si>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</si>
  <si>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</si>
  <si>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</si>
  <si>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</si>
  <si>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</si>
  <si>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</si>
  <si>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</si>
  <si>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</si>
  <si>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</si>
  <si>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</si>
  <si>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</si>
  <si>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</si>
  <si>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</si>
  <si>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</si>
  <si>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</si>
  <si>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</si>
  <si>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</si>
  <si>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</si>
  <si>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</si>
  <si>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</si>
  <si>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</si>
  <si>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</si>
  <si>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</si>
  <si>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</si>
  <si>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</si>
  <si>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</si>
  <si>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</si>
  <si>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</si>
  <si>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</si>
  <si>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</si>
  <si>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</si>
  <si>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</si>
  <si>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</si>
  <si>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</si>
  <si>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</si>
  <si>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</si>
  <si>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</si>
  <si>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</si>
  <si>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</si>
  <si>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</si>
  <si>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</si>
  <si>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</si>
  <si>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</si>
  <si>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</si>
  <si>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</si>
  <si>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</si>
  <si>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</si>
  <si>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</si>
  <si>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</si>
  <si>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</si>
  <si>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</si>
  <si>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</si>
  <si>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</si>
  <si>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</si>
  <si>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</si>
  <si>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</si>
  <si>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</si>
  <si>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</si>
  <si>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</si>
  <si>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</si>
  <si>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</si>
  <si>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</si>
  <si>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</si>
  <si>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</si>
  <si>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</si>
  <si>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</si>
  <si>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</si>
  <si>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</si>
  <si>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</si>
  <si>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</si>
  <si>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</si>
  <si>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</si>
  <si>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</si>
  <si>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</si>
  <si>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</si>
  <si>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</si>
  <si>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</si>
  <si>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</si>
  <si>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</si>
  <si>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</si>
  <si>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</si>
  <si>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</si>
  <si>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</si>
  <si>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</si>
  <si>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</si>
  <si>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</si>
  <si>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</si>
  <si>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</si>
  <si>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</si>
  <si>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</si>
  <si>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</si>
  <si>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</si>
  <si>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</si>
  <si>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</si>
  <si>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</si>
  <si>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</si>
  <si>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</si>
  <si>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</si>
  <si>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</si>
  <si>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</si>
  <si>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</si>
  <si>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</si>
  <si>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</si>
  <si>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</si>
  <si>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</si>
  <si>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</si>
  <si>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</si>
  <si>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</si>
  <si>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</si>
  <si>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</si>
  <si>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</si>
  <si>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</si>
  <si>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</si>
  <si>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</si>
  <si>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</si>
  <si>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</si>
  <si>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</si>
  <si>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</si>
  <si>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</si>
  <si>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</si>
  <si>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</si>
  <si>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</si>
  <si>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</si>
  <si>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</si>
  <si>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</si>
  <si>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</si>
  <si>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</si>
  <si>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</si>
  <si>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</si>
  <si>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</si>
  <si>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</si>
  <si>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</si>
  <si>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</si>
  <si>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</si>
  <si>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</si>
  <si>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</si>
  <si>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</si>
  <si>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</si>
  <si>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</si>
  <si>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</si>
  <si>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</si>
  <si>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</si>
  <si>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</si>
  <si>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</si>
  <si>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</si>
  <si>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</si>
  <si>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</si>
  <si>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</si>
  <si>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</si>
  <si>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</si>
  <si>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</si>
  <si>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</si>
  <si>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</si>
  <si>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</si>
  <si>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</si>
  <si>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</si>
  <si>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</si>
  <si>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</si>
  <si>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</si>
  <si>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</si>
  <si>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</si>
  <si>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</si>
  <si>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</si>
  <si>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</si>
  <si>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</si>
  <si>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</si>
  <si>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</si>
  <si>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</si>
  <si>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</si>
  <si>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</si>
  <si>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</si>
  <si>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</si>
  <si>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</si>
  <si>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</si>
  <si>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</si>
  <si>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</si>
  <si>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</si>
  <si>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</si>
  <si>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</si>
  <si>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</si>
  <si>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</si>
  <si>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</si>
  <si>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</si>
  <si>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</si>
  <si>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</si>
  <si>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</si>
  <si>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</si>
  <si>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</si>
  <si>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</si>
  <si>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</si>
  <si>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</si>
  <si>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</si>
  <si>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</si>
  <si>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</si>
  <si>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</si>
  <si>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</si>
  <si>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</si>
  <si>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</si>
  <si>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</si>
  <si>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</si>
  <si>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</si>
  <si>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</si>
  <si>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</si>
  <si>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</si>
  <si>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</si>
  <si>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</si>
  <si>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</si>
  <si>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</si>
  <si>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</si>
  <si>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</si>
  <si>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</si>
  <si>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</si>
  <si>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</si>
  <si>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</si>
  <si>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</si>
  <si>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</si>
  <si>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</si>
  <si>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</si>
  <si>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</si>
  <si>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</si>
  <si>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</si>
  <si>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</si>
  <si>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</si>
  <si>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</si>
  <si>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</si>
  <si>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</si>
  <si>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</si>
  <si>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</si>
  <si>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</si>
  <si>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</si>
  <si>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</si>
  <si>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</si>
  <si>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</si>
  <si>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</si>
  <si>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</si>
  <si>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</si>
  <si>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</si>
  <si>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</si>
  <si>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</si>
  <si>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</si>
  <si>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</si>
  <si>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</si>
  <si>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</si>
  <si>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</si>
  <si>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</si>
  <si>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</si>
  <si>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</si>
  <si>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</si>
  <si>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</si>
  <si>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</si>
  <si>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</si>
  <si>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</si>
  <si>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</si>
  <si>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</si>
  <si>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</si>
  <si>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</si>
  <si>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</si>
  <si>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</si>
  <si>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</si>
  <si>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</si>
  <si>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</si>
  <si>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</si>
  <si>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</si>
  <si>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</si>
  <si>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</si>
  <si>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</si>
  <si>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</si>
  <si>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</si>
  <si>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</si>
  <si>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</si>
  <si>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</si>
  <si>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</si>
  <si>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</si>
  <si>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</si>
  <si>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</si>
  <si>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</si>
  <si>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</si>
  <si>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</si>
  <si>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</si>
  <si>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</si>
  <si>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</si>
  <si>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</si>
  <si>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</si>
  <si>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</si>
  <si>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</si>
  <si>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</si>
  <si>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</si>
  <si>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</si>
  <si>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</si>
  <si>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</si>
  <si>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</si>
  <si>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</si>
  <si>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</si>
  <si>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</si>
  <si>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</si>
  <si>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</si>
  <si>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</si>
  <si>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</si>
  <si>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</si>
  <si>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</si>
  <si>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</si>
  <si>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</si>
  <si>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</si>
  <si>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</si>
  <si>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</si>
  <si>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</si>
  <si>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</si>
  <si>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</si>
  <si>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</si>
  <si>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</si>
  <si>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</si>
  <si>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</si>
  <si>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</si>
  <si>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</si>
  <si>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</si>
  <si>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</si>
  <si>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</si>
  <si>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</si>
  <si>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</si>
  <si>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</si>
  <si>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</si>
  <si>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</si>
  <si>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</si>
  <si>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</si>
  <si>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</si>
  <si>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</si>
  <si>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</si>
  <si>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</si>
  <si>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</si>
  <si>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</si>
  <si>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</si>
  <si>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</si>
  <si>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</si>
  <si>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</si>
  <si>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</si>
  <si>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</si>
  <si>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</si>
  <si>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</si>
  <si>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</si>
  <si>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</si>
  <si>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</si>
  <si>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</si>
  <si>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</si>
  <si>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</si>
  <si>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</si>
  <si>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</si>
  <si>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</si>
  <si>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</si>
  <si>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</si>
  <si>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</si>
  <si>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</si>
  <si>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</si>
  <si>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</si>
  <si>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</si>
  <si>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</si>
  <si>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</si>
  <si>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</si>
  <si>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</si>
  <si>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</si>
  <si>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</si>
  <si>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</si>
  <si>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</si>
  <si>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</si>
  <si>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</si>
  <si>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</si>
  <si>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</si>
  <si>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</si>
  <si>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</si>
  <si>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</si>
  <si>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</si>
  <si>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</si>
  <si>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</si>
  <si>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</si>
  <si>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</si>
  <si>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</si>
  <si>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</si>
  <si>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</si>
  <si>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</si>
  <si>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</si>
  <si>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</si>
  <si>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</si>
  <si>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</si>
  <si>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</si>
  <si>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</si>
  <si>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</si>
  <si>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</si>
  <si>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</si>
  <si>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</si>
  <si>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</si>
  <si>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</si>
  <si>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</si>
  <si>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</si>
  <si>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</si>
  <si>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</si>
  <si>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</si>
  <si>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</si>
  <si>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</si>
  <si>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</si>
  <si>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</si>
  <si>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</si>
  <si>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</si>
  <si>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</si>
  <si>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</si>
  <si>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</si>
  <si>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</si>
  <si>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</si>
  <si>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</si>
  <si>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</si>
  <si>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</si>
  <si>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</si>
  <si>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</si>
  <si>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</si>
  <si>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</si>
  <si>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</si>
  <si>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</si>
  <si>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</si>
  <si>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</si>
  <si>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</si>
  <si>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</si>
  <si>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</si>
  <si>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</si>
  <si>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</si>
  <si>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</si>
  <si>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</si>
  <si>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</si>
  <si>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</si>
  <si>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</si>
  <si>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</si>
  <si>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</si>
  <si>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</si>
  <si>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</si>
  <si>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</si>
  <si>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</si>
  <si>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</si>
  <si>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</si>
  <si>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</si>
  <si>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</si>
  <si>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</si>
  <si>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</si>
  <si>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</si>
  <si>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</si>
  <si>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</si>
  <si>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</si>
  <si>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</si>
  <si>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</si>
  <si>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</si>
  <si>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</si>
  <si>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</si>
  <si>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</si>
  <si>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</si>
  <si>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</si>
  <si>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</si>
  <si>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</si>
  <si>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</si>
  <si>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</si>
  <si>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</si>
  <si>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</si>
  <si>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</si>
  <si>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</si>
  <si>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</si>
  <si>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</si>
  <si>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</si>
  <si>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</si>
  <si>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</si>
  <si>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</si>
  <si>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</si>
  <si>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</si>
  <si>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</si>
  <si>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</si>
  <si>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</si>
  <si>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</si>
  <si>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</si>
  <si>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</si>
  <si>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</si>
  <si>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</si>
  <si>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</si>
  <si>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</si>
  <si>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</si>
  <si>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</si>
  <si>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</si>
  <si>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</si>
  <si>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</si>
  <si>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</si>
  <si>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</si>
  <si>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</si>
  <si>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</si>
  <si>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</si>
  <si>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</si>
  <si>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</si>
  <si>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</si>
  <si>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</si>
  <si>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</si>
  <si>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</si>
  <si>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</si>
  <si>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</si>
  <si>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</si>
  <si>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</si>
  <si>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</si>
  <si>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</si>
  <si>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</si>
  <si>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</si>
  <si>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</si>
  <si>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</si>
  <si>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</si>
  <si>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</si>
  <si>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</si>
  <si>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</si>
  <si>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</si>
  <si>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</si>
  <si>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</si>
  <si>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</si>
  <si>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</si>
  <si>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</si>
  <si>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</si>
  <si>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</si>
  <si>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</si>
  <si>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</si>
  <si>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</si>
  <si>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</si>
  <si>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</si>
  <si>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</si>
  <si>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</si>
  <si>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</si>
  <si>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</si>
  <si>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</si>
  <si>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</si>
  <si>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</si>
  <si>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</si>
  <si>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</si>
  <si>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</si>
  <si>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</si>
  <si>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</si>
  <si>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</si>
  <si>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</si>
  <si>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</si>
  <si>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</si>
  <si>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</si>
  <si>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</si>
  <si>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</si>
  <si>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</si>
  <si>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</si>
  <si>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</si>
  <si>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</si>
  <si>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</si>
  <si>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</si>
  <si>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</si>
  <si>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</si>
  <si>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</si>
  <si>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</si>
  <si>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</si>
  <si>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</si>
  <si>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</si>
  <si>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</si>
  <si>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</si>
  <si>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</si>
  <si>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</si>
  <si>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</si>
  <si>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</si>
  <si>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</si>
  <si>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</si>
  <si>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</si>
  <si>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</si>
  <si>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</si>
  <si>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</si>
  <si>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</si>
  <si>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</si>
  <si>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</si>
  <si>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</si>
  <si>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</si>
  <si>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</si>
  <si>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</si>
  <si>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</si>
  <si>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</si>
  <si>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</si>
  <si>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</si>
  <si>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</si>
  <si>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</si>
  <si>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</si>
  <si>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</si>
  <si>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</si>
  <si>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</si>
  <si>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</si>
  <si>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</si>
  <si>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</si>
  <si>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</si>
  <si>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</si>
  <si>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</si>
  <si>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</si>
  <si>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</si>
  <si>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</si>
  <si>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</si>
  <si>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</si>
  <si>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</si>
  <si>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</si>
  <si>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</si>
  <si>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</si>
  <si>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</si>
  <si>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</si>
  <si>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</si>
  <si>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</si>
  <si>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</si>
  <si>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</si>
  <si>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</si>
  <si>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</si>
  <si>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</si>
  <si>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</si>
  <si>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</si>
  <si>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</si>
  <si>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</si>
  <si>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</si>
  <si>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</si>
  <si>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</si>
  <si>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</si>
  <si>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</si>
  <si>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</si>
  <si>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</si>
  <si>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</si>
  <si>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</si>
  <si>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</si>
  <si>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</si>
  <si>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</si>
  <si>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</si>
  <si>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</si>
  <si>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</si>
  <si>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</si>
  <si>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</si>
  <si>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</si>
  <si>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</si>
  <si>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</si>
  <si>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</si>
  <si>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</si>
  <si>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</si>
  <si>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</si>
  <si>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</si>
  <si>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</si>
  <si>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</si>
  <si>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</si>
  <si>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</si>
  <si>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</si>
  <si>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</si>
  <si>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</si>
  <si>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</si>
  <si>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</si>
  <si>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</si>
  <si>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</si>
  <si>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</si>
  <si>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</si>
  <si>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</si>
  <si>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</si>
  <si>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</si>
  <si>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</si>
  <si>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</si>
  <si>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</si>
  <si>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</si>
  <si>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</si>
  <si>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</si>
  <si>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</si>
  <si>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</si>
  <si>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</si>
  <si>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</si>
  <si>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</si>
  <si>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</si>
  <si>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</si>
  <si>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</si>
  <si>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</si>
  <si>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</si>
  <si>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</si>
  <si>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</si>
  <si>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</si>
  <si>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</si>
  <si>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</si>
  <si>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</si>
  <si>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</si>
  <si>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</si>
  <si>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</si>
  <si>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</si>
  <si>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</si>
  <si>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</si>
  <si>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</si>
  <si>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</si>
  <si>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</si>
  <si>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</si>
  <si>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</si>
  <si>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</si>
  <si>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</si>
  <si>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</si>
  <si>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</si>
  <si>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</si>
  <si>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</si>
  <si>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</si>
  <si>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</si>
  <si>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</si>
  <si>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</si>
  <si>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</si>
  <si>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</si>
  <si>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</si>
  <si>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</si>
  <si>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</si>
  <si>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</si>
  <si>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</si>
  <si>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</si>
  <si>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</si>
  <si>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</si>
  <si>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</si>
  <si>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</si>
  <si>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</si>
  <si>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</si>
  <si>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</si>
  <si>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</si>
  <si>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</si>
  <si>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</si>
  <si>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</si>
  <si>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</si>
  <si>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</si>
  <si>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</si>
  <si>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</si>
  <si>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</si>
  <si>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</si>
  <si>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</si>
  <si>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</si>
  <si>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</si>
  <si>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</si>
  <si>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</si>
  <si>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</si>
  <si>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</si>
  <si>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</si>
  <si>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</si>
  <si>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</si>
  <si>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</si>
  <si>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</si>
  <si>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</si>
  <si>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</si>
  <si>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</si>
  <si>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</si>
  <si>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</si>
  <si>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</si>
  <si>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</si>
  <si>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</si>
  <si>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</si>
  <si>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</si>
  <si>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</si>
  <si>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</si>
  <si>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</si>
  <si>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</si>
  <si>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</si>
  <si>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</si>
  <si>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</si>
  <si>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</si>
  <si>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</si>
  <si>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</si>
  <si>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</si>
  <si>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</si>
  <si>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</si>
  <si>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</si>
  <si>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</si>
  <si>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</si>
  <si>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</si>
  <si>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</si>
  <si>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</si>
  <si>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</si>
  <si>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</si>
  <si>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</si>
  <si>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</si>
  <si>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</si>
  <si>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</si>
  <si>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</si>
  <si>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</si>
  <si>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</si>
  <si>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</si>
  <si>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</si>
  <si>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</si>
  <si>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</si>
  <si>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</si>
  <si>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</si>
  <si>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</si>
  <si>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</si>
  <si>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</si>
  <si>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</si>
  <si>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</si>
  <si>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</si>
  <si>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</si>
  <si>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</si>
  <si>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</si>
  <si>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</si>
  <si>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</si>
  <si>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</si>
  <si>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</si>
  <si>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</si>
  <si>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</si>
  <si>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</si>
  <si>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</si>
  <si>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</si>
  <si>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</si>
  <si>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</si>
  <si>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</si>
  <si>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</si>
  <si>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</si>
  <si>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</si>
  <si>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</si>
  <si>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</si>
  <si>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</si>
  <si>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</si>
  <si>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</si>
  <si>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</si>
  <si>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</si>
  <si>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</si>
  <si>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</si>
  <si>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</si>
  <si>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</si>
  <si>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</si>
  <si>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</si>
  <si>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</si>
  <si>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</si>
  <si>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</si>
  <si>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</si>
  <si>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</si>
  <si>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</si>
  <si>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</si>
  <si>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</si>
  <si>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</si>
  <si>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</si>
  <si>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</si>
  <si>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</si>
  <si>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</si>
  <si>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</si>
  <si>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</si>
  <si>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</si>
  <si>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</si>
  <si>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</si>
  <si>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</si>
  <si>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</si>
  <si>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</si>
  <si>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</si>
  <si>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</si>
  <si>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</si>
  <si>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</si>
  <si>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</si>
  <si>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</si>
  <si>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</si>
  <si>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</si>
  <si>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</si>
  <si>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</si>
  <si>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</si>
  <si>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</si>
  <si>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</si>
  <si>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</si>
  <si>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</si>
  <si>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</si>
  <si>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</si>
  <si>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</si>
  <si>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</si>
  <si>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</si>
  <si>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</si>
  <si>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</si>
  <si>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</si>
  <si>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</si>
  <si>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</si>
  <si>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</si>
  <si>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</si>
  <si>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</si>
  <si>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</si>
  <si>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</si>
  <si>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</si>
  <si>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</si>
  <si>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</si>
  <si>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</si>
  <si>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</si>
  <si>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</si>
  <si>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</si>
  <si>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</si>
  <si>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</si>
  <si>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</si>
  <si>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</si>
  <si>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</si>
  <si>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</si>
  <si>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</si>
  <si>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</si>
  <si>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</si>
  <si>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</si>
  <si>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</si>
  <si>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</si>
  <si>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</si>
  <si>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</si>
  <si>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</si>
  <si>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</si>
  <si>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</si>
  <si>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</si>
  <si>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</si>
  <si>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</si>
  <si>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</si>
  <si>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</si>
  <si>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</si>
  <si>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</si>
  <si>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</si>
  <si>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</si>
  <si>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</si>
  <si>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</si>
  <si>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</si>
  <si>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</si>
  <si>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</si>
  <si>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</si>
  <si>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</si>
  <si>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</si>
  <si>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</si>
  <si>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</si>
  <si>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</si>
  <si>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</si>
  <si>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</si>
  <si>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</si>
  <si>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</si>
  <si>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</si>
  <si>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</si>
  <si>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</si>
  <si>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</si>
  <si>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</si>
  <si>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</si>
  <si>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</si>
  <si>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</si>
  <si>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</si>
  <si>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</si>
  <si>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</si>
  <si>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</si>
  <si>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</si>
  <si>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</si>
  <si>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</si>
  <si>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</si>
  <si>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</si>
  <si>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</si>
  <si>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</si>
  <si>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</si>
  <si>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</si>
  <si>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</si>
  <si>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</si>
  <si>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</si>
  <si>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</si>
  <si>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</si>
  <si>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</si>
  <si>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</si>
  <si>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</si>
  <si>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</si>
  <si>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</si>
  <si>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</si>
  <si>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</si>
  <si>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</si>
  <si>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</si>
  <si>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</si>
  <si>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</si>
  <si>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</si>
  <si>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</si>
  <si>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</si>
  <si>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</si>
  <si>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</si>
  <si>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</si>
  <si>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</si>
  <si>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</si>
  <si>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</si>
  <si>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</si>
  <si>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</si>
  <si>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</si>
  <si>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</si>
  <si>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</si>
  <si>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</si>
  <si>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</si>
  <si>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</si>
  <si>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</si>
  <si>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</si>
  <si>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</si>
  <si>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</si>
  <si>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</si>
  <si>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</si>
  <si>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</si>
  <si>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</si>
  <si>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</si>
  <si>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</si>
  <si>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</si>
  <si>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</si>
  <si>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</si>
  <si>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</si>
  <si>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</si>
  <si>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</si>
  <si>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</si>
  <si>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</si>
  <si>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</si>
  <si>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</si>
  <si>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</si>
  <si>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</si>
  <si>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</si>
  <si>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</si>
  <si>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</si>
  <si>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</si>
  <si>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</si>
  <si>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</si>
  <si>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</si>
  <si>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</si>
  <si>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</si>
  <si>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</si>
  <si>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</si>
  <si>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</si>
  <si>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</si>
  <si>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</si>
  <si>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</si>
  <si>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</si>
  <si>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</si>
  <si>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</si>
  <si>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</si>
  <si>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</si>
  <si>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</si>
  <si>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</si>
  <si>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</si>
  <si>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</si>
  <si>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</si>
  <si>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</si>
  <si>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</si>
  <si>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</si>
  <si>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</si>
  <si>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</si>
  <si>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</si>
  <si>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</si>
  <si>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</si>
  <si>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</si>
  <si>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</si>
  <si>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</si>
  <si>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</si>
  <si>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</si>
  <si>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</si>
  <si>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</si>
  <si>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</si>
  <si>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</si>
  <si>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</si>
  <si>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</si>
  <si>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</si>
  <si>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</si>
  <si>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</si>
  <si>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</si>
  <si>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</si>
  <si>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</si>
  <si>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</si>
  <si>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</si>
  <si>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</si>
  <si>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</si>
  <si>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</si>
  <si>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</si>
  <si>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</si>
  <si>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</si>
  <si>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</si>
  <si>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</si>
  <si>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</si>
  <si>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</si>
  <si>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</si>
  <si>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</si>
  <si>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</si>
  <si>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</si>
  <si>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</si>
  <si>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</si>
  <si>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</si>
  <si>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</si>
  <si>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</si>
  <si>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</si>
  <si>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</si>
  <si>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</si>
  <si>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</si>
  <si>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</si>
  <si>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</si>
  <si>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</si>
  <si>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</si>
  <si>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</si>
  <si>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</si>
  <si>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</si>
  <si>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</si>
  <si>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</si>
  <si>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</si>
  <si>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</si>
  <si>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</si>
  <si>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</si>
  <si>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</si>
  <si>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</si>
  <si>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</si>
  <si>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</si>
  <si>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</si>
  <si>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</si>
  <si>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</si>
  <si>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</si>
  <si>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</si>
  <si>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</si>
  <si>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</si>
  <si>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</si>
  <si>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</si>
  <si>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</si>
  <si>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</si>
  <si>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</si>
  <si>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</si>
  <si>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</si>
  <si>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</si>
  <si>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</si>
  <si>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</si>
  <si>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</si>
  <si>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</si>
  <si>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</si>
  <si>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</si>
  <si>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</si>
  <si>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</si>
  <si>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</si>
  <si>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</si>
  <si>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</si>
  <si>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</si>
  <si>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</si>
  <si>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</si>
  <si>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</si>
  <si>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</si>
  <si>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</si>
  <si>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</si>
  <si>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</si>
  <si>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</si>
  <si>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</si>
  <si>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</si>
  <si>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</si>
  <si>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</si>
  <si>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</si>
  <si>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</si>
  <si>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</si>
  <si>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</si>
  <si>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</si>
  <si>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</si>
  <si>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</si>
  <si>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</si>
  <si>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</si>
  <si>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</si>
  <si>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</si>
  <si>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</si>
  <si>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</si>
  <si>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</si>
  <si>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</si>
  <si>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</si>
  <si>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</si>
  <si>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</si>
  <si>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</si>
  <si>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</si>
  <si>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</si>
  <si>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</si>
  <si>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</si>
  <si>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</si>
  <si>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</si>
  <si>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</si>
  <si>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</si>
  <si>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</si>
  <si>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</si>
  <si>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</si>
  <si>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</si>
  <si>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</si>
  <si>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</si>
  <si>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</si>
  <si>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</si>
  <si>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</si>
  <si>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</si>
  <si>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</si>
  <si>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</si>
  <si>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</si>
  <si>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</si>
  <si>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</si>
  <si>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</si>
  <si>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</si>
  <si>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</si>
  <si>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</si>
  <si>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</si>
  <si>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</si>
  <si>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</si>
  <si>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</si>
  <si>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</si>
  <si>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</si>
  <si>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</si>
  <si>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</si>
  <si>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</si>
  <si>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</si>
  <si>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</si>
  <si>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</si>
  <si>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</si>
  <si>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</si>
  <si>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</si>
  <si>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</si>
  <si>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</si>
  <si>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</si>
  <si>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</si>
  <si>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</si>
  <si>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</si>
  <si>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</si>
  <si>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</si>
  <si>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</si>
  <si>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</si>
  <si>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</si>
  <si>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</si>
  <si>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</si>
  <si>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</si>
  <si>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</si>
  <si>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</si>
  <si>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</si>
  <si>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</si>
  <si>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</si>
  <si>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</si>
  <si>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</si>
  <si>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</si>
  <si>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</si>
  <si>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</si>
  <si>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</si>
  <si>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</si>
  <si>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</si>
  <si>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</si>
  <si>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</si>
  <si>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</si>
  <si>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</si>
  <si>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</si>
  <si>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</si>
  <si>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</si>
  <si>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</si>
  <si>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</si>
  <si>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</si>
  <si>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</si>
  <si>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</si>
  <si>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</si>
  <si>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</si>
  <si>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</si>
  <si>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</si>
  <si>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</si>
  <si>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</si>
  <si>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</si>
  <si>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</si>
  <si>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</si>
  <si>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</si>
  <si>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</si>
  <si>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</si>
  <si>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</si>
  <si>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</si>
  <si>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</si>
  <si>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</si>
  <si>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</si>
  <si>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</si>
  <si>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</si>
  <si>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</si>
  <si>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</si>
  <si>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</si>
  <si>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</si>
  <si>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</si>
  <si>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</si>
  <si>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</si>
  <si>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</si>
  <si>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</si>
  <si>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</si>
  <si>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</si>
  <si>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</si>
  <si>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</si>
  <si>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</si>
  <si>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</si>
  <si>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</si>
  <si>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</si>
  <si>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</si>
  <si>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</si>
  <si>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</si>
  <si>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</si>
  <si>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</si>
  <si>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</si>
  <si>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</si>
  <si>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</si>
  <si>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</si>
  <si>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</si>
  <si>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</si>
  <si>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</si>
  <si>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</si>
  <si>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</si>
  <si>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</si>
  <si>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</si>
  <si>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</si>
  <si>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</si>
  <si>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</si>
  <si>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</si>
  <si>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</si>
  <si>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</si>
  <si>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</si>
  <si>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</si>
  <si>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</si>
  <si>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</si>
  <si>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</si>
  <si>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</si>
  <si>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</si>
  <si>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</si>
  <si>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</si>
  <si>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</si>
  <si>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</si>
  <si>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</si>
  <si>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</si>
  <si>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</si>
  <si>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</si>
  <si>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</si>
  <si>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</si>
  <si>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</si>
  <si>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</si>
  <si>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</si>
  <si>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</si>
  <si>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</si>
  <si>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</si>
  <si>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</si>
  <si>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</si>
  <si>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</si>
  <si>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</si>
  <si>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</si>
  <si>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</si>
  <si>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</si>
  <si>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</si>
  <si>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</si>
  <si>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</si>
  <si>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</si>
  <si>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</si>
  <si>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</si>
  <si>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</si>
  <si>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</si>
  <si>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</si>
  <si>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</si>
  <si>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</si>
  <si>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</si>
  <si>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</si>
  <si>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</si>
  <si>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</si>
  <si>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</si>
  <si>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</si>
  <si>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</si>
  <si>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</si>
  <si>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</si>
  <si>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</si>
  <si>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</si>
  <si>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</si>
  <si>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</si>
  <si>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</si>
  <si>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</si>
  <si>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</si>
  <si>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</si>
  <si>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</si>
  <si>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</si>
  <si>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</si>
  <si>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</si>
  <si>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</si>
  <si>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</si>
  <si>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</si>
  <si>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</si>
  <si>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</si>
  <si>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</si>
  <si>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</si>
  <si>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</si>
  <si>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</si>
  <si>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</si>
  <si>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</si>
  <si>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</si>
  <si>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</si>
  <si>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</si>
  <si>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</si>
  <si>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</si>
  <si>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</si>
  <si>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</si>
  <si>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</si>
  <si>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</si>
  <si>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</si>
  <si>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</si>
  <si>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</si>
  <si>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</si>
  <si>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</si>
  <si>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</si>
  <si>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</si>
  <si>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</si>
  <si>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</si>
  <si>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</si>
  <si>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</si>
  <si>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</si>
  <si>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</si>
  <si>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</si>
  <si>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</si>
  <si>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</si>
  <si>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</si>
  <si>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</si>
  <si>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</si>
  <si>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</si>
  <si>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</si>
  <si>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</si>
  <si>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</si>
  <si>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</si>
  <si>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</si>
  <si>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</si>
  <si>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</si>
  <si>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</si>
  <si>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</si>
  <si>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</si>
  <si>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</si>
  <si>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</si>
  <si>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</si>
  <si>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</si>
  <si>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</si>
  <si>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</si>
  <si>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</si>
  <si>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</si>
  <si>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</si>
  <si>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</si>
  <si>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</si>
  <si>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</si>
  <si>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</si>
  <si>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</si>
  <si>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</si>
  <si>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</si>
  <si>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</si>
  <si>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</si>
  <si>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</si>
  <si>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</si>
  <si>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</si>
  <si>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</si>
  <si>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</si>
  <si>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</si>
  <si>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</si>
  <si>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</si>
  <si>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</si>
  <si>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</si>
  <si>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</si>
  <si>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</si>
  <si>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</si>
  <si>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</si>
  <si>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</si>
  <si>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</si>
  <si>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</si>
  <si>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</si>
  <si>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</si>
  <si>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</si>
  <si>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</si>
  <si>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</si>
  <si>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</si>
  <si>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</si>
  <si>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</si>
  <si>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</si>
  <si>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</si>
  <si>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</si>
  <si>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</si>
  <si>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</si>
  <si>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</si>
  <si>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</si>
  <si>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</si>
  <si>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</si>
  <si>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</si>
  <si>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</si>
  <si>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</si>
  <si>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</si>
  <si>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</si>
  <si>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</si>
  <si>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</si>
  <si>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</si>
  <si>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</si>
  <si>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</si>
  <si>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</si>
  <si>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</si>
  <si>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</si>
  <si>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</si>
  <si>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</si>
  <si>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</si>
  <si>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</si>
  <si>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</si>
  <si>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</si>
  <si>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</si>
  <si>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</si>
  <si>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</si>
  <si>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</si>
  <si>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</si>
  <si>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</si>
  <si>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</si>
  <si>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</si>
  <si>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</si>
  <si>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</si>
  <si>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</si>
  <si>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</si>
  <si>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</si>
  <si>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</si>
  <si>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</si>
  <si>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</si>
  <si>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</si>
  <si>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</si>
  <si>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</si>
  <si>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</si>
  <si>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</si>
  <si>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</si>
  <si>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</si>
  <si>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</si>
  <si>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</si>
  <si>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</si>
  <si>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</si>
  <si>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</si>
  <si>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</si>
  <si>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</si>
  <si>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</si>
  <si>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</si>
  <si>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</si>
  <si>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</si>
  <si>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</si>
  <si>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</si>
  <si>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</si>
  <si>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</si>
  <si>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</si>
  <si>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</si>
  <si>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</si>
  <si>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</si>
  <si>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</si>
  <si>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</si>
  <si>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</si>
  <si>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</si>
  <si>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</si>
  <si>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</si>
  <si>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</si>
  <si>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</si>
  <si>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</si>
  <si>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</si>
  <si>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</si>
  <si>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</si>
  <si>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</si>
  <si>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</si>
  <si>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</si>
  <si>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</si>
  <si>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</si>
  <si>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</si>
  <si>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</si>
  <si>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</si>
  <si>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</si>
  <si>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</si>
  <si>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</si>
  <si>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</si>
  <si>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</si>
  <si>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</si>
  <si>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</si>
  <si>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</si>
  <si>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</si>
  <si>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</si>
  <si>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</si>
  <si>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</si>
  <si>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</si>
  <si>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</si>
  <si>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</si>
  <si>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</si>
  <si>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</si>
  <si>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</si>
  <si>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</si>
  <si>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</si>
  <si>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</si>
  <si>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</si>
  <si>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</si>
  <si>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</si>
  <si>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</si>
  <si>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</si>
  <si>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</si>
  <si>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</si>
  <si>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</si>
  <si>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</si>
  <si>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</si>
  <si>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</si>
  <si>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</si>
  <si>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</si>
  <si>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</si>
  <si>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</si>
  <si>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</si>
  <si>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</si>
  <si>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</si>
  <si>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</si>
  <si>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</si>
  <si>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</si>
  <si>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</si>
  <si>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</si>
  <si>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</si>
  <si>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</si>
  <si>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</si>
  <si>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</si>
  <si>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</si>
  <si>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</si>
  <si>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</si>
  <si>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</si>
  <si>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</si>
  <si>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</si>
  <si>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</si>
  <si>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</si>
  <si>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</si>
  <si>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</si>
  <si>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</si>
  <si>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</si>
  <si>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</si>
  <si>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</si>
  <si>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</si>
  <si>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</si>
  <si>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</si>
  <si>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</si>
  <si>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</si>
  <si>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</si>
  <si>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</si>
  <si>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</si>
  <si>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</si>
  <si>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</si>
  <si>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</si>
  <si>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</si>
  <si>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</si>
  <si>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</si>
  <si>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</si>
  <si>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</si>
  <si>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</si>
  <si>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</si>
  <si>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</si>
  <si>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</si>
  <si>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</si>
  <si>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</si>
  <si>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</si>
  <si>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</si>
  <si>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</si>
  <si>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</si>
  <si>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</si>
  <si>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</si>
  <si>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</si>
  <si>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</si>
  <si>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</si>
  <si>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</si>
  <si>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</si>
  <si>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</si>
  <si>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</si>
  <si>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</si>
  <si>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</si>
  <si>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</si>
  <si>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</si>
  <si>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</si>
  <si>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</si>
  <si>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</si>
  <si>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</si>
  <si>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</si>
  <si>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</si>
  <si>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</si>
  <si>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</si>
  <si>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</si>
  <si>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</si>
  <si>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</si>
  <si>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</si>
  <si>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</si>
  <si>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</si>
  <si>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</si>
  <si>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</si>
  <si>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</si>
  <si>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</si>
  <si>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</si>
  <si>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</si>
  <si>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</si>
  <si>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</si>
  <si>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</si>
  <si>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</si>
  <si>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</si>
  <si>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</si>
  <si>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</si>
  <si>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</si>
  <si>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</si>
  <si>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</si>
  <si>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</si>
  <si>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</si>
  <si>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</si>
  <si>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</si>
  <si>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</si>
  <si>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</si>
  <si>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</si>
  <si>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</si>
  <si>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</si>
  <si>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</si>
  <si>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</si>
  <si>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</si>
  <si>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</si>
  <si>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</si>
  <si>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</si>
  <si>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</si>
  <si>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</si>
  <si>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</si>
  <si>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</si>
  <si>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</si>
  <si>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</si>
  <si>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</si>
  <si>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</si>
  <si>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</si>
  <si>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</si>
  <si>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</si>
  <si>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</si>
  <si>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</si>
  <si>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</si>
  <si>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</si>
  <si>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</si>
  <si>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</si>
  <si>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</si>
  <si>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</si>
  <si>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</si>
  <si>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</si>
  <si>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</si>
  <si>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</si>
  <si>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</si>
  <si>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</si>
  <si>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</si>
  <si>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</si>
  <si>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</si>
  <si>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</si>
  <si>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</si>
  <si>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</si>
  <si>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</si>
  <si>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</si>
  <si>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</si>
  <si>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</si>
  <si>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</si>
  <si>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</si>
  <si>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</si>
  <si>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</si>
  <si>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</si>
  <si>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</si>
  <si>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</si>
  <si>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</si>
  <si>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</si>
  <si>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</si>
  <si>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</si>
  <si>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</si>
  <si>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</si>
  <si>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</si>
  <si>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</si>
  <si>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</si>
  <si>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</si>
  <si>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</si>
  <si>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</si>
  <si>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</si>
  <si>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</si>
  <si>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</si>
  <si>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</si>
  <si>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</si>
  <si>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</si>
  <si>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</si>
  <si>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</si>
  <si>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</si>
  <si>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</si>
  <si>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</si>
  <si>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</si>
  <si>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</si>
  <si>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</si>
  <si>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</si>
  <si>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</si>
  <si>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</si>
  <si>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</si>
  <si>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</si>
  <si>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</si>
  <si>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</si>
  <si>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</si>
  <si>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</si>
  <si>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</si>
  <si>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</si>
  <si>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</si>
  <si>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</si>
  <si>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</si>
  <si>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</si>
  <si>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</si>
  <si>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</si>
  <si>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</si>
  <si>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</si>
  <si>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</si>
  <si>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</si>
  <si>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</si>
  <si>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</si>
  <si>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</si>
  <si>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</si>
  <si>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</si>
  <si>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</si>
  <si>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</si>
  <si>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</si>
  <si>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</si>
  <si>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</si>
  <si>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</si>
  <si>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</si>
  <si>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</si>
  <si>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</si>
  <si>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</si>
  <si>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</si>
  <si>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</si>
  <si>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</si>
  <si>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</si>
  <si>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</si>
  <si>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</si>
  <si>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</si>
  <si>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</si>
  <si>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</si>
  <si>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</si>
  <si>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</si>
  <si>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</si>
  <si>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</si>
  <si>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</si>
  <si>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</si>
  <si>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</si>
  <si>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</si>
  <si>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</si>
  <si>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</si>
  <si>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</si>
  <si>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</si>
  <si>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</si>
  <si>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</si>
  <si>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</si>
  <si>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</si>
  <si>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</si>
  <si>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</si>
  <si>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</si>
  <si>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</si>
  <si>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</si>
  <si>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</si>
  <si>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</si>
  <si>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</si>
  <si>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</si>
  <si>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</si>
  <si>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</si>
  <si>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</si>
  <si>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</si>
  <si>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</si>
  <si>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</si>
  <si>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</si>
  <si>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</si>
  <si>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</si>
  <si>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</si>
  <si>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</si>
  <si>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</si>
  <si>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</si>
  <si>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</si>
  <si>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</si>
  <si>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</si>
  <si>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</si>
  <si>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</si>
  <si>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</si>
  <si>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</si>
  <si>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</si>
  <si>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</si>
  <si>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</si>
  <si>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</si>
  <si>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</si>
  <si>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</si>
  <si>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</si>
  <si>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</si>
  <si>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</si>
  <si>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</si>
  <si>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</si>
  <si>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</si>
  <si>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</si>
  <si>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</si>
  <si>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</si>
  <si>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</si>
  <si>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</si>
  <si>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</si>
  <si>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</si>
  <si>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</si>
  <si>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</si>
  <si>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</si>
  <si>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</si>
  <si>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</si>
  <si>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</si>
  <si>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</si>
  <si>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</si>
  <si>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</si>
  <si>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</si>
  <si>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</si>
  <si>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</si>
  <si>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</si>
  <si>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</si>
  <si>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</si>
  <si>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</si>
  <si>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</si>
  <si>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</si>
  <si>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</si>
  <si>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</si>
  <si>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</si>
  <si>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</si>
  <si>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</si>
  <si>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</si>
  <si>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</si>
  <si>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</si>
  <si>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</si>
  <si>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</si>
  <si>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</si>
  <si>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</si>
  <si>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</si>
  <si>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</si>
  <si>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</si>
  <si>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</si>
  <si>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</si>
  <si>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</si>
  <si>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</si>
  <si>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</si>
  <si>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</si>
  <si>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</si>
  <si>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</si>
  <si>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</si>
  <si>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</si>
  <si>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</si>
  <si>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</si>
  <si>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</si>
  <si>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</si>
  <si>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</si>
  <si>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</si>
  <si>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</si>
  <si>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</si>
  <si>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</si>
  <si>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</si>
  <si>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</si>
  <si>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</si>
  <si>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</si>
  <si>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</si>
  <si>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</si>
  <si>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</si>
  <si>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</si>
  <si>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</si>
  <si>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</si>
  <si>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</si>
  <si>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</si>
  <si>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</si>
  <si>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</si>
  <si>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</si>
  <si>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</si>
  <si>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</si>
  <si>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</si>
  <si>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</si>
  <si>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</si>
  <si>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</si>
  <si>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</si>
  <si>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</si>
  <si>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</si>
  <si>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</si>
  <si>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</si>
  <si>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</si>
  <si>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</si>
  <si>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</si>
  <si>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</si>
  <si>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</si>
  <si>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</si>
  <si>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</si>
  <si>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</si>
  <si>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</si>
  <si>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</si>
  <si>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</si>
  <si>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</si>
  <si>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</si>
  <si>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</si>
  <si>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</si>
  <si>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</si>
  <si>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</si>
  <si>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</si>
  <si>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</si>
  <si>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</si>
  <si>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</si>
  <si>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</si>
  <si>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</si>
  <si>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</si>
  <si>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</si>
  <si>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</si>
  <si>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</si>
  <si>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</si>
  <si>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</si>
  <si>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</si>
  <si>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</si>
  <si>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</si>
  <si>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</si>
  <si>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</si>
  <si>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</si>
  <si>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</si>
  <si>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</si>
  <si>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</si>
  <si>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</si>
  <si>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</si>
  <si>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</si>
  <si>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</si>
  <si>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</si>
  <si>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</si>
  <si>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</si>
  <si>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</si>
  <si>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</si>
  <si>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</si>
  <si>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</si>
  <si>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</si>
  <si>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</si>
  <si>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</si>
  <si>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</si>
  <si>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</si>
  <si>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</si>
  <si>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</si>
  <si>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</si>
  <si>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</si>
  <si>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</si>
  <si>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</si>
  <si>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</si>
  <si>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</si>
  <si>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</si>
  <si>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</si>
  <si>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</si>
  <si>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</si>
  <si>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</si>
  <si>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</si>
  <si>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</si>
  <si>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</si>
  <si>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</si>
  <si>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</si>
  <si>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</si>
  <si>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</si>
  <si>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</si>
  <si>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</si>
  <si>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</si>
  <si>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</si>
  <si>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</si>
  <si>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</si>
  <si>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</si>
  <si>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</si>
  <si>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</si>
  <si>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</si>
  <si>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</si>
  <si>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</si>
  <si>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</si>
  <si>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</si>
  <si>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</si>
  <si>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</si>
  <si>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</si>
  <si>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</si>
  <si>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</si>
  <si>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</si>
  <si>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</si>
  <si>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</si>
  <si>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</si>
  <si>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</si>
  <si>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</si>
  <si>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</si>
  <si>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</si>
  <si>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</si>
  <si>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</si>
  <si>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</si>
  <si>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</si>
  <si>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</si>
  <si>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</si>
  <si>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</si>
  <si>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</si>
  <si>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</si>
  <si>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</si>
  <si>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</si>
  <si>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</si>
  <si>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</si>
  <si>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</si>
  <si>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</si>
  <si>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</si>
  <si>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</si>
  <si>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</si>
  <si>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</si>
  <si>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</si>
  <si>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</si>
  <si>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</si>
  <si>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</si>
  <si>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</si>
  <si>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</si>
  <si>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</si>
  <si>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</si>
  <si>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</si>
  <si>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</si>
  <si>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</si>
  <si>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</si>
  <si>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</si>
  <si>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</si>
  <si>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</si>
  <si>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</si>
  <si>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</si>
  <si>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</si>
  <si>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</si>
  <si>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</si>
  <si>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</si>
  <si>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</si>
  <si>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</si>
  <si>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</si>
  <si>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</si>
  <si>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</si>
  <si>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</si>
  <si>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</si>
  <si>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</si>
  <si>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</si>
  <si>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</si>
  <si>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</si>
  <si>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</si>
  <si>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</si>
  <si>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</si>
  <si>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</si>
  <si>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</si>
  <si>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</si>
  <si>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</si>
  <si>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</si>
  <si>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</si>
  <si>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</si>
  <si>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</si>
  <si>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</si>
  <si>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</si>
  <si>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</si>
  <si>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</si>
  <si>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</si>
  <si>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</si>
  <si>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</si>
  <si>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</si>
  <si>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</si>
  <si>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</si>
  <si>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</si>
  <si>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</si>
  <si>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</si>
  <si>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</si>
  <si>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</si>
  <si>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</si>
  <si>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</si>
  <si>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</si>
  <si>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</si>
  <si>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</si>
  <si>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</si>
  <si>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</si>
  <si>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</si>
  <si>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</si>
  <si>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</si>
  <si>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</si>
  <si>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</si>
  <si>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</si>
  <si>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</si>
  <si>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</si>
  <si>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</si>
  <si>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</si>
  <si>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</si>
  <si>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</si>
  <si>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</si>
  <si>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</si>
  <si>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</si>
  <si>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</si>
  <si>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</si>
  <si>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</si>
  <si>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</si>
  <si>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</si>
  <si>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</si>
  <si>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</si>
  <si>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</si>
  <si>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</si>
  <si>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</si>
  <si>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</si>
  <si>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</si>
  <si>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</si>
  <si>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</si>
  <si>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</si>
  <si>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</si>
  <si>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</si>
  <si>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</si>
  <si>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</si>
  <si>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</si>
  <si>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</si>
  <si>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</si>
  <si>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</si>
  <si>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</si>
  <si>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</si>
  <si>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</si>
  <si>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</si>
  <si>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</si>
  <si>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</si>
  <si>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</si>
  <si>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</si>
  <si>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</si>
  <si>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</si>
  <si>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</si>
  <si>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</si>
  <si>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</si>
  <si>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</si>
  <si>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</si>
  <si>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</si>
  <si>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</si>
  <si>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</si>
  <si>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</si>
  <si>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</si>
  <si>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</si>
  <si>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</si>
  <si>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</si>
  <si>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</si>
  <si>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</si>
  <si>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</si>
  <si>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</si>
  <si>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</si>
  <si>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</si>
  <si>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</si>
  <si>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</si>
  <si>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</si>
  <si>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</si>
  <si>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</si>
  <si>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</si>
  <si>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</si>
  <si>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</si>
  <si>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</si>
  <si>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</si>
  <si>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</si>
  <si>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</si>
  <si>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</si>
  <si>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</si>
  <si>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</si>
  <si>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</si>
  <si>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</si>
  <si>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</si>
  <si>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</si>
  <si>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</si>
  <si>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</si>
  <si>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</si>
  <si>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</si>
  <si>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</si>
  <si>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</si>
  <si>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</si>
  <si>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</si>
  <si>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</si>
  <si>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</si>
  <si>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</si>
  <si>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</si>
  <si>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</si>
  <si>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</si>
  <si>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</si>
  <si>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</si>
  <si>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</si>
  <si>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</si>
  <si>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</si>
  <si>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</si>
  <si>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</si>
  <si>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</si>
  <si>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</si>
  <si>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</si>
  <si>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</si>
  <si>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</si>
  <si>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</si>
  <si>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</si>
  <si>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</si>
  <si>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</si>
  <si>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</si>
  <si>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</si>
  <si>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</si>
  <si>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</si>
  <si>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</si>
  <si>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</si>
  <si>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</si>
  <si>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</si>
  <si>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</si>
  <si>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</si>
  <si>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</si>
  <si>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</si>
  <si>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</si>
  <si>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</si>
  <si>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</si>
  <si>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</si>
  <si>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</si>
  <si>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</si>
  <si>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</si>
  <si>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</si>
  <si>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</si>
  <si>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</si>
  <si>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</si>
  <si>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</si>
  <si>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</si>
  <si>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</si>
  <si>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</si>
  <si>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</si>
  <si>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</si>
  <si>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</si>
  <si>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</si>
  <si>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</si>
  <si>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</si>
  <si>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</si>
  <si>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</si>
  <si>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</si>
  <si>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</si>
  <si>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</si>
  <si>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</si>
  <si>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</si>
  <si>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</si>
  <si>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</si>
  <si>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</si>
  <si>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</si>
  <si>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</si>
  <si>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</si>
  <si>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</si>
  <si>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</si>
  <si>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</si>
  <si>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</si>
  <si>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</si>
  <si>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</si>
  <si>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</si>
  <si>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</si>
  <si>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</si>
  <si>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</si>
  <si>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</si>
  <si>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</si>
  <si>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</si>
  <si>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</si>
  <si>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</si>
  <si>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</si>
  <si>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</si>
  <si>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</si>
  <si>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</si>
  <si>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</si>
  <si>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</si>
  <si>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</si>
  <si>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</si>
  <si>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</si>
  <si>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</si>
  <si>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</si>
  <si>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</si>
  <si>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</si>
  <si>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</si>
  <si>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</si>
  <si>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</si>
  <si>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</si>
  <si>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</si>
  <si>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</si>
  <si>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</si>
  <si>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</si>
  <si>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</si>
  <si>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</si>
  <si>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</si>
  <si>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</si>
  <si>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</si>
  <si>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</si>
  <si>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</si>
  <si>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</si>
  <si>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</si>
  <si>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</si>
  <si>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</si>
  <si>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</si>
  <si>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</si>
  <si>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</si>
  <si>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</si>
  <si>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</si>
  <si>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</si>
  <si>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</si>
  <si>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</si>
  <si>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</si>
  <si>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</si>
  <si>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</si>
  <si>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</si>
  <si>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</si>
  <si>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</si>
  <si>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</si>
  <si>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</si>
  <si>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</si>
  <si>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</si>
  <si>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</si>
  <si>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</si>
  <si>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</si>
  <si>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</si>
  <si>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</si>
  <si>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</si>
  <si>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</si>
  <si>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</si>
  <si>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</si>
  <si>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</si>
  <si>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</si>
  <si>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</si>
  <si>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</si>
  <si>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</si>
  <si>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</si>
  <si>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</si>
  <si>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</si>
  <si>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</si>
  <si>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</si>
  <si>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</si>
  <si>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</si>
  <si>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</si>
  <si>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</si>
  <si>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</si>
  <si>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</si>
  <si>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</si>
  <si>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</si>
  <si>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</si>
  <si>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</si>
  <si>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</si>
  <si>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</si>
  <si>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</si>
  <si>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</si>
  <si>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</si>
  <si>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</si>
  <si>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</si>
  <si>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</si>
  <si>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</si>
  <si>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</si>
  <si>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</si>
  <si>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</si>
  <si>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</si>
  <si>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</si>
  <si>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</si>
  <si>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</si>
  <si>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</si>
  <si>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</si>
  <si>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</si>
  <si>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</si>
  <si>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</si>
  <si>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</si>
  <si>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</si>
  <si>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</si>
  <si>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</si>
  <si>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</si>
  <si>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</si>
  <si>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</si>
  <si>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</si>
  <si>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</si>
  <si>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</si>
  <si>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</si>
  <si>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</si>
  <si>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</si>
  <si>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</si>
  <si>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</si>
  <si>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</si>
  <si>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</si>
  <si>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</si>
  <si>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</si>
  <si>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</si>
  <si>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</si>
  <si>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</si>
  <si>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</si>
  <si>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</si>
  <si>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</si>
  <si>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</si>
  <si>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</si>
  <si>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</si>
  <si>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</si>
  <si>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</si>
  <si>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</si>
  <si>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</si>
  <si>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</si>
  <si>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</si>
  <si>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</si>
  <si>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</si>
  <si>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</si>
  <si>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</si>
  <si>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</si>
  <si>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</si>
  <si>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</si>
  <si>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</si>
  <si>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</si>
  <si>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</si>
  <si>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</si>
  <si>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</si>
  <si>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</si>
  <si>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</si>
  <si>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</si>
  <si>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</si>
  <si>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</si>
  <si>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</si>
  <si>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</si>
  <si>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</si>
  <si>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</si>
  <si>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</si>
  <si>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</si>
  <si>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</si>
  <si>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</si>
  <si>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</si>
  <si>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</si>
  <si>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</si>
  <si>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</si>
  <si>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</si>
  <si>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</si>
  <si>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</si>
  <si>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</si>
  <si>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</si>
  <si>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</si>
  <si>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</si>
  <si>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</si>
  <si>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</si>
  <si>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</si>
  <si>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</si>
  <si>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</si>
  <si>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</si>
  <si>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</si>
  <si>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</si>
  <si>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</si>
  <si>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</si>
  <si>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</si>
  <si>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</si>
  <si>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</si>
  <si>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</si>
  <si>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</si>
  <si>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</si>
  <si>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</si>
  <si>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</si>
  <si>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</si>
  <si>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</si>
  <si>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</si>
  <si>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</si>
  <si>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</si>
  <si>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</si>
  <si>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</si>
  <si>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</si>
  <si>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</si>
  <si>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</si>
  <si>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</si>
  <si>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</si>
  <si>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</si>
  <si>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</si>
  <si>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</si>
  <si>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</si>
  <si>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</si>
  <si>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</si>
  <si>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</si>
  <si>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</si>
  <si>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</si>
  <si>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</si>
  <si>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</si>
  <si>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</si>
  <si>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</si>
  <si>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</si>
  <si>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</si>
  <si>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</si>
  <si>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</si>
  <si>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</si>
  <si>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</si>
  <si>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</si>
  <si>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</si>
  <si>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</si>
  <si>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</si>
  <si>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</si>
  <si>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</si>
  <si>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</si>
  <si>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</si>
  <si>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</si>
  <si>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</si>
  <si>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</si>
  <si>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</si>
  <si>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</si>
  <si>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</si>
  <si>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</si>
  <si>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</si>
  <si>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</si>
  <si>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</si>
  <si>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</si>
  <si>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</si>
  <si>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</si>
  <si>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</si>
  <si>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</si>
  <si>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</si>
  <si>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</si>
  <si>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</si>
  <si>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</si>
  <si>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</si>
  <si>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</si>
  <si>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</si>
  <si>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</si>
  <si>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</si>
  <si>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</si>
  <si>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</si>
  <si>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</si>
  <si>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</si>
  <si>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</si>
  <si>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</si>
  <si>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</si>
  <si>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</si>
  <si>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</si>
  <si>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</si>
  <si>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</si>
  <si>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</si>
  <si>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</si>
  <si>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</si>
  <si>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</si>
  <si>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</si>
  <si>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</si>
  <si>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</si>
  <si>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</si>
  <si>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</si>
  <si>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</si>
  <si>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</si>
  <si>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</si>
  <si>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</si>
  <si>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</si>
  <si>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</si>
  <si>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</si>
  <si>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</si>
  <si>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</si>
  <si>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</si>
  <si>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</si>
  <si>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</si>
  <si>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</si>
  <si>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</si>
  <si>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</si>
  <si>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</si>
  <si>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</si>
  <si>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</si>
  <si>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</si>
  <si>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</si>
  <si>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</si>
  <si>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</si>
  <si>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</si>
  <si>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</si>
  <si>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</si>
  <si>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</si>
  <si>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</si>
  <si>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</si>
  <si>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</si>
  <si>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</si>
  <si>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</si>
  <si>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</si>
  <si>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</si>
  <si>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</si>
  <si>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</si>
  <si>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</si>
  <si>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</si>
  <si>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</si>
  <si>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</si>
  <si>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</si>
  <si>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</si>
  <si>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</si>
  <si>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</si>
  <si>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</si>
  <si>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</si>
  <si>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</si>
  <si>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</si>
  <si>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</si>
  <si>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</si>
  <si>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</si>
  <si>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</si>
  <si>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</si>
  <si>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</si>
  <si>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</si>
  <si>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</si>
  <si>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</si>
  <si>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</si>
  <si>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</si>
  <si>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</si>
  <si>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</si>
  <si>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</si>
  <si>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</si>
  <si>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</si>
  <si>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</si>
  <si>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</si>
  <si>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</si>
  <si>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</si>
  <si>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</si>
  <si>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</si>
  <si>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</si>
  <si>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</si>
  <si>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</si>
  <si>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</si>
  <si>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</si>
  <si>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</si>
  <si>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</si>
  <si>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</si>
  <si>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</si>
  <si>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</si>
  <si>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</si>
  <si>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</si>
  <si>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</si>
  <si>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</si>
  <si>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</si>
  <si>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</si>
  <si>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</si>
  <si>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</si>
  <si>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</si>
  <si>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</si>
  <si>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</si>
  <si>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</si>
  <si>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</si>
  <si>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</si>
  <si>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</si>
  <si>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</si>
  <si>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</si>
  <si>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</si>
  <si>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</si>
  <si>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</si>
  <si>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</si>
  <si>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</si>
  <si>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</si>
  <si>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</si>
  <si>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</si>
  <si>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</si>
  <si>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</si>
  <si>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</si>
  <si>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</si>
  <si>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</si>
  <si>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</si>
  <si>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</si>
  <si>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</si>
  <si>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</si>
  <si>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</si>
  <si>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</si>
  <si>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</si>
  <si>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</si>
  <si>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</si>
  <si>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</si>
  <si>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</si>
  <si>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</si>
  <si>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</si>
  <si>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</si>
  <si>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</si>
  <si>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</si>
  <si>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</si>
  <si>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</si>
  <si>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</si>
  <si>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</si>
  <si>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</si>
  <si>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</si>
  <si>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</si>
  <si>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</si>
  <si>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</si>
  <si>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</si>
  <si>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</si>
  <si>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</si>
  <si>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</si>
  <si>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</si>
  <si>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</si>
  <si>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</si>
  <si>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</si>
  <si>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</si>
  <si>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</si>
  <si>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</si>
  <si>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</si>
  <si>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</si>
  <si>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</si>
  <si>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</si>
  <si>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</si>
  <si>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</si>
  <si>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</si>
  <si>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</si>
  <si>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</si>
  <si>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</si>
  <si>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</si>
  <si>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</si>
  <si>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</si>
  <si>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</si>
  <si>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</si>
  <si>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</si>
  <si>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</si>
  <si>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</si>
  <si>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</si>
  <si>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</si>
  <si>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</si>
  <si>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</si>
  <si>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</si>
  <si>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</si>
  <si>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</si>
  <si>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</si>
  <si>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</si>
  <si>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</si>
  <si>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</si>
  <si>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</si>
  <si>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</si>
  <si>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</si>
  <si>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</si>
  <si>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</si>
  <si>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</si>
  <si>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</si>
  <si>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</si>
  <si>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</si>
  <si>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</si>
  <si>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</si>
  <si>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</si>
  <si>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</si>
  <si>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</si>
  <si>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</si>
  <si>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</si>
  <si>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</si>
  <si>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</si>
  <si>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</si>
  <si>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</si>
  <si>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</si>
  <si>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</si>
  <si>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</si>
  <si>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</si>
  <si>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</si>
  <si>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</si>
  <si>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</si>
  <si>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</si>
  <si>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</si>
  <si>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</si>
  <si>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</si>
  <si>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</si>
  <si>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</si>
  <si>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</si>
  <si>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</si>
  <si>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</si>
  <si>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</si>
  <si>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</si>
  <si>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</si>
  <si>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</si>
  <si>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</si>
  <si>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</si>
  <si>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</si>
  <si>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</si>
  <si>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</si>
  <si>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</si>
  <si>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</si>
  <si>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</si>
  <si>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</si>
  <si>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</si>
  <si>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</si>
  <si>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</si>
  <si>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</si>
  <si>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</si>
  <si>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</si>
  <si>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</si>
  <si>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</si>
  <si>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</si>
  <si>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</si>
  <si>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</si>
  <si>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</si>
  <si>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</si>
  <si>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</si>
  <si>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</si>
  <si>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</si>
  <si>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</si>
  <si>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</si>
  <si>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</si>
  <si>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</si>
  <si>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</si>
  <si>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</si>
  <si>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</si>
  <si>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</si>
  <si>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</si>
  <si>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</si>
  <si>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</si>
  <si>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</si>
  <si>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</si>
  <si>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</si>
  <si>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</si>
  <si>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</si>
  <si>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</si>
  <si>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</si>
  <si>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</si>
  <si>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</si>
  <si>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</si>
  <si>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</si>
  <si>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</si>
  <si>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</si>
  <si>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</si>
  <si>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</si>
  <si>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</si>
  <si>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</si>
  <si>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</si>
  <si>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</si>
  <si>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</si>
  <si>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</si>
  <si>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</si>
  <si>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</si>
  <si>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</si>
  <si>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</si>
  <si>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</si>
  <si>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</si>
  <si>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</si>
  <si>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</si>
  <si>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</si>
  <si>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</si>
  <si>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</si>
  <si>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</si>
  <si>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</si>
  <si>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</si>
  <si>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</si>
  <si>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</si>
  <si>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</si>
  <si>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</si>
  <si>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</si>
  <si>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</si>
  <si>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</si>
  <si>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</si>
  <si>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</si>
  <si>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</si>
  <si>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</si>
  <si>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</si>
  <si>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</si>
  <si>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</si>
  <si>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</si>
  <si>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</si>
  <si>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</si>
  <si>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</si>
  <si>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</si>
  <si>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</si>
  <si>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</si>
  <si>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</si>
  <si>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</si>
  <si>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</si>
  <si>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</si>
  <si>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</si>
  <si>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</si>
  <si>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</si>
  <si>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</si>
  <si>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</si>
  <si>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</si>
  <si>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</si>
  <si>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</si>
  <si>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</si>
  <si>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</si>
  <si>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</si>
  <si>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</si>
  <si>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</si>
  <si>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</si>
  <si>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</si>
  <si>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</si>
  <si>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</si>
  <si>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</si>
  <si>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</si>
  <si>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</si>
  <si>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</si>
  <si>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</si>
  <si>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</si>
  <si>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</si>
  <si>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</si>
  <si>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</si>
  <si>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</si>
  <si>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</si>
  <si>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</si>
  <si>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</si>
  <si>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</si>
  <si>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</si>
  <si>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</si>
  <si>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</si>
  <si>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</si>
  <si>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</si>
  <si>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</si>
  <si>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</si>
  <si>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</si>
  <si>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</si>
  <si>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</si>
  <si>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</si>
  <si>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</si>
  <si>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</si>
  <si>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</si>
  <si>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</si>
  <si>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</si>
  <si>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</si>
  <si>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</si>
  <si>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</si>
  <si>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</si>
  <si>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</si>
  <si>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</si>
  <si>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</si>
  <si>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</si>
  <si>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</si>
  <si>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</si>
  <si>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</si>
  <si>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</si>
  <si>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</si>
  <si>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</si>
  <si>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</si>
  <si>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</si>
  <si>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</si>
  <si>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</si>
  <si>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</si>
  <si>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</si>
  <si>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</si>
  <si>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</si>
  <si>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</si>
  <si>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</si>
  <si>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</si>
  <si>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</si>
  <si>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</si>
  <si>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</si>
  <si>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</si>
  <si>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</si>
  <si>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</si>
  <si>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</si>
  <si>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</si>
  <si>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</si>
  <si>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</si>
  <si>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</si>
  <si>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</si>
  <si>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</si>
  <si>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</si>
  <si>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</si>
  <si>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</si>
  <si>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</si>
  <si>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</si>
  <si>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</si>
  <si>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</si>
  <si>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</si>
  <si>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</si>
  <si>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</si>
  <si>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</si>
  <si>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</si>
  <si>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</si>
  <si>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</si>
  <si>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</si>
  <si>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</si>
  <si>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</si>
  <si>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</si>
  <si>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</si>
  <si>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</si>
  <si>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</si>
  <si>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</si>
  <si>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</si>
  <si>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</si>
  <si>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</si>
  <si>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</si>
  <si>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</si>
  <si>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</si>
  <si>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</si>
  <si>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</si>
  <si>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</si>
  <si>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</si>
  <si>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</si>
  <si>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</si>
  <si>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</si>
  <si>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</si>
  <si>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</si>
  <si>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</si>
  <si>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</si>
  <si>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</si>
  <si>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</si>
  <si>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</si>
  <si>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</si>
  <si>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</si>
  <si>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</si>
  <si>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</si>
  <si>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</si>
  <si>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</si>
  <si>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</si>
  <si>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</si>
  <si>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</si>
  <si>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</si>
  <si>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</si>
  <si>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</si>
  <si>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</si>
  <si>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</si>
  <si>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</si>
  <si>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</si>
  <si>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</si>
  <si>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</si>
  <si>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</si>
  <si>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</si>
  <si>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</si>
  <si>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</si>
  <si>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</si>
  <si>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</si>
  <si>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</si>
  <si>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</si>
  <si>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</si>
  <si>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</si>
  <si>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</si>
  <si>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</si>
  <si>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</si>
  <si>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</si>
  <si>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</si>
  <si>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</si>
  <si>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</si>
  <si>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</si>
  <si>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</si>
  <si>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</si>
  <si>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</si>
  <si>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</si>
  <si>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</si>
  <si>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</si>
  <si>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</si>
  <si>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</si>
  <si>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</si>
  <si>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</si>
  <si>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</si>
  <si>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</si>
  <si>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</si>
  <si>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</si>
  <si>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</si>
  <si>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</si>
  <si>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</si>
  <si>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</si>
  <si>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</si>
  <si>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</si>
  <si>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</si>
  <si>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</si>
  <si>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</si>
  <si>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</si>
  <si>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</si>
  <si>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</si>
  <si>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</si>
  <si>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</si>
  <si>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</si>
  <si>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</si>
  <si>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</si>
  <si>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</si>
  <si>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</si>
  <si>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</si>
  <si>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</si>
  <si>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</si>
  <si>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</si>
  <si>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</si>
  <si>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</si>
  <si>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</si>
  <si>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</si>
  <si>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</si>
  <si>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</si>
  <si>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</si>
  <si>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</si>
  <si>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</si>
  <si>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</si>
  <si>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</si>
  <si>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</si>
  <si>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</si>
  <si>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</si>
  <si>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</si>
  <si>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</si>
  <si>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</si>
  <si>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</si>
  <si>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</si>
  <si>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</si>
  <si>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</si>
  <si>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</si>
  <si>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</si>
  <si>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</si>
  <si>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</si>
  <si>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</si>
  <si>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</si>
  <si>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</si>
  <si>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</si>
  <si>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</si>
  <si>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</si>
  <si>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</si>
  <si>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</si>
  <si>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</si>
  <si>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</si>
  <si>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</si>
  <si>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</si>
  <si>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</si>
  <si>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</si>
  <si>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</si>
  <si>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</si>
  <si>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</si>
  <si>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</si>
  <si>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</si>
  <si>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</si>
  <si>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</si>
  <si>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</si>
  <si>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</si>
  <si>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</si>
  <si>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</si>
  <si>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</si>
  <si>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</si>
  <si>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</si>
  <si>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</si>
  <si>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</si>
  <si>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</si>
  <si>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</si>
  <si>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</si>
  <si>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</si>
  <si>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</si>
  <si>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</si>
  <si>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</si>
  <si>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</si>
  <si>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</si>
  <si>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</si>
  <si>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</si>
  <si>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</si>
  <si>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</si>
  <si>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</si>
  <si>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</si>
  <si>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</si>
  <si>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</si>
  <si>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</si>
  <si>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</si>
  <si>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</si>
  <si>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</si>
  <si>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</si>
  <si>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</si>
  <si>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</si>
  <si>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</si>
  <si>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</si>
  <si>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</si>
  <si>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</si>
  <si>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</si>
  <si>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</si>
  <si>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</si>
  <si>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</si>
  <si>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</si>
  <si>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</si>
  <si>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</si>
  <si>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</si>
  <si>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</si>
  <si>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</si>
  <si>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</si>
  <si>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</si>
  <si>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</si>
  <si>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</si>
  <si>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</si>
  <si>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</si>
  <si>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</si>
  <si>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</si>
  <si>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</si>
  <si>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</si>
  <si>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</si>
  <si>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</si>
  <si>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</si>
  <si>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</si>
  <si>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</si>
  <si>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</si>
  <si>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</si>
  <si>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</si>
  <si>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</si>
  <si>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</si>
  <si>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</si>
  <si>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</si>
  <si>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</si>
  <si>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</si>
  <si>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</si>
  <si>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</si>
  <si>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</si>
  <si>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</si>
  <si>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</si>
  <si>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</si>
  <si>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</si>
  <si>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</si>
  <si>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</si>
  <si>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</si>
  <si>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</si>
  <si>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</si>
  <si>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</si>
  <si>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</si>
  <si>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</si>
  <si>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</si>
  <si>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</si>
  <si>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</si>
  <si>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</si>
  <si>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</si>
  <si>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</si>
  <si>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</si>
  <si>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</si>
  <si>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</si>
  <si>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</si>
  <si>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</si>
  <si>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</si>
  <si>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</si>
  <si>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</si>
  <si>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</si>
  <si>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</si>
  <si>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</si>
  <si>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</si>
  <si>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</si>
  <si>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</si>
  <si>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</si>
  <si>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</si>
  <si>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</si>
  <si>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</si>
  <si>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</si>
  <si>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</si>
  <si>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</si>
  <si>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</si>
  <si>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</si>
  <si>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</si>
  <si>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</si>
  <si>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</si>
  <si>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</si>
  <si>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</si>
  <si>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</si>
  <si>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</si>
  <si>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</si>
  <si>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</si>
  <si>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</si>
  <si>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</si>
  <si>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</si>
  <si>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</si>
  <si>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</si>
  <si>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</si>
  <si>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</si>
  <si>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</si>
  <si>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</si>
  <si>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</si>
  <si>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</si>
  <si>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</si>
  <si>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</si>
  <si>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</si>
  <si>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</si>
  <si>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</si>
  <si>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</si>
  <si>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</si>
  <si>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</si>
  <si>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</si>
  <si>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</si>
  <si>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</si>
  <si>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</si>
  <si>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</si>
  <si>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</si>
  <si>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</si>
  <si>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</si>
  <si>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</si>
  <si>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</si>
  <si>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</si>
  <si>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</si>
  <si>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</si>
  <si>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</si>
  <si>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</si>
  <si>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</si>
  <si>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</si>
  <si>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</si>
  <si>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</si>
  <si>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</si>
  <si>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</si>
  <si>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</si>
  <si>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</si>
  <si>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</si>
  <si>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</si>
  <si>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</si>
  <si>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</si>
  <si>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</si>
  <si>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</si>
  <si>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</si>
  <si>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</si>
  <si>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</si>
  <si>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</si>
  <si>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</si>
  <si>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</si>
  <si>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</si>
  <si>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</si>
  <si>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</si>
  <si>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</si>
  <si>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</si>
  <si>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</si>
  <si>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</si>
  <si>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</si>
  <si>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</si>
  <si>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</si>
  <si>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</si>
  <si>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</si>
  <si>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</si>
  <si>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</si>
  <si>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</si>
  <si>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</si>
  <si>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</si>
  <si>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</si>
  <si>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</si>
  <si>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</si>
  <si>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</si>
  <si>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</si>
  <si>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</si>
  <si>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</si>
  <si>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</si>
  <si>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</si>
  <si>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</si>
  <si>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</si>
  <si>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</si>
  <si>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</si>
  <si>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</si>
  <si>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</si>
  <si>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</si>
  <si>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</si>
  <si>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</si>
  <si>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</si>
  <si>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</si>
  <si>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</si>
  <si>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</si>
  <si>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</si>
  <si>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</si>
  <si>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</si>
  <si>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</si>
  <si>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</si>
  <si>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</si>
  <si>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</si>
  <si>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</si>
  <si>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</si>
  <si>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</si>
  <si>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</si>
  <si>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</si>
  <si>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</si>
  <si>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</si>
  <si>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</si>
  <si>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</si>
  <si>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</si>
  <si>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</si>
  <si>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</si>
  <si>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</si>
  <si>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</si>
  <si>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</si>
  <si>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</si>
  <si>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</si>
  <si>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</si>
  <si>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</si>
  <si>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</si>
  <si>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</si>
  <si>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</si>
  <si>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</si>
  <si>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</si>
  <si>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</si>
  <si>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</si>
  <si>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</si>
  <si>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</si>
  <si>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</si>
  <si>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</si>
  <si>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</si>
  <si>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</si>
  <si>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</si>
  <si>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</si>
  <si>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</si>
  <si>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</si>
  <si>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</si>
  <si>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</si>
  <si>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</si>
  <si>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</si>
  <si>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</si>
  <si>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</si>
  <si>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</si>
  <si>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</si>
  <si>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</si>
  <si>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</si>
  <si>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</si>
  <si>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</si>
  <si>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</si>
  <si>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</si>
  <si>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</si>
  <si>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</si>
  <si>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</si>
  <si>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</si>
  <si>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</si>
  <si>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</si>
  <si>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</si>
  <si>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</si>
  <si>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</si>
  <si>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</si>
  <si>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</si>
  <si>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</si>
  <si>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</si>
  <si>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</si>
  <si>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</si>
  <si>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</si>
  <si>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</si>
  <si>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</si>
  <si>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</si>
  <si>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</si>
  <si>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</si>
  <si>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</si>
  <si>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</si>
  <si>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</si>
  <si>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</si>
  <si>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</si>
  <si>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</si>
  <si>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</si>
  <si>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</si>
  <si>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</si>
  <si>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</si>
  <si>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</si>
  <si>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</si>
  <si>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</si>
  <si>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</si>
  <si>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</si>
  <si>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</si>
  <si>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</si>
  <si>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</si>
  <si>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</si>
  <si>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</si>
  <si>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</si>
  <si>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</si>
  <si>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</si>
  <si>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</si>
  <si>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</si>
  <si>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</si>
  <si>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</si>
  <si>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</si>
  <si>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</si>
  <si>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</si>
  <si>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</si>
  <si>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</si>
  <si>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</si>
  <si>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</si>
  <si>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</si>
  <si>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</si>
  <si>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</si>
  <si>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</si>
  <si>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</si>
  <si>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</si>
  <si>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</si>
  <si>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</si>
  <si>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</si>
  <si>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</si>
  <si>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</si>
  <si>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</si>
  <si>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</si>
  <si>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</si>
  <si>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</si>
  <si>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</si>
  <si>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</si>
  <si>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</si>
  <si>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</si>
  <si>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</si>
  <si>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</si>
  <si>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</si>
  <si>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</si>
  <si>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</si>
  <si>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</si>
  <si>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</si>
  <si>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</si>
  <si>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</si>
  <si>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</si>
  <si>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</si>
  <si>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</si>
  <si>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</si>
  <si>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</si>
  <si>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</si>
  <si>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</si>
  <si>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</si>
  <si>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</si>
  <si>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</si>
  <si>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</si>
  <si>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</si>
  <si>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</si>
  <si>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</si>
  <si>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</si>
  <si>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</si>
  <si>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</si>
  <si>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</si>
  <si>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</si>
  <si>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</si>
  <si>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</si>
  <si>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</si>
  <si>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</si>
  <si>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</si>
  <si>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</si>
  <si>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</si>
  <si>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</si>
  <si>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</si>
  <si>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</si>
  <si>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</si>
  <si>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</si>
  <si>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</si>
  <si>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</si>
  <si>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</si>
  <si>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</si>
  <si>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</si>
  <si>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</si>
  <si>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</si>
  <si>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</si>
  <si>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</si>
  <si>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</si>
  <si>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</si>
  <si>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</si>
  <si>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</si>
  <si>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</si>
  <si>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</si>
  <si>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</si>
  <si>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</si>
  <si>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</si>
  <si>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</si>
  <si>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</si>
  <si>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</si>
  <si>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</si>
  <si>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</si>
  <si>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</si>
  <si>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</si>
  <si>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</si>
  <si>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</si>
  <si>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</si>
  <si>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</si>
  <si>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</si>
  <si>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</si>
  <si>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</si>
  <si>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</si>
  <si>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</si>
  <si>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</si>
  <si>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</si>
  <si>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</si>
  <si>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</si>
  <si>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</si>
  <si>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</si>
  <si>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</si>
  <si>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</si>
  <si>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</si>
  <si>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</si>
  <si>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</si>
  <si>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</si>
  <si>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</si>
  <si>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</si>
  <si>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</si>
  <si>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</si>
  <si>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</si>
  <si>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</si>
  <si>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</si>
  <si>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</si>
  <si>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</si>
  <si>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</si>
  <si>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</si>
  <si>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</si>
  <si>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</si>
  <si>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</si>
  <si>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</si>
  <si>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</si>
  <si>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</si>
  <si>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</si>
  <si>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</si>
  <si>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</si>
  <si>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</si>
  <si>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</si>
  <si>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</si>
  <si>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</si>
  <si>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</si>
  <si>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</si>
  <si>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</si>
  <si>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</si>
  <si>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</si>
  <si>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</si>
  <si>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</si>
  <si>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</si>
  <si>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</si>
  <si>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</si>
  <si>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</si>
  <si>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</si>
  <si>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</si>
  <si>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</si>
  <si>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</si>
  <si>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</si>
  <si>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</si>
  <si>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</si>
  <si>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</si>
  <si>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</si>
  <si>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</si>
  <si>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</si>
  <si>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</si>
  <si>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</si>
  <si>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</si>
  <si>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</si>
  <si>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</si>
  <si>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</si>
  <si>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</si>
  <si>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</si>
  <si>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</si>
  <si>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</si>
  <si>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</si>
  <si>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</si>
  <si>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</si>
  <si>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</si>
  <si>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</si>
  <si>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</si>
  <si>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</si>
  <si>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</si>
  <si>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</si>
  <si>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</si>
  <si>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</si>
  <si>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</si>
  <si>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</si>
  <si>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</si>
  <si>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</si>
  <si>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</si>
  <si>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</si>
  <si>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</si>
  <si>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</si>
  <si>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</si>
  <si>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</si>
  <si>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</si>
  <si>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</si>
  <si>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</si>
  <si>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</si>
  <si>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</si>
  <si>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</si>
  <si>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</si>
  <si>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</si>
  <si>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</si>
  <si>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</si>
  <si>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</si>
  <si>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</si>
  <si>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</si>
  <si>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</si>
  <si>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</si>
  <si>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</si>
  <si>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</si>
  <si>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</si>
  <si>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</si>
  <si>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</si>
  <si>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</si>
  <si>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</si>
  <si>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</si>
  <si>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</si>
  <si>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</si>
  <si>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</si>
  <si>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</si>
  <si>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</si>
  <si>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</si>
  <si>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</si>
  <si>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</si>
  <si>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</si>
  <si>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</si>
  <si>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</si>
  <si>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</si>
  <si>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</si>
  <si>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</si>
  <si>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</si>
  <si>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</si>
  <si>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</si>
  <si>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</si>
  <si>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</si>
  <si>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</si>
  <si>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</si>
  <si>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</si>
  <si>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</si>
  <si>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</si>
  <si>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</si>
  <si>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</si>
  <si>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</si>
  <si>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</si>
  <si>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</si>
  <si>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</si>
  <si>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</si>
  <si>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</si>
  <si>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</si>
  <si>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</si>
  <si>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</si>
  <si>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</si>
  <si>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</si>
  <si>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</si>
  <si>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</si>
  <si>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</si>
  <si>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</si>
  <si>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</si>
  <si>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</si>
  <si>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</si>
  <si>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</si>
  <si>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</si>
  <si>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</si>
  <si>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</si>
  <si>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</si>
  <si>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</si>
  <si>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</si>
  <si>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</si>
  <si>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</si>
  <si>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</si>
  <si>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</si>
  <si>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</si>
  <si>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</si>
  <si>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</si>
  <si>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</si>
  <si>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</si>
  <si>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</si>
  <si>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</si>
  <si>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</si>
  <si>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</si>
  <si>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</si>
  <si>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</si>
  <si>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</si>
  <si>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</si>
  <si>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</si>
  <si>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</si>
  <si>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</si>
  <si>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</si>
  <si>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</si>
  <si>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</si>
  <si>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</si>
  <si>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</si>
  <si>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</si>
  <si>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</si>
  <si>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</si>
  <si>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</si>
  <si>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</si>
  <si>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</si>
  <si>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</si>
  <si>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</si>
  <si>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</si>
  <si>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</si>
  <si>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</si>
  <si>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</si>
  <si>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</si>
  <si>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</si>
  <si>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</si>
  <si>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</si>
  <si>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</si>
  <si>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</si>
  <si>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</si>
  <si>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</si>
  <si>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</si>
  <si>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</si>
  <si>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</si>
  <si>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</si>
  <si>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</si>
  <si>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</si>
  <si>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</si>
  <si>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</si>
  <si>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</si>
  <si>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</si>
  <si>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</si>
  <si>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</si>
  <si>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</si>
  <si>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</si>
  <si>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</si>
  <si>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</si>
  <si>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</si>
  <si>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</si>
  <si>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</si>
  <si>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</si>
  <si>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</si>
  <si>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</si>
  <si>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</si>
  <si>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</si>
  <si>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</si>
  <si>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</si>
  <si>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</si>
  <si>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</si>
  <si>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</si>
  <si>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</si>
  <si>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</si>
  <si>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</si>
  <si>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</si>
  <si>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</si>
  <si>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</si>
  <si>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</si>
  <si>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</si>
  <si>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</si>
  <si>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</si>
  <si>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</si>
  <si>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</si>
  <si>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</si>
  <si>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</si>
  <si>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</si>
  <si>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</si>
  <si>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</si>
  <si>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</si>
  <si>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</si>
  <si>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</si>
  <si>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</si>
  <si>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</si>
  <si>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</si>
  <si>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</si>
  <si>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</si>
  <si>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</si>
  <si>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</si>
  <si>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</si>
  <si>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</si>
  <si>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</si>
  <si>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</si>
  <si>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</si>
  <si>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</si>
  <si>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</si>
  <si>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</si>
  <si>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</si>
  <si>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</si>
  <si>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</si>
  <si>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</si>
  <si>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</si>
  <si>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</si>
  <si>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</si>
  <si>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</si>
  <si>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</si>
  <si>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</si>
  <si>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</si>
  <si>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</si>
  <si>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</si>
  <si>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</si>
  <si>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</si>
  <si>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</si>
  <si>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</si>
  <si>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</si>
  <si>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</si>
  <si>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</si>
  <si>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</si>
  <si>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</si>
  <si>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</si>
  <si>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</si>
  <si>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</si>
  <si>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</si>
  <si>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</si>
  <si>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</si>
  <si>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</si>
  <si>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</si>
  <si>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</si>
  <si>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</si>
  <si>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</si>
  <si>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</si>
  <si>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</si>
  <si>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</si>
  <si>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</si>
  <si>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</si>
  <si>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</si>
  <si>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</si>
  <si>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</si>
  <si>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</si>
  <si>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</si>
  <si>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</si>
  <si>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</si>
  <si>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</si>
  <si>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</si>
  <si>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</si>
  <si>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</si>
  <si>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</si>
  <si>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</si>
  <si>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</si>
  <si>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</si>
  <si>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</si>
  <si>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</si>
  <si>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</si>
  <si>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</si>
  <si>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</si>
  <si>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</si>
  <si>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</si>
  <si>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</si>
  <si>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</si>
  <si>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</si>
  <si>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</si>
  <si>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</si>
  <si>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</si>
  <si>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</si>
  <si>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</si>
  <si>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</si>
  <si>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</si>
  <si>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</si>
  <si>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</si>
  <si>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</si>
  <si>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</si>
  <si>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</si>
  <si>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</si>
  <si>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</si>
  <si>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</si>
  <si>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</si>
  <si>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</si>
  <si>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</si>
  <si>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</si>
  <si>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</si>
  <si>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</si>
  <si>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</si>
  <si>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</si>
  <si>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</si>
  <si>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</si>
  <si>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</si>
  <si>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</si>
  <si>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</si>
  <si>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</si>
  <si>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</si>
  <si>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</si>
  <si>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</si>
  <si>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</si>
  <si>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</si>
  <si>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</si>
  <si>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</si>
  <si>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</si>
  <si>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</si>
  <si>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</si>
  <si>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</si>
  <si>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</si>
  <si>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</si>
  <si>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</si>
  <si>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</si>
  <si>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</si>
  <si>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</si>
  <si>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</si>
  <si>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</si>
  <si>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</si>
  <si>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</si>
  <si>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</si>
  <si>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</si>
  <si>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</si>
  <si>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</si>
  <si>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</si>
  <si>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</si>
  <si>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</si>
  <si>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</si>
  <si>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</si>
  <si>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</si>
  <si>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</si>
  <si>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</si>
  <si>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</si>
  <si>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</si>
  <si>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</si>
  <si>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</si>
  <si>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</si>
  <si>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</si>
  <si>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</si>
  <si>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</si>
  <si>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</si>
  <si>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</si>
  <si>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</si>
  <si>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</si>
  <si>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</si>
  <si>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</si>
  <si>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</si>
  <si>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</si>
  <si>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</si>
  <si>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</si>
  <si>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</si>
  <si>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</si>
  <si>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</si>
  <si>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</si>
  <si>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</si>
  <si>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</si>
  <si>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</si>
  <si>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</si>
  <si>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</si>
  <si>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</si>
  <si>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</si>
  <si>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</si>
  <si>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</si>
  <si>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</si>
  <si>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</si>
  <si>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</si>
  <si>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</si>
  <si>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</si>
  <si>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</si>
  <si>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</si>
  <si>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</si>
  <si>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</si>
  <si>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</si>
  <si>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</si>
  <si>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</si>
  <si>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</si>
  <si>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</si>
  <si>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</si>
  <si>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</si>
  <si>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</si>
  <si>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</si>
  <si>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</si>
  <si>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</si>
  <si>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</si>
  <si>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</si>
  <si>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</si>
  <si>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</si>
  <si>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</si>
  <si>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</si>
  <si>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</si>
  <si>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</si>
  <si>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</si>
  <si>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</si>
  <si>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</si>
  <si>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</si>
  <si>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</si>
  <si>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</si>
  <si>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</si>
  <si>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</si>
  <si>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</si>
  <si>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</si>
  <si>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</si>
  <si>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</si>
  <si>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</si>
  <si>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</si>
  <si>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</si>
  <si>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</si>
  <si>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</si>
  <si>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</si>
  <si>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</si>
  <si>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</si>
  <si>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</si>
  <si>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</si>
  <si>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</si>
  <si>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</si>
  <si>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</si>
  <si>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</si>
  <si>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</si>
  <si>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</si>
  <si>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</si>
  <si>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</si>
  <si>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</si>
  <si>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</si>
  <si>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</si>
  <si>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</si>
  <si>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</si>
  <si>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</si>
  <si>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</si>
  <si>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</si>
  <si>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</si>
  <si>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</si>
  <si>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</si>
  <si>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</si>
  <si>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</si>
  <si>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</si>
  <si>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</si>
  <si>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</si>
  <si>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</si>
  <si>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</si>
  <si>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</si>
  <si>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</si>
  <si>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</si>
  <si>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</si>
  <si>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</si>
  <si>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</si>
  <si>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</si>
  <si>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</si>
  <si>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</si>
  <si>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</si>
  <si>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</si>
  <si>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</si>
  <si>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</si>
  <si>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</si>
  <si>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</si>
  <si>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</si>
  <si>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</si>
  <si>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</si>
  <si>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</si>
  <si>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</si>
  <si>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</si>
  <si>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</si>
  <si>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</si>
  <si>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</si>
  <si>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</si>
  <si>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</si>
  <si>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</si>
  <si>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</si>
  <si>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</si>
  <si>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</si>
  <si>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</si>
  <si>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</si>
  <si>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</si>
  <si>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</si>
  <si>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</si>
  <si>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</si>
  <si>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</si>
  <si>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</si>
  <si>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</si>
  <si>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</si>
  <si>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</si>
  <si>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</si>
  <si>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</si>
  <si>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</si>
  <si>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</si>
  <si>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</si>
  <si>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</si>
  <si>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</si>
  <si>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</si>
  <si>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</si>
  <si>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</si>
  <si>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</si>
  <si>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</si>
  <si>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</si>
  <si>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</si>
  <si>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</si>
  <si>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</si>
  <si>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</si>
  <si>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</si>
  <si>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</si>
  <si>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</si>
  <si>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</si>
  <si>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</si>
  <si>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</si>
  <si>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</si>
  <si>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</si>
  <si>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</si>
  <si>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</si>
  <si>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</si>
  <si>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</si>
  <si>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</si>
  <si>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</si>
  <si>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</si>
  <si>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</si>
  <si>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</si>
  <si>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</si>
  <si>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</si>
  <si>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</si>
  <si>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</si>
  <si>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</si>
  <si>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</si>
  <si>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</si>
  <si>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</si>
  <si>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</si>
  <si>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</si>
  <si>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</si>
  <si>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</si>
  <si>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</si>
  <si>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</si>
  <si>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</si>
  <si>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</si>
  <si>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</si>
  <si>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</si>
  <si>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</si>
  <si>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</si>
  <si>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</si>
  <si>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</si>
  <si>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</si>
  <si>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</si>
  <si>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</si>
  <si>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</si>
  <si>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</si>
  <si>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</si>
  <si>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</si>
  <si>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</si>
  <si>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</si>
  <si>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</si>
  <si>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</si>
  <si>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</si>
  <si>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</si>
  <si>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</si>
  <si>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</si>
  <si>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</si>
  <si>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</si>
  <si>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</si>
  <si>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</si>
  <si>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</si>
  <si>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</si>
  <si>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</si>
  <si>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</si>
  <si>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</si>
  <si>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</si>
  <si>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</si>
  <si>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</si>
  <si>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</si>
  <si>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</si>
  <si>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</si>
  <si>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</si>
  <si>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</si>
  <si>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</si>
  <si>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</si>
  <si>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</si>
  <si>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</si>
  <si>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</si>
  <si>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</si>
  <si>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</si>
  <si>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</si>
  <si>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</si>
  <si>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</si>
  <si>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</si>
  <si>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</si>
  <si>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</si>
  <si>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</si>
  <si>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</si>
  <si>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</si>
  <si>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</si>
  <si>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</si>
  <si>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</si>
  <si>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</si>
  <si>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</si>
  <si>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</si>
  <si>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</si>
  <si>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</si>
  <si>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</si>
  <si>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</si>
  <si>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</si>
  <si>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</si>
  <si>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</si>
  <si>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</si>
  <si>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</si>
  <si>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</si>
  <si>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</si>
  <si>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</si>
  <si>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</si>
  <si>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</si>
  <si>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</si>
  <si>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</si>
  <si>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</si>
  <si>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</si>
  <si>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</si>
  <si>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</si>
  <si>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</si>
  <si>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</si>
  <si>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</si>
  <si>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</si>
  <si>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</si>
  <si>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</si>
  <si>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</si>
  <si>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</si>
  <si>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</si>
  <si>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</si>
  <si>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</si>
  <si>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</si>
  <si>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</si>
  <si>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</si>
  <si>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</si>
  <si>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</si>
  <si>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</si>
  <si>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</si>
  <si>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</si>
  <si>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</si>
  <si>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</si>
  <si>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</si>
  <si>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</si>
  <si>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</si>
  <si>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</si>
  <si>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</si>
  <si>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</si>
  <si>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</si>
  <si>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</si>
  <si>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</si>
  <si>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</si>
  <si>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</si>
  <si>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</si>
  <si>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</si>
  <si>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</si>
  <si>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</si>
  <si>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</si>
  <si>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</si>
  <si>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</si>
  <si>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</si>
  <si>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</si>
  <si>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</si>
  <si>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</si>
  <si>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</si>
  <si>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</si>
  <si>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</si>
  <si>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</si>
  <si>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</si>
  <si>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</si>
  <si>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</si>
  <si>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</si>
  <si>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</si>
  <si>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</si>
  <si>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</si>
  <si>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</si>
  <si>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</si>
  <si>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</si>
  <si>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</si>
  <si>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</si>
  <si>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</si>
  <si>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</si>
  <si>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</si>
  <si>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</si>
  <si>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</si>
  <si>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</si>
  <si>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</si>
  <si>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</si>
  <si>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</si>
  <si>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</si>
  <si>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</si>
  <si>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</si>
  <si>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</si>
  <si>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</si>
  <si>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</si>
  <si>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</si>
  <si>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</si>
  <si>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</si>
  <si>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</si>
  <si>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</si>
  <si>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</si>
  <si>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</si>
  <si>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</si>
  <si>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</si>
  <si>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</si>
  <si>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</si>
  <si>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</si>
  <si>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</si>
  <si>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</si>
  <si>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</si>
  <si>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</si>
  <si>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</si>
  <si>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</si>
  <si>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</si>
  <si>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</si>
  <si>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</si>
  <si>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</si>
  <si>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</si>
  <si>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</si>
  <si>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</si>
  <si>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</si>
  <si>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</si>
  <si>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</si>
  <si>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</si>
  <si>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</si>
  <si>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</si>
  <si>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</si>
  <si>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</si>
  <si>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</si>
  <si>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</si>
  <si>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</si>
  <si>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</si>
  <si>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</si>
  <si>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</si>
  <si>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</si>
  <si>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</si>
  <si>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</si>
  <si>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</si>
  <si>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</si>
  <si>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</si>
  <si>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</si>
  <si>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</si>
  <si>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</si>
  <si>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</si>
  <si>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</si>
  <si>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</si>
  <si>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</si>
  <si>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</si>
  <si>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</si>
  <si>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</si>
  <si>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</si>
  <si>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</si>
  <si>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</si>
  <si>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</si>
  <si>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</si>
  <si>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</si>
  <si>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</si>
  <si>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</si>
  <si>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</si>
  <si>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</si>
  <si>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</si>
  <si>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</si>
  <si>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</si>
  <si>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</si>
  <si>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</si>
  <si>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</si>
  <si>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</si>
  <si>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</si>
  <si>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</si>
  <si>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</si>
  <si>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</si>
  <si>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</si>
  <si>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</si>
  <si>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</si>
  <si>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</si>
  <si>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</si>
  <si>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</si>
  <si>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</si>
  <si>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</si>
  <si>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</si>
  <si>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</si>
  <si>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</si>
  <si>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</si>
  <si>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</si>
  <si>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</si>
  <si>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</si>
  <si>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</si>
  <si>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</si>
  <si>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</si>
  <si>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</si>
  <si>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</si>
  <si>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</si>
  <si>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</si>
  <si>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</si>
  <si>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</si>
  <si>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</si>
  <si>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</si>
  <si>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</si>
  <si>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</si>
  <si>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</si>
  <si>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</si>
  <si>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</si>
  <si>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</si>
  <si>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</si>
  <si>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</si>
  <si>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</si>
  <si>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</si>
  <si>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</si>
  <si>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</si>
  <si>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</si>
  <si>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</si>
  <si>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</si>
  <si>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</si>
  <si>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</si>
  <si>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</si>
  <si>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</si>
  <si>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</si>
  <si>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</si>
  <si>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</si>
  <si>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</si>
  <si>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</si>
  <si>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</si>
  <si>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</si>
  <si>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</si>
  <si>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</si>
  <si>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</si>
  <si>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</si>
  <si>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</si>
  <si>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</si>
  <si>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</si>
  <si>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</si>
  <si>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</si>
  <si>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</si>
  <si>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</si>
  <si>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</si>
  <si>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</si>
  <si>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</si>
  <si>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</si>
  <si>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</si>
  <si>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</si>
  <si>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</si>
  <si>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</si>
  <si>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</si>
  <si>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</si>
  <si>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</si>
  <si>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</si>
  <si>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</si>
  <si>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</si>
  <si>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</si>
  <si>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</si>
  <si>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</si>
  <si>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</si>
  <si>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</si>
  <si>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</si>
  <si>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</si>
  <si>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</si>
  <si>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</si>
  <si>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</si>
  <si>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</si>
  <si>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</si>
  <si>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</si>
  <si>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</si>
  <si>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</si>
  <si>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</si>
  <si>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</si>
  <si>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</si>
  <si>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</si>
  <si>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</si>
  <si>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</si>
  <si>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</si>
  <si>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</si>
  <si>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</si>
  <si>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</si>
  <si>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</si>
  <si>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</si>
  <si>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</si>
  <si>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</si>
  <si>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</si>
  <si>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</si>
  <si>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</si>
  <si>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</si>
  <si>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</si>
  <si>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</si>
  <si>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</si>
  <si>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</si>
  <si>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</si>
  <si>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</si>
  <si>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</si>
  <si>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</si>
  <si>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</si>
  <si>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</si>
  <si>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</si>
  <si>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</si>
  <si>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</si>
  <si>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</si>
  <si>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</si>
  <si>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</si>
  <si>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</si>
  <si>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</si>
  <si>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</si>
  <si>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</si>
  <si>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</si>
  <si>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</si>
  <si>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</si>
  <si>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</si>
  <si>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</si>
  <si>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</si>
  <si>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</si>
  <si>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</si>
  <si>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</si>
  <si>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</si>
  <si>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</si>
  <si>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</si>
  <si>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</si>
  <si>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</si>
  <si>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</si>
  <si>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</si>
  <si>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</si>
  <si>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</si>
  <si>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</si>
  <si>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</si>
  <si>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</si>
  <si>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</si>
  <si>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</si>
  <si>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</si>
  <si>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</si>
  <si>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</si>
  <si>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</si>
  <si>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</si>
  <si>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</si>
  <si>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</si>
  <si>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</si>
  <si>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</si>
  <si>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</si>
  <si>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</si>
  <si>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</si>
  <si>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</si>
  <si>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</si>
  <si>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</si>
  <si>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</si>
  <si>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</si>
  <si>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</si>
  <si>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</si>
  <si>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</si>
  <si>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</si>
  <si>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</si>
  <si>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</si>
  <si>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</si>
  <si>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</si>
  <si>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</si>
  <si>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</si>
  <si>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</si>
  <si>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</si>
  <si>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</si>
  <si>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</si>
  <si>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</si>
  <si>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</si>
  <si>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</si>
  <si>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</si>
  <si>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</si>
  <si>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</si>
  <si>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</si>
  <si>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</si>
  <si>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</si>
  <si>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</si>
  <si>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</si>
  <si>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</si>
  <si>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</si>
  <si>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</si>
  <si>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</si>
  <si>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</si>
  <si>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</si>
  <si>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</si>
  <si>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</si>
  <si>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</si>
  <si>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</si>
  <si>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</si>
  <si>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</si>
  <si>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</si>
  <si>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</si>
  <si>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</si>
  <si>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</si>
  <si>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</si>
  <si>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</si>
  <si>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</si>
  <si>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</si>
  <si>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</si>
  <si>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</si>
  <si>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</si>
  <si>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</si>
  <si>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</si>
  <si>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</si>
  <si>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</si>
  <si>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</si>
  <si>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</si>
  <si>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</si>
  <si>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</si>
  <si>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</si>
  <si>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</si>
  <si>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</si>
  <si>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</si>
  <si>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</si>
  <si>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</si>
  <si>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</si>
  <si>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</si>
  <si>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</si>
  <si>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</si>
  <si>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</si>
  <si>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</si>
  <si>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</si>
  <si>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</si>
  <si>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</si>
  <si>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</si>
  <si>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</si>
  <si>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</si>
  <si>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</si>
  <si>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</si>
  <si>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</si>
  <si>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</si>
  <si>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</si>
  <si>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</si>
  <si>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</si>
  <si>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</si>
  <si>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</si>
  <si>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</si>
  <si>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</si>
  <si>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</si>
  <si>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</si>
  <si>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</si>
  <si>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</si>
  <si>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</si>
  <si>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</si>
  <si>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</si>
  <si>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</si>
  <si>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</si>
  <si>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</si>
  <si>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</si>
  <si>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</si>
  <si>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</si>
  <si>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</si>
  <si>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</si>
  <si>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</si>
  <si>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</si>
  <si>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</si>
  <si>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</si>
  <si>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</si>
  <si>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</si>
  <si>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</si>
  <si>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</si>
  <si>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</si>
  <si>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</si>
  <si>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</si>
  <si>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</si>
  <si>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</si>
  <si>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</si>
  <si>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</si>
  <si>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</si>
  <si>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</si>
  <si>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</si>
  <si>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</si>
  <si>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</si>
  <si>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</si>
  <si>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</si>
  <si>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</si>
  <si>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</si>
  <si>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</si>
  <si>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</si>
  <si>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</si>
  <si>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</si>
  <si>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</si>
  <si>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</si>
  <si>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</si>
  <si>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</si>
  <si>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</si>
  <si>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</si>
  <si>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</si>
  <si>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</si>
  <si>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</si>
  <si>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</si>
  <si>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</si>
  <si>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</si>
  <si>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</si>
  <si>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</si>
  <si>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</si>
  <si>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</si>
  <si>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</si>
  <si>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</si>
  <si>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</si>
  <si>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</si>
  <si>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</si>
  <si>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</si>
  <si>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</si>
  <si>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</si>
  <si>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</si>
  <si>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</si>
  <si>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</si>
  <si>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</si>
  <si>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</si>
  <si>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</si>
  <si>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</si>
  <si>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</si>
  <si>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</si>
  <si>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</si>
  <si>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</si>
  <si>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</si>
  <si>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</si>
  <si>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</si>
  <si>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</si>
  <si>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</si>
  <si>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</si>
  <si>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</si>
  <si>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</si>
  <si>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</si>
  <si>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</si>
  <si>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</si>
  <si>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</si>
  <si>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</si>
  <si>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</si>
  <si>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</si>
  <si>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</si>
  <si>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</si>
  <si>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</si>
  <si>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</si>
  <si>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</si>
  <si>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</si>
  <si>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</si>
  <si>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</si>
  <si>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</si>
  <si>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</si>
  <si>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</si>
  <si>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</si>
  <si>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</si>
  <si>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</si>
  <si>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</si>
  <si>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</si>
  <si>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</si>
  <si>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</si>
  <si>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</si>
  <si>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</si>
  <si>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</si>
  <si>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</si>
  <si>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</si>
  <si>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</si>
  <si>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</si>
  <si>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</si>
  <si>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</si>
  <si>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</si>
  <si>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</si>
  <si>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</si>
  <si>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</si>
  <si>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</si>
  <si>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</si>
  <si>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</si>
  <si>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</si>
  <si>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</si>
  <si>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</si>
  <si>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</si>
  <si>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</si>
  <si>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</si>
  <si>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</si>
  <si>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</si>
  <si>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</si>
  <si>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</si>
  <si>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</si>
  <si>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</si>
  <si>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</si>
  <si>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</si>
  <si>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</si>
  <si>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</si>
  <si>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</si>
  <si>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</si>
  <si>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</si>
  <si>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</si>
  <si>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</si>
  <si>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</si>
  <si>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</si>
  <si>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</si>
  <si>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</si>
  <si>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</si>
  <si>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</si>
  <si>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</si>
  <si>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</si>
  <si>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</si>
  <si>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</si>
  <si>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</si>
  <si>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</si>
  <si>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</si>
  <si>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</si>
  <si>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</si>
  <si>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</si>
  <si>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</si>
  <si>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</si>
  <si>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</si>
  <si>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</si>
  <si>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</si>
  <si>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</si>
  <si>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</si>
  <si>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</si>
  <si>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</si>
  <si>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</si>
  <si>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</si>
  <si>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</si>
  <si>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</si>
  <si>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</si>
  <si>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</si>
  <si>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</si>
  <si>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</si>
  <si>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</si>
  <si>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</si>
  <si>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</si>
  <si>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</si>
  <si>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</si>
  <si>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</si>
  <si>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</si>
  <si>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</si>
  <si>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</si>
  <si>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</si>
  <si>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</si>
  <si>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</si>
  <si>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</si>
  <si>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</si>
  <si>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</si>
  <si>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</si>
  <si>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</si>
  <si>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</si>
  <si>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</si>
  <si>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</si>
  <si>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</si>
  <si>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</si>
  <si>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</si>
  <si>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</si>
  <si>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</si>
  <si>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</si>
  <si>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</si>
  <si>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</si>
  <si>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</si>
  <si>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</si>
  <si>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</si>
  <si>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</si>
  <si>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</si>
  <si>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</si>
  <si>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</si>
  <si>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</si>
  <si>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</si>
  <si>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</si>
  <si>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</si>
  <si>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</si>
  <si>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</si>
  <si>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</si>
  <si>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</si>
  <si>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</si>
  <si>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</si>
  <si>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</si>
  <si>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</si>
  <si>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</si>
  <si>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</si>
  <si>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</si>
  <si>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</si>
  <si>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</si>
  <si>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</si>
  <si>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</si>
  <si>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</si>
  <si>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</si>
  <si>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</si>
  <si>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</si>
  <si>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</si>
  <si>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</si>
  <si>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</si>
  <si>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</si>
  <si>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</si>
  <si>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</si>
  <si>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</si>
  <si>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</si>
  <si>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</si>
  <si>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</si>
  <si>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</si>
  <si>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</si>
  <si>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</si>
  <si>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</si>
  <si>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</si>
  <si>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</si>
  <si>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</si>
  <si>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</si>
  <si>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</si>
  <si>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</si>
  <si>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</si>
  <si>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</si>
  <si>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</si>
  <si>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</si>
  <si>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</si>
  <si>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</si>
  <si>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</si>
  <si>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</si>
  <si>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</si>
  <si>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</si>
  <si>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</si>
  <si>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</si>
  <si>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</si>
  <si>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</si>
  <si>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</si>
  <si>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</si>
  <si>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</si>
  <si>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</si>
  <si>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</si>
  <si>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</si>
  <si>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</si>
  <si>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</si>
  <si>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</si>
  <si>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</si>
  <si>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</si>
  <si>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</si>
  <si>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</si>
  <si>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</si>
  <si>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</si>
  <si>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</si>
  <si>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</si>
  <si>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</si>
  <si>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</si>
  <si>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</si>
  <si>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</si>
  <si>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</si>
  <si>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</si>
  <si>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</si>
  <si>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</si>
  <si>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</si>
  <si>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</si>
  <si>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</si>
  <si>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</si>
  <si>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</si>
  <si>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</si>
  <si>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</si>
  <si>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</si>
  <si>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</si>
  <si>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</si>
  <si>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</si>
  <si>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</si>
  <si>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</si>
  <si>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</si>
  <si>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</si>
  <si>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</si>
  <si>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</si>
  <si>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</si>
  <si>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</si>
  <si>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</si>
  <si>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</si>
  <si>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</si>
  <si>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</si>
  <si>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</si>
  <si>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</si>
  <si>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</si>
  <si>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</si>
  <si>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</si>
  <si>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</si>
  <si>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</si>
  <si>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</si>
  <si>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</si>
  <si>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</si>
  <si>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</si>
  <si>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</si>
  <si>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</si>
  <si>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</si>
  <si>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</si>
  <si>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</si>
  <si>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</si>
  <si>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</si>
  <si>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</si>
  <si>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</si>
  <si>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</si>
  <si>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</si>
  <si>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</si>
  <si>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</si>
  <si>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</si>
  <si>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</si>
  <si>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</si>
  <si>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</si>
  <si>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</si>
  <si>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</si>
  <si>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</si>
  <si>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</si>
  <si>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</si>
  <si>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</si>
  <si>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</si>
  <si>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</si>
  <si>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</si>
  <si>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</si>
  <si>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</si>
  <si>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</si>
  <si>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</si>
  <si>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</si>
  <si>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</si>
  <si>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</si>
  <si>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</si>
  <si>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</si>
  <si>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</si>
  <si>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</si>
  <si>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</si>
  <si>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</si>
  <si>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</si>
  <si>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</si>
  <si>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</si>
  <si>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</si>
  <si>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</si>
  <si>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</si>
  <si>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</si>
  <si>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</si>
  <si>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</si>
  <si>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</si>
  <si>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</si>
  <si>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</si>
  <si>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</si>
  <si>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</si>
  <si>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</si>
  <si>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</si>
  <si>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</si>
  <si>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</si>
  <si>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</si>
  <si>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</si>
  <si>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</si>
  <si>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</si>
  <si>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</si>
  <si>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</si>
  <si>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</si>
  <si>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</si>
  <si>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</si>
  <si>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</si>
  <si>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</si>
  <si>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</si>
  <si>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</si>
  <si>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</si>
  <si>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</si>
  <si>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</si>
  <si>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</si>
  <si>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</si>
  <si>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</si>
  <si>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</si>
  <si>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</si>
  <si>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</si>
  <si>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</si>
  <si>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</si>
  <si>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</si>
  <si>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</si>
  <si>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</si>
  <si>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</si>
  <si>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</si>
  <si>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</si>
  <si>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</si>
  <si>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</si>
  <si>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</si>
  <si>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</si>
  <si>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</si>
  <si>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</si>
  <si>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</si>
  <si>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</si>
  <si>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</si>
  <si>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</si>
  <si>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</si>
  <si>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</si>
  <si>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</si>
  <si>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</si>
  <si>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</si>
  <si>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</si>
  <si>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</si>
  <si>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</si>
  <si>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</si>
  <si>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</si>
  <si>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</si>
  <si>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</si>
  <si>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</si>
  <si>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</si>
  <si>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</si>
  <si>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</si>
  <si>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</si>
  <si>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</si>
  <si>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</si>
  <si>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</si>
  <si>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</si>
  <si>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</si>
  <si>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</si>
  <si>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</si>
  <si>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</si>
  <si>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</si>
  <si>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</si>
  <si>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</si>
  <si>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</si>
  <si>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</si>
  <si>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</si>
  <si>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</si>
  <si>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</si>
  <si>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</si>
  <si>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</si>
  <si>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</si>
  <si>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</si>
  <si>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</si>
  <si>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</si>
  <si>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</si>
  <si>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</si>
  <si>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</si>
  <si>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</si>
  <si>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</si>
  <si>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</si>
  <si>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</si>
  <si>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</si>
  <si>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</si>
  <si>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</si>
  <si>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</si>
  <si>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</si>
  <si>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</si>
  <si>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</si>
  <si>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</si>
  <si>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</si>
  <si>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</si>
  <si>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</si>
  <si>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</si>
  <si>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</si>
  <si>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</si>
  <si>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</si>
  <si>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</si>
  <si>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</si>
  <si>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</si>
  <si>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</si>
  <si>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</si>
  <si>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</si>
  <si>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</si>
  <si>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</si>
  <si>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</si>
  <si>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</si>
  <si>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</si>
  <si>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</si>
  <si>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</si>
  <si>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</si>
  <si>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</si>
  <si>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</si>
  <si>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</si>
  <si>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</si>
  <si>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</si>
  <si>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</si>
  <si>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</si>
  <si>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</si>
  <si>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</si>
  <si>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</si>
  <si>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</si>
  <si>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</si>
  <si>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</si>
  <si>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</si>
  <si>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</si>
  <si>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</si>
  <si>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</si>
  <si>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</si>
  <si>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</si>
  <si>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</si>
  <si>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</si>
  <si>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</si>
  <si>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</si>
  <si>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</si>
  <si>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</si>
  <si>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</si>
  <si>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</si>
  <si>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</si>
  <si>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</si>
  <si>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</si>
  <si>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</si>
  <si>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</si>
  <si>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</si>
  <si>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</si>
  <si>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</si>
  <si>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</si>
  <si>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</si>
  <si>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</si>
  <si>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</si>
  <si>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</si>
  <si>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</si>
  <si>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</si>
  <si>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</si>
  <si>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</si>
  <si>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</si>
  <si>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</si>
  <si>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</si>
  <si>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</si>
  <si>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</si>
  <si>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</si>
  <si>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</si>
  <si>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</si>
  <si>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</si>
  <si>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</si>
  <si>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</si>
  <si>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</si>
  <si>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</si>
  <si>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</si>
  <si>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</si>
  <si>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</si>
  <si>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</si>
  <si>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</si>
  <si>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</si>
  <si>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</si>
  <si>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</si>
  <si>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</si>
  <si>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</si>
  <si>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</si>
  <si>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</si>
  <si>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</si>
  <si>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</si>
  <si>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</si>
  <si>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</si>
  <si>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</si>
  <si>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</si>
  <si>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</si>
  <si>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</si>
  <si>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</si>
  <si>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</si>
  <si>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</si>
  <si>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</si>
  <si>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</si>
  <si>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</si>
  <si>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</si>
  <si>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</si>
  <si>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</si>
  <si>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</si>
  <si>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</si>
  <si>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</si>
  <si>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</si>
  <si>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</si>
  <si>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</si>
  <si>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</si>
  <si>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</si>
  <si>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</si>
  <si>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</si>
  <si>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</si>
  <si>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</si>
  <si>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</si>
  <si>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</si>
  <si>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</si>
  <si>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</si>
  <si>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</si>
  <si>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</si>
  <si>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</si>
  <si>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</si>
  <si>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</si>
  <si>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</si>
  <si>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</si>
  <si>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</si>
  <si>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</si>
  <si>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</si>
  <si>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</si>
  <si>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</si>
  <si>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</si>
  <si>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</si>
  <si>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</si>
  <si>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</si>
  <si>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</si>
  <si>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</si>
  <si>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</si>
  <si>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</si>
  <si>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</si>
  <si>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</si>
  <si>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</si>
  <si>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</si>
  <si>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</si>
  <si>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</si>
  <si>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</si>
  <si>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</si>
  <si>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</si>
  <si>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</si>
  <si>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</si>
  <si>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</si>
  <si>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</si>
  <si>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</si>
  <si>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</si>
  <si>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</si>
  <si>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</si>
  <si>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</si>
  <si>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</si>
  <si>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</si>
  <si>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</si>
  <si>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</si>
  <si>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</si>
  <si>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</si>
  <si>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</si>
  <si>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</si>
  <si>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</si>
  <si>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</si>
  <si>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</si>
  <si>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</si>
  <si>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</si>
  <si>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</si>
  <si>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</si>
  <si>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</si>
  <si>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</si>
  <si>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</si>
  <si>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</si>
  <si>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</si>
  <si>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</si>
  <si>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</si>
  <si>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</si>
  <si>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</si>
  <si>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</si>
  <si>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</si>
  <si>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</si>
  <si>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</si>
  <si>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</si>
  <si>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</si>
  <si>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</si>
  <si>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</si>
  <si>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</si>
  <si>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</si>
  <si>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</si>
  <si>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</si>
  <si>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</si>
  <si>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</si>
  <si>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</si>
  <si>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</si>
  <si>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</si>
  <si>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</si>
  <si>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</si>
  <si>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</si>
  <si>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</si>
  <si>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</si>
  <si>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</si>
  <si>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</si>
  <si>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</si>
  <si>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</si>
  <si>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</si>
  <si>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</si>
  <si>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</si>
  <si>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</si>
  <si>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</si>
  <si>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</si>
  <si>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</si>
  <si>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</si>
  <si>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</si>
  <si>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</si>
  <si>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</si>
  <si>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</si>
  <si>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</si>
  <si>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</si>
  <si>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</si>
  <si>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</si>
  <si>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</si>
  <si>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</si>
  <si>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</si>
  <si>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</si>
  <si>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</si>
  <si>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</si>
  <si>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</si>
  <si>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</si>
  <si>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</si>
  <si>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</si>
  <si>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</si>
  <si>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</si>
  <si>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</si>
  <si>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</si>
  <si>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</si>
  <si>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</si>
  <si>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</si>
  <si>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</si>
  <si>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</si>
  <si>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</si>
  <si>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</si>
  <si>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</si>
  <si>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</si>
  <si>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</si>
  <si>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</si>
  <si>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</si>
  <si>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</si>
  <si>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</si>
  <si>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</si>
  <si>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</si>
  <si>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</si>
  <si>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</si>
  <si>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</si>
  <si>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</si>
  <si>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</si>
  <si>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</si>
  <si>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</si>
  <si>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</si>
  <si>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</si>
  <si>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</si>
  <si>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</si>
  <si>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</si>
  <si>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</si>
  <si>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</si>
  <si>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</si>
  <si>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</si>
  <si>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</si>
  <si>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</si>
  <si>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</si>
  <si>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</si>
  <si>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</si>
  <si>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</si>
  <si>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</si>
  <si>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</si>
  <si>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</si>
  <si>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</si>
  <si>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</si>
  <si>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</si>
  <si>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</si>
  <si>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</si>
  <si>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</si>
  <si>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</si>
  <si>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</si>
  <si>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</si>
  <si>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</si>
  <si>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</si>
  <si>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</si>
  <si>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</si>
  <si>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</si>
  <si>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</si>
  <si>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</si>
  <si>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</si>
  <si>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</si>
  <si>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</si>
  <si>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</si>
  <si>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</si>
  <si>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</si>
  <si>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</si>
  <si>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</si>
  <si>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</si>
  <si>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</si>
  <si>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</si>
  <si>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</si>
  <si>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</si>
  <si>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</si>
  <si>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</si>
  <si>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</si>
  <si>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</si>
  <si>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</si>
  <si>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</si>
  <si>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</si>
  <si>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</si>
  <si>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</si>
  <si>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</si>
  <si>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</si>
  <si>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</si>
  <si>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</si>
  <si>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</si>
  <si>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</si>
  <si>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</si>
  <si>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</si>
  <si>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</si>
  <si>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</si>
  <si>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</si>
  <si>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</si>
  <si>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</si>
  <si>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</si>
  <si>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</si>
  <si>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</si>
  <si>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</si>
  <si>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</si>
  <si>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</si>
  <si>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</si>
  <si>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</si>
  <si>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</si>
  <si>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</si>
  <si>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</si>
  <si>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</si>
  <si>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</si>
  <si>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</si>
  <si>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</si>
  <si>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</si>
  <si>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</si>
  <si>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</si>
  <si>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</si>
  <si>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</si>
  <si>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</si>
  <si>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</si>
  <si>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</si>
  <si>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</si>
  <si>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</si>
  <si>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</si>
  <si>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</si>
  <si>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</si>
  <si>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</si>
  <si>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</si>
  <si>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</si>
  <si>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</si>
  <si>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</si>
  <si>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</si>
  <si>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</si>
  <si>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</si>
  <si>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</si>
  <si>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</si>
  <si>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</si>
  <si>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</si>
  <si>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</si>
  <si>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</si>
  <si>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</si>
  <si>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</si>
  <si>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</si>
  <si>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</si>
  <si>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</si>
  <si>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</si>
  <si>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</si>
  <si>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</si>
  <si>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</si>
  <si>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</si>
  <si>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</si>
  <si>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</si>
  <si>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</si>
  <si>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</si>
  <si>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</si>
  <si>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</si>
  <si>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</si>
  <si>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</si>
  <si>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</si>
  <si>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</si>
  <si>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</si>
  <si>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</si>
  <si>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</si>
  <si>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</si>
  <si>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</si>
  <si>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</si>
  <si>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</si>
  <si>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</si>
  <si>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</si>
  <si>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</si>
  <si>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</si>
  <si>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</si>
  <si>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</si>
  <si>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</si>
  <si>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</si>
  <si>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</si>
  <si>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</si>
  <si>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</si>
  <si>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</si>
  <si>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</si>
  <si>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</si>
  <si>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</si>
  <si>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</si>
  <si>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</si>
  <si>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</si>
  <si>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</si>
  <si>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</si>
  <si>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</si>
  <si>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</si>
  <si>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</si>
  <si>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</si>
  <si>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</si>
  <si>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</si>
  <si>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</si>
  <si>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</si>
  <si>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</si>
  <si>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</si>
  <si>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</si>
  <si>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</si>
  <si>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</si>
  <si>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</si>
  <si>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</si>
  <si>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</si>
  <si>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</si>
  <si>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</si>
  <si>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</si>
  <si>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</si>
  <si>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</si>
  <si>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</si>
  <si>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</si>
  <si>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</si>
  <si>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</si>
  <si>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</si>
  <si>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</si>
  <si>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</si>
  <si>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</si>
  <si>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</si>
  <si>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</si>
  <si>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</si>
  <si>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</si>
  <si>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</si>
  <si>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</si>
  <si>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</si>
  <si>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</si>
  <si>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</si>
  <si>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</si>
  <si>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</si>
  <si>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</si>
  <si>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</si>
  <si>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</si>
  <si>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</si>
  <si>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</si>
  <si>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</si>
  <si>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</si>
  <si>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</si>
  <si>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</si>
  <si>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</si>
  <si>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</si>
  <si>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</si>
  <si>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</si>
  <si>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</si>
  <si>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</si>
  <si>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</si>
  <si>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</si>
  <si>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</si>
  <si>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</si>
  <si>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</si>
  <si>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</si>
  <si>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</si>
  <si>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</si>
  <si>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</si>
  <si>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</si>
  <si>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</si>
  <si>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</si>
  <si>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</si>
  <si>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</si>
  <si>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</si>
  <si>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</si>
  <si>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</si>
  <si>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</si>
  <si>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</si>
  <si>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</si>
  <si>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</si>
  <si>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</si>
  <si>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</si>
  <si>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</si>
  <si>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</si>
  <si>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</si>
  <si>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</si>
  <si>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</si>
  <si>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</si>
  <si>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</si>
  <si>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</si>
  <si>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</si>
  <si>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</si>
  <si>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</si>
  <si>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</si>
  <si>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</si>
  <si>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</si>
  <si>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</si>
  <si>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</si>
  <si>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</si>
  <si>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</si>
  <si>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</si>
  <si>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</si>
  <si>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</si>
  <si>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</si>
  <si>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</si>
  <si>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</si>
  <si>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</si>
  <si>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</si>
  <si>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</si>
  <si>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</si>
  <si>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</si>
  <si>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</si>
  <si>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</si>
  <si>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</si>
  <si>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</si>
  <si>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</si>
  <si>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</si>
  <si>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</si>
  <si>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</si>
  <si>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</si>
  <si>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</si>
  <si>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</si>
  <si>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</si>
  <si>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</si>
  <si>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</si>
  <si>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</si>
  <si>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</si>
  <si>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</si>
  <si>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</si>
  <si>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</si>
  <si>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</si>
  <si>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</si>
  <si>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</si>
  <si>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</si>
  <si>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</si>
  <si>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</si>
  <si>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</si>
  <si>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</si>
  <si>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</si>
  <si>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</si>
  <si>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</si>
  <si>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</si>
  <si>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</si>
  <si>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</si>
  <si>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</si>
  <si>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</si>
  <si>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</si>
  <si>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</si>
  <si>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</si>
  <si>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</si>
  <si>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</si>
  <si>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</si>
  <si>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</si>
  <si>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</si>
  <si>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</si>
  <si>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</si>
  <si>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</si>
  <si>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</si>
  <si>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</si>
  <si>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</si>
  <si>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</si>
  <si>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</si>
  <si>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</si>
  <si>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</si>
  <si>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</si>
  <si>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</si>
  <si>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</si>
  <si>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</si>
  <si>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</si>
  <si>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</si>
  <si>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</si>
  <si>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</si>
  <si>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</si>
  <si>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</si>
  <si>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</si>
  <si>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</si>
  <si>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</si>
  <si>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</si>
  <si>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</si>
  <si>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</si>
  <si>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</si>
  <si>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</si>
  <si>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</si>
  <si>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</si>
  <si>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</si>
  <si>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</si>
  <si>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</si>
  <si>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</si>
  <si>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</si>
  <si>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</si>
  <si>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</si>
  <si>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</si>
  <si>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</si>
  <si>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</si>
  <si>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</si>
  <si>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</si>
  <si>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</si>
  <si>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</si>
  <si>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</si>
  <si>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</si>
  <si>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</si>
  <si>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</si>
  <si>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</si>
  <si>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</si>
  <si>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</si>
  <si>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</si>
  <si>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</si>
  <si>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</si>
  <si>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</si>
  <si>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</si>
  <si>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</si>
  <si>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</si>
  <si>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</si>
  <si>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</si>
  <si>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</si>
  <si>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</si>
  <si>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</si>
  <si>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</si>
  <si>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</si>
  <si>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</si>
  <si>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</si>
  <si>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</si>
  <si>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</si>
  <si>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</si>
  <si>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</si>
  <si>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</si>
  <si>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</si>
  <si>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</si>
  <si>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</si>
  <si>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</si>
  <si>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</si>
  <si>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</si>
  <si>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</si>
  <si>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</si>
  <si>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</si>
  <si>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</si>
  <si>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</si>
  <si>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</si>
  <si>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</si>
  <si>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</si>
  <si>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</si>
  <si>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</si>
  <si>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</si>
  <si>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</si>
  <si>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</si>
  <si>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</si>
  <si>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</si>
  <si>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</si>
  <si>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</si>
  <si>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</si>
  <si>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</si>
  <si>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</si>
  <si>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</si>
  <si>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</si>
  <si>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</si>
  <si>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</si>
  <si>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</si>
  <si>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</si>
  <si>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</si>
  <si>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</si>
  <si>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</si>
  <si>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</si>
  <si>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</si>
  <si>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</si>
  <si>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</si>
  <si>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</si>
  <si>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</si>
  <si>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</si>
  <si>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</si>
  <si>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</si>
  <si>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</si>
  <si>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</si>
  <si>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</si>
  <si>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</si>
  <si>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</si>
  <si>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</si>
  <si>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</si>
  <si>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</si>
  <si>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</si>
  <si>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</si>
  <si>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</si>
  <si>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</si>
  <si>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</si>
  <si>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</si>
  <si>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</si>
  <si>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</si>
  <si>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</si>
  <si>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</si>
  <si>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</si>
  <si>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</si>
  <si>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</si>
  <si>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</si>
  <si>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</si>
  <si>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</si>
  <si>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</si>
  <si>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</si>
  <si>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</si>
  <si>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</si>
  <si>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</si>
  <si>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</si>
  <si>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</si>
  <si>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</si>
  <si>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</si>
  <si>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</si>
  <si>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</si>
  <si>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</si>
  <si>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</si>
  <si>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</si>
  <si>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</si>
  <si>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</si>
  <si>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</si>
  <si>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</si>
  <si>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</si>
  <si>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</si>
  <si>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</si>
  <si>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</si>
  <si>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</si>
  <si>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</si>
  <si>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</si>
  <si>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</si>
  <si>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</si>
  <si>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</si>
  <si>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</si>
  <si>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</si>
  <si>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</si>
  <si>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</si>
  <si>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</si>
  <si>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</si>
  <si>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</si>
  <si>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</si>
  <si>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</si>
  <si>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</si>
  <si>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</si>
  <si>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</si>
  <si>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</si>
  <si>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</si>
  <si>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</si>
  <si>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</si>
  <si>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</si>
  <si>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</si>
  <si>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</si>
  <si>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</si>
  <si>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</si>
  <si>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</si>
  <si>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</si>
  <si>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</si>
  <si>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</si>
  <si>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</si>
  <si>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</si>
  <si>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</si>
  <si>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</si>
  <si>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</si>
  <si>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</si>
  <si>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</si>
  <si>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</si>
  <si>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</si>
  <si>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</si>
  <si>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</si>
  <si>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</si>
  <si>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</si>
  <si>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</si>
  <si>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</si>
  <si>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</si>
  <si>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</si>
  <si>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</si>
  <si>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</si>
  <si>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</si>
  <si>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</si>
  <si>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</si>
  <si>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</si>
  <si>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</si>
  <si>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</si>
  <si>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</si>
  <si>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</si>
  <si>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</si>
  <si>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</si>
  <si>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</si>
  <si>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</si>
  <si>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</si>
  <si>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</si>
  <si>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</si>
  <si>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</si>
  <si>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</si>
  <si>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</si>
  <si>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</si>
  <si>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</si>
  <si>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</si>
  <si>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</si>
  <si>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</si>
  <si>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</si>
  <si>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</si>
  <si>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</si>
  <si>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</si>
  <si>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</si>
  <si>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</si>
  <si>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</si>
  <si>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</si>
  <si>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</si>
  <si>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</si>
  <si>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</si>
  <si>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</si>
  <si>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</si>
  <si>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</si>
  <si>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</si>
  <si>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</si>
  <si>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</si>
  <si>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</si>
  <si>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</si>
  <si>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</si>
  <si>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</si>
  <si>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</si>
  <si>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</si>
  <si>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</si>
  <si>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</si>
  <si>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</si>
  <si>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</si>
  <si>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</si>
  <si>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</si>
  <si>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</si>
  <si>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</si>
  <si>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</si>
  <si>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</si>
  <si>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</si>
  <si>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</si>
  <si>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</si>
  <si>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</si>
  <si>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</si>
  <si>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</si>
  <si>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</si>
  <si>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</si>
  <si>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</si>
  <si>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</si>
  <si>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</si>
  <si>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</si>
  <si>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</si>
  <si>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</si>
  <si>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</si>
  <si>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</si>
  <si>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</si>
  <si>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</si>
  <si>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</si>
  <si>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</si>
  <si>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</si>
  <si>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</si>
  <si>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</si>
  <si>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</si>
  <si>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</si>
  <si>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</si>
  <si>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</si>
  <si>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</si>
  <si>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</si>
  <si>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</si>
  <si>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</si>
  <si>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</si>
  <si>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</si>
  <si>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</si>
  <si>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</si>
  <si>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</si>
  <si>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</si>
  <si>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</si>
  <si>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</si>
  <si>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</si>
  <si>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</si>
  <si>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</si>
  <si>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</si>
  <si>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</si>
  <si>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</si>
  <si>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</si>
  <si>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</si>
  <si>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</si>
  <si>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</si>
  <si>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</si>
  <si>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</si>
  <si>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</si>
  <si>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</si>
  <si>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</si>
  <si>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</si>
  <si>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</si>
  <si>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</si>
  <si>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</si>
  <si>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</si>
  <si>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</si>
  <si>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</si>
  <si>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</si>
  <si>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</si>
  <si>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</si>
  <si>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</si>
  <si>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</si>
  <si>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</si>
  <si>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</si>
  <si>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</si>
  <si>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</si>
  <si>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</si>
  <si>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</si>
  <si>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</si>
  <si>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</si>
  <si>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</si>
  <si>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</si>
  <si>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</si>
  <si>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</si>
  <si>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</si>
  <si>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</si>
  <si>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</si>
  <si>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</si>
  <si>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</si>
  <si>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</si>
  <si>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</si>
  <si>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</si>
  <si>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</si>
  <si>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</si>
  <si>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</si>
  <si>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</si>
  <si>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</si>
  <si>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</si>
  <si>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</si>
  <si>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</si>
  <si>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</si>
  <si>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</si>
  <si>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</si>
  <si>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</si>
  <si>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</si>
  <si>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</si>
  <si>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</si>
  <si>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</si>
  <si>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</si>
  <si>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</si>
  <si>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</si>
  <si>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</si>
  <si>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</si>
  <si>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</si>
  <si>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</si>
  <si>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</si>
  <si>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</si>
  <si>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</si>
  <si>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</si>
  <si>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</si>
  <si>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</si>
  <si>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</si>
  <si>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</si>
  <si>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</si>
  <si>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</si>
  <si>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</si>
  <si>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</si>
  <si>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</si>
  <si>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</si>
  <si>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</si>
  <si>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</si>
  <si>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</si>
  <si>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</si>
  <si>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</si>
  <si>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</si>
  <si>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</si>
  <si>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</si>
  <si>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</si>
  <si>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</si>
  <si>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</si>
  <si>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</si>
  <si>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</si>
  <si>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</si>
  <si>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</si>
  <si>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</si>
  <si>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</si>
  <si>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</si>
  <si>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</si>
  <si>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</si>
  <si>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</si>
  <si>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</si>
  <si>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</si>
  <si>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</si>
  <si>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</si>
  <si>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</si>
  <si>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</si>
  <si>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</si>
  <si>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</si>
  <si>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</si>
  <si>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</si>
  <si>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</si>
  <si>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</si>
  <si>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</si>
  <si>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</si>
  <si>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</si>
  <si>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</si>
  <si>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</si>
  <si>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</si>
  <si>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</si>
  <si>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</si>
  <si>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</si>
  <si>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</si>
  <si>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</si>
  <si>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</si>
  <si>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</si>
  <si>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</si>
  <si>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</si>
  <si>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</si>
  <si>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</si>
  <si>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</si>
  <si>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</si>
  <si>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</si>
  <si>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</si>
  <si>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</si>
  <si>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</si>
  <si>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</si>
  <si>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</si>
  <si>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</si>
  <si>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</si>
  <si>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</si>
  <si>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</si>
  <si>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</si>
  <si>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</si>
  <si>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</si>
  <si>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</si>
  <si>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</si>
  <si>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</si>
  <si>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</si>
  <si>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</si>
  <si>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</si>
  <si>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</si>
  <si>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</si>
  <si>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</si>
  <si>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</si>
  <si>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</si>
  <si>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</si>
  <si>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</si>
  <si>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</si>
  <si>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</si>
  <si>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</si>
  <si>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</si>
  <si>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</si>
  <si>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</si>
  <si>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</si>
  <si>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</si>
  <si>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</si>
  <si>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</si>
  <si>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</si>
  <si>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</si>
  <si>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</si>
  <si>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</si>
  <si>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</si>
  <si>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</si>
  <si>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</si>
  <si>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</si>
  <si>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</si>
  <si>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</si>
  <si>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</si>
  <si>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</si>
  <si>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</si>
  <si>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</si>
  <si>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</si>
  <si>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</si>
  <si>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</si>
  <si>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</si>
  <si>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</si>
  <si>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</si>
  <si>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</si>
  <si>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</si>
  <si>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</si>
  <si>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</si>
  <si>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</si>
  <si>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</si>
  <si>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</si>
  <si>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</si>
  <si>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</si>
  <si>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</si>
  <si>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</si>
  <si>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</si>
  <si>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</si>
  <si>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</si>
  <si>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</si>
  <si>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</si>
  <si>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</si>
  <si>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</si>
  <si>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</si>
  <si>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</si>
  <si>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</si>
  <si>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</si>
  <si>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</si>
  <si>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</si>
  <si>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</si>
  <si>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</si>
  <si>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</si>
  <si>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</si>
  <si>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</si>
  <si>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</si>
  <si>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</si>
  <si>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</si>
  <si>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</si>
  <si>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</si>
  <si>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</si>
  <si>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</si>
  <si>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</si>
  <si>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</si>
  <si>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</si>
  <si>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</si>
  <si>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</si>
  <si>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</si>
  <si>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</si>
  <si>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</si>
  <si>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</si>
  <si>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</si>
  <si>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</si>
  <si>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</si>
  <si>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</si>
  <si>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</si>
  <si>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</si>
  <si>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</si>
  <si>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</si>
  <si>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</si>
  <si>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</si>
  <si>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</si>
  <si>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</si>
  <si>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</si>
  <si>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</si>
  <si>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</si>
  <si>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</si>
  <si>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</si>
  <si>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</si>
  <si>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</si>
  <si>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</si>
  <si>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</si>
  <si>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</si>
  <si>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</si>
  <si>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</si>
  <si>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</si>
  <si>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</si>
  <si>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</si>
  <si>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</si>
  <si>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</si>
  <si>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</si>
  <si>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</si>
  <si>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</si>
  <si>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</si>
  <si>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</si>
  <si>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</si>
  <si>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</si>
  <si>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</si>
  <si>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</si>
  <si>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</si>
  <si>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</si>
  <si>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</si>
  <si>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</si>
  <si>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</si>
  <si>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</si>
  <si>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</si>
  <si>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</si>
  <si>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</si>
  <si>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</si>
  <si>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</si>
  <si>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</si>
  <si>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</si>
  <si>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</si>
  <si>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</si>
  <si>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</si>
  <si>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</si>
  <si>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</si>
  <si>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</si>
  <si>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</si>
  <si>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</si>
  <si>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</si>
  <si>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</si>
  <si>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</si>
  <si>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</si>
  <si>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</si>
  <si>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</si>
  <si>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</si>
  <si>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</si>
  <si>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</si>
  <si>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</si>
  <si>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</si>
  <si>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</si>
  <si>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</si>
  <si>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</si>
  <si>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</si>
  <si>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</si>
  <si>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</si>
  <si>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</si>
  <si>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</si>
  <si>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</si>
  <si>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</si>
  <si>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</si>
  <si>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</si>
  <si>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</si>
  <si>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</si>
  <si>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</si>
  <si>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</si>
  <si>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</si>
  <si>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</si>
  <si>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</si>
  <si>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</si>
  <si>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</si>
  <si>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</si>
  <si>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</si>
  <si>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</si>
  <si>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</si>
  <si>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</si>
  <si>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</si>
  <si>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</si>
  <si>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</si>
  <si>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</si>
  <si>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</si>
  <si>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</si>
  <si>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</si>
  <si>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</si>
  <si>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</si>
  <si>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</si>
  <si>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</si>
  <si>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</si>
  <si>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</si>
  <si>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</si>
  <si>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</si>
  <si>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</si>
  <si>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</si>
  <si>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</si>
  <si>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</si>
  <si>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</si>
  <si>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</si>
  <si>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</si>
  <si>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</si>
  <si>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</si>
  <si>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</si>
  <si>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</si>
  <si>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</si>
  <si>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</si>
  <si>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</si>
  <si>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</si>
  <si>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</si>
  <si>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</si>
  <si>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</si>
  <si>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</si>
  <si>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</si>
  <si>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</si>
  <si>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</si>
  <si>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</si>
  <si>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</si>
  <si>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</si>
  <si>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</si>
  <si>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</si>
  <si>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</si>
  <si>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</si>
  <si>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</si>
  <si>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</si>
  <si>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</si>
  <si>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</si>
  <si>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</si>
  <si>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</si>
  <si>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</si>
  <si>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</si>
  <si>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</si>
  <si>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</si>
  <si>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</si>
  <si>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</si>
  <si>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</si>
  <si>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</si>
  <si>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</si>
  <si>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</si>
  <si>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</si>
  <si>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</si>
  <si>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</si>
  <si>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</si>
  <si>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</si>
  <si>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</si>
  <si>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</si>
  <si>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</si>
  <si>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</si>
  <si>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</si>
  <si>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</si>
  <si>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</si>
  <si>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</si>
  <si>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</si>
  <si>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</si>
  <si>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</si>
  <si>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</si>
  <si>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</si>
  <si>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</si>
  <si>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</si>
  <si>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</si>
  <si>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</si>
  <si>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</si>
  <si>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</si>
  <si>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</si>
  <si>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</si>
  <si>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</si>
  <si>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</si>
  <si>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</si>
  <si>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</si>
  <si>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</si>
  <si>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</si>
  <si>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</si>
  <si>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</si>
  <si>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</si>
  <si>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</si>
  <si>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</si>
  <si>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</si>
  <si>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</si>
  <si>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</si>
  <si>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</si>
  <si>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</si>
  <si>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</si>
  <si>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</si>
  <si>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</si>
  <si>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</si>
  <si>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</si>
  <si>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</si>
  <si>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</si>
  <si>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</si>
  <si>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</si>
  <si>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</si>
  <si>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</si>
  <si>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</si>
  <si>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</si>
  <si>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</si>
  <si>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</si>
  <si>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</si>
  <si>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</si>
  <si>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</si>
  <si>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</si>
  <si>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</si>
  <si>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</si>
  <si>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</si>
  <si>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</si>
  <si>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</si>
  <si>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</si>
  <si>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</si>
  <si>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</si>
  <si>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</si>
  <si>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</si>
  <si>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</si>
  <si>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</si>
  <si>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</si>
  <si>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</si>
  <si>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</si>
  <si>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</si>
  <si>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</si>
  <si>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</si>
  <si>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</si>
  <si>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</si>
  <si>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</si>
  <si>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</si>
  <si>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</si>
  <si>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</si>
  <si>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</si>
  <si>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</si>
  <si>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</si>
  <si>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</si>
  <si>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</si>
  <si>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</si>
  <si>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</si>
  <si>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</si>
  <si>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</si>
  <si>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</si>
  <si>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</si>
  <si>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</si>
  <si>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</si>
  <si>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</si>
  <si>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</si>
  <si>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</si>
  <si>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</si>
  <si>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</si>
  <si>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</si>
  <si>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</si>
  <si>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</si>
  <si>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</si>
  <si>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</si>
  <si>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</si>
  <si>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</si>
  <si>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</si>
  <si>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</si>
  <si>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</si>
  <si>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</si>
  <si>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</si>
  <si>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</si>
  <si>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</si>
  <si>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</si>
  <si>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</si>
  <si>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</si>
  <si>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</si>
  <si>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</si>
  <si>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</si>
  <si>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</si>
  <si>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</si>
  <si>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</si>
  <si>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</si>
  <si>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</si>
  <si>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</si>
  <si>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</si>
  <si>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</si>
  <si>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</si>
  <si>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</si>
  <si>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</si>
  <si>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</si>
  <si>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</si>
  <si>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</si>
  <si>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</si>
  <si>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</si>
  <si>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</si>
  <si>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</si>
  <si>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</si>
  <si>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</si>
  <si>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</si>
  <si>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</si>
  <si>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</si>
  <si>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</si>
  <si>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</si>
  <si>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</si>
  <si>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</si>
  <si>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</si>
  <si>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</si>
  <si>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</si>
  <si>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</si>
  <si>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</si>
  <si>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</si>
  <si>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</si>
  <si>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</si>
  <si>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</si>
  <si>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</si>
  <si>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</si>
  <si>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</si>
  <si>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</si>
  <si>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</si>
  <si>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</si>
  <si>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</si>
  <si>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</si>
  <si>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</si>
  <si>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</si>
  <si>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</si>
  <si>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</si>
  <si>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</si>
  <si>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</si>
  <si>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</si>
  <si>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</si>
  <si>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</si>
  <si>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</si>
  <si>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</si>
  <si>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</si>
  <si>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</si>
  <si>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</si>
  <si>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</si>
  <si>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</si>
  <si>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</si>
  <si>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</si>
  <si>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</si>
  <si>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</si>
  <si>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</si>
  <si>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</si>
  <si>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</si>
  <si>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</si>
  <si>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</si>
  <si>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</si>
  <si>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</si>
  <si>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</si>
  <si>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</si>
  <si>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</si>
  <si>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</si>
  <si>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</si>
  <si>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</si>
  <si>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</si>
  <si>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</si>
  <si>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</si>
  <si>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</si>
  <si>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</si>
  <si>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</si>
  <si>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</si>
  <si>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</si>
  <si>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</si>
  <si>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</si>
  <si>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</si>
  <si>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</si>
  <si>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</si>
  <si>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</si>
  <si>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</si>
  <si>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</si>
  <si>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</si>
  <si>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</si>
  <si>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</si>
  <si>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</si>
  <si>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</si>
  <si>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</si>
  <si>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</si>
  <si>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</si>
  <si>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</si>
  <si>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</si>
  <si>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</si>
  <si>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</si>
  <si>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</si>
  <si>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</si>
  <si>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</si>
  <si>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</si>
  <si>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</si>
  <si>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</si>
  <si>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</si>
  <si>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</si>
  <si>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</si>
  <si>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</si>
  <si>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</si>
  <si>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</si>
  <si>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</si>
  <si>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</si>
  <si>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</si>
  <si>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</si>
  <si>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</si>
  <si>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</si>
  <si>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</si>
  <si>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</si>
  <si>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</si>
  <si>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</si>
  <si>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</si>
  <si>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</si>
  <si>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</si>
  <si>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</si>
  <si>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</si>
  <si>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</si>
  <si>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</si>
  <si>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</si>
  <si>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</si>
  <si>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</si>
  <si>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</si>
  <si>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</si>
  <si>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</si>
  <si>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</si>
  <si>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</si>
  <si>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</si>
  <si>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</si>
  <si>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</si>
  <si>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</si>
  <si>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</si>
  <si>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</si>
  <si>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</si>
  <si>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</si>
  <si>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</si>
  <si>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</si>
  <si>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</si>
  <si>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</si>
  <si>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</si>
  <si>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</si>
  <si>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</si>
  <si>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</si>
  <si>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</si>
  <si>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</si>
  <si>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</si>
  <si>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</si>
  <si>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</si>
  <si>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</si>
  <si>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</si>
  <si>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</si>
  <si>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</si>
  <si>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</si>
  <si>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</si>
  <si>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</si>
  <si>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</si>
  <si>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</si>
  <si>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</si>
  <si>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</si>
  <si>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</si>
  <si>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</si>
  <si>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</si>
  <si>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</si>
  <si>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</si>
  <si>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</si>
  <si>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</si>
  <si>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</si>
  <si>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</si>
  <si>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</si>
  <si>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</si>
  <si>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</si>
  <si>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</si>
  <si>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</si>
  <si>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</si>
  <si>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</si>
  <si>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</si>
  <si>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</si>
  <si>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</si>
  <si>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</si>
  <si>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</si>
  <si>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</si>
  <si>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</si>
  <si>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</si>
  <si>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</si>
  <si>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</si>
  <si>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</si>
  <si>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</si>
  <si>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</si>
  <si>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</si>
  <si>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</si>
  <si>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</si>
  <si>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</si>
  <si>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</si>
  <si>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</si>
  <si>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</si>
  <si>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</si>
  <si>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</si>
  <si>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</si>
  <si>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</si>
  <si>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</si>
  <si>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</si>
  <si>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</si>
  <si>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</si>
  <si>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</si>
  <si>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</si>
  <si>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</si>
  <si>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</si>
  <si>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</si>
  <si>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</si>
  <si>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</si>
  <si>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</si>
  <si>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</si>
  <si>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</si>
  <si>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</si>
  <si>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</si>
  <si>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</si>
  <si>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</si>
  <si>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</si>
  <si>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</si>
  <si>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</si>
  <si>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</si>
  <si>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</si>
  <si>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</si>
  <si>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</si>
  <si>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</si>
  <si>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</si>
  <si>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</si>
  <si>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</si>
  <si>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</si>
  <si>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</si>
  <si>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</si>
  <si>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</si>
  <si>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</si>
  <si>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</si>
  <si>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</si>
  <si>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</si>
  <si>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</si>
  <si>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</si>
  <si>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</si>
  <si>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</si>
  <si>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</si>
  <si>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</si>
  <si>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</si>
  <si>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</si>
  <si>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</si>
  <si>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</si>
  <si>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</si>
  <si>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</si>
  <si>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</si>
  <si>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</si>
  <si>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</si>
  <si>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</si>
  <si>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</si>
  <si>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</si>
  <si>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</si>
  <si>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</si>
  <si>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</si>
  <si>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</si>
  <si>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</si>
  <si>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</si>
  <si>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</si>
  <si>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</si>
  <si>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</si>
  <si>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</si>
  <si>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</si>
  <si>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</si>
  <si>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</si>
  <si>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</si>
  <si>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</si>
  <si>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</si>
  <si>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</si>
  <si>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</si>
  <si>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</si>
  <si>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</si>
  <si>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</si>
  <si>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</si>
  <si>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</si>
  <si>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</si>
  <si>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</si>
  <si>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</si>
  <si>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</si>
  <si>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</si>
  <si>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</si>
  <si>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</si>
  <si>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</si>
  <si>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</si>
  <si>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</si>
  <si>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</si>
  <si>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</si>
  <si>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</si>
  <si>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</si>
  <si>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</si>
  <si>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</si>
  <si>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</si>
  <si>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</si>
  <si>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</si>
  <si>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</si>
  <si>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</si>
  <si>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</si>
  <si>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</si>
  <si>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</si>
  <si>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</si>
  <si>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</si>
  <si>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</si>
  <si>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</si>
  <si>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</si>
  <si>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</si>
  <si>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</si>
  <si>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</si>
  <si>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</si>
  <si>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</si>
  <si>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</si>
  <si>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</si>
  <si>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</si>
  <si>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</si>
  <si>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</si>
  <si>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</si>
  <si>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</si>
  <si>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</si>
  <si>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</si>
  <si>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</si>
  <si>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</si>
  <si>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</si>
  <si>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</si>
  <si>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</si>
  <si>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</si>
  <si>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</si>
  <si>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</si>
  <si>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</si>
  <si>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</si>
  <si>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</si>
  <si>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</si>
  <si>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</si>
  <si>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</si>
  <si>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</si>
  <si>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</si>
  <si>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</si>
  <si>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</si>
  <si>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</si>
  <si>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</si>
  <si>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</si>
  <si>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</si>
  <si>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</si>
  <si>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</si>
  <si>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</si>
  <si>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</si>
  <si>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</si>
  <si>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</si>
  <si>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</si>
  <si>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</si>
  <si>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</si>
  <si>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</si>
  <si>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</si>
  <si>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</si>
  <si>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</si>
  <si>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</si>
  <si>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</si>
  <si>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</si>
  <si>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</si>
  <si>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</si>
  <si>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</si>
  <si>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</si>
  <si>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</si>
  <si>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</si>
  <si>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</si>
  <si>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</si>
  <si>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</si>
  <si>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</si>
  <si>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</si>
  <si>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</si>
  <si>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</si>
  <si>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</si>
  <si>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</si>
  <si>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</si>
  <si>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</si>
  <si>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</si>
  <si>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</si>
  <si>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</si>
  <si>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</si>
  <si>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</si>
  <si>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</si>
  <si>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</si>
  <si>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</si>
  <si>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</si>
  <si>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</si>
  <si>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</si>
  <si>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</si>
  <si>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</si>
  <si>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</si>
  <si>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</si>
  <si>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</si>
  <si>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</si>
  <si>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</si>
  <si>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</si>
  <si>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</si>
  <si>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</si>
  <si>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</si>
  <si>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</si>
  <si>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</si>
  <si>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</si>
  <si>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</si>
  <si>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</si>
  <si>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</si>
  <si>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</si>
  <si>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</si>
  <si>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</si>
  <si>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</si>
  <si>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</si>
  <si>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</si>
  <si>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</si>
  <si>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</si>
  <si>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</si>
  <si>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</si>
  <si>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</si>
  <si>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</si>
  <si>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</si>
  <si>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</si>
  <si>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</si>
  <si>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</si>
  <si>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</si>
  <si>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</si>
  <si>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</si>
  <si>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</si>
  <si>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</si>
  <si>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</si>
  <si>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</si>
  <si>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</si>
  <si>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</si>
  <si>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</si>
  <si>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</si>
  <si>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</si>
  <si>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</si>
  <si>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</si>
  <si>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</si>
  <si>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</si>
  <si>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</si>
  <si>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</si>
  <si>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</si>
  <si>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</si>
  <si>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</si>
  <si>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</si>
  <si>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</si>
  <si>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</si>
  <si>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</si>
  <si>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</si>
  <si>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</si>
  <si>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</si>
  <si>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</si>
  <si>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</si>
  <si>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</si>
  <si>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</si>
  <si>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</si>
  <si>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</si>
  <si>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</si>
  <si>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</si>
  <si>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</si>
  <si>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</si>
  <si>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</si>
  <si>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</si>
  <si>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</si>
  <si>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</si>
  <si>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</si>
  <si>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</si>
  <si>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</si>
  <si>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</si>
  <si>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</si>
  <si>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</si>
  <si>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</si>
  <si>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</si>
  <si>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</si>
  <si>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</si>
  <si>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</si>
  <si>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</si>
  <si>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</si>
  <si>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</si>
  <si>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</si>
  <si>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</si>
  <si>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</si>
  <si>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</si>
  <si>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</si>
  <si>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</si>
  <si>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</si>
  <si>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</si>
  <si>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</si>
  <si>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</si>
  <si>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</si>
  <si>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</si>
  <si>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</si>
  <si>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</si>
  <si>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</si>
  <si>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</si>
  <si>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</si>
  <si>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</si>
  <si>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</si>
  <si>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</si>
  <si>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</si>
  <si>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</si>
  <si>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</si>
  <si>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</si>
  <si>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</si>
  <si>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</si>
  <si>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</si>
  <si>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</si>
  <si>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</si>
  <si>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</si>
  <si>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</si>
  <si>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</si>
  <si>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</si>
  <si>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</si>
  <si>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</si>
  <si>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</si>
  <si>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</si>
  <si>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</si>
  <si>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</si>
  <si>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</si>
  <si>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</si>
  <si>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</si>
  <si>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</si>
  <si>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</si>
  <si>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</si>
  <si>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</si>
  <si>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</si>
  <si>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</si>
  <si>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</si>
  <si>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</si>
  <si>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</si>
  <si>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</si>
  <si>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</si>
  <si>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</si>
  <si>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</si>
  <si>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</si>
  <si>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</si>
  <si>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</si>
  <si>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</si>
  <si>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</si>
  <si>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</si>
  <si>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</si>
  <si>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</si>
  <si>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</si>
  <si>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</si>
  <si>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</si>
  <si>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</si>
  <si>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</si>
  <si>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</si>
  <si>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</si>
  <si>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</si>
  <si>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</si>
  <si>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</si>
  <si>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</si>
  <si>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</si>
  <si>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</si>
  <si>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</si>
  <si>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</si>
  <si>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</si>
  <si>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</si>
  <si>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</si>
  <si>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</si>
  <si>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</si>
  <si>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</si>
  <si>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</si>
  <si>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</si>
  <si>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</si>
  <si>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</si>
  <si>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</si>
  <si>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</si>
  <si>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</si>
  <si>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</si>
  <si>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</si>
  <si>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</si>
  <si>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</si>
  <si>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</si>
  <si>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</si>
  <si>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</si>
  <si>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</si>
  <si>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</si>
  <si>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</si>
  <si>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</si>
  <si>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</si>
  <si>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</si>
  <si>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</si>
  <si>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</si>
  <si>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</si>
  <si>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</si>
  <si>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</si>
  <si>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</si>
  <si>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</si>
  <si>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</si>
  <si>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</si>
  <si>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</si>
  <si>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</si>
  <si>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</si>
  <si>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</si>
  <si>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</si>
  <si>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</si>
  <si>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</si>
  <si>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</si>
  <si>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</si>
  <si>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</si>
  <si>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</si>
  <si>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</si>
  <si>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</si>
  <si>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</si>
  <si>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</si>
  <si>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</si>
  <si>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</si>
  <si>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</si>
  <si>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</si>
  <si>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</si>
  <si>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</si>
  <si>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</si>
  <si>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</si>
  <si>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</si>
  <si>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</si>
  <si>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</si>
  <si>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</si>
  <si>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</si>
  <si>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</si>
  <si>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</si>
  <si>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</si>
  <si>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</si>
  <si>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</si>
  <si>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</si>
  <si>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</si>
  <si>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</si>
  <si>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</si>
  <si>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</si>
  <si>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</si>
  <si>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</si>
  <si>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</si>
  <si>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</si>
  <si>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</si>
  <si>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</si>
  <si>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</si>
  <si>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</si>
  <si>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</si>
  <si>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</si>
  <si>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</si>
  <si>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</si>
  <si>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</si>
  <si>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</si>
  <si>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</si>
  <si>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</si>
  <si>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</si>
  <si>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</si>
  <si>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</si>
  <si>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</si>
  <si>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</si>
  <si>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</si>
  <si>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</si>
  <si>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</si>
  <si>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</si>
  <si>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</si>
  <si>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</si>
  <si>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</si>
  <si>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</si>
  <si>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</si>
  <si>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</si>
  <si>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</si>
  <si>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</si>
  <si>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</si>
  <si>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</si>
  <si>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</si>
  <si>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</si>
  <si>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</si>
  <si>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</si>
  <si>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</si>
  <si>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</si>
  <si>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</si>
  <si>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</si>
  <si>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</si>
  <si>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</si>
  <si>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</si>
  <si>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</si>
  <si>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</si>
  <si>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</si>
  <si>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</si>
  <si>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</si>
  <si>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</si>
  <si>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</si>
  <si>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</si>
  <si>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</si>
  <si>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</si>
  <si>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</si>
  <si>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</si>
  <si>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</si>
  <si>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</si>
  <si>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</si>
  <si>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</si>
  <si>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</si>
  <si>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</si>
  <si>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</si>
  <si>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</si>
  <si>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</si>
  <si>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</si>
  <si>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</si>
  <si>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</si>
  <si>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</si>
  <si>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</si>
  <si>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</si>
  <si>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</si>
  <si>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</si>
  <si>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</si>
  <si>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</si>
  <si>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</si>
  <si>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</si>
  <si>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</si>
  <si>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</si>
  <si>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</si>
  <si>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</si>
  <si>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</si>
  <si>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</si>
  <si>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</si>
  <si>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</si>
  <si>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</si>
  <si>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</si>
  <si>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</si>
  <si>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</si>
  <si>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</si>
  <si>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</si>
  <si>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</si>
  <si>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</si>
  <si>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</si>
  <si>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</si>
  <si>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</si>
  <si>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</si>
  <si>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</si>
  <si>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</si>
  <si>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</si>
  <si>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</si>
  <si>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</si>
  <si>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</si>
  <si>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</si>
  <si>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</si>
  <si>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</si>
  <si>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</si>
  <si>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</si>
  <si>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</si>
  <si>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</si>
  <si>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</si>
  <si>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</si>
  <si>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</si>
  <si>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</si>
  <si>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</si>
  <si>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</si>
  <si>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</si>
  <si>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</si>
  <si>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</si>
  <si>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</si>
  <si>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</si>
  <si>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</si>
  <si>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</si>
  <si>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</si>
  <si>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</si>
  <si>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</si>
  <si>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</si>
  <si>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</si>
  <si>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</si>
  <si>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</si>
  <si>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</si>
  <si>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</si>
  <si>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</si>
  <si>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</si>
  <si>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</si>
  <si>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</si>
  <si>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</si>
  <si>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</si>
  <si>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</si>
  <si>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</si>
  <si>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</si>
  <si>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</si>
  <si>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</si>
  <si>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</si>
  <si>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</si>
  <si>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</si>
  <si>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</si>
  <si>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</si>
  <si>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</si>
  <si>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</si>
  <si>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</si>
  <si>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</si>
  <si>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</si>
  <si>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</si>
  <si>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</si>
  <si>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</si>
  <si>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</si>
  <si>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</si>
  <si>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</si>
  <si>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</si>
  <si>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</si>
  <si>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</si>
  <si>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</si>
  <si>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</si>
  <si>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</si>
  <si>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</si>
  <si>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</si>
  <si>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</si>
  <si>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</si>
  <si>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</si>
  <si>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</si>
  <si>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</si>
  <si>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</si>
  <si>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</si>
  <si>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</si>
  <si>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</si>
  <si>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</si>
  <si>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</si>
  <si>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</si>
  <si>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</si>
  <si>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</si>
  <si>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</si>
  <si>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</si>
  <si>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</si>
  <si>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</si>
  <si>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</si>
  <si>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</si>
  <si>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</si>
  <si>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</si>
  <si>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</si>
  <si>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</si>
  <si>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</si>
  <si>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</si>
  <si>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</si>
  <si>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</si>
  <si>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</si>
  <si>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</si>
  <si>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</si>
  <si>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</si>
  <si>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</si>
  <si>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</si>
  <si>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</si>
  <si>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</si>
  <si>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</si>
  <si>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</si>
  <si>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</si>
  <si>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</si>
  <si>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</si>
  <si>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</si>
  <si>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</si>
  <si>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</si>
  <si>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</si>
  <si>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</si>
  <si>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</si>
  <si>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</si>
  <si>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</si>
  <si>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</si>
  <si>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</si>
  <si>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</si>
  <si>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</si>
  <si>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</si>
  <si>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</si>
  <si>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</si>
  <si>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</si>
  <si>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</si>
  <si>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</si>
  <si>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</si>
  <si>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</si>
  <si>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</si>
  <si>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</si>
  <si>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</si>
  <si>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</si>
  <si>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</si>
  <si>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</si>
  <si>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</si>
  <si>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</si>
  <si>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</si>
  <si>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</si>
  <si>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</si>
  <si>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</si>
  <si>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</si>
  <si>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</si>
  <si>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</si>
  <si>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</si>
  <si>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</si>
  <si>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</si>
  <si>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</si>
  <si>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</si>
  <si>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</si>
  <si>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</si>
  <si>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</si>
  <si>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</si>
  <si>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</si>
  <si>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</si>
  <si>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</si>
  <si>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</si>
  <si>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</si>
  <si>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</si>
  <si>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</si>
  <si>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</si>
  <si>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</si>
  <si>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</si>
  <si>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</si>
  <si>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</si>
  <si>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</si>
  <si>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</si>
  <si>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</si>
  <si>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</si>
  <si>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</si>
  <si>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</si>
  <si>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</si>
  <si>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</si>
  <si>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</si>
  <si>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</si>
  <si>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</si>
  <si>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</si>
  <si>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</si>
  <si>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</si>
  <si>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</si>
  <si>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</si>
  <si>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</si>
  <si>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</si>
  <si>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</si>
  <si>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</si>
  <si>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</si>
  <si>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</si>
  <si>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</si>
  <si>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</si>
  <si>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</si>
  <si>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</si>
  <si>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</si>
  <si>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</si>
  <si>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</si>
  <si>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</si>
  <si>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</si>
  <si>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</si>
  <si>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</si>
  <si>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</si>
  <si>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</si>
  <si>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</si>
  <si>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</si>
  <si>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</si>
  <si>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</si>
  <si>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</si>
  <si>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</si>
  <si>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</si>
  <si>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</si>
  <si>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</si>
  <si>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</si>
  <si>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</si>
  <si>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</si>
  <si>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</si>
  <si>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</si>
  <si>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</si>
  <si>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</si>
  <si>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</si>
  <si>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</si>
  <si>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</si>
  <si>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</si>
  <si>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</si>
  <si>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</si>
  <si>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</si>
  <si>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</si>
  <si>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</si>
  <si>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</si>
  <si>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</si>
  <si>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</si>
  <si>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</si>
  <si>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</si>
  <si>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</si>
  <si>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</si>
  <si>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</si>
  <si>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</si>
  <si>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</si>
  <si>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</si>
  <si>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</si>
  <si>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</si>
  <si>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</si>
  <si>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</si>
  <si>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</si>
  <si>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</si>
  <si>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</si>
  <si>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</si>
  <si>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</si>
  <si>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</si>
  <si>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</si>
  <si>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</si>
  <si>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</si>
  <si>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</si>
  <si>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</si>
  <si>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</si>
  <si>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</si>
  <si>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</si>
  <si>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</si>
  <si>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</si>
  <si>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</si>
  <si>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</si>
  <si>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</si>
  <si>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</si>
  <si>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</si>
  <si>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</si>
  <si>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</si>
  <si>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</si>
  <si>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</si>
  <si>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</si>
  <si>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</si>
  <si>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</si>
  <si>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</si>
  <si>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</si>
  <si>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</si>
  <si>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</si>
  <si>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</si>
  <si>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</si>
  <si>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</si>
  <si>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</si>
  <si>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</si>
  <si>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</si>
  <si>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</si>
  <si>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</si>
  <si>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</si>
  <si>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</si>
  <si>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</si>
  <si>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</si>
  <si>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</si>
  <si>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</si>
  <si>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</si>
  <si>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</si>
  <si>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</si>
  <si>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</si>
  <si>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</si>
  <si>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</si>
  <si>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</si>
  <si>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</si>
  <si>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</si>
  <si>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</si>
  <si>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</si>
  <si>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</si>
  <si>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</si>
  <si>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</si>
  <si>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</si>
  <si>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</si>
  <si>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</si>
  <si>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</si>
  <si>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</si>
  <si>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</si>
  <si>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</si>
  <si>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</si>
  <si>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</si>
  <si>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</si>
  <si>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</si>
  <si>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</si>
  <si>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</si>
  <si>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</si>
  <si>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</si>
  <si>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</si>
  <si>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</si>
  <si>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</si>
  <si>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</si>
  <si>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</si>
  <si>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</si>
  <si>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</si>
  <si>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</si>
  <si>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</si>
  <si>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</si>
  <si>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</si>
  <si>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</si>
  <si>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</si>
  <si>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</si>
  <si>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</si>
  <si>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</si>
  <si>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</si>
  <si>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</si>
  <si>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</si>
  <si>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</si>
  <si>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</si>
  <si>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</si>
  <si>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</si>
  <si>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</si>
  <si>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</si>
  <si>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</si>
  <si>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</si>
  <si>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</si>
  <si>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</si>
  <si>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</si>
  <si>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</si>
  <si>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</si>
  <si>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</si>
  <si>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</si>
  <si>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</si>
  <si>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</si>
  <si>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</si>
  <si>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</si>
  <si>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</si>
  <si>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</si>
  <si>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</si>
  <si>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</si>
  <si>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</si>
  <si>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</si>
  <si>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</si>
  <si>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</si>
  <si>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</si>
  <si>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</si>
  <si>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</si>
  <si>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</si>
  <si>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</si>
  <si>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</si>
  <si>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</si>
  <si>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</si>
  <si>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</si>
  <si>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</si>
  <si>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</si>
  <si>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</si>
  <si>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</si>
  <si>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</si>
  <si>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</si>
  <si>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</si>
  <si>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</si>
  <si>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</si>
  <si>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</si>
  <si>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</si>
  <si>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</si>
  <si>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</si>
  <si>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</si>
  <si>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</si>
  <si>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</si>
  <si>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</si>
  <si>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</si>
  <si>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</si>
  <si>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</si>
  <si>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</si>
  <si>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</si>
  <si>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</si>
  <si>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</si>
  <si>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</si>
  <si>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</si>
  <si>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</si>
  <si>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</si>
  <si>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</si>
  <si>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</si>
  <si>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</si>
  <si>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</si>
  <si>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</si>
  <si>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</si>
  <si>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</si>
  <si>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</si>
  <si>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</si>
  <si>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</si>
  <si>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</si>
  <si>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</si>
  <si>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</si>
  <si>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</si>
  <si>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</si>
  <si>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</si>
  <si>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</si>
  <si>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</si>
  <si>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</si>
  <si>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</si>
  <si>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</si>
  <si>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</si>
  <si>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</si>
  <si>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</si>
  <si>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</si>
  <si>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</si>
  <si>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</si>
  <si>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</si>
  <si>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</si>
  <si>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</si>
  <si>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</si>
  <si>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</si>
  <si>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</si>
  <si>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</si>
  <si>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</si>
  <si>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</si>
  <si>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</si>
  <si>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</si>
  <si>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</si>
  <si>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</si>
  <si>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</si>
  <si>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</si>
  <si>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</si>
  <si>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</si>
  <si>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</si>
  <si>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</si>
  <si>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</si>
  <si>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</si>
  <si>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</si>
  <si>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</si>
  <si>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</si>
  <si>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</si>
  <si>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</si>
  <si>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</si>
  <si>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</si>
  <si>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</si>
  <si>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</si>
  <si>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</si>
  <si>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</si>
  <si>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</si>
  <si>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</si>
  <si>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</si>
  <si>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</si>
  <si>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</si>
  <si>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</si>
  <si>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</si>
  <si>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</si>
  <si>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</si>
  <si>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</si>
  <si>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</si>
  <si>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</si>
  <si>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</si>
  <si>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</si>
  <si>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</si>
  <si>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</si>
  <si>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</si>
  <si>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</si>
  <si>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</si>
  <si>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</si>
  <si>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</si>
  <si>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</si>
  <si>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</si>
  <si>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</si>
  <si>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</si>
  <si>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</si>
  <si>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</si>
  <si>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</si>
  <si>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</si>
  <si>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</si>
  <si>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</si>
  <si>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</si>
  <si>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</si>
  <si>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</si>
  <si>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</si>
  <si>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</si>
  <si>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</si>
  <si>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</si>
  <si>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</si>
  <si>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</si>
  <si>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</si>
  <si>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</si>
  <si>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</si>
  <si>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</si>
  <si>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</si>
  <si>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</si>
  <si>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</si>
  <si>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</si>
  <si>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</si>
  <si>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</si>
  <si>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</si>
  <si>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</si>
  <si>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</si>
  <si>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</si>
  <si>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</si>
  <si>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</si>
  <si>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</si>
  <si>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</si>
  <si>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</si>
  <si>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</si>
  <si>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</si>
  <si>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</si>
  <si>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</si>
  <si>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</si>
  <si>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</si>
  <si>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</si>
  <si>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</si>
  <si>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</si>
  <si>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</si>
  <si>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</si>
  <si>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</si>
  <si>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</si>
  <si>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</si>
  <si>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</si>
  <si>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</si>
  <si>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</si>
  <si>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</si>
  <si>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</si>
  <si>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</si>
  <si>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</si>
  <si>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</si>
  <si>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</si>
  <si>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</si>
  <si>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</si>
  <si>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</si>
  <si>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</si>
  <si>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</si>
  <si>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</si>
  <si>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</si>
  <si>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</si>
  <si>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</si>
  <si>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</si>
  <si>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</si>
  <si>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</si>
  <si>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</si>
  <si>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</si>
  <si>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</si>
  <si>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</si>
  <si>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</si>
  <si>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</si>
  <si>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</si>
  <si>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</si>
  <si>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</si>
  <si>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</si>
  <si>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</si>
  <si>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</si>
  <si>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</si>
  <si>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</si>
  <si>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</si>
  <si>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</si>
  <si>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</si>
  <si>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</si>
  <si>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</si>
  <si>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</si>
  <si>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</si>
  <si>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</si>
  <si>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</si>
  <si>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</si>
  <si>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</si>
  <si>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</si>
  <si>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</si>
  <si>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</si>
  <si>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</si>
  <si>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</si>
  <si>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</si>
  <si>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</si>
  <si>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</si>
  <si>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</si>
  <si>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</si>
  <si>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</si>
  <si>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</si>
  <si>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</si>
  <si>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</si>
  <si>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</si>
  <si>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</si>
  <si>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</si>
  <si>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</si>
  <si>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</si>
  <si>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</si>
  <si>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</si>
  <si>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</si>
  <si>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</si>
  <si>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</si>
  <si>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</si>
  <si>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</si>
  <si>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</si>
  <si>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</si>
  <si>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</si>
  <si>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</si>
  <si>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</si>
  <si>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</si>
  <si>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</si>
  <si>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</si>
  <si>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</si>
  <si>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</si>
  <si>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</si>
  <si>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</si>
  <si>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</si>
  <si>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</si>
  <si>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</si>
  <si>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</si>
  <si>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</si>
  <si>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</si>
  <si>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</si>
  <si>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</si>
  <si>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</si>
  <si>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</si>
  <si>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</si>
  <si>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</si>
  <si>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</si>
  <si>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</si>
  <si>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</si>
  <si>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</si>
  <si>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</si>
  <si>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</si>
  <si>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</si>
  <si>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</si>
  <si>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</si>
  <si>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</si>
  <si>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</si>
  <si>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</si>
  <si>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</si>
  <si>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</si>
  <si>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</si>
  <si>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</si>
  <si>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</si>
  <si>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</si>
  <si>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</si>
  <si>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</si>
  <si>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</si>
  <si>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</si>
  <si>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</si>
  <si>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</si>
  <si>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</si>
  <si>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</si>
  <si>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</si>
  <si>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</si>
  <si>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</si>
  <si>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</si>
  <si>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</si>
  <si>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</si>
  <si>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</si>
  <si>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</si>
  <si>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</si>
  <si>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</si>
  <si>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</si>
  <si>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</si>
  <si>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</si>
  <si>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</si>
  <si>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</si>
  <si>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</si>
  <si>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</si>
  <si>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</si>
  <si>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</si>
  <si>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</si>
  <si>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</si>
  <si>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</si>
  <si>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</si>
  <si>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</si>
  <si>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</si>
  <si>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</si>
  <si>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</si>
  <si>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</si>
  <si>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</si>
  <si>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</si>
  <si>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</si>
  <si>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</si>
  <si>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</si>
  <si>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</si>
  <si>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</si>
  <si>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</si>
  <si>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</si>
  <si>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</si>
  <si>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</si>
  <si>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</si>
  <si>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</si>
  <si>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</si>
  <si>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</si>
  <si>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</si>
  <si>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</si>
  <si>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</si>
  <si>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</si>
  <si>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</si>
  <si>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</si>
  <si>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</si>
  <si>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</si>
  <si>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</si>
  <si>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</si>
  <si>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</si>
  <si>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</si>
  <si>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</si>
  <si>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</si>
  <si>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</si>
  <si>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</si>
  <si>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</si>
  <si>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</si>
  <si>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</si>
  <si>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</si>
  <si>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</si>
  <si>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</si>
  <si>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</si>
  <si>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</si>
  <si>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</si>
  <si>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</si>
  <si>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</si>
  <si>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</si>
  <si>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</si>
  <si>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</si>
  <si>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</si>
  <si>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</si>
  <si>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</si>
  <si>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</si>
  <si>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</si>
  <si>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</si>
  <si>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</si>
  <si>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</si>
  <si>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</si>
  <si>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</si>
  <si>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</si>
  <si>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</si>
  <si>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</si>
  <si>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</si>
  <si>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</si>
  <si>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</si>
  <si>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</si>
  <si>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</si>
  <si>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</si>
  <si>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</si>
  <si>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</si>
  <si>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</si>
  <si>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</si>
  <si>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</si>
  <si>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</si>
  <si>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</si>
  <si>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</si>
  <si>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</si>
  <si>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</si>
  <si>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</si>
  <si>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</si>
  <si>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</si>
  <si>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</si>
  <si>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</si>
  <si>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</si>
  <si>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</si>
  <si>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</si>
  <si>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</si>
  <si>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</si>
  <si>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</si>
  <si>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</si>
  <si>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</si>
  <si>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</si>
  <si>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</si>
  <si>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</si>
  <si>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</si>
  <si>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</si>
  <si>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</si>
  <si>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</si>
  <si>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</si>
  <si>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</si>
  <si>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</si>
  <si>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</si>
  <si>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</si>
  <si>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</si>
  <si>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</si>
  <si>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</si>
  <si>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</si>
  <si>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</si>
  <si>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</si>
  <si>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</si>
  <si>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</si>
  <si>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</si>
  <si>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</si>
  <si>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</si>
  <si>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</si>
  <si>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</si>
  <si>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</si>
  <si>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</si>
  <si>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</si>
  <si>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</si>
  <si>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</si>
  <si>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</si>
  <si>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</si>
  <si>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</si>
  <si>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</si>
  <si>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</si>
  <si>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</si>
  <si>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</si>
  <si>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</si>
  <si>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</si>
  <si>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</si>
  <si>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</si>
  <si>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</si>
  <si>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</si>
  <si>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</si>
  <si>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</si>
  <si>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</si>
  <si>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</si>
  <si>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</si>
  <si>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</si>
  <si>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</si>
  <si>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</si>
  <si>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</si>
  <si>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</si>
  <si>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</si>
  <si>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</si>
  <si>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</si>
  <si>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</si>
  <si>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</si>
  <si>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</si>
  <si>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</si>
  <si>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</si>
  <si>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</si>
  <si>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</si>
  <si>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</si>
  <si>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</si>
  <si>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</si>
  <si>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</si>
  <si>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</si>
  <si>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</si>
  <si>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</si>
  <si>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</si>
  <si>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</si>
  <si>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</si>
  <si>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</si>
  <si>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</si>
  <si>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</si>
  <si>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</si>
  <si>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</si>
  <si>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</si>
  <si>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</si>
  <si>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</si>
  <si>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</si>
  <si>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</si>
  <si>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</si>
  <si>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</si>
  <si>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</si>
  <si>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</si>
  <si>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</si>
  <si>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</si>
  <si>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</si>
  <si>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</si>
  <si>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</si>
  <si>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</si>
  <si>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</si>
  <si>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</si>
  <si>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</si>
  <si>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</si>
  <si>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</si>
  <si>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</si>
  <si>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</si>
  <si>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</si>
  <si>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</si>
  <si>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</si>
  <si>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</si>
  <si>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</si>
  <si>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</si>
  <si>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</si>
  <si>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</si>
  <si>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</si>
  <si>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</si>
  <si>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</si>
  <si>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</si>
  <si>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</si>
  <si>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</si>
  <si>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</si>
  <si>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</si>
  <si>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</si>
  <si>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</si>
  <si>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</si>
  <si>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</si>
  <si>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</si>
  <si>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</si>
  <si>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</si>
  <si>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</si>
  <si>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</si>
  <si>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</si>
  <si>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</si>
  <si>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</si>
  <si>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</si>
  <si>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</si>
  <si>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</si>
  <si>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</si>
  <si>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</si>
  <si>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</si>
  <si>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</si>
  <si>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</si>
  <si>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</si>
  <si>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</si>
  <si>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</si>
  <si>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</si>
  <si>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</si>
  <si>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</si>
  <si>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</si>
  <si>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</si>
  <si>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</si>
  <si>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</si>
  <si>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</si>
  <si>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</si>
  <si>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</si>
  <si>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</si>
  <si>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</si>
  <si>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</si>
  <si>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</si>
  <si>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</si>
  <si>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</si>
  <si>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</si>
  <si>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</si>
  <si>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</si>
  <si>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</si>
  <si>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</si>
  <si>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</si>
  <si>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</si>
  <si>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</si>
  <si>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</si>
  <si>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</si>
  <si>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</si>
  <si>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</si>
  <si>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</si>
  <si>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</si>
  <si>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</si>
  <si>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</si>
  <si>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</si>
  <si>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</si>
  <si>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</si>
  <si>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</si>
  <si>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</si>
  <si>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</si>
  <si>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</si>
  <si>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</si>
  <si>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</si>
  <si>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</si>
  <si>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</si>
  <si>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</si>
  <si>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</si>
  <si>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</si>
  <si>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</si>
  <si>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</si>
  <si>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</si>
  <si>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</si>
  <si>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</si>
  <si>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</si>
  <si>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</si>
  <si>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</si>
  <si>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</si>
  <si>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</si>
  <si>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</si>
  <si>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</si>
  <si>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</si>
  <si>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</si>
  <si>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</si>
  <si>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</si>
  <si>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</si>
  <si>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</si>
  <si>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</si>
  <si>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</si>
  <si>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</si>
  <si>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</si>
  <si>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</si>
  <si>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</si>
  <si>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</si>
  <si>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</si>
  <si>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</si>
  <si>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</si>
  <si>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</si>
  <si>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</si>
  <si>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</si>
  <si>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</si>
  <si>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</si>
  <si>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</si>
  <si>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</si>
  <si>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</si>
  <si>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</si>
  <si>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</si>
  <si>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</si>
  <si>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</si>
  <si>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</si>
  <si>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</si>
  <si>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</si>
  <si>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</si>
  <si>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</si>
  <si>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</si>
  <si>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</si>
  <si>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</si>
  <si>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</si>
  <si>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</si>
  <si>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</si>
  <si>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</si>
  <si>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</si>
  <si>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</si>
  <si>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</si>
  <si>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</si>
  <si>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</si>
  <si>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</si>
  <si>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</si>
  <si>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</si>
  <si>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</si>
  <si>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</si>
  <si>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</si>
  <si>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</si>
  <si>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</si>
  <si>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</si>
  <si>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</si>
  <si>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</si>
  <si>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</si>
  <si>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</si>
  <si>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</si>
  <si>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</si>
  <si>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</si>
  <si>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</si>
  <si>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</si>
  <si>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</si>
  <si>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</si>
  <si>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</si>
  <si>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</si>
  <si>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</si>
  <si>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</si>
  <si>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</si>
  <si>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</si>
  <si>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</si>
  <si>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</si>
  <si>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</si>
  <si>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</si>
  <si>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</si>
  <si>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</si>
  <si>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</si>
  <si>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</si>
  <si>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</si>
  <si>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</si>
  <si>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</si>
  <si>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</si>
  <si>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</si>
  <si>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</si>
  <si>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</si>
  <si>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</si>
  <si>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</si>
  <si>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</si>
  <si>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</si>
  <si>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</si>
  <si>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</si>
  <si>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</si>
  <si>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</si>
  <si>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</si>
  <si>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</si>
  <si>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</si>
  <si>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</si>
  <si>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</si>
  <si>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</si>
  <si>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</si>
  <si>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</si>
  <si>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</si>
  <si>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</si>
  <si>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</si>
  <si>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</si>
  <si>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</si>
  <si>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</si>
  <si>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</si>
  <si>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</si>
  <si>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</si>
  <si>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</si>
  <si>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</si>
  <si>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</si>
  <si>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</si>
  <si>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</si>
  <si>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</si>
  <si>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</si>
  <si>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</si>
  <si>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</si>
  <si>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</si>
  <si>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</si>
  <si>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</si>
  <si>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</si>
  <si>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</si>
  <si>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</si>
  <si>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</si>
  <si>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</si>
  <si>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</si>
  <si>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</si>
  <si>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</si>
  <si>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</si>
  <si>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</si>
  <si>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</si>
  <si>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</si>
  <si>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</si>
  <si>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</si>
  <si>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</si>
  <si>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</si>
  <si>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</si>
  <si>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</si>
  <si>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</si>
  <si>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</si>
  <si>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</si>
  <si>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</si>
  <si>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</si>
  <si>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</si>
  <si>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</si>
  <si>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</si>
  <si>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</si>
  <si>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</si>
  <si>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</si>
  <si>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</si>
  <si>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</si>
  <si>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</si>
  <si>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</si>
  <si>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</si>
  <si>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</si>
  <si>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</si>
  <si>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</si>
  <si>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</si>
  <si>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</si>
  <si>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</si>
  <si>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</si>
  <si>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</si>
  <si>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</si>
  <si>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</si>
  <si>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</si>
  <si>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</si>
  <si>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</si>
  <si>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</si>
  <si>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</si>
  <si>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</si>
  <si>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</si>
  <si>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</si>
  <si>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</si>
  <si>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</si>
  <si>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</si>
  <si>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</si>
  <si>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</si>
  <si>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</si>
  <si>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</si>
  <si>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</si>
  <si>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</si>
  <si>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</si>
  <si>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</si>
  <si>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</si>
  <si>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</si>
  <si>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</si>
  <si>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</si>
  <si>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</si>
  <si>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</si>
  <si>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</si>
  <si>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</si>
  <si>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</si>
  <si>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</si>
  <si>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</si>
  <si>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</si>
  <si>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</si>
  <si>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</si>
  <si>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</si>
  <si>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</si>
  <si>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</si>
  <si>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</si>
  <si>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</si>
  <si>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</si>
  <si>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</si>
  <si>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</si>
  <si>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</si>
  <si>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</si>
  <si>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</si>
  <si>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</si>
  <si>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</si>
  <si>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</si>
  <si>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</si>
  <si>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</si>
  <si>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</si>
  <si>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</si>
  <si>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</si>
  <si>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</si>
  <si>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</si>
  <si>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</si>
  <si>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</si>
  <si>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</si>
  <si>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</si>
  <si>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</si>
  <si>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</si>
  <si>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</si>
  <si>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</si>
  <si>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</si>
  <si>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</si>
  <si>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</si>
  <si>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</si>
  <si>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</si>
  <si>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</si>
  <si>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</si>
  <si>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</si>
  <si>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</si>
  <si>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</si>
  <si>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</si>
  <si>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</si>
  <si>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</si>
  <si>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</si>
  <si>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</si>
  <si>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</si>
  <si>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</si>
  <si>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</si>
  <si>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</si>
  <si>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</si>
  <si>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</si>
  <si>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</si>
  <si>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</si>
  <si>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</si>
  <si>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</si>
  <si>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</si>
  <si>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</si>
  <si>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</si>
  <si>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</si>
  <si>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</si>
  <si>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</si>
  <si>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</si>
  <si>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</si>
  <si>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</si>
  <si>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</si>
  <si>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</si>
  <si>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</si>
  <si>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</si>
  <si>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</si>
  <si>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</si>
  <si>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</si>
  <si>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</si>
  <si>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</si>
  <si>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</si>
  <si>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</si>
  <si>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</si>
  <si>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</si>
  <si>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</si>
  <si>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</si>
  <si>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</si>
  <si>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</si>
  <si>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</si>
  <si>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</si>
  <si>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</si>
  <si>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</si>
  <si>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</si>
  <si>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</si>
  <si>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</si>
  <si>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</si>
  <si>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</si>
  <si>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</si>
  <si>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</si>
  <si>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</si>
  <si>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</si>
  <si>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</si>
  <si>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</si>
  <si>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</si>
  <si>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</si>
  <si>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</si>
  <si>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</si>
  <si>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</si>
  <si>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</si>
  <si>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</si>
  <si>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</si>
  <si>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</si>
  <si>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</si>
  <si>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</si>
  <si>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</si>
  <si>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</si>
  <si>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</si>
  <si>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</si>
  <si>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</si>
  <si>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</si>
  <si>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</si>
  <si>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</si>
  <si>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</si>
  <si>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</si>
  <si>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</si>
  <si>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</si>
  <si>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</si>
  <si>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</si>
  <si>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</si>
  <si>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</si>
  <si>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</si>
  <si>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</si>
  <si>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</si>
  <si>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</si>
  <si>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</si>
  <si>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</si>
  <si>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</si>
  <si>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</si>
  <si>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</si>
  <si>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</si>
  <si>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</si>
  <si>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</si>
  <si>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</si>
  <si>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</si>
  <si>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</si>
  <si>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</si>
  <si>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</si>
  <si>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</si>
  <si>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</si>
  <si>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</si>
  <si>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</si>
  <si>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</si>
  <si>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</si>
  <si>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</si>
  <si>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</si>
  <si>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</si>
  <si>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</si>
  <si>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</si>
  <si>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</si>
  <si>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</si>
  <si>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</si>
  <si>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</si>
  <si>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</si>
  <si>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</si>
  <si>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</si>
  <si>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</si>
  <si>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</si>
  <si>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</si>
  <si>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</si>
  <si>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</si>
  <si>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</si>
  <si>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</si>
  <si>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</si>
  <si>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</si>
  <si>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</si>
  <si>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</si>
  <si>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</si>
  <si>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</si>
  <si>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</si>
  <si>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</si>
  <si>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</si>
  <si>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</si>
  <si>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</si>
  <si>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</si>
  <si>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</si>
  <si>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</si>
  <si>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</si>
  <si>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</si>
  <si>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</si>
  <si>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</si>
  <si>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</si>
  <si>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</si>
  <si>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</si>
  <si>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</si>
  <si>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</si>
  <si>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</si>
  <si>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</si>
  <si>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</si>
  <si>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</si>
  <si>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</si>
  <si>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</si>
  <si>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</si>
  <si>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</si>
  <si>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</si>
  <si>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</si>
  <si>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</si>
  <si>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</si>
  <si>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</si>
  <si>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</si>
  <si>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</si>
  <si>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</si>
  <si>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</si>
  <si>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</si>
  <si>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</si>
  <si>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</si>
  <si>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</si>
  <si>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</si>
  <si>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</si>
  <si>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</si>
  <si>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</si>
  <si>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</si>
  <si>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</si>
  <si>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</si>
  <si>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</si>
  <si>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</si>
  <si>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</si>
  <si>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</si>
  <si>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</si>
  <si>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</si>
  <si>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</si>
  <si>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</si>
  <si>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</si>
  <si>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</si>
  <si>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</si>
  <si>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</si>
  <si>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</si>
  <si>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</si>
  <si>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</si>
  <si>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</si>
  <si>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</si>
  <si>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</si>
  <si>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</si>
  <si>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</si>
  <si>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</si>
  <si>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</si>
  <si>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</si>
  <si>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</si>
  <si>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</si>
  <si>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</si>
  <si>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</si>
  <si>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</si>
  <si>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</si>
  <si>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</si>
  <si>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</si>
  <si>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</si>
  <si>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</si>
  <si>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</si>
  <si>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</si>
  <si>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</si>
  <si>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</si>
  <si>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</si>
  <si>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</si>
  <si>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</si>
  <si>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</si>
  <si>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</si>
  <si>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</si>
  <si>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</si>
  <si>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</si>
  <si>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</si>
  <si>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</si>
  <si>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</si>
  <si>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</si>
  <si>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</si>
  <si>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</si>
  <si>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</si>
  <si>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</si>
  <si>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</si>
  <si>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</si>
  <si>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</si>
  <si>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</si>
  <si>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</si>
  <si>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</si>
  <si>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</si>
  <si>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</si>
  <si>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</si>
  <si>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</si>
  <si>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</si>
  <si>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</si>
  <si>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</si>
  <si>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</si>
  <si>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</si>
  <si>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</si>
  <si>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</si>
  <si>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</si>
  <si>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</si>
  <si>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</si>
  <si>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</si>
  <si>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</si>
  <si>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</si>
  <si>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</si>
  <si>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</si>
  <si>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</si>
  <si>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</si>
  <si>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</si>
  <si>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</si>
  <si>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</si>
  <si>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</si>
  <si>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</si>
  <si>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</si>
  <si>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</si>
  <si>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</si>
  <si>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</si>
  <si>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</si>
  <si>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</si>
  <si>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</si>
  <si>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</si>
  <si>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</si>
  <si>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</si>
  <si>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</si>
  <si>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</si>
  <si>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</si>
  <si>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</si>
  <si>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</si>
  <si>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</si>
  <si>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</si>
  <si>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</si>
  <si>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</si>
  <si>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</si>
  <si>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</si>
  <si>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</si>
  <si>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</si>
  <si>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</si>
  <si>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</si>
  <si>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</si>
  <si>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</si>
  <si>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</si>
  <si>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</si>
  <si>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</si>
  <si>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</si>
  <si>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</si>
  <si>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</si>
  <si>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</si>
  <si>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</si>
  <si>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</si>
  <si>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</si>
  <si>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</si>
  <si>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</si>
  <si>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</si>
  <si>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</si>
  <si>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</si>
  <si>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</si>
  <si>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</si>
  <si>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</si>
  <si>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</si>
  <si>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</si>
  <si>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</si>
  <si>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</si>
  <si>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</si>
  <si>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</si>
  <si>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</si>
  <si>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</si>
  <si>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</si>
  <si>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</si>
  <si>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</si>
  <si>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</si>
  <si>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</si>
  <si>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</si>
  <si>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</si>
  <si>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</si>
  <si>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</si>
  <si>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</si>
  <si>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</si>
  <si>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</si>
  <si>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</si>
  <si>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</si>
  <si>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</si>
  <si>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</si>
  <si>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</si>
  <si>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</si>
  <si>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</si>
  <si>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</si>
  <si>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</si>
  <si>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</si>
  <si>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</si>
  <si>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</si>
  <si>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</si>
  <si>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</si>
  <si>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</si>
  <si>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</si>
  <si>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</si>
  <si>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</si>
  <si>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</si>
  <si>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</si>
  <si>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</si>
  <si>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</si>
  <si>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</si>
  <si>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</si>
  <si>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</si>
  <si>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</si>
  <si>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</si>
  <si>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</si>
  <si>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</si>
  <si>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</si>
  <si>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</si>
  <si>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</si>
  <si>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</si>
  <si>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</si>
  <si>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</si>
  <si>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</si>
  <si>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</si>
  <si>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</si>
  <si>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</si>
  <si>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</si>
  <si>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</si>
  <si>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</si>
  <si>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</si>
  <si>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</si>
  <si>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</si>
  <si>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</si>
  <si>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</si>
  <si>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</si>
  <si>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</si>
  <si>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</si>
  <si>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</si>
  <si>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</si>
  <si>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</si>
  <si>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</si>
  <si>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</si>
  <si>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</si>
  <si>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</si>
  <si>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</si>
  <si>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</si>
  <si>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</si>
  <si>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</si>
  <si>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</si>
  <si>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</si>
  <si>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</si>
  <si>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</si>
  <si>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</si>
  <si>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</si>
  <si>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</si>
  <si>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</si>
  <si>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</si>
  <si>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</si>
  <si>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</si>
  <si>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</si>
  <si>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</si>
  <si>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</si>
  <si>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</si>
  <si>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</si>
  <si>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</si>
  <si>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</si>
  <si>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</si>
  <si>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</si>
  <si>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</si>
  <si>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</si>
  <si>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</si>
  <si>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</si>
  <si>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</si>
  <si>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</si>
  <si>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</si>
  <si>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</si>
  <si>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</si>
  <si>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</si>
  <si>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</si>
  <si>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</si>
  <si>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</si>
  <si>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</si>
  <si>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</si>
  <si>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</si>
  <si>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</si>
  <si>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</si>
  <si>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</si>
  <si>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</si>
  <si>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</si>
  <si>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</si>
  <si>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</si>
  <si>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</si>
  <si>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</si>
  <si>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</si>
  <si>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</si>
  <si>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</si>
  <si>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</si>
  <si>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</si>
  <si>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</si>
  <si>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</si>
  <si>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</si>
  <si>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</si>
  <si>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</si>
  <si>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</si>
  <si>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</si>
  <si>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</si>
  <si>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</si>
  <si>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</si>
  <si>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</si>
  <si>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</si>
  <si>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</si>
  <si>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</si>
  <si>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</si>
  <si>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</si>
  <si>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</si>
  <si>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</si>
  <si>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</si>
  <si>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</si>
  <si>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</si>
  <si>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</si>
  <si>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</si>
  <si>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</si>
  <si>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</si>
  <si>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</si>
  <si>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</si>
  <si>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</si>
  <si>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</si>
  <si>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</si>
  <si>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</si>
  <si>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</si>
  <si>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</si>
  <si>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</si>
  <si>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</si>
  <si>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</si>
  <si>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</si>
  <si>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</si>
  <si>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</si>
  <si>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</si>
  <si>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</si>
  <si>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</si>
  <si>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</si>
  <si>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</si>
  <si>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</si>
  <si>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</si>
  <si>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</si>
  <si>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</si>
  <si>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</si>
  <si>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</si>
  <si>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</si>
  <si>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</si>
  <si>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</si>
  <si>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</si>
  <si>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</si>
  <si>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</si>
  <si>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</si>
  <si>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</si>
  <si>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</si>
  <si>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</si>
  <si>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</si>
  <si>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</si>
  <si>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</si>
  <si>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</si>
  <si>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</si>
  <si>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</si>
  <si>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</si>
  <si>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</si>
  <si>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</si>
  <si>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</si>
  <si>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</si>
  <si>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</si>
  <si>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</si>
  <si>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</si>
  <si>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</si>
  <si>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</si>
  <si>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</si>
  <si>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</si>
  <si>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</si>
  <si>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</si>
  <si>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</si>
  <si>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</si>
  <si>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</si>
  <si>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</si>
  <si>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</si>
  <si>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</si>
  <si>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</si>
  <si>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</si>
  <si>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</si>
  <si>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</si>
  <si>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</si>
  <si>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</si>
  <si>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</si>
  <si>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</si>
  <si>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</si>
  <si>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</si>
  <si>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</si>
  <si>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</si>
  <si>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</si>
  <si>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</si>
  <si>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</si>
  <si>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</si>
  <si>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</si>
  <si>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</si>
  <si>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</si>
  <si>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</si>
  <si>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</si>
  <si>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</si>
  <si>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</si>
  <si>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</si>
  <si>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</si>
  <si>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</si>
  <si>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</si>
  <si>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</si>
  <si>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</si>
  <si>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</si>
  <si>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</si>
  <si>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</si>
  <si>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</si>
  <si>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</si>
  <si>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</si>
  <si>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</si>
  <si>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</si>
  <si>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</si>
  <si>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</si>
  <si>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</si>
  <si>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</si>
  <si>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</si>
  <si>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</si>
  <si>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</si>
  <si>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</si>
  <si>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</si>
  <si>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</si>
  <si>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</si>
  <si>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</si>
  <si>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</si>
  <si>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</si>
  <si>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</si>
  <si>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</si>
  <si>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</si>
  <si>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</si>
  <si>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</si>
  <si>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</si>
  <si>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</si>
  <si>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</si>
  <si>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</si>
  <si>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</si>
  <si>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</si>
  <si>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</si>
  <si>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</si>
  <si>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</si>
  <si>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</si>
  <si>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</si>
  <si>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</si>
  <si>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</si>
  <si>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</si>
  <si>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</si>
  <si>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</si>
  <si>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</si>
  <si>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</si>
  <si>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</si>
  <si>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</si>
  <si>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</si>
  <si>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</si>
  <si>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</si>
  <si>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</si>
  <si>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</si>
  <si>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</si>
  <si>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</si>
  <si>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</si>
  <si>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</si>
  <si>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</si>
  <si>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</si>
  <si>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</si>
  <si>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</si>
  <si>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</si>
  <si>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</si>
  <si>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</si>
  <si>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</si>
  <si>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</si>
  <si>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</si>
  <si>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</si>
  <si>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</si>
  <si>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</si>
  <si>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</si>
  <si>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</si>
  <si>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</si>
  <si>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</si>
  <si>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</si>
  <si>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</si>
  <si>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</si>
  <si>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</si>
  <si>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</si>
  <si>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</si>
  <si>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</si>
  <si>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</si>
  <si>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</si>
  <si>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</si>
  <si>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</si>
  <si>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</si>
  <si>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</si>
  <si>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</si>
  <si>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</si>
  <si>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</si>
  <si>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</si>
  <si>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</si>
  <si>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</si>
  <si>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</si>
  <si>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</si>
  <si>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</si>
  <si>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</si>
  <si>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</si>
  <si>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</si>
  <si>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</si>
  <si>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</si>
  <si>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</si>
  <si>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</si>
  <si>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</si>
  <si>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</si>
  <si>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</si>
  <si>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</si>
  <si>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</si>
  <si>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</si>
  <si>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</si>
  <si>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</si>
  <si>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</si>
  <si>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</si>
  <si>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</si>
  <si>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</si>
  <si>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</si>
  <si>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</si>
  <si>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</si>
  <si>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</si>
  <si>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</si>
  <si>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</si>
  <si>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</si>
  <si>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</si>
  <si>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</si>
  <si>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</si>
  <si>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</si>
  <si>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</si>
  <si>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</si>
  <si>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</si>
  <si>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</si>
  <si>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</si>
  <si>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</si>
  <si>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</si>
  <si>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</si>
  <si>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</si>
  <si>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</si>
  <si>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</si>
  <si>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</si>
  <si>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</si>
  <si>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</si>
  <si>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</si>
  <si>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</si>
  <si>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</si>
  <si>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</si>
  <si>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</si>
  <si>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</si>
  <si>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</si>
  <si>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</si>
  <si>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</si>
  <si>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</si>
  <si>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</si>
  <si>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</si>
  <si>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</si>
  <si>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</si>
  <si>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</si>
  <si>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</si>
  <si>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</si>
  <si>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</si>
  <si>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</si>
  <si>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</si>
  <si>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</si>
  <si>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</si>
  <si>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</si>
  <si>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</si>
  <si>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</si>
  <si>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</si>
  <si>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</si>
  <si>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</si>
  <si>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</si>
  <si>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</si>
  <si>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</si>
  <si>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</si>
  <si>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</si>
  <si>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</si>
  <si>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</si>
  <si>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</si>
  <si>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</si>
  <si>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</si>
  <si>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</si>
  <si>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</si>
  <si>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</si>
  <si>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</si>
  <si>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</si>
  <si>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</si>
  <si>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</si>
  <si>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</si>
  <si>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</si>
  <si>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</si>
  <si>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</si>
  <si>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</si>
  <si>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</si>
  <si>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</si>
  <si>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</si>
  <si>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</si>
  <si>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</si>
  <si>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</si>
  <si>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</si>
  <si>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</si>
  <si>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</si>
  <si>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</si>
  <si>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</si>
  <si>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</si>
  <si>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</si>
  <si>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</si>
  <si>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</si>
  <si>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</si>
  <si>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</si>
  <si>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</si>
  <si>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</si>
  <si>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</si>
  <si>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</si>
  <si>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</si>
  <si>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</si>
  <si>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</si>
  <si>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</si>
  <si>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</si>
  <si>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</si>
  <si>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</si>
  <si>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</si>
  <si>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</si>
  <si>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</si>
  <si>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</si>
  <si>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</si>
  <si>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</si>
  <si>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</si>
  <si>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</si>
  <si>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</si>
  <si>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</si>
  <si>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</si>
  <si>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</si>
  <si>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</si>
  <si>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</si>
  <si>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</si>
  <si>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</si>
  <si>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</si>
  <si>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</si>
  <si>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</si>
  <si>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</si>
  <si>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</si>
  <si>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</si>
  <si>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</si>
  <si>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</si>
  <si>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</si>
  <si>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</si>
  <si>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</si>
  <si>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</si>
  <si>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</si>
  <si>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</si>
  <si>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</si>
  <si>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</si>
  <si>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</si>
  <si>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</si>
  <si>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</si>
  <si>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</si>
  <si>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</si>
  <si>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</si>
  <si>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</si>
  <si>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</si>
  <si>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</si>
  <si>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</si>
  <si>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</si>
  <si>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</si>
  <si>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</si>
  <si>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</si>
  <si>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</si>
  <si>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</si>
  <si>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</si>
  <si>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</si>
  <si>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</si>
  <si>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</si>
  <si>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</si>
  <si>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</si>
  <si>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</si>
  <si>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</si>
  <si>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</si>
  <si>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</si>
  <si>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</si>
  <si>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</si>
  <si>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</si>
  <si>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</si>
  <si>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</si>
  <si>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</si>
  <si>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</si>
  <si>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</si>
  <si>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</si>
  <si>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</si>
  <si>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</si>
  <si>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</si>
  <si>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</si>
  <si>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</si>
  <si>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</si>
  <si>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</si>
  <si>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</si>
  <si>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</si>
  <si>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</si>
  <si>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</si>
  <si>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</si>
  <si>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</si>
  <si>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</si>
  <si>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</si>
  <si>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</si>
  <si>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</si>
  <si>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</si>
  <si>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</si>
  <si>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</si>
  <si>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</si>
  <si>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</si>
  <si>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</si>
  <si>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</si>
  <si>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</si>
  <si>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</si>
  <si>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</si>
  <si>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</si>
  <si>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</si>
  <si>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</si>
  <si>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</si>
  <si>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</si>
  <si>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</si>
  <si>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</si>
  <si>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</si>
  <si>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</si>
  <si>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</si>
  <si>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</si>
  <si>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</si>
  <si>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</si>
  <si>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</si>
  <si>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</si>
  <si>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</si>
  <si>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</si>
  <si>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</si>
  <si>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</si>
  <si>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</si>
  <si>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</si>
  <si>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</si>
  <si>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</si>
  <si>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</si>
  <si>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</si>
  <si>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</si>
  <si>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</si>
  <si>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</si>
  <si>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</si>
  <si>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</si>
  <si>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</si>
  <si>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</si>
  <si>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</si>
  <si>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</si>
  <si>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</si>
  <si>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</si>
  <si>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</si>
  <si>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</si>
  <si>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</si>
  <si>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</si>
  <si>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</si>
  <si>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</si>
  <si>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</si>
  <si>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</si>
  <si>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</si>
  <si>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</si>
  <si>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</si>
  <si>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</si>
  <si>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</si>
  <si>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</si>
  <si>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</si>
  <si>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</si>
  <si>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</si>
  <si>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</si>
  <si>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</si>
  <si>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</si>
  <si>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</si>
  <si>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</si>
  <si>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</si>
  <si>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</si>
  <si>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</si>
  <si>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</si>
  <si>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</si>
  <si>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</si>
  <si>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</si>
  <si>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</si>
  <si>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</si>
  <si>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</si>
  <si>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</si>
  <si>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</si>
  <si>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</si>
  <si>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</si>
  <si>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</si>
  <si>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</si>
  <si>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</si>
  <si>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</si>
  <si>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</si>
  <si>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</si>
  <si>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</si>
  <si>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</si>
  <si>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</si>
  <si>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</si>
  <si>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</si>
  <si>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</si>
  <si>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</si>
  <si>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</si>
  <si>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</si>
  <si>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</si>
  <si>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</si>
  <si>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</si>
  <si>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</si>
  <si>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</si>
  <si>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</si>
  <si>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</si>
  <si>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</si>
  <si>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</si>
  <si>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</si>
  <si>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</si>
  <si>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</si>
  <si>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</si>
  <si>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</si>
  <si>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</si>
  <si>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</si>
  <si>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</si>
  <si>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</si>
  <si>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</si>
  <si>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</si>
  <si>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</si>
  <si>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</si>
  <si>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</si>
  <si>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</si>
  <si>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</si>
  <si>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</si>
  <si>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</si>
  <si>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</si>
  <si>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</si>
  <si>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</si>
  <si>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</si>
  <si>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</si>
  <si>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</si>
  <si>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</si>
  <si>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</si>
  <si>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</si>
  <si>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</si>
  <si>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</si>
  <si>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</si>
  <si>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</si>
  <si>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</si>
  <si>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</si>
  <si>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</si>
  <si>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</si>
  <si>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</si>
  <si>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</si>
  <si>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</si>
  <si>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</si>
  <si>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</si>
  <si>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</si>
  <si>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</si>
  <si>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</si>
  <si>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</si>
  <si>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</si>
  <si>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</si>
  <si>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</si>
  <si>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</si>
  <si>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</si>
  <si>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</si>
  <si>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</si>
  <si>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</si>
  <si>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</si>
  <si>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</si>
  <si>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</si>
  <si>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</si>
  <si>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</si>
  <si>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</si>
  <si>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</si>
  <si>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</si>
  <si>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</si>
  <si>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</si>
  <si>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</si>
  <si>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</si>
  <si>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</si>
  <si>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</si>
  <si>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</si>
  <si>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</si>
  <si>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</si>
  <si>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</si>
  <si>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</si>
  <si>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</si>
  <si>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</si>
  <si>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</si>
  <si>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</si>
  <si>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</si>
  <si>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</si>
  <si>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</si>
  <si>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</si>
  <si>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</si>
  <si>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</si>
  <si>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</si>
  <si>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</si>
  <si>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</si>
  <si>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</si>
  <si>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</si>
  <si>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</si>
  <si>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</si>
  <si>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</si>
  <si>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</si>
  <si>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</si>
  <si>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</si>
  <si>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</si>
  <si>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</si>
  <si>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</si>
  <si>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</si>
  <si>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</si>
  <si>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</si>
  <si>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</si>
  <si>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</si>
  <si>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</si>
  <si>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</si>
  <si>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</si>
  <si>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</si>
  <si>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</si>
  <si>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</si>
  <si>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</si>
  <si>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</si>
  <si>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</si>
  <si>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</si>
  <si>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</si>
  <si>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</si>
  <si>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</si>
  <si>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</si>
  <si>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</si>
  <si>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</si>
  <si>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</si>
  <si>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</si>
  <si>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</si>
  <si>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</si>
  <si>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</si>
  <si>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</si>
  <si>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</si>
  <si>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</si>
  <si>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</si>
  <si>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</si>
  <si>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</si>
  <si>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</si>
  <si>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</si>
  <si>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</si>
  <si>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</si>
  <si>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</si>
  <si>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</si>
  <si>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</si>
  <si>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</si>
  <si>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</si>
  <si>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</si>
  <si>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</si>
  <si>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</si>
  <si>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</si>
  <si>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</si>
  <si>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</si>
  <si>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</si>
  <si>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</si>
  <si>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</si>
  <si>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</si>
  <si>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</si>
  <si>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</si>
  <si>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</si>
  <si>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</si>
  <si>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</si>
  <si>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</si>
  <si>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</si>
  <si>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</si>
  <si>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</si>
  <si>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</si>
  <si>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</si>
  <si>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</si>
  <si>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</si>
  <si>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</si>
  <si>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</si>
  <si>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</si>
  <si>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</si>
  <si>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</si>
  <si>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</si>
  <si>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</si>
  <si>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</si>
  <si>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</si>
  <si>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</si>
  <si>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</si>
  <si>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</si>
  <si>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</si>
  <si>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</si>
  <si>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</si>
  <si>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</si>
  <si>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</si>
  <si>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</si>
  <si>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</si>
  <si>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</si>
  <si>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</si>
  <si>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</si>
  <si>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</si>
  <si>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</si>
  <si>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</si>
  <si>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</si>
  <si>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</si>
  <si>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</si>
  <si>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</si>
  <si>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</si>
  <si>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</si>
  <si>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</si>
  <si>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</si>
  <si>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</si>
  <si>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</si>
  <si>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</si>
  <si>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</si>
  <si>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</si>
  <si>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</si>
  <si>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</si>
  <si>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</si>
  <si>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</si>
  <si>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</si>
  <si>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</si>
  <si>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</si>
  <si>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</si>
  <si>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</si>
  <si>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</si>
  <si>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</si>
  <si>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</si>
  <si>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</si>
  <si>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</si>
  <si>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</si>
  <si>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</si>
  <si>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</si>
  <si>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</si>
  <si>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</si>
  <si>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</si>
  <si>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</si>
  <si>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</si>
  <si>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</si>
  <si>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</si>
  <si>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</si>
  <si>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</si>
  <si>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</si>
  <si>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</si>
  <si>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</si>
  <si>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</si>
  <si>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</si>
  <si>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</si>
  <si>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</si>
  <si>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</si>
  <si>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</si>
  <si>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</si>
  <si>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</si>
  <si>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</si>
  <si>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</si>
  <si>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</si>
  <si>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</si>
  <si>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</si>
  <si>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</si>
  <si>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</si>
  <si>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</si>
  <si>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</si>
  <si>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</si>
  <si>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</si>
  <si>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</si>
  <si>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</si>
  <si>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</si>
  <si>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</si>
  <si>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</si>
  <si>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</si>
  <si>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</si>
  <si>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</si>
  <si>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</si>
  <si>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</si>
  <si>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</si>
  <si>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</si>
  <si>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</si>
  <si>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</si>
  <si>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</si>
  <si>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</si>
  <si>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</si>
  <si>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</si>
  <si>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</si>
  <si>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</si>
  <si>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</si>
  <si>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</si>
  <si>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</si>
  <si>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</si>
  <si>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</si>
  <si>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</si>
  <si>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</si>
  <si>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</si>
  <si>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</si>
  <si>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</si>
  <si>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</si>
  <si>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</si>
  <si>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</si>
  <si>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</si>
  <si>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</si>
  <si>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</si>
  <si>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</si>
  <si>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</si>
  <si>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</si>
  <si>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</si>
  <si>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</si>
  <si>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</si>
  <si>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</si>
  <si>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</si>
  <si>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</si>
  <si>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</si>
  <si>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</si>
  <si>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</si>
  <si>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</si>
  <si>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</si>
  <si>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</si>
  <si>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</si>
  <si>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</si>
  <si>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</si>
  <si>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</si>
  <si>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</si>
  <si>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</si>
  <si>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</si>
  <si>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</si>
  <si>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</si>
  <si>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</si>
  <si>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</si>
  <si>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</si>
  <si>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</si>
  <si>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</si>
  <si>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</si>
  <si>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</si>
  <si>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</si>
  <si>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</si>
  <si>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</si>
  <si>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</si>
  <si>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</si>
  <si>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</si>
  <si>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</si>
  <si>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</si>
  <si>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</si>
  <si>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</si>
  <si>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</si>
  <si>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</si>
  <si>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</si>
  <si>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</si>
  <si>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</si>
  <si>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</si>
  <si>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</si>
  <si>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</si>
  <si>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</si>
  <si>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</si>
  <si>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</si>
  <si>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</si>
  <si>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</si>
  <si>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</si>
  <si>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</si>
  <si>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</si>
  <si>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</si>
  <si>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</si>
  <si>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</si>
  <si>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</si>
  <si>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</si>
  <si>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</si>
  <si>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</si>
  <si>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</si>
  <si>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</si>
  <si>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</si>
  <si>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</si>
  <si>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</si>
  <si>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</si>
  <si>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</si>
  <si>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</si>
  <si>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</si>
  <si>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</si>
  <si>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</si>
  <si>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</si>
  <si>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</si>
  <si>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</si>
  <si>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</si>
  <si>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</si>
  <si>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</si>
  <si>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</si>
  <si>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</si>
  <si>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</si>
  <si>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</si>
  <si>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</si>
  <si>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</si>
  <si>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</si>
  <si>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</si>
  <si>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</si>
  <si>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</si>
  <si>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</si>
  <si>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</si>
  <si>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</si>
  <si>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</si>
  <si>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</si>
  <si>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</si>
  <si>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</si>
  <si>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</si>
  <si>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</si>
  <si>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</si>
  <si>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</si>
  <si>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</si>
  <si>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</si>
  <si>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</si>
  <si>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</si>
  <si>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</si>
  <si>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</si>
  <si>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</si>
  <si>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</si>
  <si>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</si>
  <si>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</si>
  <si>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</si>
  <si>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</si>
  <si>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</si>
  <si>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</si>
  <si>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</si>
  <si>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</si>
  <si>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</si>
  <si>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</si>
  <si>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</si>
  <si>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</si>
  <si>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</si>
  <si>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</si>
  <si>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</si>
  <si>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</si>
  <si>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</si>
  <si>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</si>
  <si>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</si>
  <si>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</si>
  <si>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</si>
  <si>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</si>
  <si>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</si>
  <si>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</si>
  <si>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</si>
  <si>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</si>
  <si>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</si>
  <si>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</si>
  <si>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</si>
  <si>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</si>
  <si>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</si>
  <si>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</si>
  <si>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</si>
  <si>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</si>
  <si>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</si>
  <si>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</si>
  <si>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</si>
  <si>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</si>
  <si>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</si>
  <si>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</si>
  <si>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</si>
  <si>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</si>
  <si>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</si>
  <si>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</si>
  <si>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</si>
  <si>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</si>
  <si>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</si>
  <si>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</si>
  <si>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</si>
  <si>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</si>
  <si>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</si>
  <si>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</si>
  <si>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</si>
  <si>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</si>
  <si>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</si>
  <si>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</si>
  <si>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</si>
  <si>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</si>
  <si>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</si>
  <si>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</si>
  <si>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</si>
  <si>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</si>
  <si>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</si>
  <si>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</si>
  <si>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</si>
  <si>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</si>
  <si>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</si>
  <si>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</si>
  <si>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</si>
  <si>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</si>
  <si>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</si>
  <si>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</si>
  <si>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</si>
  <si>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</si>
  <si>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</si>
  <si>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</si>
  <si>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</si>
  <si>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</si>
  <si>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</si>
  <si>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</si>
  <si>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</si>
  <si>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</si>
  <si>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</si>
  <si>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</si>
  <si>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</si>
  <si>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</si>
  <si>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</si>
  <si>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</si>
  <si>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</si>
  <si>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</si>
  <si>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</si>
  <si>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</si>
  <si>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</si>
  <si>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</si>
  <si>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</si>
  <si>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</si>
  <si>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</si>
  <si>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</si>
  <si>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</si>
  <si>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</si>
  <si>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</si>
  <si>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</si>
  <si>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</si>
  <si>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</si>
  <si>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</si>
  <si>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</si>
  <si>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</si>
  <si>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</si>
  <si>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</si>
  <si>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</si>
  <si>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</si>
  <si>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</si>
  <si>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</si>
  <si>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</si>
  <si>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</si>
  <si>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</si>
  <si>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</si>
  <si>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</si>
  <si>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</si>
  <si>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</si>
  <si>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</si>
  <si>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</si>
  <si>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</si>
  <si>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</si>
  <si>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</si>
  <si>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</si>
  <si>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</si>
  <si>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</si>
  <si>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</si>
  <si>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</si>
  <si>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</si>
  <si>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</si>
  <si>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</si>
  <si>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</si>
  <si>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</si>
  <si>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</si>
  <si>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</si>
  <si>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</si>
  <si>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</si>
  <si>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</si>
  <si>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</si>
  <si>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</si>
  <si>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</si>
  <si>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</si>
  <si>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</si>
  <si>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</si>
  <si>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</si>
  <si>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</si>
  <si>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</si>
  <si>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</si>
  <si>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</si>
  <si>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</si>
  <si>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</si>
  <si>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</si>
  <si>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</si>
  <si>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</si>
  <si>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</si>
  <si>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</si>
  <si>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</si>
  <si>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</si>
  <si>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</si>
  <si>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</si>
  <si>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</si>
  <si>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</si>
  <si>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</si>
  <si>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</si>
  <si>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</si>
  <si>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</si>
  <si>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</si>
  <si>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</si>
  <si>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</si>
  <si>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</si>
  <si>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</si>
  <si>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</si>
  <si>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</si>
  <si>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</si>
  <si>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</si>
  <si>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</si>
  <si>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</si>
  <si>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</si>
  <si>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</si>
  <si>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</si>
  <si>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</si>
  <si>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</si>
  <si>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</si>
  <si>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</si>
  <si>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</si>
  <si>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</si>
  <si>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</si>
  <si>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</si>
  <si>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</si>
  <si>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</si>
  <si>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</si>
  <si>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</si>
  <si>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</si>
  <si>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</si>
  <si>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</si>
  <si>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</si>
  <si>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</si>
  <si>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</si>
  <si>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</si>
  <si>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</si>
  <si>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</si>
  <si>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</si>
  <si>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</si>
  <si>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</si>
  <si>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</si>
  <si>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</si>
  <si>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</si>
  <si>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</si>
  <si>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</si>
  <si>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</si>
  <si>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</si>
  <si>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</si>
  <si>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</si>
  <si>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</si>
  <si>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</si>
  <si>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</si>
  <si>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</si>
  <si>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</si>
  <si>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</si>
  <si>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</si>
  <si>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</si>
  <si>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</si>
  <si>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</si>
  <si>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</si>
  <si>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</si>
  <si>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</si>
  <si>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</si>
  <si>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</si>
  <si>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</si>
  <si>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</si>
  <si>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</si>
  <si>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</si>
  <si>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</si>
  <si>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</si>
  <si>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</si>
  <si>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</si>
  <si>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</si>
  <si>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</si>
  <si>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</si>
  <si>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</si>
  <si>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</si>
  <si>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</si>
  <si>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</si>
  <si>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</si>
  <si>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</si>
  <si>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</si>
  <si>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</si>
  <si>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</si>
  <si>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</si>
  <si>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</si>
  <si>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</si>
  <si>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</si>
  <si>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</si>
  <si>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</si>
  <si>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</si>
  <si>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</si>
  <si>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</si>
  <si>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</si>
  <si>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</si>
  <si>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</si>
  <si>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</si>
  <si>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</si>
  <si>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</si>
  <si>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</si>
  <si>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</si>
  <si>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</si>
  <si>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</si>
  <si>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</si>
  <si>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</si>
  <si>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</si>
  <si>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</si>
  <si>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</si>
  <si>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</si>
  <si>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</si>
  <si>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</si>
  <si>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</si>
  <si>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</si>
  <si>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</si>
  <si>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</si>
  <si>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</si>
  <si>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</si>
  <si>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</si>
  <si>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</si>
  <si>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</si>
  <si>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</si>
  <si>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</si>
  <si>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</si>
  <si>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</si>
  <si>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</si>
  <si>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</si>
  <si>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</si>
  <si>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</si>
  <si>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</si>
  <si>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</si>
  <si>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</si>
  <si>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</si>
  <si>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</si>
  <si>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</si>
  <si>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</si>
  <si>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</si>
  <si>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</si>
  <si>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</si>
  <si>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</si>
  <si>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</si>
  <si>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</si>
  <si>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</si>
  <si>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</si>
  <si>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</si>
  <si>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</si>
  <si>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</si>
  <si>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</si>
  <si>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</si>
  <si>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</si>
  <si>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</si>
  <si>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</si>
  <si>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</si>
  <si>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</si>
  <si>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</si>
  <si>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</si>
  <si>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</si>
  <si>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</si>
  <si>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</si>
  <si>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</si>
  <si>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</si>
  <si>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</si>
  <si>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</si>
  <si>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</si>
  <si>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</si>
  <si>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</si>
  <si>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</si>
  <si>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</si>
  <si>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</si>
  <si>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</si>
  <si>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</si>
  <si>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</si>
  <si>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</si>
  <si>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</si>
  <si>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</si>
  <si>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</si>
  <si>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</si>
  <si>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</si>
  <si>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</si>
  <si>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</si>
  <si>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</si>
  <si>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</si>
  <si>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</si>
  <si>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</si>
  <si>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</si>
  <si>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</si>
  <si>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</si>
  <si>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</si>
  <si>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</si>
  <si>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</si>
  <si>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</si>
  <si>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</si>
  <si>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</si>
  <si>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</si>
  <si>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</si>
  <si>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</si>
  <si>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</si>
  <si>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</si>
  <si>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</si>
  <si>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</si>
  <si>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</si>
  <si>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</si>
  <si>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</si>
  <si>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</si>
  <si>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</si>
  <si>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</si>
  <si>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</si>
  <si>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</si>
  <si>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</si>
  <si>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</si>
  <si>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</si>
  <si>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</si>
  <si>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</si>
  <si>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</si>
  <si>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</si>
  <si>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</si>
  <si>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</si>
  <si>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</si>
  <si>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</si>
  <si>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</si>
  <si>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</si>
  <si>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</si>
  <si>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</si>
  <si>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</si>
  <si>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</si>
  <si>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</si>
  <si>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</si>
  <si>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</si>
  <si>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</si>
  <si>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</si>
  <si>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</si>
  <si>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</si>
  <si>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</si>
  <si>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</si>
  <si>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</si>
  <si>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</si>
  <si>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</si>
  <si>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</si>
  <si>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</si>
  <si>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</si>
  <si>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</si>
  <si>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</si>
  <si>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</si>
  <si>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</si>
  <si>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</si>
  <si>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</si>
  <si>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</si>
  <si>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</si>
  <si>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</si>
  <si>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</si>
  <si>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</si>
  <si>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</si>
  <si>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</si>
  <si>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</si>
  <si>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</si>
  <si>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</si>
  <si>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</si>
  <si>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</si>
  <si>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</si>
  <si>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</si>
  <si>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</si>
  <si>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</si>
  <si>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</si>
  <si>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</si>
  <si>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</si>
  <si>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</si>
  <si>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</si>
  <si>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</si>
  <si>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</si>
  <si>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</si>
  <si>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</si>
  <si>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</si>
  <si>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</si>
  <si>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</si>
  <si>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</si>
  <si>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</si>
  <si>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</si>
  <si>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</si>
  <si>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</si>
  <si>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</si>
  <si>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</si>
  <si>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</si>
  <si>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</si>
  <si>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</si>
  <si>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</si>
  <si>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</si>
  <si>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</si>
  <si>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</si>
  <si>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</si>
  <si>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</si>
  <si>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</si>
  <si>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</si>
  <si>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</si>
  <si>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</si>
  <si>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</si>
  <si>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</si>
  <si>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</si>
  <si>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</si>
  <si>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</si>
  <si>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</si>
  <si>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</si>
  <si>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</si>
  <si>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</si>
  <si>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</si>
  <si>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</si>
  <si>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</si>
  <si>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</si>
  <si>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</si>
  <si>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</si>
  <si>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</si>
  <si>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</si>
  <si>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</si>
  <si>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</si>
  <si>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</si>
  <si>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</si>
  <si>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</si>
  <si>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</si>
  <si>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</si>
  <si>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</si>
  <si>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</si>
  <si>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</si>
  <si>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</si>
  <si>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</si>
  <si>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</si>
  <si>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</si>
  <si>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</si>
  <si>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</si>
  <si>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</si>
  <si>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</si>
  <si>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</si>
  <si>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</si>
  <si>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</si>
  <si>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</si>
  <si>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</si>
  <si>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</si>
  <si>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</si>
  <si>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</si>
  <si>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</si>
  <si>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</si>
  <si>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</si>
  <si>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</si>
  <si>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</si>
  <si>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</si>
  <si>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</si>
  <si>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</si>
  <si>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</si>
  <si>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</si>
  <si>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</si>
  <si>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</si>
  <si>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</si>
  <si>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</si>
  <si>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</si>
  <si>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</si>
  <si>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</si>
  <si>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</si>
  <si>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</si>
  <si>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</si>
  <si>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</si>
  <si>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</si>
  <si>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</si>
  <si>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</si>
  <si>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</si>
  <si>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</si>
  <si>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</si>
  <si>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</si>
  <si>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</si>
  <si>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</si>
  <si>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</si>
  <si>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</si>
  <si>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</si>
  <si>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</si>
  <si>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</si>
  <si>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</si>
  <si>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</si>
  <si>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</si>
  <si>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</si>
  <si>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</si>
  <si>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</si>
  <si>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</si>
  <si>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</si>
  <si>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</si>
  <si>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</si>
  <si>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</si>
  <si>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</si>
  <si>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</si>
  <si>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</si>
  <si>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</si>
  <si>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</si>
  <si>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</si>
  <si>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</si>
  <si>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</si>
  <si>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</si>
  <si>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</si>
  <si>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</si>
  <si>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</si>
  <si>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</si>
  <si>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</si>
  <si>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</si>
  <si>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</si>
  <si>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</si>
  <si>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</si>
  <si>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</si>
  <si>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</si>
  <si>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</si>
  <si>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</si>
  <si>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</si>
  <si>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</si>
  <si>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</si>
  <si>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</si>
  <si>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</si>
  <si>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</si>
  <si>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</si>
  <si>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</si>
  <si>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</si>
  <si>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</si>
  <si>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</si>
  <si>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</si>
  <si>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</si>
  <si>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</si>
  <si>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</si>
  <si>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</si>
  <si>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</si>
  <si>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</si>
  <si>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</si>
  <si>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</si>
  <si>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</si>
  <si>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</si>
  <si>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</si>
  <si>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</si>
  <si>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</si>
  <si>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</si>
  <si>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</si>
  <si>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</si>
  <si>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</si>
  <si>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</si>
  <si>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</si>
  <si>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</si>
  <si>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</si>
  <si>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</si>
  <si>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</si>
  <si>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</si>
  <si>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</si>
  <si>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</si>
  <si>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</si>
  <si>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</si>
  <si>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</si>
  <si>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</si>
  <si>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</si>
  <si>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</si>
  <si>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</si>
  <si>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</si>
  <si>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</si>
  <si>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</si>
  <si>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</si>
  <si>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</si>
  <si>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</si>
  <si>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</si>
  <si>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</si>
  <si>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</si>
  <si>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</si>
  <si>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</si>
  <si>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</si>
  <si>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</si>
  <si>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</si>
  <si>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</si>
  <si>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</si>
  <si>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</si>
  <si>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</si>
  <si>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</si>
  <si>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</si>
  <si>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</si>
  <si>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</si>
  <si>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</si>
  <si>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</si>
  <si>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</si>
  <si>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</si>
  <si>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</si>
  <si>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</si>
  <si>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</si>
  <si>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</si>
  <si>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</si>
  <si>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</si>
  <si>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</si>
  <si>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</si>
  <si>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</si>
  <si>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</si>
  <si>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</si>
  <si>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</si>
  <si>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</si>
  <si>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</si>
  <si>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</si>
  <si>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</si>
  <si>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</si>
  <si>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</si>
  <si>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</si>
  <si>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</si>
  <si>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</si>
  <si>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</si>
  <si>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</si>
  <si>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</si>
  <si>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</si>
  <si>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</si>
  <si>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</si>
  <si>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</si>
  <si>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</si>
  <si>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</si>
  <si>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</si>
  <si>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</si>
  <si>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</si>
  <si>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</si>
  <si>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</si>
  <si>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</si>
  <si>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</si>
  <si>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</si>
  <si>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</si>
  <si>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</si>
  <si>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</si>
  <si>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</si>
  <si>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</si>
  <si>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</si>
  <si>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</si>
  <si>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</si>
  <si>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</si>
  <si>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</si>
  <si>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</si>
  <si>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</si>
  <si>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</si>
  <si>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</si>
  <si>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</si>
  <si>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</si>
  <si>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</si>
  <si>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</si>
  <si>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</si>
  <si>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</si>
  <si>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</si>
  <si>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</si>
  <si>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</si>
  <si>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</si>
  <si>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</si>
  <si>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</si>
  <si>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</si>
  <si>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</si>
  <si>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</si>
  <si>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</si>
  <si>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</si>
  <si>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</si>
  <si>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</si>
  <si>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</si>
  <si>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</si>
  <si>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</si>
  <si>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</si>
  <si>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</si>
  <si>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</si>
  <si>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</si>
  <si>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</si>
  <si>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</si>
  <si>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</si>
  <si>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</si>
  <si>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</si>
  <si>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</si>
  <si>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</si>
  <si>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</si>
  <si>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</si>
  <si>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</si>
  <si>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</si>
  <si>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</si>
  <si>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</si>
  <si>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</si>
  <si>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</si>
  <si>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</si>
  <si>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</si>
  <si>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</si>
  <si>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</si>
  <si>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</si>
  <si>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</si>
  <si>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</si>
  <si>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</si>
  <si>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</si>
  <si>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</si>
  <si>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</si>
  <si>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</si>
  <si>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</si>
  <si>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</si>
  <si>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</si>
  <si>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</si>
  <si>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</si>
  <si>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</si>
  <si>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</si>
  <si>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</si>
  <si>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</si>
  <si>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</si>
  <si>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</si>
  <si>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</si>
  <si>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</si>
  <si>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</si>
  <si>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</si>
  <si>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</si>
  <si>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</si>
  <si>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</si>
  <si>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</si>
  <si>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</si>
  <si>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</si>
  <si>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</si>
  <si>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</si>
  <si>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</si>
  <si>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</si>
  <si>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</si>
  <si>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</si>
  <si>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</si>
  <si>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</si>
  <si>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</si>
  <si>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</si>
  <si>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</si>
  <si>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</si>
  <si>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</si>
  <si>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</si>
  <si>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</si>
  <si>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</si>
  <si>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</si>
  <si>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</si>
  <si>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</si>
  <si>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</si>
  <si>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</si>
  <si>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</si>
  <si>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</si>
  <si>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</si>
  <si>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</si>
  <si>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</si>
  <si>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</si>
  <si>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</si>
  <si>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</si>
  <si>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</si>
  <si>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</si>
  <si>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</si>
  <si>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</si>
  <si>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</si>
  <si>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</si>
  <si>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</si>
  <si>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</si>
  <si>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</si>
  <si>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</si>
  <si>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</si>
  <si>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</si>
  <si>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</si>
  <si>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</si>
  <si>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</si>
  <si>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</si>
  <si>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</si>
  <si>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</si>
  <si>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</si>
  <si>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</si>
  <si>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</si>
  <si>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</si>
  <si>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</si>
  <si>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</si>
  <si>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</si>
  <si>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</si>
  <si>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</si>
  <si>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</si>
  <si>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</si>
  <si>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</si>
  <si>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</si>
  <si>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</si>
  <si>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</si>
  <si>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</si>
  <si>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</si>
  <si>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</si>
  <si>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</si>
  <si>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</si>
  <si>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</si>
  <si>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</si>
  <si>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</si>
  <si>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</si>
  <si>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</si>
  <si>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</si>
  <si>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</si>
  <si>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</si>
  <si>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</si>
  <si>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</si>
  <si>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</si>
  <si>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</si>
  <si>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</si>
  <si>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</si>
  <si>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</si>
  <si>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</si>
  <si>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</si>
  <si>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</si>
  <si>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</si>
  <si>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</si>
  <si>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</si>
  <si>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</si>
  <si>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</si>
  <si>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</si>
  <si>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</si>
  <si>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</si>
  <si>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</si>
  <si>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</si>
  <si>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</si>
  <si>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</si>
  <si>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</si>
  <si>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</si>
  <si>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</si>
  <si>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</si>
  <si>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</si>
  <si>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</si>
  <si>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</si>
  <si>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</si>
  <si>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</si>
  <si>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</si>
  <si>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</si>
  <si>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</si>
  <si>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</si>
  <si>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</si>
  <si>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</si>
  <si>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</si>
  <si>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</si>
  <si>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</si>
  <si>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</si>
  <si>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</si>
  <si>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</si>
  <si>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</si>
  <si>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</si>
  <si>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</si>
  <si>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</si>
  <si>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</si>
  <si>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</si>
  <si>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</si>
  <si>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</si>
  <si>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</si>
  <si>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</si>
  <si>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</si>
  <si>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</si>
  <si>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</si>
  <si>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</si>
  <si>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</si>
  <si>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</si>
  <si>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</si>
  <si>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</si>
  <si>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</si>
  <si>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</si>
  <si>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</si>
  <si>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</si>
  <si>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</si>
  <si>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</si>
  <si>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</si>
  <si>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</si>
  <si>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</si>
  <si>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</si>
  <si>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</si>
  <si>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</si>
  <si>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</si>
  <si>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</si>
  <si>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</si>
  <si>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</si>
  <si>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</si>
  <si>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</si>
  <si>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</si>
  <si>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</si>
  <si>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</si>
  <si>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</si>
  <si>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</si>
  <si>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</si>
  <si>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</si>
  <si>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</si>
  <si>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</si>
  <si>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</si>
  <si>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</si>
  <si>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</si>
  <si>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</si>
  <si>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</si>
  <si>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</si>
  <si>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</si>
  <si>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</si>
  <si>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</si>
  <si>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</si>
  <si>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</si>
  <si>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</si>
  <si>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</si>
  <si>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</si>
  <si>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</si>
  <si>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</si>
  <si>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</si>
  <si>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</si>
  <si>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</si>
  <si>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</si>
  <si>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</si>
  <si>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</si>
  <si>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</si>
  <si>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</si>
  <si>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</si>
  <si>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</si>
  <si>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</si>
  <si>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</si>
  <si>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</si>
  <si>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</si>
  <si>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</si>
  <si>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</si>
  <si>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</si>
  <si>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</si>
  <si>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</si>
  <si>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</si>
  <si>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</si>
  <si>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</si>
  <si>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</si>
  <si>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</si>
  <si>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</si>
  <si>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</si>
  <si>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</si>
  <si>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</si>
  <si>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</si>
  <si>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</si>
  <si>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</si>
  <si>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</si>
  <si>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</si>
  <si>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</si>
  <si>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</si>
  <si>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</si>
  <si>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</si>
  <si>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</si>
  <si>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</si>
  <si>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</si>
  <si>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</si>
  <si>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</si>
  <si>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</si>
  <si>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</si>
  <si>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</si>
  <si>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</si>
  <si>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</si>
  <si>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</si>
  <si>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</si>
  <si>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</si>
  <si>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</si>
  <si>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</si>
  <si>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</si>
  <si>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</si>
  <si>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</si>
  <si>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</si>
  <si>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</si>
  <si>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</si>
  <si>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</si>
  <si>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</si>
  <si>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</si>
  <si>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</si>
  <si>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</si>
  <si>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</si>
  <si>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</si>
  <si>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</si>
  <si>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</si>
  <si>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</si>
  <si>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</si>
  <si>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</si>
  <si>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</si>
  <si>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</si>
  <si>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</si>
  <si>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</si>
  <si>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</si>
  <si>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</si>
  <si>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</si>
  <si>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</si>
  <si>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</si>
  <si>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</si>
  <si>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</si>
  <si>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</si>
  <si>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</si>
  <si>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</si>
  <si>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</si>
  <si>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</si>
  <si>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</si>
  <si>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</si>
  <si>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</si>
  <si>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</si>
  <si>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</si>
  <si>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</si>
  <si>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</si>
  <si>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</si>
  <si>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</si>
  <si>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</si>
  <si>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</si>
  <si>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</si>
  <si>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</si>
  <si>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</si>
  <si>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</si>
  <si>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</si>
  <si>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</si>
  <si>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</si>
  <si>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</si>
  <si>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</si>
  <si>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</si>
  <si>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</si>
  <si>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</si>
  <si>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</si>
  <si>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</si>
  <si>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</si>
  <si>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</si>
  <si>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</si>
  <si>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</si>
  <si>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</si>
  <si>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</si>
  <si>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</si>
  <si>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</si>
  <si>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</si>
  <si>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</si>
  <si>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</si>
  <si>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</si>
  <si>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</si>
  <si>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</si>
  <si>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</si>
  <si>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</si>
  <si>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</si>
  <si>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</si>
  <si>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</si>
  <si>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</si>
  <si>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</si>
  <si>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</si>
  <si>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</si>
  <si>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</si>
  <si>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</si>
  <si>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</si>
  <si>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</si>
  <si>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</si>
  <si>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</si>
  <si>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</si>
  <si>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</si>
  <si>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</si>
  <si>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</si>
  <si>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</si>
  <si>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</si>
  <si>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</si>
  <si>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</si>
  <si>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</si>
  <si>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</si>
  <si>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</si>
  <si>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</si>
  <si>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</si>
  <si>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</si>
  <si>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</si>
  <si>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</si>
  <si>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</si>
  <si>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</si>
  <si>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</si>
  <si>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</si>
  <si>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</si>
  <si>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</si>
  <si>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</si>
  <si>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</si>
  <si>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</si>
  <si>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</si>
  <si>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</si>
  <si>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</si>
  <si>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</si>
  <si>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</si>
  <si>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</si>
  <si>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</si>
  <si>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</si>
  <si>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</si>
  <si>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</si>
  <si>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</si>
  <si>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</si>
  <si>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</si>
  <si>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</si>
  <si>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</si>
  <si>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</si>
  <si>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</si>
  <si>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</si>
  <si>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</si>
  <si>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</si>
  <si>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</si>
  <si>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</si>
  <si>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</si>
  <si>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</si>
  <si>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</si>
  <si>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</si>
  <si>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</si>
  <si>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</si>
  <si>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</si>
  <si>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</si>
  <si>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</si>
  <si>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</si>
  <si>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</si>
  <si>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</si>
  <si>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</si>
  <si>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</si>
  <si>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</si>
  <si>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</si>
  <si>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</si>
  <si>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</si>
  <si>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</si>
  <si>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</si>
  <si>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</si>
  <si>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</si>
  <si>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</si>
  <si>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</si>
  <si>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</si>
  <si>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</si>
  <si>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</si>
  <si>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</si>
  <si>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</si>
  <si>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</si>
  <si>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</si>
  <si>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</si>
  <si>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</si>
  <si>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</si>
  <si>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</si>
  <si>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</si>
  <si>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</si>
  <si>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</si>
  <si>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</si>
  <si>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</si>
  <si>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</si>
  <si>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</si>
  <si>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</si>
  <si>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</si>
  <si>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</si>
  <si>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</si>
  <si>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</si>
  <si>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</si>
  <si>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</si>
  <si>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</si>
  <si>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</si>
  <si>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</si>
  <si>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</si>
  <si>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</si>
  <si>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</si>
  <si>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</si>
  <si>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</si>
  <si>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</si>
  <si>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</si>
  <si>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</si>
  <si>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</si>
  <si>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</si>
  <si>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</si>
  <si>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</si>
  <si>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</si>
  <si>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</si>
  <si>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</si>
  <si>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</si>
  <si>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</si>
  <si>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</si>
  <si>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</si>
  <si>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</si>
  <si>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</si>
  <si>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</si>
  <si>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</si>
  <si>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</si>
  <si>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</si>
  <si>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</si>
  <si>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</si>
  <si>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</si>
  <si>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</si>
  <si>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</si>
  <si>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</si>
  <si>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</si>
  <si>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</si>
  <si>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</si>
  <si>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</si>
  <si>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</si>
  <si>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</si>
  <si>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</si>
  <si>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</si>
  <si>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</si>
  <si>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</si>
  <si>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</si>
  <si>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</si>
  <si>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</si>
  <si>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</si>
  <si>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</si>
  <si>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</si>
  <si>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</si>
  <si>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</si>
  <si>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</si>
  <si>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</si>
  <si>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</si>
  <si>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</si>
  <si>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</si>
  <si>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</si>
  <si>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</si>
  <si>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</si>
  <si>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</si>
  <si>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</si>
  <si>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</si>
  <si>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</si>
  <si>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</si>
  <si>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</si>
  <si>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</si>
  <si>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</si>
  <si>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</si>
  <si>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</si>
  <si>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</si>
  <si>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</si>
  <si>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</si>
  <si>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</si>
  <si>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</si>
  <si>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</si>
  <si>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</si>
  <si>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</si>
  <si>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</si>
  <si>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</si>
  <si>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</si>
  <si>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</si>
  <si>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</si>
  <si>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</si>
  <si>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</si>
  <si>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</si>
  <si>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</si>
  <si>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</si>
  <si>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</si>
  <si>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</si>
  <si>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</si>
  <si>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</si>
  <si>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</si>
  <si>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</si>
  <si>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</si>
  <si>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</si>
  <si>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</si>
  <si>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</si>
  <si>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</si>
  <si>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</si>
  <si>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</si>
  <si>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</si>
  <si>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</si>
  <si>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</si>
  <si>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</si>
  <si>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</si>
  <si>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</si>
  <si>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</si>
  <si>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</si>
  <si>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</si>
  <si>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</si>
  <si>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</si>
  <si>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</si>
  <si>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</si>
  <si>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</si>
  <si>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</si>
  <si>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</si>
  <si>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</si>
  <si>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</si>
  <si>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</si>
  <si>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</si>
  <si>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</si>
  <si>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</si>
  <si>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</si>
  <si>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</si>
  <si>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</si>
  <si>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</si>
  <si>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</si>
  <si>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</si>
  <si>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</si>
  <si>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</si>
  <si>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</si>
  <si>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</si>
  <si>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</si>
  <si>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</si>
  <si>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</si>
  <si>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</si>
  <si>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</si>
  <si>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</si>
  <si>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</si>
  <si>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</si>
  <si>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</si>
  <si>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</si>
  <si>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</si>
  <si>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</si>
  <si>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</si>
  <si>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</si>
  <si>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</si>
  <si>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</si>
  <si>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</si>
  <si>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</si>
  <si>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</si>
  <si>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</si>
  <si>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</si>
  <si>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</si>
  <si>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</si>
  <si>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</si>
  <si>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</si>
  <si>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</si>
  <si>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</si>
  <si>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</si>
  <si>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</si>
  <si>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</si>
  <si>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</si>
  <si>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</si>
  <si>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</si>
  <si>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</si>
  <si>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</si>
  <si>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</si>
  <si>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</si>
  <si>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</si>
  <si>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</si>
  <si>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</si>
  <si>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</si>
  <si>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</si>
  <si>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</si>
  <si>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</si>
  <si>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</si>
  <si>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</si>
  <si>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</si>
  <si>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</si>
  <si>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</si>
  <si>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</si>
  <si>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</si>
  <si>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</si>
  <si>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</si>
  <si>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</si>
  <si>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</si>
  <si>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</si>
  <si>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</si>
  <si>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</si>
  <si>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</si>
  <si>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</si>
  <si>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</si>
  <si>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</si>
  <si>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</si>
  <si>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</si>
  <si>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</si>
  <si>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</si>
  <si>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</si>
  <si>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</si>
  <si>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</si>
  <si>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</si>
  <si>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</si>
  <si>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</si>
  <si>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</si>
  <si>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</si>
  <si>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</si>
  <si>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</si>
  <si>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</si>
  <si>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</si>
  <si>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</si>
  <si>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</si>
  <si>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</si>
  <si>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</si>
  <si>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</si>
  <si>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</si>
  <si>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</si>
  <si>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</si>
  <si>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</si>
  <si>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</si>
  <si>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</si>
  <si>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</si>
  <si>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</si>
  <si>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</si>
  <si>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</si>
  <si>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</si>
  <si>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</si>
  <si>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</si>
  <si>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</si>
  <si>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</si>
  <si>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</si>
  <si>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</si>
  <si>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</si>
  <si>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</si>
  <si>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</si>
  <si>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</si>
  <si>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</si>
  <si>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</si>
  <si>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</si>
  <si>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</si>
  <si>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</si>
  <si>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</si>
  <si>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</si>
  <si>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</si>
  <si>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</si>
  <si>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</si>
  <si>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</si>
  <si>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</si>
  <si>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</si>
  <si>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</si>
  <si>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</si>
  <si>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</si>
  <si>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</si>
  <si>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</si>
  <si>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</si>
  <si>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</si>
  <si>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</si>
  <si>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</si>
  <si>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</si>
  <si>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</si>
  <si>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</si>
  <si>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</si>
  <si>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</si>
  <si>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</si>
  <si>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</si>
  <si>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</si>
  <si>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</si>
  <si>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</si>
  <si>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</si>
  <si>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</si>
  <si>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</si>
  <si>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</si>
  <si>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</si>
  <si>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</si>
  <si>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</si>
  <si>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</si>
  <si>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</si>
  <si>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</si>
  <si>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</si>
  <si>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</si>
  <si>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</si>
  <si>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</si>
  <si>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</si>
  <si>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</si>
  <si>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</si>
  <si>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</si>
  <si>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</si>
  <si>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</si>
  <si>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</si>
  <si>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</si>
  <si>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</si>
  <si>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</si>
  <si>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</si>
  <si>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</si>
  <si>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</si>
  <si>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</si>
  <si>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</si>
  <si>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</si>
  <si>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</si>
  <si>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</si>
  <si>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</si>
  <si>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</si>
  <si>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</si>
  <si>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</si>
  <si>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</si>
  <si>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</si>
  <si>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</si>
  <si>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</si>
  <si>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</si>
  <si>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</si>
  <si>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</si>
  <si>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</si>
  <si>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</si>
  <si>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</si>
  <si>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</si>
  <si>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</si>
  <si>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</si>
  <si>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</si>
  <si>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</si>
  <si>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</si>
  <si>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</si>
  <si>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</si>
  <si>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</si>
  <si>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</si>
  <si>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</si>
  <si>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</si>
  <si>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</si>
  <si>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</si>
  <si>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</si>
  <si>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</si>
  <si>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</si>
  <si>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</si>
  <si>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</si>
  <si>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</si>
  <si>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</si>
  <si>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</si>
  <si>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</si>
  <si>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</si>
  <si>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</si>
  <si>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</si>
  <si>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</si>
  <si>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</si>
  <si>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</si>
  <si>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</si>
  <si>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</si>
  <si>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</si>
  <si>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</si>
  <si>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</si>
  <si>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</si>
  <si>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</si>
  <si>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</si>
  <si>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</si>
  <si>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</si>
  <si>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</si>
  <si>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</si>
  <si>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</si>
  <si>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</si>
  <si>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</si>
  <si>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</si>
  <si>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</si>
  <si>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</si>
  <si>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</si>
  <si>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</si>
  <si>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</si>
  <si>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</si>
  <si>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</si>
  <si>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</si>
  <si>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</si>
  <si>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</si>
  <si>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YupoongInc; 174, Gurodong-ro, Guro-gu, 08285 Seoul, South Korea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</si>
  <si>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</si>
  <si>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</si>
  <si>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</si>
  <si>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</si>
  <si>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</si>
  <si>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</si>
  <si>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</si>
  <si>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</si>
  <si>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</si>
  <si>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</si>
  <si>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</si>
  <si>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</si>
  <si>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</si>
  <si>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</si>
  <si>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</si>
  <si>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</si>
  <si>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</si>
  <si>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</si>
  <si>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</si>
  <si>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</si>
  <si>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</si>
  <si>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</si>
  <si>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</si>
  <si>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</si>
  <si>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</si>
  <si>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</si>
  <si>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</si>
  <si>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</si>
  <si>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</si>
  <si>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</si>
  <si>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</si>
  <si>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</si>
  <si>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</si>
  <si>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</si>
  <si>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</si>
  <si>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</si>
  <si>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</si>
  <si>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</si>
  <si>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</si>
  <si>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</si>
  <si>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</si>
  <si>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</si>
  <si>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</si>
  <si>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</si>
  <si>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</si>
  <si>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</si>
  <si>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</si>
  <si>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</si>
  <si>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</si>
  <si>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</si>
  <si>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</si>
  <si>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</si>
  <si>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</si>
  <si>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</si>
  <si>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</si>
  <si>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</si>
  <si>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</si>
  <si>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</si>
  <si>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</si>
  <si>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</si>
  <si>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</si>
  <si>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</si>
  <si>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</si>
  <si>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</si>
  <si>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</si>
  <si>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</si>
  <si>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</si>
  <si>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</si>
  <si>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</si>
  <si>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</si>
  <si>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</si>
  <si>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</si>
  <si>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</si>
  <si>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</si>
  <si>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</si>
  <si>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</si>
  <si>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</si>
  <si>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</si>
  <si>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</si>
  <si>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</si>
  <si>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</si>
  <si>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</si>
  <si>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</si>
  <si>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</si>
  <si>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</si>
  <si>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</si>
  <si>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</si>
  <si>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</si>
  <si>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</si>
  <si>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</si>
  <si>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</si>
  <si>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</si>
  <si>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</si>
  <si>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</si>
  <si>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</si>
  <si>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</si>
  <si>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</si>
  <si>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</si>
  <si>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</si>
  <si>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</si>
  <si>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</si>
  <si>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</si>
  <si>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</si>
  <si>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</si>
  <si>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</si>
  <si>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</si>
  <si>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</si>
  <si>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</si>
  <si>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</si>
  <si>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</si>
  <si>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</si>
  <si>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</si>
  <si>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</si>
  <si>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</si>
  <si>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</si>
  <si>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</si>
  <si>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</si>
  <si>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</si>
  <si>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</si>
  <si>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</si>
  <si>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</si>
  <si>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</si>
  <si>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</si>
  <si>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</si>
  <si>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</si>
  <si>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</si>
  <si>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</si>
  <si>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</si>
  <si>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</si>
  <si>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</si>
  <si>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</si>
  <si>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</si>
  <si>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</si>
  <si>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</si>
  <si>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</si>
  <si>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</si>
  <si>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</si>
  <si>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</si>
  <si>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</si>
  <si>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</si>
  <si>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</si>
  <si>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</si>
  <si>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</si>
  <si>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</si>
  <si>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</si>
  <si>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</si>
  <si>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</si>
  <si>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</si>
  <si>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</si>
  <si>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</si>
  <si>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</si>
  <si>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</si>
  <si>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</si>
  <si>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</si>
  <si>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</si>
  <si>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</si>
  <si>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</si>
  <si>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</si>
  <si>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</si>
  <si>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</si>
  <si>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</si>
  <si>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</si>
  <si>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</si>
  <si>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</si>
  <si>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</si>
  <si>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</si>
  <si>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</si>
  <si>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</si>
  <si>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</si>
  <si>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</si>
  <si>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</si>
  <si>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</si>
  <si>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</si>
  <si>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</si>
  <si>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</si>
  <si>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</si>
  <si>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</si>
  <si>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</si>
  <si>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</si>
  <si>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</si>
  <si>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</si>
  <si>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</si>
  <si>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</si>
  <si>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</si>
  <si>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</si>
  <si>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</si>
  <si>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</si>
  <si>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</si>
  <si>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</si>
  <si>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</si>
  <si>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</si>
  <si>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</si>
  <si>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</si>
  <si>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</si>
  <si>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</si>
  <si>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</si>
  <si>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</si>
  <si>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</si>
  <si>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</si>
  <si>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</si>
  <si>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</si>
  <si>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</si>
  <si>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</si>
  <si>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</si>
  <si>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</si>
  <si>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</si>
  <si>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</si>
  <si>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</si>
  <si>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</si>
  <si>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</si>
  <si>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</si>
  <si>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</si>
  <si>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</si>
  <si>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</si>
  <si>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</si>
  <si>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</si>
  <si>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</si>
  <si>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</si>
  <si>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</si>
  <si>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</si>
  <si>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</si>
  <si>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</si>
  <si>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</si>
  <si>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</si>
  <si>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</si>
  <si>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</si>
  <si>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</si>
  <si>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</si>
  <si>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</si>
  <si>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</si>
  <si>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</si>
  <si>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</si>
  <si>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</si>
  <si>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</si>
  <si>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</si>
  <si>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</si>
  <si>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</si>
  <si>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</si>
  <si>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</si>
  <si>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</si>
  <si>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</si>
  <si>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</si>
  <si>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</si>
  <si>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</si>
  <si>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</si>
  <si>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</si>
  <si>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</si>
  <si>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</si>
  <si>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</si>
  <si>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</si>
  <si>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</si>
  <si>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</si>
  <si>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</si>
  <si>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</si>
  <si>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</si>
  <si>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</si>
  <si>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</si>
  <si>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</si>
  <si>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</si>
  <si>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</si>
  <si>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</si>
  <si>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</si>
  <si>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</si>
  <si>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</si>
  <si>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</si>
  <si>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</si>
  <si>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</si>
  <si>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</si>
  <si>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</si>
  <si>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</si>
  <si>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</si>
  <si>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</si>
  <si>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</si>
  <si>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</si>
  <si>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</si>
  <si>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</si>
  <si>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</si>
  <si>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</si>
  <si>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</si>
  <si>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</si>
  <si>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</si>
  <si>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</si>
  <si>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</si>
  <si>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</si>
  <si>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</si>
  <si>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</si>
  <si>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</si>
  <si>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</si>
  <si>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</si>
  <si>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</si>
  <si>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</si>
  <si>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</si>
  <si>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</si>
  <si>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</si>
  <si>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</si>
  <si>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</si>
  <si>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</si>
  <si>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</si>
  <si>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</si>
  <si>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</si>
  <si>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</si>
  <si>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</si>
  <si>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</si>
  <si>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</si>
  <si>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</si>
  <si>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</si>
  <si>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</si>
  <si>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</si>
  <si>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</si>
  <si>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</si>
  <si>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</si>
  <si>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</si>
  <si>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</si>
  <si>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</si>
  <si>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</si>
  <si>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</si>
  <si>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</si>
  <si>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</si>
  <si>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</si>
  <si>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</si>
  <si>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</si>
  <si>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</si>
  <si>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</si>
  <si>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</si>
  <si>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</si>
  <si>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</si>
  <si>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</si>
  <si>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</si>
  <si>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</si>
  <si>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</si>
  <si>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</si>
  <si>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</si>
  <si>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</si>
  <si>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</si>
  <si>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</si>
  <si>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</si>
  <si>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</si>
  <si>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</si>
  <si>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</si>
  <si>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</si>
  <si>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</si>
  <si>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</si>
  <si>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</si>
  <si>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</si>
  <si>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</si>
  <si>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</si>
  <si>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</si>
  <si>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</si>
  <si>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</si>
  <si>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</si>
  <si>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</si>
  <si>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</si>
  <si>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</si>
  <si>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</si>
  <si>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</si>
  <si>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</si>
  <si>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</si>
  <si>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</si>
  <si>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</si>
  <si>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</si>
  <si>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</si>
  <si>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</si>
  <si>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</si>
  <si>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</si>
  <si>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</si>
  <si>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</si>
  <si>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</si>
  <si>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</si>
  <si>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</si>
  <si>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</si>
  <si>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</si>
  <si>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</si>
  <si>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</si>
  <si>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</si>
  <si>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</si>
  <si>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</si>
  <si>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</si>
  <si>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</si>
  <si>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</si>
  <si>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</si>
  <si>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</si>
  <si>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</si>
  <si>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</si>
  <si>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</si>
  <si>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</si>
  <si>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</si>
  <si>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</si>
  <si>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</si>
  <si>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</si>
  <si>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</si>
  <si>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</si>
  <si>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</si>
  <si>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</si>
  <si>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</si>
  <si>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</si>
  <si>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</si>
  <si>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</si>
  <si>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</si>
  <si>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</si>
  <si>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</si>
  <si>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</si>
  <si>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</si>
  <si>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</si>
  <si>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</si>
  <si>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</si>
  <si>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</si>
  <si>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</si>
  <si>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</si>
  <si>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</si>
  <si>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</si>
  <si>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</si>
  <si>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</si>
  <si>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</si>
  <si>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</si>
  <si>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</si>
  <si>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</si>
  <si>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</si>
  <si>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</si>
  <si>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</si>
  <si>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</si>
  <si>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</si>
  <si>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</si>
  <si>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</si>
  <si>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</si>
  <si>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</si>
  <si>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</si>
  <si>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</si>
  <si>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</si>
  <si>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</si>
  <si>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</si>
  <si>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</si>
  <si>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</si>
  <si>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</si>
  <si>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</si>
  <si>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</si>
  <si>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</si>
  <si>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</si>
  <si>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</si>
  <si>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</si>
  <si>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</si>
  <si>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</si>
  <si>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</si>
  <si>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</si>
  <si>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</si>
  <si>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</si>
  <si>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</si>
  <si>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</si>
  <si>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</si>
  <si>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</si>
  <si>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</si>
  <si>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</si>
  <si>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</si>
  <si>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</si>
  <si>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</si>
  <si>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</si>
  <si>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</si>
  <si>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</si>
  <si>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</si>
  <si>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</si>
  <si>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</si>
  <si>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</si>
  <si>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</si>
  <si>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</si>
  <si>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</si>
  <si>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</si>
  <si>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</si>
  <si>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</si>
  <si>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</si>
  <si>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</si>
  <si>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</si>
  <si>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</si>
  <si>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</si>
  <si>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</si>
  <si>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</si>
  <si>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</si>
  <si>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</si>
  <si>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</si>
  <si>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</si>
  <si>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</si>
  <si>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</si>
  <si>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</si>
  <si>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</si>
  <si>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</si>
  <si>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</si>
  <si>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</si>
  <si>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</si>
  <si>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</si>
  <si>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</si>
  <si>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</si>
  <si>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</si>
  <si>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</si>
  <si>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</si>
  <si>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</si>
  <si>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</si>
  <si>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</si>
  <si>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</si>
  <si>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</si>
  <si>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</si>
  <si>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</si>
  <si>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</si>
  <si>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</si>
  <si>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</si>
  <si>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</si>
  <si>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</si>
  <si>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</si>
  <si>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</si>
  <si>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</si>
  <si>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</si>
  <si>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</si>
  <si>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</si>
  <si>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</si>
  <si>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</si>
  <si>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</si>
  <si>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</si>
  <si>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</si>
  <si>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</si>
  <si>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</si>
  <si>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</si>
  <si>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</si>
  <si>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</si>
  <si>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</si>
  <si>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</si>
  <si>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</si>
  <si>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</si>
  <si>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</si>
  <si>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</si>
  <si>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</si>
  <si>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</si>
  <si>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</si>
  <si>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</si>
  <si>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</si>
  <si>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</si>
  <si>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</si>
  <si>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</si>
  <si>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</si>
  <si>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</si>
  <si>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</si>
  <si>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</si>
  <si>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</si>
  <si>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</si>
  <si>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</si>
  <si>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</si>
  <si>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</si>
  <si>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</si>
  <si>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</si>
  <si>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</si>
  <si>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</si>
  <si>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</si>
  <si>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</si>
  <si>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</si>
  <si>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</si>
  <si>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</si>
  <si>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</si>
  <si>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</si>
  <si>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</si>
  <si>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</si>
  <si>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</si>
  <si>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</si>
  <si>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</si>
  <si>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</si>
  <si>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</si>
  <si>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</si>
  <si>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</si>
  <si>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</si>
  <si>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</si>
  <si>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</si>
  <si>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</si>
  <si>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</si>
  <si>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</si>
  <si>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</si>
  <si>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</si>
  <si>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</si>
  <si>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</si>
  <si>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</si>
  <si>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</si>
  <si>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</si>
  <si>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</si>
  <si>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</si>
  <si>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</si>
  <si>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</si>
  <si>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</si>
  <si>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</si>
  <si>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</si>
  <si>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</si>
  <si>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</si>
  <si>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</si>
  <si>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</si>
  <si>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</si>
  <si>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</si>
  <si>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</si>
  <si>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</si>
  <si>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</si>
  <si>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</si>
  <si>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</si>
  <si>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</si>
  <si>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</si>
  <si>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</si>
  <si>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</si>
  <si>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</si>
  <si>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</si>
  <si>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</si>
  <si>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</si>
  <si>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</si>
  <si>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</si>
  <si>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</si>
  <si>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</si>
  <si>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</si>
  <si>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</si>
  <si>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</si>
  <si>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</si>
  <si>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</si>
  <si>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</si>
  <si>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</si>
  <si>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</si>
  <si>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</si>
  <si>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</si>
  <si>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</si>
  <si>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</si>
  <si>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</si>
  <si>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</si>
  <si>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</si>
  <si>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</si>
  <si>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</si>
  <si>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</si>
  <si>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</si>
  <si>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</si>
  <si>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</si>
  <si>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</si>
  <si>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</si>
  <si>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</si>
  <si>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</si>
  <si>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</si>
  <si>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</si>
  <si>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</si>
  <si>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</si>
  <si>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</si>
  <si>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</si>
  <si>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</si>
  <si>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</si>
  <si>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</si>
  <si>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</si>
  <si>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</si>
  <si>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</si>
  <si>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</si>
  <si>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</si>
  <si>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</si>
  <si>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</si>
  <si>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</si>
  <si>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</si>
  <si>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</si>
  <si>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</si>
  <si>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</si>
  <si>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</si>
  <si>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</si>
  <si>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</si>
  <si>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</si>
  <si>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</si>
  <si>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</si>
  <si>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</si>
  <si>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</si>
  <si>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</si>
  <si>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</si>
  <si>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</si>
  <si>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</si>
  <si>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</si>
  <si>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</si>
  <si>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</si>
  <si>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</si>
  <si>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</si>
  <si>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</si>
  <si>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</si>
  <si>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</si>
  <si>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</si>
  <si>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</si>
  <si>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</si>
  <si>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</si>
  <si>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</si>
  <si>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</si>
  <si>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</si>
  <si>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</si>
  <si>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</si>
  <si>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</si>
  <si>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</si>
  <si>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</si>
  <si>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</si>
  <si>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</si>
  <si>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</si>
  <si>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</si>
  <si>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</si>
  <si>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</si>
  <si>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</si>
  <si>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</si>
  <si>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</si>
  <si>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</si>
  <si>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</si>
  <si>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</si>
  <si>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</si>
  <si>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</si>
  <si>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</si>
  <si>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</si>
  <si>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</si>
  <si>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</si>
  <si>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</si>
  <si>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</si>
  <si>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</si>
  <si>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</si>
  <si>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</si>
  <si>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</si>
  <si>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</si>
  <si>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</si>
  <si>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</si>
  <si>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</si>
  <si>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</si>
  <si>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</si>
  <si>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</si>
  <si>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</si>
  <si>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</si>
  <si>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</si>
  <si>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</si>
  <si>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</si>
  <si>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</si>
  <si>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</si>
  <si>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</si>
  <si>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</si>
  <si>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</si>
  <si>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</si>
  <si>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</si>
  <si>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</si>
  <si>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</si>
  <si>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</si>
  <si>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</si>
  <si>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</si>
  <si>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</si>
  <si>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</si>
  <si>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</si>
  <si>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</si>
  <si>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</si>
  <si>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</si>
  <si>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</si>
  <si>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</si>
  <si>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</si>
  <si>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</si>
  <si>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</si>
  <si>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</si>
  <si>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</si>
  <si>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</si>
  <si>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</si>
  <si>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</si>
  <si>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</si>
  <si>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</si>
  <si>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</si>
  <si>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</si>
  <si>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</si>
  <si>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</si>
  <si>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</si>
  <si>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</si>
  <si>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</si>
  <si>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</si>
  <si>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</si>
  <si>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</si>
  <si>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</si>
  <si>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</si>
  <si>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</si>
  <si>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</si>
  <si>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</si>
  <si>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</si>
  <si>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</si>
  <si>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</si>
  <si>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</si>
  <si>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</si>
  <si>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</si>
  <si>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</si>
  <si>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</si>
  <si>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</si>
  <si>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</si>
  <si>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</si>
  <si>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</si>
  <si>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</si>
  <si>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</si>
  <si>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</si>
  <si>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</si>
  <si>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</si>
  <si>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</si>
  <si>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</si>
  <si>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</si>
  <si>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</si>
  <si>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</si>
  <si>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</si>
  <si>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</si>
  <si>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</si>
  <si>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</si>
  <si>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</si>
  <si>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</si>
  <si>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</si>
  <si>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</si>
  <si>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</si>
  <si>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</si>
  <si>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</si>
  <si>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</si>
  <si>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</si>
  <si>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</si>
  <si>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</si>
  <si>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</si>
  <si>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</si>
  <si>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</si>
  <si>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</si>
  <si>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</si>
  <si>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</si>
  <si>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</si>
  <si>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</si>
  <si>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</si>
  <si>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</si>
  <si>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</si>
  <si>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</si>
  <si>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</si>
  <si>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</si>
  <si>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</si>
  <si>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</si>
  <si>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</si>
  <si>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</si>
  <si>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</si>
  <si>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</si>
  <si>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</si>
  <si>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</si>
  <si>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</si>
  <si>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</si>
  <si>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</si>
  <si>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</si>
  <si>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</si>
  <si>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</si>
  <si>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</si>
  <si>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</si>
  <si>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</si>
  <si>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</si>
  <si>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</si>
  <si>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</si>
  <si>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</si>
  <si>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</si>
  <si>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</si>
  <si>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</si>
  <si>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</si>
  <si>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</si>
  <si>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</si>
  <si>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</si>
  <si>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</si>
  <si>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</si>
  <si>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</si>
  <si>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</si>
  <si>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</si>
  <si>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</si>
  <si>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</si>
  <si>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</si>
  <si>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</si>
  <si>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</si>
  <si>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</si>
  <si>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</si>
  <si>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</si>
  <si>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</si>
  <si>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</si>
  <si>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</si>
  <si>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</si>
  <si>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</si>
  <si>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</si>
  <si>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</si>
  <si>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</si>
  <si>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</si>
  <si>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</si>
  <si>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</si>
  <si>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</si>
  <si>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</si>
  <si>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</si>
  <si>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</si>
  <si>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</si>
  <si>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</si>
  <si>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</si>
  <si>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</si>
  <si>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</si>
  <si>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</si>
  <si>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</si>
  <si>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</si>
  <si>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</si>
  <si>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</si>
  <si>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</si>
  <si>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</si>
  <si>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</si>
  <si>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</si>
  <si>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</si>
  <si>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</si>
  <si>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</si>
  <si>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</si>
  <si>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</si>
  <si>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</si>
  <si>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</si>
  <si>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</si>
  <si>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</si>
  <si>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</si>
  <si>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</si>
  <si>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</si>
  <si>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</si>
  <si>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</si>
  <si>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</si>
  <si>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</si>
  <si>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</si>
  <si>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</si>
  <si>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</si>
  <si>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</si>
  <si>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</si>
  <si>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</si>
  <si>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</si>
  <si>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</si>
  <si>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</si>
  <si>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</si>
  <si>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</si>
  <si>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</si>
  <si>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</si>
  <si>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</si>
  <si>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</si>
  <si>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</si>
  <si>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</si>
  <si>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</si>
  <si>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</si>
  <si>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</si>
  <si>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</si>
  <si>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</si>
  <si>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</si>
  <si>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</si>
  <si>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</si>
  <si>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</si>
  <si>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</si>
  <si>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</si>
  <si>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</si>
  <si>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</si>
  <si>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</si>
  <si>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</si>
  <si>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</si>
  <si>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</si>
  <si>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</si>
  <si>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</si>
  <si>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</si>
  <si>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</si>
  <si>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</si>
  <si>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</si>
  <si>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</si>
  <si>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</si>
  <si>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</si>
  <si>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</si>
  <si>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</si>
  <si>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</si>
  <si>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</si>
  <si>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</si>
  <si>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</si>
  <si>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</si>
  <si>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</si>
  <si>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</si>
  <si>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</si>
  <si>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</si>
  <si>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</si>
  <si>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</si>
  <si>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</si>
  <si>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</si>
  <si>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</si>
  <si>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</si>
  <si>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</si>
  <si>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</si>
  <si>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</si>
  <si>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</si>
  <si>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</si>
  <si>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</si>
  <si>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</si>
  <si>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</si>
  <si>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</si>
  <si>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</si>
  <si>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</si>
  <si>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</si>
  <si>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</si>
  <si>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</si>
  <si>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</si>
  <si>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</si>
  <si>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</si>
  <si>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</si>
  <si>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</si>
  <si>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</si>
  <si>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</si>
  <si>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</si>
  <si>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</si>
  <si>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</si>
  <si>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</si>
  <si>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</si>
  <si>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</si>
  <si>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</si>
  <si>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</si>
  <si>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</si>
  <si>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</si>
  <si>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</si>
  <si>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</si>
  <si>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</si>
  <si>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</si>
  <si>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</si>
  <si>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</si>
  <si>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</si>
  <si>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</si>
  <si>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</si>
  <si>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</si>
  <si>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</si>
  <si>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</si>
  <si>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</si>
  <si>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</si>
  <si>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</si>
  <si>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</si>
  <si>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</si>
  <si>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</si>
  <si>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</si>
  <si>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</si>
  <si>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</si>
  <si>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</si>
  <si>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</si>
  <si>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</si>
  <si>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</si>
  <si>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</si>
  <si>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</si>
  <si>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</si>
  <si>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</si>
  <si>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</si>
  <si>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</si>
  <si>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</si>
  <si>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</si>
  <si>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</si>
  <si>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</si>
  <si>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</si>
  <si>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</si>
  <si>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</si>
  <si>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</si>
  <si>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</si>
  <si>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</si>
  <si>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</si>
  <si>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</si>
  <si>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</si>
  <si>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</si>
  <si>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</si>
  <si>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</si>
  <si>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</si>
  <si>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</si>
  <si>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</si>
  <si>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</si>
  <si>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95-008-65</t>
  </si>
  <si>
    <t>95-004-89</t>
  </si>
  <si>
    <t>95-010-55</t>
  </si>
  <si>
    <t>95-008-55</t>
  </si>
  <si>
    <t>95-008-56</t>
  </si>
  <si>
    <t>95-010-56</t>
  </si>
  <si>
    <t>95-006-57</t>
  </si>
  <si>
    <t>95-008-57</t>
  </si>
  <si>
    <t>95-004-19</t>
  </si>
  <si>
    <t>95-008-19</t>
  </si>
  <si>
    <t>95-004-58</t>
  </si>
  <si>
    <t>95-001-01</t>
  </si>
  <si>
    <t>95-008-01</t>
  </si>
  <si>
    <t>95-010-16</t>
  </si>
  <si>
    <t>95-004-73</t>
  </si>
  <si>
    <t>95-005-73</t>
  </si>
  <si>
    <t>95-010-73</t>
  </si>
  <si>
    <t>95-001-61</t>
  </si>
  <si>
    <t>95-007-70</t>
  </si>
  <si>
    <t>95-008-70</t>
  </si>
  <si>
    <t>95-010-70</t>
  </si>
  <si>
    <t>95-001-72</t>
  </si>
  <si>
    <t>95-008-72</t>
  </si>
  <si>
    <t>95-005-60</t>
  </si>
  <si>
    <t>95-003-10</t>
  </si>
  <si>
    <t>95-004-10</t>
  </si>
  <si>
    <t>95-001-10</t>
  </si>
  <si>
    <t>95-011-61</t>
  </si>
  <si>
    <t>95-006-53</t>
  </si>
  <si>
    <t>95-006-47</t>
  </si>
  <si>
    <t>95-002-47</t>
  </si>
  <si>
    <t>95-003-47</t>
  </si>
  <si>
    <t>95-011-47</t>
  </si>
  <si>
    <t>95-010-47</t>
  </si>
  <si>
    <t>95-012-47</t>
  </si>
  <si>
    <t>95-001-47</t>
  </si>
  <si>
    <t>95-014-47</t>
  </si>
  <si>
    <t>95-016-47</t>
  </si>
  <si>
    <t>95-009-62</t>
  </si>
  <si>
    <t>95-011-11</t>
  </si>
  <si>
    <t>95-006-11</t>
  </si>
  <si>
    <t>95-008-11</t>
  </si>
  <si>
    <t>95-010-71</t>
  </si>
  <si>
    <t>95-003-63</t>
  </si>
  <si>
    <t>95-004-63</t>
  </si>
  <si>
    <t>95-005-63</t>
  </si>
  <si>
    <t>95-010-63</t>
  </si>
  <si>
    <t>95-002-64</t>
  </si>
  <si>
    <t>95-016-64</t>
  </si>
  <si>
    <t>95-014-09</t>
  </si>
  <si>
    <t>95-001-69</t>
  </si>
  <si>
    <t>95-008-69</t>
  </si>
  <si>
    <t>95-010-69</t>
  </si>
  <si>
    <t>95-003-89</t>
  </si>
  <si>
    <t>95-002-89</t>
  </si>
  <si>
    <t>95-012-89</t>
  </si>
  <si>
    <t>95-008-89</t>
  </si>
  <si>
    <t>95-001-89</t>
  </si>
  <si>
    <t>95-016-89</t>
  </si>
  <si>
    <t>95-006-16</t>
  </si>
  <si>
    <t>95-001-16</t>
  </si>
  <si>
    <t>95-013-16</t>
  </si>
  <si>
    <t>95-016-16</t>
  </si>
  <si>
    <t>95-004-09</t>
  </si>
  <si>
    <t>95-009-09</t>
  </si>
  <si>
    <t>95-012-09</t>
  </si>
  <si>
    <t>95-008-09</t>
  </si>
  <si>
    <t>95-001-09</t>
  </si>
  <si>
    <t>95-014-48</t>
  </si>
  <si>
    <t>95-015-09</t>
  </si>
  <si>
    <t>95-016-09</t>
  </si>
  <si>
    <t>95-001-66</t>
  </si>
  <si>
    <t>95-007-66</t>
  </si>
  <si>
    <t>95-004-48</t>
  </si>
  <si>
    <t>95-010-09</t>
  </si>
  <si>
    <t>95-005-86</t>
  </si>
  <si>
    <t>95-010-67</t>
  </si>
  <si>
    <t>95-006-04</t>
  </si>
  <si>
    <t>95-008-04</t>
  </si>
  <si>
    <t>95-008-68</t>
  </si>
  <si>
    <t>3190</t>
  </si>
  <si>
    <t>3101</t>
  </si>
  <si>
    <t>3125</t>
  </si>
  <si>
    <t>3147</t>
  </si>
  <si>
    <t>3215</t>
  </si>
  <si>
    <t>3109</t>
  </si>
  <si>
    <t>3155</t>
  </si>
  <si>
    <t>3035</t>
  </si>
  <si>
    <t>3080</t>
  </si>
  <si>
    <t>3030</t>
  </si>
  <si>
    <t>3142</t>
  </si>
  <si>
    <t>3243</t>
  </si>
  <si>
    <t>3363</t>
  </si>
  <si>
    <t>3122</t>
  </si>
  <si>
    <t>3216</t>
  </si>
  <si>
    <t>3276</t>
  </si>
  <si>
    <t>Fredrikson</t>
  </si>
  <si>
    <t>709/21</t>
  </si>
  <si>
    <t>699/79</t>
  </si>
  <si>
    <t>699/78</t>
  </si>
  <si>
    <t>черный / темно-серый</t>
  </si>
  <si>
    <t>699/51</t>
  </si>
  <si>
    <t>светло-коричневый / бежевый</t>
  </si>
  <si>
    <t>685/55</t>
  </si>
  <si>
    <t>светло-бежевый / черный</t>
  </si>
  <si>
    <t>685/15</t>
  </si>
  <si>
    <t>684/44</t>
  </si>
  <si>
    <t>голубой / синий</t>
  </si>
  <si>
    <t>684/29</t>
  </si>
  <si>
    <t>678/76</t>
  </si>
  <si>
    <t>667/57</t>
  </si>
  <si>
    <t>667/20</t>
  </si>
  <si>
    <t>657/27</t>
  </si>
  <si>
    <t>темно-синий / темно-серый</t>
  </si>
  <si>
    <t>652/72</t>
  </si>
  <si>
    <t>646/79</t>
  </si>
  <si>
    <t>темно-серый / светло-серый</t>
  </si>
  <si>
    <t>644/74</t>
  </si>
  <si>
    <t>642/79</t>
  </si>
  <si>
    <t>темно-бежевый / черный</t>
  </si>
  <si>
    <t>642/70</t>
  </si>
  <si>
    <t>641/76</t>
  </si>
  <si>
    <t>640/79</t>
  </si>
  <si>
    <t>темно-серый / белый</t>
  </si>
  <si>
    <t>640/77</t>
  </si>
  <si>
    <t>640/71</t>
  </si>
  <si>
    <t>637/70</t>
  </si>
  <si>
    <t>темно-серый / темно-синий</t>
  </si>
  <si>
    <t>632/23</t>
  </si>
  <si>
    <t>синий / темно-серый</t>
  </si>
  <si>
    <t>631/90</t>
  </si>
  <si>
    <t>630/77</t>
  </si>
  <si>
    <t>серый / темно-серый</t>
  </si>
  <si>
    <t>630/23</t>
  </si>
  <si>
    <t>626/78</t>
  </si>
  <si>
    <t>625/20</t>
  </si>
  <si>
    <t>624/91</t>
  </si>
  <si>
    <t>624/70</t>
  </si>
  <si>
    <t>светло-серый / серый</t>
  </si>
  <si>
    <t>624/25</t>
  </si>
  <si>
    <t>622/22</t>
  </si>
  <si>
    <t>619/23</t>
  </si>
  <si>
    <t>темно-синий / темно-синий</t>
  </si>
  <si>
    <t>608/53</t>
  </si>
  <si>
    <t>темно-серый / темно-серый</t>
  </si>
  <si>
    <t>80% шерсть - 20% полиамид / Подклад: 100% вискоза</t>
  </si>
  <si>
    <t>100% шерсть / Подклад: 100% вискоза</t>
  </si>
  <si>
    <t xml:space="preserve"> </t>
  </si>
  <si>
    <t>FREDRIKSON</t>
  </si>
  <si>
    <t>ООО "ФРЭДРИКСОН" Россия 192029, С-Петербург, пр. Обуховской обороны, д.86, лит 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</si>
</sst>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28523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28524</v>
      </c>
      <c r="B219" s="28" t="s">
        <v>28525</v>
      </c>
    </row>
    <row r="220" spans="1:2" x14ac:dyDescent="0.25">
      <c r="A220" s="28" t="s">
        <v>28526</v>
      </c>
      <c r="B220" s="28" t="s">
        <v>28527</v>
      </c>
    </row>
    <row r="221" spans="1:2" x14ac:dyDescent="0.25">
      <c r="A221" s="28" t="s">
        <v>28528</v>
      </c>
      <c r="B221" s="28" t="s">
        <v>28529</v>
      </c>
    </row>
    <row r="222" spans="1:2" x14ac:dyDescent="0.25">
      <c r="A222" s="28" t="s">
        <v>28530</v>
      </c>
      <c r="B222" s="28" t="s">
        <v>28531</v>
      </c>
    </row>
    <row r="223" spans="1:2" x14ac:dyDescent="0.25">
      <c r="A223" s="28" t="s">
        <v>28532</v>
      </c>
      <c r="B223" s="28" t="s">
        <v>28533</v>
      </c>
    </row>
    <row r="224" spans="1:2" x14ac:dyDescent="0.25">
      <c r="A224" s="28" t="s">
        <v>28534</v>
      </c>
      <c r="B224" s="28" t="s">
        <v>28535</v>
      </c>
    </row>
    <row r="225" spans="1:2" x14ac:dyDescent="0.25">
      <c r="A225" s="28" t="s">
        <v>28536</v>
      </c>
      <c r="B225" s="28" t="s">
        <v>28537</v>
      </c>
    </row>
    <row r="226" spans="1:2" x14ac:dyDescent="0.25">
      <c r="A226" s="28" t="s">
        <v>28538</v>
      </c>
      <c r="B226" s="28" t="s">
        <v>28539</v>
      </c>
    </row>
    <row r="227" spans="1:2" x14ac:dyDescent="0.25">
      <c r="A227" s="28" t="s">
        <v>28540</v>
      </c>
      <c r="B227" s="28" t="s">
        <v>28541</v>
      </c>
    </row>
    <row r="228" spans="1:2" x14ac:dyDescent="0.25">
      <c r="A228" s="28" t="s">
        <v>28542</v>
      </c>
      <c r="B228" s="28" t="s">
        <v>28543</v>
      </c>
    </row>
    <row r="229" spans="1:2" x14ac:dyDescent="0.25">
      <c r="A229" s="28" t="s">
        <v>28544</v>
      </c>
      <c r="B229" s="28" t="s">
        <v>28545</v>
      </c>
    </row>
    <row r="230" spans="1:2" x14ac:dyDescent="0.25">
      <c r="A230" s="28" t="s">
        <v>28546</v>
      </c>
      <c r="B230" s="28" t="s">
        <v>28547</v>
      </c>
    </row>
    <row r="231" spans="1:2" x14ac:dyDescent="0.25">
      <c r="A231" s="28" t="s">
        <v>28548</v>
      </c>
      <c r="B231" s="28" t="s">
        <v>28549</v>
      </c>
    </row>
    <row r="232" spans="1:2" x14ac:dyDescent="0.25">
      <c r="A232" s="28" t="s">
        <v>28550</v>
      </c>
      <c r="B232" s="28" t="s">
        <v>28551</v>
      </c>
    </row>
    <row r="233" spans="1:2" x14ac:dyDescent="0.25">
      <c r="A233" s="28" t="s">
        <v>28552</v>
      </c>
      <c r="B233" s="28" t="s">
        <v>28553</v>
      </c>
    </row>
    <row r="234" spans="1:2" x14ac:dyDescent="0.25">
      <c r="A234" s="28" t="s">
        <v>28554</v>
      </c>
      <c r="B234" s="28" t="s">
        <v>28555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28556</v>
      </c>
      <c r="B236" s="28" t="s">
        <v>28557</v>
      </c>
    </row>
    <row r="237" spans="1:2" x14ac:dyDescent="0.25">
      <c r="A237" s="28" t="s">
        <v>28558</v>
      </c>
      <c r="B237" s="28" t="s">
        <v>28559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28560</v>
      </c>
      <c r="B240" s="28" t="s">
        <v>28561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28562</v>
      </c>
      <c r="B242" s="28" t="s">
        <v>28563</v>
      </c>
    </row>
    <row r="243" spans="1:2" x14ac:dyDescent="0.25">
      <c r="A243" s="28" t="s">
        <v>28564</v>
      </c>
      <c r="B243" s="28" t="s">
        <v>28565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28566</v>
      </c>
      <c r="B245" s="28" t="s">
        <v>28567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28568</v>
      </c>
      <c r="B247" s="28" t="s">
        <v>28569</v>
      </c>
    </row>
    <row r="248" spans="1:2" x14ac:dyDescent="0.25">
      <c r="A248" s="28" t="s">
        <v>28570</v>
      </c>
      <c r="B248" s="28" t="s">
        <v>28571</v>
      </c>
    </row>
    <row r="249" spans="1:2" x14ac:dyDescent="0.25">
      <c r="A249" s="28" t="s">
        <v>28572</v>
      </c>
      <c r="B249" s="28" t="s">
        <v>28573</v>
      </c>
    </row>
    <row r="250" spans="1:2" x14ac:dyDescent="0.25">
      <c r="A250" s="28" t="s">
        <v>28574</v>
      </c>
      <c r="B250" s="28" t="s">
        <v>28575</v>
      </c>
    </row>
    <row r="251" spans="1:2" x14ac:dyDescent="0.25">
      <c r="A251" s="28" t="s">
        <v>28576</v>
      </c>
      <c r="B251" s="28" t="s">
        <v>28577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28578</v>
      </c>
      <c r="B255" s="28" t="s">
        <v>28579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28580</v>
      </c>
      <c r="B258" s="28" t="s">
        <v>28581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28582</v>
      </c>
      <c r="B260" s="28" t="s">
        <v>28583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28584</v>
      </c>
      <c r="B264" s="28" t="s">
        <v>28585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28586</v>
      </c>
      <c r="B269" s="28" t="s">
        <v>28587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28588</v>
      </c>
      <c r="B273" s="28" t="s">
        <v>28589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28590</v>
      </c>
      <c r="B275" s="28" t="s">
        <v>28591</v>
      </c>
    </row>
    <row r="276" spans="1:2" x14ac:dyDescent="0.25">
      <c r="A276" s="28" t="s">
        <v>28592</v>
      </c>
      <c r="B276" s="28" t="s">
        <v>28593</v>
      </c>
    </row>
    <row r="277" spans="1:2" x14ac:dyDescent="0.25">
      <c r="A277" s="28" t="s">
        <v>28594</v>
      </c>
      <c r="B277" s="28" t="s">
        <v>28595</v>
      </c>
    </row>
    <row r="278" spans="1:2" x14ac:dyDescent="0.25">
      <c r="A278" s="28" t="s">
        <v>28596</v>
      </c>
      <c r="B278" s="28" t="s">
        <v>28597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28598</v>
      </c>
      <c r="B286" s="28" t="s">
        <v>28599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28600</v>
      </c>
      <c r="B298" s="28" t="s">
        <v>28601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28602</v>
      </c>
      <c r="B301" s="28" t="s">
        <v>28603</v>
      </c>
    </row>
    <row r="302" spans="1:2" x14ac:dyDescent="0.25">
      <c r="A302" s="28" t="s">
        <v>28604</v>
      </c>
      <c r="B302" s="28" t="s">
        <v>28605</v>
      </c>
    </row>
    <row r="303" spans="1:2" x14ac:dyDescent="0.25">
      <c r="A303" s="28" t="s">
        <v>28606</v>
      </c>
      <c r="B303" s="28" t="s">
        <v>28607</v>
      </c>
    </row>
    <row r="304" spans="1:2" x14ac:dyDescent="0.25">
      <c r="A304" s="28" t="s">
        <v>28608</v>
      </c>
      <c r="B304" s="28" t="s">
        <v>28609</v>
      </c>
    </row>
    <row r="305" spans="1:2" x14ac:dyDescent="0.25">
      <c r="A305" s="28" t="s">
        <v>28610</v>
      </c>
      <c r="B305" s="28" t="s">
        <v>28611</v>
      </c>
    </row>
    <row r="306" spans="1:2" x14ac:dyDescent="0.25">
      <c r="A306" s="28" t="s">
        <v>28612</v>
      </c>
      <c r="B306" s="28" t="s">
        <v>28613</v>
      </c>
    </row>
    <row r="307" spans="1:2" x14ac:dyDescent="0.25">
      <c r="A307" s="28" t="s">
        <v>28614</v>
      </c>
      <c r="B307" s="28" t="s">
        <v>28615</v>
      </c>
    </row>
    <row r="308" spans="1:2" x14ac:dyDescent="0.25">
      <c r="A308" s="28" t="s">
        <v>28616</v>
      </c>
      <c r="B308" s="28" t="s">
        <v>28617</v>
      </c>
    </row>
    <row r="309" spans="1:2" x14ac:dyDescent="0.25">
      <c r="A309" s="28" t="s">
        <v>28618</v>
      </c>
      <c r="B309" s="28" t="s">
        <v>28619</v>
      </c>
    </row>
    <row r="310" spans="1:2" x14ac:dyDescent="0.25">
      <c r="A310" s="28" t="s">
        <v>28620</v>
      </c>
      <c r="B310" s="28" t="s">
        <v>28621</v>
      </c>
    </row>
    <row r="311" spans="1:2" x14ac:dyDescent="0.25">
      <c r="A311" s="28" t="s">
        <v>28622</v>
      </c>
      <c r="B311" s="28" t="s">
        <v>28623</v>
      </c>
    </row>
    <row r="312" spans="1:2" x14ac:dyDescent="0.25">
      <c r="A312" s="28" t="s">
        <v>28624</v>
      </c>
      <c r="B312" s="28" t="s">
        <v>28625</v>
      </c>
    </row>
    <row r="313" spans="1:2" x14ac:dyDescent="0.25">
      <c r="A313" s="28" t="s">
        <v>28626</v>
      </c>
      <c r="B313" s="28" t="s">
        <v>28627</v>
      </c>
    </row>
    <row r="314" spans="1:2" x14ac:dyDescent="0.25">
      <c r="A314" s="28" t="s">
        <v>28628</v>
      </c>
      <c r="B314" s="28" t="s">
        <v>28629</v>
      </c>
    </row>
    <row r="315" spans="1:2" x14ac:dyDescent="0.25">
      <c r="A315" s="28" t="s">
        <v>28630</v>
      </c>
      <c r="B315" s="28" t="s">
        <v>28631</v>
      </c>
    </row>
    <row r="316" spans="1:2" x14ac:dyDescent="0.25">
      <c r="A316" s="28" t="s">
        <v>28632</v>
      </c>
      <c r="B316" s="28" t="s">
        <v>28633</v>
      </c>
    </row>
    <row r="317" spans="1:2" x14ac:dyDescent="0.25">
      <c r="A317" s="28" t="s">
        <v>28634</v>
      </c>
      <c r="B317" s="28" t="s">
        <v>28635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28636</v>
      </c>
      <c r="B324" s="28" t="s">
        <v>28637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28638</v>
      </c>
      <c r="B332" s="28" t="s">
        <v>28639</v>
      </c>
    </row>
    <row r="333" spans="1:2" x14ac:dyDescent="0.25">
      <c r="A333" s="28" t="s">
        <v>28640</v>
      </c>
      <c r="B333" s="28" t="s">
        <v>28641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28642</v>
      </c>
      <c r="B337" s="28" t="s">
        <v>28643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28644</v>
      </c>
      <c r="B342" s="28" t="s">
        <v>28645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28646</v>
      </c>
      <c r="B368" s="28" t="s">
        <v>28647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28648</v>
      </c>
      <c r="B370" s="28" t="s">
        <v>28649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28650</v>
      </c>
      <c r="B376" s="28" t="s">
        <v>28651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28652</v>
      </c>
      <c r="B388" s="28" t="s">
        <v>28653</v>
      </c>
    </row>
    <row r="389" spans="1:2" x14ac:dyDescent="0.25">
      <c r="A389" s="28" t="s">
        <v>28654</v>
      </c>
      <c r="B389" s="28" t="s">
        <v>28655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28656</v>
      </c>
      <c r="B394" s="28" t="s">
        <v>28657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28658</v>
      </c>
      <c r="B399" s="28" t="s">
        <v>28659</v>
      </c>
    </row>
    <row r="400" spans="1:2" x14ac:dyDescent="0.25">
      <c r="A400" s="28" t="s">
        <v>28660</v>
      </c>
      <c r="B400" s="28" t="s">
        <v>28661</v>
      </c>
    </row>
    <row r="401" spans="1:2" x14ac:dyDescent="0.25">
      <c r="A401" s="28" t="s">
        <v>28662</v>
      </c>
      <c r="B401" s="28" t="s">
        <v>28663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28664</v>
      </c>
      <c r="B407" s="28" t="s">
        <v>28665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28666</v>
      </c>
      <c r="B410" s="28" t="s">
        <v>28667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28668</v>
      </c>
      <c r="B417" s="28" t="s">
        <v>28669</v>
      </c>
    </row>
    <row r="418" spans="1:2" x14ac:dyDescent="0.25">
      <c r="A418" s="28" t="s">
        <v>28670</v>
      </c>
      <c r="B418" s="28" t="s">
        <v>28671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28672</v>
      </c>
      <c r="B424" s="28" t="s">
        <v>28673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28674</v>
      </c>
      <c r="B438" s="28" t="s">
        <v>28675</v>
      </c>
    </row>
    <row r="439" spans="1:2" x14ac:dyDescent="0.25">
      <c r="A439" s="28" t="s">
        <v>28676</v>
      </c>
      <c r="B439" s="28" t="s">
        <v>28677</v>
      </c>
    </row>
    <row r="440" spans="1:2" x14ac:dyDescent="0.25">
      <c r="A440" s="28" t="s">
        <v>28678</v>
      </c>
      <c r="B440" s="28" t="s">
        <v>28679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28680</v>
      </c>
      <c r="B447" s="28" t="s">
        <v>28681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28682</v>
      </c>
      <c r="B451" s="28" t="s">
        <v>28683</v>
      </c>
    </row>
    <row r="452" spans="1:2" x14ac:dyDescent="0.25">
      <c r="A452" s="28" t="s">
        <v>28684</v>
      </c>
      <c r="B452" s="28" t="s">
        <v>28685</v>
      </c>
    </row>
    <row r="453" spans="1:2" x14ac:dyDescent="0.25">
      <c r="A453" s="28" t="s">
        <v>28686</v>
      </c>
      <c r="B453" s="28" t="s">
        <v>28687</v>
      </c>
    </row>
    <row r="454" spans="1:2" x14ac:dyDescent="0.25">
      <c r="A454" s="28" t="s">
        <v>28688</v>
      </c>
      <c r="B454" s="28" t="s">
        <v>28689</v>
      </c>
    </row>
    <row r="455" spans="1:2" x14ac:dyDescent="0.25">
      <c r="A455" s="28" t="s">
        <v>28690</v>
      </c>
      <c r="B455" s="28" t="s">
        <v>28691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28692</v>
      </c>
      <c r="B457" s="28" t="s">
        <v>28693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28694</v>
      </c>
      <c r="B468" s="28" t="s">
        <v>28695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28696</v>
      </c>
      <c r="B483" s="28" t="s">
        <v>28697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28698</v>
      </c>
      <c r="B526" s="28" t="s">
        <v>28699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28700</v>
      </c>
      <c r="B528" s="28" t="s">
        <v>28701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28702</v>
      </c>
      <c r="B530" s="28" t="s">
        <v>28703</v>
      </c>
    </row>
    <row r="531" spans="1:2" x14ac:dyDescent="0.25">
      <c r="A531" s="28" t="s">
        <v>28704</v>
      </c>
      <c r="B531" s="28" t="s">
        <v>28705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28706</v>
      </c>
      <c r="B535" s="28" t="s">
        <v>28707</v>
      </c>
    </row>
    <row r="536" spans="1:2" x14ac:dyDescent="0.25">
      <c r="A536" s="28" t="s">
        <v>28708</v>
      </c>
      <c r="B536" s="28" t="s">
        <v>28709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28710</v>
      </c>
      <c r="B539" s="28" t="s">
        <v>28711</v>
      </c>
    </row>
    <row r="540" spans="1:2" x14ac:dyDescent="0.25">
      <c r="A540" s="28" t="s">
        <v>28712</v>
      </c>
      <c r="B540" s="28" t="s">
        <v>28713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28714</v>
      </c>
      <c r="B557" s="28" t="s">
        <v>28715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28716</v>
      </c>
      <c r="B568" s="28" t="s">
        <v>28717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28718</v>
      </c>
      <c r="B570" s="28" t="s">
        <v>28719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28720</v>
      </c>
      <c r="B572" s="28" t="s">
        <v>28721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28722</v>
      </c>
      <c r="B575" s="28" t="s">
        <v>28723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28724</v>
      </c>
      <c r="B577" s="28" t="s">
        <v>28725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28726</v>
      </c>
      <c r="B580" s="28" t="s">
        <v>28727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28728</v>
      </c>
      <c r="B585" s="28" t="s">
        <v>28729</v>
      </c>
    </row>
    <row r="586" spans="1:2" x14ac:dyDescent="0.25">
      <c r="A586" s="28" t="s">
        <v>28730</v>
      </c>
      <c r="B586" s="28" t="s">
        <v>28731</v>
      </c>
    </row>
    <row r="587" spans="1:2" x14ac:dyDescent="0.25">
      <c r="A587" s="28" t="s">
        <v>28732</v>
      </c>
      <c r="B587" s="28" t="s">
        <v>28733</v>
      </c>
    </row>
    <row r="588" spans="1:2" x14ac:dyDescent="0.25">
      <c r="A588" s="28" t="s">
        <v>28734</v>
      </c>
      <c r="B588" s="28" t="s">
        <v>28735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28736</v>
      </c>
      <c r="B592" s="28" t="s">
        <v>28737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28738</v>
      </c>
      <c r="B596" s="28" t="s">
        <v>28739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28740</v>
      </c>
      <c r="B602" s="28" t="s">
        <v>28741</v>
      </c>
    </row>
    <row r="603" spans="1:2" x14ac:dyDescent="0.25">
      <c r="A603" s="28" t="s">
        <v>28742</v>
      </c>
      <c r="B603" s="28" t="s">
        <v>28743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28744</v>
      </c>
      <c r="B608" s="28" t="s">
        <v>28745</v>
      </c>
    </row>
    <row r="609" spans="1:2" x14ac:dyDescent="0.25">
      <c r="A609" s="28" t="s">
        <v>28746</v>
      </c>
      <c r="B609" s="28" t="s">
        <v>28747</v>
      </c>
    </row>
    <row r="610" spans="1:2" x14ac:dyDescent="0.25">
      <c r="A610" s="28" t="s">
        <v>28748</v>
      </c>
      <c r="B610" s="28" t="s">
        <v>28749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28750</v>
      </c>
      <c r="B616" s="28" t="s">
        <v>28751</v>
      </c>
    </row>
    <row r="617" spans="1:2" x14ac:dyDescent="0.25">
      <c r="A617" s="28" t="s">
        <v>28752</v>
      </c>
      <c r="B617" s="28" t="s">
        <v>28753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28754</v>
      </c>
      <c r="B634" s="28" t="s">
        <v>28755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28756</v>
      </c>
      <c r="B644" s="28" t="s">
        <v>28757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28758</v>
      </c>
      <c r="B647" s="28" t="s">
        <v>28759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28760</v>
      </c>
      <c r="B649" s="28" t="s">
        <v>28761</v>
      </c>
    </row>
    <row r="650" spans="1:2" x14ac:dyDescent="0.25">
      <c r="A650" s="28" t="s">
        <v>28762</v>
      </c>
      <c r="B650" s="28" t="s">
        <v>28763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28764</v>
      </c>
      <c r="B656" s="28" t="s">
        <v>28765</v>
      </c>
    </row>
    <row r="657" spans="1:2" x14ac:dyDescent="0.25">
      <c r="A657" s="28" t="s">
        <v>28766</v>
      </c>
      <c r="B657" s="28" t="s">
        <v>28767</v>
      </c>
    </row>
    <row r="658" spans="1:2" x14ac:dyDescent="0.25">
      <c r="A658" s="28" t="s">
        <v>28768</v>
      </c>
      <c r="B658" s="28" t="s">
        <v>28769</v>
      </c>
    </row>
    <row r="659" spans="1:2" x14ac:dyDescent="0.25">
      <c r="A659" s="28" t="s">
        <v>28770</v>
      </c>
      <c r="B659" s="28" t="s">
        <v>28771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28772</v>
      </c>
      <c r="B662" s="28" t="s">
        <v>28773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28774</v>
      </c>
      <c r="B666" s="28" t="s">
        <v>28775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28776</v>
      </c>
      <c r="B675" s="28" t="s">
        <v>28777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28778</v>
      </c>
      <c r="B1153" s="28" t="s">
        <v>28433</v>
      </c>
    </row>
    <row r="1154" spans="1:2" x14ac:dyDescent="0.25">
      <c r="A1154" s="28" t="s">
        <v>28779</v>
      </c>
      <c r="B1154" s="28" t="s">
        <v>28432</v>
      </c>
    </row>
    <row r="1155" spans="1:2" x14ac:dyDescent="0.25">
      <c r="A1155" s="28" t="s">
        <v>28780</v>
      </c>
      <c r="B1155" s="28" t="s">
        <v>28438</v>
      </c>
    </row>
    <row r="1156" spans="1:2" x14ac:dyDescent="0.25">
      <c r="A1156" s="28" t="s">
        <v>28781</v>
      </c>
      <c r="B1156" s="28" t="s">
        <v>28436</v>
      </c>
    </row>
    <row r="1157" spans="1:2" x14ac:dyDescent="0.25">
      <c r="A1157" s="28" t="s">
        <v>28782</v>
      </c>
      <c r="B1157" s="28" t="s">
        <v>28437</v>
      </c>
    </row>
    <row r="1158" spans="1:2" x14ac:dyDescent="0.25">
      <c r="A1158" s="28" t="s">
        <v>28783</v>
      </c>
      <c r="B1158" s="28" t="s">
        <v>28434</v>
      </c>
    </row>
    <row r="1159" spans="1:2" x14ac:dyDescent="0.25">
      <c r="A1159" s="28" t="s">
        <v>28784</v>
      </c>
      <c r="B1159" s="28" t="s">
        <v>28435</v>
      </c>
    </row>
    <row r="1160" spans="1:2" x14ac:dyDescent="0.25">
      <c r="A1160" s="28" t="s">
        <v>28785</v>
      </c>
      <c r="B1160" s="28" t="s">
        <v>28441</v>
      </c>
    </row>
    <row r="1161" spans="1:2" x14ac:dyDescent="0.25">
      <c r="A1161" s="28" t="s">
        <v>28786</v>
      </c>
      <c r="B1161" s="28" t="s">
        <v>28442</v>
      </c>
    </row>
    <row r="1162" spans="1:2" x14ac:dyDescent="0.25">
      <c r="A1162" s="28" t="s">
        <v>28787</v>
      </c>
      <c r="B1162" s="28" t="s">
        <v>28440</v>
      </c>
    </row>
    <row r="1163" spans="1:2" x14ac:dyDescent="0.25">
      <c r="A1163" s="28" t="s">
        <v>28788</v>
      </c>
      <c r="B1163" s="28" t="s">
        <v>28439</v>
      </c>
    </row>
    <row r="1164" spans="1:2" x14ac:dyDescent="0.25">
      <c r="A1164" s="28" t="s">
        <v>28789</v>
      </c>
      <c r="B1164" s="28" t="s">
        <v>28448</v>
      </c>
    </row>
    <row r="1165" spans="1:2" x14ac:dyDescent="0.25">
      <c r="A1165" s="28" t="s">
        <v>28790</v>
      </c>
      <c r="B1165" s="28" t="s">
        <v>28447</v>
      </c>
    </row>
    <row r="1166" spans="1:2" x14ac:dyDescent="0.25">
      <c r="A1166" s="28" t="s">
        <v>28791</v>
      </c>
      <c r="B1166" s="28" t="s">
        <v>28445</v>
      </c>
    </row>
    <row r="1167" spans="1:2" x14ac:dyDescent="0.25">
      <c r="A1167" s="28" t="s">
        <v>28792</v>
      </c>
      <c r="B1167" s="28" t="s">
        <v>28444</v>
      </c>
    </row>
    <row r="1168" spans="1:2" x14ac:dyDescent="0.25">
      <c r="A1168" s="28" t="s">
        <v>28793</v>
      </c>
      <c r="B1168" s="28" t="s">
        <v>28446</v>
      </c>
    </row>
    <row r="1169" spans="1:2" x14ac:dyDescent="0.25">
      <c r="A1169" s="28" t="s">
        <v>28794</v>
      </c>
      <c r="B1169" s="28" t="s">
        <v>28443</v>
      </c>
    </row>
    <row r="1170" spans="1:2" x14ac:dyDescent="0.25">
      <c r="A1170" s="28" t="s">
        <v>28795</v>
      </c>
      <c r="B1170" s="28" t="s">
        <v>28453</v>
      </c>
    </row>
    <row r="1171" spans="1:2" x14ac:dyDescent="0.25">
      <c r="A1171" s="28" t="s">
        <v>28796</v>
      </c>
      <c r="B1171" s="28" t="s">
        <v>28450</v>
      </c>
    </row>
    <row r="1172" spans="1:2" x14ac:dyDescent="0.25">
      <c r="A1172" s="28" t="s">
        <v>28797</v>
      </c>
      <c r="B1172" s="28" t="s">
        <v>28451</v>
      </c>
    </row>
    <row r="1173" spans="1:2" x14ac:dyDescent="0.25">
      <c r="A1173" s="28" t="s">
        <v>28798</v>
      </c>
      <c r="B1173" s="28" t="s">
        <v>28452</v>
      </c>
    </row>
    <row r="1174" spans="1:2" x14ac:dyDescent="0.25">
      <c r="A1174" s="28" t="s">
        <v>28799</v>
      </c>
      <c r="B1174" s="28" t="s">
        <v>28449</v>
      </c>
    </row>
    <row r="1175" spans="1:2" x14ac:dyDescent="0.25">
      <c r="A1175" s="28" t="s">
        <v>28800</v>
      </c>
      <c r="B1175" s="28" t="s">
        <v>28454</v>
      </c>
    </row>
    <row r="1176" spans="1:2" x14ac:dyDescent="0.25">
      <c r="A1176" s="28" t="s">
        <v>28801</v>
      </c>
      <c r="B1176" s="28" t="s">
        <v>28466</v>
      </c>
    </row>
    <row r="1177" spans="1:2" x14ac:dyDescent="0.25">
      <c r="A1177" s="28" t="s">
        <v>28802</v>
      </c>
      <c r="B1177" s="28" t="s">
        <v>28459</v>
      </c>
    </row>
    <row r="1178" spans="1:2" x14ac:dyDescent="0.25">
      <c r="A1178" s="28" t="s">
        <v>28803</v>
      </c>
      <c r="B1178" s="28" t="s">
        <v>28465</v>
      </c>
    </row>
    <row r="1179" spans="1:2" x14ac:dyDescent="0.25">
      <c r="A1179" s="28" t="s">
        <v>28804</v>
      </c>
      <c r="B1179" s="28" t="s">
        <v>28462</v>
      </c>
    </row>
    <row r="1180" spans="1:2" x14ac:dyDescent="0.25">
      <c r="A1180" s="28" t="s">
        <v>28805</v>
      </c>
      <c r="B1180" s="28" t="s">
        <v>28461</v>
      </c>
    </row>
    <row r="1181" spans="1:2" x14ac:dyDescent="0.25">
      <c r="A1181" s="28" t="s">
        <v>28806</v>
      </c>
      <c r="B1181" s="28" t="s">
        <v>28457</v>
      </c>
    </row>
    <row r="1182" spans="1:2" x14ac:dyDescent="0.25">
      <c r="A1182" s="28" t="s">
        <v>28807</v>
      </c>
      <c r="B1182" s="28" t="s">
        <v>28458</v>
      </c>
    </row>
    <row r="1183" spans="1:2" x14ac:dyDescent="0.25">
      <c r="A1183" s="28" t="s">
        <v>28808</v>
      </c>
      <c r="B1183" s="28" t="s">
        <v>28464</v>
      </c>
    </row>
    <row r="1184" spans="1:2" x14ac:dyDescent="0.25">
      <c r="A1184" s="28" t="s">
        <v>28809</v>
      </c>
      <c r="B1184" s="28" t="s">
        <v>28463</v>
      </c>
    </row>
    <row r="1185" spans="1:2" x14ac:dyDescent="0.25">
      <c r="A1185" s="28" t="s">
        <v>28810</v>
      </c>
      <c r="B1185" s="28" t="s">
        <v>28456</v>
      </c>
    </row>
    <row r="1186" spans="1:2" x14ac:dyDescent="0.25">
      <c r="A1186" s="28" t="s">
        <v>28811</v>
      </c>
      <c r="B1186" s="28" t="s">
        <v>28460</v>
      </c>
    </row>
    <row r="1187" spans="1:2" x14ac:dyDescent="0.25">
      <c r="A1187" s="28" t="s">
        <v>28812</v>
      </c>
      <c r="B1187" s="28" t="s">
        <v>28455</v>
      </c>
    </row>
    <row r="1188" spans="1:2" x14ac:dyDescent="0.25">
      <c r="A1188" s="28" t="s">
        <v>28813</v>
      </c>
      <c r="B1188" s="28" t="s">
        <v>28467</v>
      </c>
    </row>
    <row r="1189" spans="1:2" x14ac:dyDescent="0.25">
      <c r="A1189" s="28" t="s">
        <v>28814</v>
      </c>
      <c r="B1189" s="28" t="s">
        <v>28472</v>
      </c>
    </row>
    <row r="1190" spans="1:2" x14ac:dyDescent="0.25">
      <c r="A1190" s="28" t="s">
        <v>28815</v>
      </c>
      <c r="B1190" s="28" t="s">
        <v>28471</v>
      </c>
    </row>
    <row r="1191" spans="1:2" x14ac:dyDescent="0.25">
      <c r="A1191" s="28" t="s">
        <v>28816</v>
      </c>
      <c r="B1191" s="28" t="s">
        <v>28470</v>
      </c>
    </row>
    <row r="1192" spans="1:2" x14ac:dyDescent="0.25">
      <c r="A1192" s="28" t="s">
        <v>28817</v>
      </c>
      <c r="B1192" s="28" t="s">
        <v>28474</v>
      </c>
    </row>
    <row r="1193" spans="1:2" x14ac:dyDescent="0.25">
      <c r="A1193" s="28" t="s">
        <v>28818</v>
      </c>
      <c r="B1193" s="28" t="s">
        <v>28473</v>
      </c>
    </row>
    <row r="1194" spans="1:2" x14ac:dyDescent="0.25">
      <c r="A1194" s="28" t="s">
        <v>28819</v>
      </c>
      <c r="B1194" s="28" t="s">
        <v>28468</v>
      </c>
    </row>
    <row r="1195" spans="1:2" x14ac:dyDescent="0.25">
      <c r="A1195" s="28" t="s">
        <v>28820</v>
      </c>
      <c r="B1195" s="28" t="s">
        <v>28469</v>
      </c>
    </row>
    <row r="1196" spans="1:2" x14ac:dyDescent="0.25">
      <c r="A1196" s="28" t="s">
        <v>28821</v>
      </c>
      <c r="B1196" s="28" t="s">
        <v>28475</v>
      </c>
    </row>
    <row r="1197" spans="1:2" x14ac:dyDescent="0.25">
      <c r="A1197" s="28" t="s">
        <v>28822</v>
      </c>
      <c r="B1197" s="28" t="s">
        <v>28477</v>
      </c>
    </row>
    <row r="1198" spans="1:2" x14ac:dyDescent="0.25">
      <c r="A1198" s="28" t="s">
        <v>28823</v>
      </c>
      <c r="B1198" s="28" t="s">
        <v>28476</v>
      </c>
    </row>
    <row r="1199" spans="1:2" x14ac:dyDescent="0.25">
      <c r="A1199" s="28" t="s">
        <v>28824</v>
      </c>
      <c r="B1199" s="28" t="s">
        <v>28478</v>
      </c>
    </row>
    <row r="1200" spans="1:2" x14ac:dyDescent="0.25">
      <c r="A1200" s="28" t="s">
        <v>28825</v>
      </c>
      <c r="B1200" s="28" t="s">
        <v>28479</v>
      </c>
    </row>
    <row r="1201" spans="1:2" x14ac:dyDescent="0.25">
      <c r="A1201" s="28" t="s">
        <v>28826</v>
      </c>
      <c r="B1201" s="28" t="s">
        <v>28480</v>
      </c>
    </row>
    <row r="1202" spans="1:2" x14ac:dyDescent="0.25">
      <c r="A1202" s="28" t="s">
        <v>28827</v>
      </c>
      <c r="B1202" s="28" t="s">
        <v>28482</v>
      </c>
    </row>
    <row r="1203" spans="1:2" x14ac:dyDescent="0.25">
      <c r="A1203" s="28" t="s">
        <v>28828</v>
      </c>
      <c r="B1203" s="28" t="s">
        <v>28481</v>
      </c>
    </row>
    <row r="1204" spans="1:2" x14ac:dyDescent="0.25">
      <c r="A1204" s="28" t="s">
        <v>28829</v>
      </c>
      <c r="B1204" s="28" t="s">
        <v>28483</v>
      </c>
    </row>
    <row r="1205" spans="1:2" x14ac:dyDescent="0.25">
      <c r="A1205" s="28" t="s">
        <v>28830</v>
      </c>
      <c r="B1205" s="28" t="s">
        <v>28485</v>
      </c>
    </row>
    <row r="1206" spans="1:2" x14ac:dyDescent="0.25">
      <c r="A1206" s="28" t="s">
        <v>28831</v>
      </c>
      <c r="B1206" s="28" t="s">
        <v>28484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28832</v>
      </c>
      <c r="B1208" s="28" t="s">
        <v>28833</v>
      </c>
    </row>
    <row r="1209" spans="1:2" x14ac:dyDescent="0.25">
      <c r="A1209" s="28" t="s">
        <v>28834</v>
      </c>
      <c r="B1209" s="28" t="s">
        <v>28835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28836</v>
      </c>
      <c r="B1211" s="28" t="s">
        <v>28837</v>
      </c>
    </row>
    <row r="1212" spans="1:2" x14ac:dyDescent="0.25">
      <c r="A1212" s="28" t="s">
        <v>28838</v>
      </c>
      <c r="B1212" s="28" t="s">
        <v>28839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28840</v>
      </c>
      <c r="B1252" s="28" t="s">
        <v>28841</v>
      </c>
    </row>
    <row r="1253" spans="1:2" x14ac:dyDescent="0.25">
      <c r="A1253" s="28" t="s">
        <v>28842</v>
      </c>
      <c r="B1253" s="28" t="s">
        <v>28843</v>
      </c>
    </row>
    <row r="1254" spans="1:2" x14ac:dyDescent="0.25">
      <c r="A1254" s="28" t="s">
        <v>28844</v>
      </c>
      <c r="B1254" s="28" t="s">
        <v>28845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28846</v>
      </c>
      <c r="B1257" s="28" t="s">
        <v>28847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28848</v>
      </c>
      <c r="B1266" s="28" t="s">
        <v>28849</v>
      </c>
    </row>
    <row r="1267" spans="1:2" x14ac:dyDescent="0.25">
      <c r="A1267" s="28" t="s">
        <v>28850</v>
      </c>
      <c r="B1267" s="28" t="s">
        <v>28851</v>
      </c>
    </row>
    <row r="1268" spans="1:2" x14ac:dyDescent="0.25">
      <c r="A1268" s="28" t="s">
        <v>28852</v>
      </c>
      <c r="B1268" s="28" t="s">
        <v>28853</v>
      </c>
    </row>
    <row r="1269" spans="1:2" x14ac:dyDescent="0.25">
      <c r="A1269" s="28" t="s">
        <v>28854</v>
      </c>
      <c r="B1269" s="28" t="s">
        <v>28855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28856</v>
      </c>
      <c r="B1292" s="28" t="s">
        <v>28857</v>
      </c>
    </row>
    <row r="1293" spans="1:2" x14ac:dyDescent="0.25">
      <c r="A1293" s="28" t="s">
        <v>28858</v>
      </c>
      <c r="B1293" s="28" t="s">
        <v>28859</v>
      </c>
    </row>
    <row r="1294" spans="1:2" x14ac:dyDescent="0.25">
      <c r="A1294" s="28" t="s">
        <v>28860</v>
      </c>
      <c r="B1294" s="28" t="s">
        <v>28861</v>
      </c>
    </row>
    <row r="1295" spans="1:2" x14ac:dyDescent="0.25">
      <c r="A1295" s="28" t="s">
        <v>28862</v>
      </c>
      <c r="B1295" s="28" t="s">
        <v>28863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28864</v>
      </c>
      <c r="B1364" s="28" t="s">
        <v>28865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28866</v>
      </c>
      <c r="B1374" s="28" t="s">
        <v>28867</v>
      </c>
    </row>
    <row r="1375" spans="1:2" x14ac:dyDescent="0.25">
      <c r="A1375" s="28" t="s">
        <v>28868</v>
      </c>
      <c r="B1375" s="28" t="s">
        <v>28869</v>
      </c>
    </row>
    <row r="1376" spans="1:2" x14ac:dyDescent="0.25">
      <c r="A1376" s="28" t="s">
        <v>28870</v>
      </c>
      <c r="B1376" s="28" t="s">
        <v>28871</v>
      </c>
    </row>
    <row r="1377" spans="1:2" x14ac:dyDescent="0.25">
      <c r="A1377" s="28" t="s">
        <v>28872</v>
      </c>
      <c r="B1377" s="28" t="s">
        <v>28873</v>
      </c>
    </row>
    <row r="1378" spans="1:2" x14ac:dyDescent="0.25">
      <c r="A1378" s="28" t="s">
        <v>28874</v>
      </c>
      <c r="B1378" s="28" t="s">
        <v>28875</v>
      </c>
    </row>
    <row r="1379" spans="1:2" x14ac:dyDescent="0.25">
      <c r="A1379" s="28" t="s">
        <v>28876</v>
      </c>
      <c r="B1379" s="28" t="s">
        <v>28877</v>
      </c>
    </row>
    <row r="1380" spans="1:2" x14ac:dyDescent="0.25">
      <c r="A1380" s="28" t="s">
        <v>28878</v>
      </c>
      <c r="B1380" s="28" t="s">
        <v>28879</v>
      </c>
    </row>
    <row r="1381" spans="1:2" x14ac:dyDescent="0.25">
      <c r="A1381" s="28" t="s">
        <v>28880</v>
      </c>
      <c r="B1381" s="28" t="s">
        <v>28881</v>
      </c>
    </row>
    <row r="1382" spans="1:2" x14ac:dyDescent="0.25">
      <c r="A1382" s="28" t="s">
        <v>28882</v>
      </c>
      <c r="B1382" s="28" t="s">
        <v>28883</v>
      </c>
    </row>
    <row r="1383" spans="1:2" x14ac:dyDescent="0.25">
      <c r="A1383" s="28" t="s">
        <v>28884</v>
      </c>
      <c r="B1383" s="28" t="s">
        <v>28885</v>
      </c>
    </row>
    <row r="1384" spans="1:2" x14ac:dyDescent="0.25">
      <c r="A1384" s="28" t="s">
        <v>28886</v>
      </c>
      <c r="B1384" s="28" t="s">
        <v>28887</v>
      </c>
    </row>
    <row r="1385" spans="1:2" x14ac:dyDescent="0.25">
      <c r="A1385" s="28" t="s">
        <v>28888</v>
      </c>
      <c r="B1385" s="28" t="s">
        <v>28889</v>
      </c>
    </row>
    <row r="1386" spans="1:2" x14ac:dyDescent="0.25">
      <c r="A1386" s="28" t="s">
        <v>28890</v>
      </c>
      <c r="B1386" s="28" t="s">
        <v>28891</v>
      </c>
    </row>
    <row r="1387" spans="1:2" x14ac:dyDescent="0.25">
      <c r="A1387" s="28" t="s">
        <v>28892</v>
      </c>
      <c r="B1387" s="28" t="s">
        <v>28893</v>
      </c>
    </row>
    <row r="1388" spans="1:2" x14ac:dyDescent="0.25">
      <c r="A1388" s="28" t="s">
        <v>28894</v>
      </c>
      <c r="B1388" s="28" t="s">
        <v>28895</v>
      </c>
    </row>
    <row r="1389" spans="1:2" x14ac:dyDescent="0.25">
      <c r="A1389" s="28" t="s">
        <v>28896</v>
      </c>
      <c r="B1389" s="28" t="s">
        <v>28897</v>
      </c>
    </row>
    <row r="1390" spans="1:2" x14ac:dyDescent="0.25">
      <c r="A1390" s="28" t="s">
        <v>28898</v>
      </c>
      <c r="B1390" s="28" t="s">
        <v>28899</v>
      </c>
    </row>
    <row r="1391" spans="1:2" x14ac:dyDescent="0.25">
      <c r="A1391" s="28" t="s">
        <v>28900</v>
      </c>
      <c r="B1391" s="28" t="s">
        <v>28901</v>
      </c>
    </row>
    <row r="1392" spans="1:2" x14ac:dyDescent="0.25">
      <c r="A1392" s="28" t="s">
        <v>28902</v>
      </c>
      <c r="B1392" s="28" t="s">
        <v>28903</v>
      </c>
    </row>
    <row r="1393" spans="1:2" x14ac:dyDescent="0.25">
      <c r="A1393" s="28" t="s">
        <v>28904</v>
      </c>
      <c r="B1393" s="28" t="s">
        <v>28905</v>
      </c>
    </row>
    <row r="1394" spans="1:2" x14ac:dyDescent="0.25">
      <c r="A1394" s="28" t="s">
        <v>28906</v>
      </c>
      <c r="B1394" s="28" t="s">
        <v>28907</v>
      </c>
    </row>
    <row r="1395" spans="1:2" x14ac:dyDescent="0.25">
      <c r="A1395" s="28" t="s">
        <v>28908</v>
      </c>
      <c r="B1395" s="28" t="s">
        <v>28909</v>
      </c>
    </row>
    <row r="1396" spans="1:2" x14ac:dyDescent="0.25">
      <c r="A1396" s="28" t="s">
        <v>28910</v>
      </c>
      <c r="B1396" s="28" t="s">
        <v>28911</v>
      </c>
    </row>
    <row r="1397" spans="1:2" x14ac:dyDescent="0.25">
      <c r="A1397" s="28" t="s">
        <v>28912</v>
      </c>
      <c r="B1397" s="28" t="s">
        <v>28913</v>
      </c>
    </row>
    <row r="1398" spans="1:2" x14ac:dyDescent="0.25">
      <c r="A1398" s="28" t="s">
        <v>28914</v>
      </c>
      <c r="B1398" s="28" t="s">
        <v>28915</v>
      </c>
    </row>
    <row r="1399" spans="1:2" x14ac:dyDescent="0.25">
      <c r="A1399" s="28" t="s">
        <v>28916</v>
      </c>
      <c r="B1399" s="28" t="s">
        <v>28917</v>
      </c>
    </row>
    <row r="1400" spans="1:2" x14ac:dyDescent="0.25">
      <c r="A1400" s="28" t="s">
        <v>28918</v>
      </c>
      <c r="B1400" s="28" t="s">
        <v>28919</v>
      </c>
    </row>
    <row r="1401" spans="1:2" x14ac:dyDescent="0.25">
      <c r="A1401" s="28" t="s">
        <v>28920</v>
      </c>
      <c r="B1401" s="28" t="s">
        <v>28921</v>
      </c>
    </row>
    <row r="1402" spans="1:2" x14ac:dyDescent="0.25">
      <c r="A1402" s="28" t="s">
        <v>28922</v>
      </c>
      <c r="B1402" s="28" t="s">
        <v>28923</v>
      </c>
    </row>
    <row r="1403" spans="1:2" x14ac:dyDescent="0.25">
      <c r="A1403" s="28" t="s">
        <v>28924</v>
      </c>
      <c r="B1403" s="28" t="s">
        <v>28925</v>
      </c>
    </row>
    <row r="1404" spans="1:2" x14ac:dyDescent="0.25">
      <c r="A1404" s="28" t="s">
        <v>28926</v>
      </c>
      <c r="B1404" s="28" t="s">
        <v>28927</v>
      </c>
    </row>
    <row r="1405" spans="1:2" x14ac:dyDescent="0.25">
      <c r="A1405" s="28" t="s">
        <v>28928</v>
      </c>
      <c r="B1405" s="28" t="s">
        <v>28929</v>
      </c>
    </row>
    <row r="1406" spans="1:2" x14ac:dyDescent="0.25">
      <c r="A1406" s="28" t="s">
        <v>28930</v>
      </c>
      <c r="B1406" s="28" t="s">
        <v>28931</v>
      </c>
    </row>
    <row r="1407" spans="1:2" x14ac:dyDescent="0.25">
      <c r="A1407" s="28" t="s">
        <v>28932</v>
      </c>
      <c r="B1407" s="28" t="s">
        <v>28933</v>
      </c>
    </row>
    <row r="1408" spans="1:2" x14ac:dyDescent="0.25">
      <c r="A1408" s="28" t="s">
        <v>28934</v>
      </c>
      <c r="B1408" s="28" t="s">
        <v>28935</v>
      </c>
    </row>
    <row r="1409" spans="1:2" x14ac:dyDescent="0.25">
      <c r="A1409" s="28" t="s">
        <v>28936</v>
      </c>
      <c r="B1409" s="28" t="s">
        <v>28937</v>
      </c>
    </row>
    <row r="1410" spans="1:2" x14ac:dyDescent="0.25">
      <c r="A1410" s="28" t="s">
        <v>28938</v>
      </c>
      <c r="B1410" s="28" t="s">
        <v>28939</v>
      </c>
    </row>
    <row r="1411" spans="1:2" x14ac:dyDescent="0.25">
      <c r="A1411" s="28" t="s">
        <v>28940</v>
      </c>
      <c r="B1411" s="28" t="s">
        <v>28941</v>
      </c>
    </row>
    <row r="1412" spans="1:2" x14ac:dyDescent="0.25">
      <c r="A1412" s="28" t="s">
        <v>28942</v>
      </c>
      <c r="B1412" s="28" t="s">
        <v>28943</v>
      </c>
    </row>
    <row r="1413" spans="1:2" x14ac:dyDescent="0.25">
      <c r="A1413" s="28" t="s">
        <v>28944</v>
      </c>
      <c r="B1413" s="28" t="s">
        <v>28945</v>
      </c>
    </row>
    <row r="1414" spans="1:2" x14ac:dyDescent="0.25">
      <c r="A1414" s="28" t="s">
        <v>28946</v>
      </c>
      <c r="B1414" s="28" t="s">
        <v>28947</v>
      </c>
    </row>
    <row r="1415" spans="1:2" x14ac:dyDescent="0.25">
      <c r="A1415" s="28" t="s">
        <v>28948</v>
      </c>
      <c r="B1415" s="28" t="s">
        <v>28949</v>
      </c>
    </row>
    <row r="1416" spans="1:2" x14ac:dyDescent="0.25">
      <c r="A1416" s="28" t="s">
        <v>28950</v>
      </c>
      <c r="B1416" s="28" t="s">
        <v>28951</v>
      </c>
    </row>
    <row r="1417" spans="1:2" x14ac:dyDescent="0.25">
      <c r="A1417" s="28" t="s">
        <v>28952</v>
      </c>
      <c r="B1417" s="28" t="s">
        <v>28953</v>
      </c>
    </row>
    <row r="1418" spans="1:2" x14ac:dyDescent="0.25">
      <c r="A1418" s="28" t="s">
        <v>28954</v>
      </c>
      <c r="B1418" s="28" t="s">
        <v>28955</v>
      </c>
    </row>
    <row r="1419" spans="1:2" x14ac:dyDescent="0.25">
      <c r="A1419" s="28" t="s">
        <v>28956</v>
      </c>
      <c r="B1419" s="28" t="s">
        <v>28957</v>
      </c>
    </row>
    <row r="1420" spans="1:2" x14ac:dyDescent="0.25">
      <c r="A1420" s="28" t="s">
        <v>28958</v>
      </c>
      <c r="B1420" s="28" t="s">
        <v>28959</v>
      </c>
    </row>
    <row r="1421" spans="1:2" x14ac:dyDescent="0.25">
      <c r="A1421" s="28" t="s">
        <v>28960</v>
      </c>
      <c r="B1421" s="28" t="s">
        <v>28961</v>
      </c>
    </row>
    <row r="1422" spans="1:2" x14ac:dyDescent="0.25">
      <c r="A1422" s="28" t="s">
        <v>28962</v>
      </c>
      <c r="B1422" s="28" t="s">
        <v>28963</v>
      </c>
    </row>
    <row r="1423" spans="1:2" x14ac:dyDescent="0.25">
      <c r="A1423" s="28" t="s">
        <v>28964</v>
      </c>
      <c r="B1423" s="28" t="s">
        <v>28965</v>
      </c>
    </row>
    <row r="1424" spans="1:2" x14ac:dyDescent="0.25">
      <c r="A1424" s="28" t="s">
        <v>28966</v>
      </c>
      <c r="B1424" s="28" t="s">
        <v>28967</v>
      </c>
    </row>
    <row r="1425" spans="1:2" x14ac:dyDescent="0.25">
      <c r="A1425" s="28" t="s">
        <v>28968</v>
      </c>
      <c r="B1425" s="28" t="s">
        <v>28969</v>
      </c>
    </row>
    <row r="1426" spans="1:2" x14ac:dyDescent="0.25">
      <c r="A1426" s="28" t="s">
        <v>28970</v>
      </c>
      <c r="B1426" s="28" t="s">
        <v>28971</v>
      </c>
    </row>
    <row r="1427" spans="1:2" x14ac:dyDescent="0.25">
      <c r="A1427" s="28" t="s">
        <v>28972</v>
      </c>
      <c r="B1427" s="28" t="s">
        <v>28973</v>
      </c>
    </row>
    <row r="1428" spans="1:2" x14ac:dyDescent="0.25">
      <c r="A1428" s="28" t="s">
        <v>28974</v>
      </c>
      <c r="B1428" s="28" t="s">
        <v>28975</v>
      </c>
    </row>
    <row r="1429" spans="1:2" x14ac:dyDescent="0.25">
      <c r="A1429" s="28" t="s">
        <v>28976</v>
      </c>
      <c r="B1429" s="28" t="s">
        <v>28977</v>
      </c>
    </row>
    <row r="1430" spans="1:2" x14ac:dyDescent="0.25">
      <c r="A1430" s="28" t="s">
        <v>28978</v>
      </c>
      <c r="B1430" s="28" t="s">
        <v>28979</v>
      </c>
    </row>
    <row r="1431" spans="1:2" x14ac:dyDescent="0.25">
      <c r="A1431" s="28" t="s">
        <v>28980</v>
      </c>
      <c r="B1431" s="28" t="s">
        <v>28981</v>
      </c>
    </row>
    <row r="1432" spans="1:2" x14ac:dyDescent="0.25">
      <c r="A1432" s="28" t="s">
        <v>28982</v>
      </c>
      <c r="B1432" s="28" t="s">
        <v>28983</v>
      </c>
    </row>
    <row r="1433" spans="1:2" x14ac:dyDescent="0.25">
      <c r="A1433" s="28" t="s">
        <v>28984</v>
      </c>
      <c r="B1433" s="28" t="s">
        <v>28985</v>
      </c>
    </row>
    <row r="1434" spans="1:2" x14ac:dyDescent="0.25">
      <c r="A1434" s="28" t="s">
        <v>28986</v>
      </c>
      <c r="B1434" s="28" t="s">
        <v>28987</v>
      </c>
    </row>
    <row r="1435" spans="1:2" x14ac:dyDescent="0.25">
      <c r="A1435" s="28" t="s">
        <v>28988</v>
      </c>
      <c r="B1435" s="28" t="s">
        <v>28989</v>
      </c>
    </row>
    <row r="1436" spans="1:2" x14ac:dyDescent="0.25">
      <c r="A1436" s="28" t="s">
        <v>28990</v>
      </c>
      <c r="B1436" s="28" t="s">
        <v>28991</v>
      </c>
    </row>
    <row r="1437" spans="1:2" x14ac:dyDescent="0.25">
      <c r="A1437" s="28" t="s">
        <v>28992</v>
      </c>
      <c r="B1437" s="28" t="s">
        <v>28993</v>
      </c>
    </row>
    <row r="1438" spans="1:2" x14ac:dyDescent="0.25">
      <c r="A1438" s="28" t="s">
        <v>28994</v>
      </c>
      <c r="B1438" s="28" t="s">
        <v>28995</v>
      </c>
    </row>
    <row r="1439" spans="1:2" x14ac:dyDescent="0.25">
      <c r="A1439" s="28" t="s">
        <v>28996</v>
      </c>
      <c r="B1439" s="28" t="s">
        <v>28997</v>
      </c>
    </row>
    <row r="1440" spans="1:2" x14ac:dyDescent="0.25">
      <c r="A1440" s="28" t="s">
        <v>28998</v>
      </c>
      <c r="B1440" s="28" t="s">
        <v>28999</v>
      </c>
    </row>
    <row r="1441" spans="1:2" x14ac:dyDescent="0.25">
      <c r="A1441" s="28" t="s">
        <v>29000</v>
      </c>
      <c r="B1441" s="28" t="s">
        <v>29001</v>
      </c>
    </row>
    <row r="1442" spans="1:2" x14ac:dyDescent="0.25">
      <c r="A1442" s="28" t="s">
        <v>29002</v>
      </c>
      <c r="B1442" s="28" t="s">
        <v>29003</v>
      </c>
    </row>
    <row r="1443" spans="1:2" x14ac:dyDescent="0.25">
      <c r="A1443" s="28" t="s">
        <v>29004</v>
      </c>
      <c r="B1443" s="28" t="s">
        <v>29005</v>
      </c>
    </row>
    <row r="1444" spans="1:2" x14ac:dyDescent="0.25">
      <c r="A1444" s="28" t="s">
        <v>29006</v>
      </c>
      <c r="B1444" s="28" t="s">
        <v>29007</v>
      </c>
    </row>
    <row r="1445" spans="1:2" x14ac:dyDescent="0.25">
      <c r="A1445" s="28" t="s">
        <v>29008</v>
      </c>
      <c r="B1445" s="28" t="s">
        <v>29009</v>
      </c>
    </row>
    <row r="1446" spans="1:2" x14ac:dyDescent="0.25">
      <c r="A1446" s="28" t="s">
        <v>29010</v>
      </c>
      <c r="B1446" s="28" t="s">
        <v>29011</v>
      </c>
    </row>
    <row r="1447" spans="1:2" x14ac:dyDescent="0.25">
      <c r="A1447" s="28" t="s">
        <v>29012</v>
      </c>
      <c r="B1447" s="28" t="s">
        <v>29013</v>
      </c>
    </row>
    <row r="1448" spans="1:2" x14ac:dyDescent="0.25">
      <c r="A1448" s="28" t="s">
        <v>29014</v>
      </c>
      <c r="B1448" s="28" t="s">
        <v>29015</v>
      </c>
    </row>
    <row r="1449" spans="1:2" x14ac:dyDescent="0.25">
      <c r="A1449" s="28" t="s">
        <v>29016</v>
      </c>
      <c r="B1449" s="28" t="s">
        <v>29017</v>
      </c>
    </row>
    <row r="1450" spans="1:2" x14ac:dyDescent="0.25">
      <c r="A1450" s="28" t="s">
        <v>29018</v>
      </c>
      <c r="B1450" s="28" t="s">
        <v>29019</v>
      </c>
    </row>
    <row r="1451" spans="1:2" x14ac:dyDescent="0.25">
      <c r="A1451" s="28" t="s">
        <v>29020</v>
      </c>
      <c r="B1451" s="28" t="s">
        <v>29021</v>
      </c>
    </row>
    <row r="1452" spans="1:2" x14ac:dyDescent="0.25">
      <c r="A1452" s="28" t="s">
        <v>29022</v>
      </c>
      <c r="B1452" s="28" t="s">
        <v>29023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29024</v>
      </c>
      <c r="B1457" s="28" t="s">
        <v>29025</v>
      </c>
    </row>
    <row r="1458" spans="1:2" x14ac:dyDescent="0.25">
      <c r="A1458" s="28" t="s">
        <v>29026</v>
      </c>
      <c r="B1458" s="28" t="s">
        <v>29027</v>
      </c>
    </row>
    <row r="1459" spans="1:2" x14ac:dyDescent="0.25">
      <c r="A1459" s="28" t="s">
        <v>29028</v>
      </c>
      <c r="B1459" s="28" t="s">
        <v>29029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29030</v>
      </c>
      <c r="B1470" s="28" t="s">
        <v>29031</v>
      </c>
    </row>
    <row r="1471" spans="1:2" x14ac:dyDescent="0.25">
      <c r="A1471" s="28" t="s">
        <v>29032</v>
      </c>
      <c r="B1471" s="28" t="s">
        <v>29033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29034</v>
      </c>
      <c r="B1475" s="28" t="s">
        <v>29035</v>
      </c>
    </row>
    <row r="1476" spans="1:2" x14ac:dyDescent="0.25">
      <c r="A1476" s="28" t="s">
        <v>29036</v>
      </c>
      <c r="B1476" s="28" t="s">
        <v>29037</v>
      </c>
    </row>
    <row r="1477" spans="1:2" x14ac:dyDescent="0.25">
      <c r="A1477" s="28" t="s">
        <v>29038</v>
      </c>
      <c r="B1477" s="28" t="s">
        <v>29039</v>
      </c>
    </row>
    <row r="1478" spans="1:2" x14ac:dyDescent="0.25">
      <c r="A1478" s="28" t="s">
        <v>29040</v>
      </c>
      <c r="B1478" s="28" t="s">
        <v>29041</v>
      </c>
    </row>
    <row r="1479" spans="1:2" x14ac:dyDescent="0.25">
      <c r="A1479" s="28" t="s">
        <v>29042</v>
      </c>
      <c r="B1479" s="28" t="s">
        <v>29043</v>
      </c>
    </row>
    <row r="1480" spans="1:2" x14ac:dyDescent="0.25">
      <c r="A1480" s="28" t="s">
        <v>29044</v>
      </c>
      <c r="B1480" s="28" t="s">
        <v>29045</v>
      </c>
    </row>
    <row r="1481" spans="1:2" x14ac:dyDescent="0.25">
      <c r="A1481" s="28" t="s">
        <v>29046</v>
      </c>
      <c r="B1481" s="28" t="s">
        <v>29047</v>
      </c>
    </row>
    <row r="1482" spans="1:2" x14ac:dyDescent="0.25">
      <c r="A1482" s="28" t="s">
        <v>29048</v>
      </c>
      <c r="B1482" s="28" t="s">
        <v>29049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29050</v>
      </c>
      <c r="B1492" s="28" t="s">
        <v>29051</v>
      </c>
    </row>
    <row r="1493" spans="1:2" x14ac:dyDescent="0.25">
      <c r="A1493" s="28" t="s">
        <v>29052</v>
      </c>
      <c r="B1493" s="28" t="s">
        <v>29053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29054</v>
      </c>
      <c r="B1498" s="28" t="s">
        <v>29055</v>
      </c>
    </row>
    <row r="1499" spans="1:2" x14ac:dyDescent="0.25">
      <c r="A1499" s="28" t="s">
        <v>29056</v>
      </c>
      <c r="B1499" s="28" t="s">
        <v>29057</v>
      </c>
    </row>
    <row r="1500" spans="1:2" x14ac:dyDescent="0.25">
      <c r="A1500" s="28" t="s">
        <v>29058</v>
      </c>
      <c r="B1500" s="28" t="s">
        <v>29059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29060</v>
      </c>
      <c r="B1502" s="28" t="s">
        <v>29061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29062</v>
      </c>
      <c r="B1506" s="28" t="s">
        <v>29063</v>
      </c>
    </row>
    <row r="1507" spans="1:2" x14ac:dyDescent="0.25">
      <c r="A1507" s="28" t="s">
        <v>29064</v>
      </c>
      <c r="B1507" s="28" t="s">
        <v>29065</v>
      </c>
    </row>
    <row r="1508" spans="1:2" x14ac:dyDescent="0.25">
      <c r="A1508" s="28" t="s">
        <v>29066</v>
      </c>
      <c r="B1508" s="28" t="s">
        <v>29067</v>
      </c>
    </row>
    <row r="1509" spans="1:2" x14ac:dyDescent="0.25">
      <c r="A1509" s="28" t="s">
        <v>29068</v>
      </c>
      <c r="B1509" s="28" t="s">
        <v>29069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29070</v>
      </c>
      <c r="B1513" s="28" t="s">
        <v>29071</v>
      </c>
    </row>
    <row r="1514" spans="1:2" x14ac:dyDescent="0.25">
      <c r="A1514" s="28" t="s">
        <v>29072</v>
      </c>
      <c r="B1514" s="28" t="s">
        <v>29073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29074</v>
      </c>
      <c r="B1531" s="28" t="s">
        <v>29075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29076</v>
      </c>
      <c r="B1567" s="28" t="s">
        <v>29077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29078</v>
      </c>
      <c r="B1765" s="28" t="s">
        <v>29079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29080</v>
      </c>
      <c r="B1767" s="28" t="s">
        <v>29081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29082</v>
      </c>
      <c r="B1940" s="28" t="s">
        <v>29083</v>
      </c>
    </row>
    <row r="1941" spans="1:2" x14ac:dyDescent="0.25">
      <c r="A1941" s="28" t="s">
        <v>29084</v>
      </c>
      <c r="B1941" s="28" t="s">
        <v>29085</v>
      </c>
    </row>
    <row r="1942" spans="1:2" x14ac:dyDescent="0.25">
      <c r="A1942" s="28" t="s">
        <v>29086</v>
      </c>
      <c r="B1942" s="28" t="s">
        <v>29087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29088</v>
      </c>
      <c r="B1948" s="28" t="s">
        <v>29089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29090</v>
      </c>
      <c r="B1954" s="28" t="s">
        <v>29091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29092</v>
      </c>
      <c r="B1956" s="28" t="s">
        <v>29093</v>
      </c>
    </row>
    <row r="1957" spans="1:2" x14ac:dyDescent="0.25">
      <c r="A1957" s="28" t="s">
        <v>29094</v>
      </c>
      <c r="B1957" s="28" t="s">
        <v>29095</v>
      </c>
    </row>
    <row r="1958" spans="1:2" x14ac:dyDescent="0.25">
      <c r="A1958" s="28" t="s">
        <v>29096</v>
      </c>
      <c r="B1958" s="28" t="s">
        <v>29097</v>
      </c>
    </row>
    <row r="1959" spans="1:2" x14ac:dyDescent="0.25">
      <c r="A1959" s="28" t="s">
        <v>29098</v>
      </c>
      <c r="B1959" s="28" t="s">
        <v>29099</v>
      </c>
    </row>
    <row r="1960" spans="1:2" x14ac:dyDescent="0.25">
      <c r="A1960" s="28" t="s">
        <v>29100</v>
      </c>
      <c r="B1960" s="28" t="s">
        <v>29101</v>
      </c>
    </row>
    <row r="1961" spans="1:2" x14ac:dyDescent="0.25">
      <c r="A1961" s="28" t="s">
        <v>29102</v>
      </c>
      <c r="B1961" s="28" t="s">
        <v>29103</v>
      </c>
    </row>
    <row r="1962" spans="1:2" x14ac:dyDescent="0.25">
      <c r="A1962" s="28" t="s">
        <v>29104</v>
      </c>
      <c r="B1962" s="28" t="s">
        <v>29105</v>
      </c>
    </row>
    <row r="1963" spans="1:2" x14ac:dyDescent="0.25">
      <c r="A1963" s="28" t="s">
        <v>29106</v>
      </c>
      <c r="B1963" s="28" t="s">
        <v>29107</v>
      </c>
    </row>
    <row r="1964" spans="1:2" x14ac:dyDescent="0.25">
      <c r="A1964" s="28" t="s">
        <v>29108</v>
      </c>
      <c r="B1964" s="28" t="s">
        <v>29109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29110</v>
      </c>
      <c r="B2404" s="28" t="s">
        <v>29111</v>
      </c>
    </row>
    <row r="2405" spans="1:2" x14ac:dyDescent="0.25">
      <c r="A2405" s="28" t="s">
        <v>29112</v>
      </c>
      <c r="B2405" s="28" t="s">
        <v>29113</v>
      </c>
    </row>
    <row r="2406" spans="1:2" x14ac:dyDescent="0.25">
      <c r="A2406" s="28" t="s">
        <v>29114</v>
      </c>
      <c r="B2406" s="28" t="s">
        <v>29115</v>
      </c>
    </row>
    <row r="2407" spans="1:2" x14ac:dyDescent="0.25">
      <c r="A2407" s="28" t="s">
        <v>29116</v>
      </c>
      <c r="B2407" s="28" t="s">
        <v>29117</v>
      </c>
    </row>
    <row r="2408" spans="1:2" x14ac:dyDescent="0.25">
      <c r="A2408" s="28" t="s">
        <v>29118</v>
      </c>
      <c r="B2408" s="28" t="s">
        <v>29119</v>
      </c>
    </row>
    <row r="2409" spans="1:2" x14ac:dyDescent="0.25">
      <c r="A2409" s="28" t="s">
        <v>29120</v>
      </c>
      <c r="B2409" s="28" t="s">
        <v>29121</v>
      </c>
    </row>
    <row r="2410" spans="1:2" x14ac:dyDescent="0.25">
      <c r="A2410" s="28" t="s">
        <v>29122</v>
      </c>
      <c r="B2410" s="28" t="s">
        <v>29123</v>
      </c>
    </row>
    <row r="2411" spans="1:2" x14ac:dyDescent="0.25">
      <c r="A2411" s="28" t="s">
        <v>29124</v>
      </c>
      <c r="B2411" s="28" t="s">
        <v>29125</v>
      </c>
    </row>
    <row r="2412" spans="1:2" x14ac:dyDescent="0.25">
      <c r="A2412" s="28" t="s">
        <v>29126</v>
      </c>
      <c r="B2412" s="28" t="s">
        <v>29127</v>
      </c>
    </row>
    <row r="2413" spans="1:2" x14ac:dyDescent="0.25">
      <c r="A2413" s="28" t="s">
        <v>29128</v>
      </c>
      <c r="B2413" s="28" t="s">
        <v>29129</v>
      </c>
    </row>
    <row r="2414" spans="1:2" x14ac:dyDescent="0.25">
      <c r="A2414" s="28" t="s">
        <v>29130</v>
      </c>
      <c r="B2414" s="28" t="s">
        <v>29131</v>
      </c>
    </row>
    <row r="2415" spans="1:2" x14ac:dyDescent="0.25">
      <c r="A2415" s="28" t="s">
        <v>29132</v>
      </c>
      <c r="B2415" s="28" t="s">
        <v>29133</v>
      </c>
    </row>
    <row r="2416" spans="1:2" x14ac:dyDescent="0.25">
      <c r="A2416" s="28" t="s">
        <v>29134</v>
      </c>
      <c r="B2416" s="28" t="s">
        <v>29135</v>
      </c>
    </row>
    <row r="2417" spans="1:2" x14ac:dyDescent="0.25">
      <c r="A2417" s="28" t="s">
        <v>29136</v>
      </c>
      <c r="B2417" s="28" t="s">
        <v>29137</v>
      </c>
    </row>
    <row r="2418" spans="1:2" x14ac:dyDescent="0.25">
      <c r="A2418" s="28" t="s">
        <v>29138</v>
      </c>
      <c r="B2418" s="28" t="s">
        <v>29139</v>
      </c>
    </row>
    <row r="2419" spans="1:2" x14ac:dyDescent="0.25">
      <c r="A2419" s="28" t="s">
        <v>29140</v>
      </c>
      <c r="B2419" s="28" t="s">
        <v>29141</v>
      </c>
    </row>
    <row r="2420" spans="1:2" x14ac:dyDescent="0.25">
      <c r="A2420" s="28" t="s">
        <v>29142</v>
      </c>
      <c r="B2420" s="28" t="s">
        <v>29143</v>
      </c>
    </row>
    <row r="2421" spans="1:2" x14ac:dyDescent="0.25">
      <c r="A2421" s="28" t="s">
        <v>29144</v>
      </c>
      <c r="B2421" s="28" t="s">
        <v>29145</v>
      </c>
    </row>
    <row r="2422" spans="1:2" x14ac:dyDescent="0.25">
      <c r="A2422" s="28" t="s">
        <v>29146</v>
      </c>
      <c r="B2422" s="28" t="s">
        <v>29147</v>
      </c>
    </row>
    <row r="2423" spans="1:2" x14ac:dyDescent="0.25">
      <c r="A2423" s="28" t="s">
        <v>29148</v>
      </c>
      <c r="B2423" s="28" t="s">
        <v>29149</v>
      </c>
    </row>
    <row r="2424" spans="1:2" x14ac:dyDescent="0.25">
      <c r="A2424" s="28" t="s">
        <v>29150</v>
      </c>
      <c r="B2424" s="28" t="s">
        <v>29151</v>
      </c>
    </row>
    <row r="2425" spans="1:2" x14ac:dyDescent="0.25">
      <c r="A2425" s="28" t="s">
        <v>29152</v>
      </c>
      <c r="B2425" s="28" t="s">
        <v>29153</v>
      </c>
    </row>
    <row r="2426" spans="1:2" x14ac:dyDescent="0.25">
      <c r="A2426" s="28" t="s">
        <v>29154</v>
      </c>
      <c r="B2426" s="28" t="s">
        <v>29155</v>
      </c>
    </row>
    <row r="2427" spans="1:2" x14ac:dyDescent="0.25">
      <c r="A2427" s="28" t="s">
        <v>29156</v>
      </c>
      <c r="B2427" s="28" t="s">
        <v>29157</v>
      </c>
    </row>
    <row r="2428" spans="1:2" x14ac:dyDescent="0.25">
      <c r="A2428" s="28" t="s">
        <v>29158</v>
      </c>
      <c r="B2428" s="28" t="s">
        <v>29159</v>
      </c>
    </row>
    <row r="2429" spans="1:2" x14ac:dyDescent="0.25">
      <c r="A2429" s="28" t="s">
        <v>29160</v>
      </c>
      <c r="B2429" s="28" t="s">
        <v>29161</v>
      </c>
    </row>
    <row r="2430" spans="1:2" x14ac:dyDescent="0.25">
      <c r="A2430" s="28" t="s">
        <v>29162</v>
      </c>
      <c r="B2430" s="28" t="s">
        <v>29163</v>
      </c>
    </row>
    <row r="2431" spans="1:2" x14ac:dyDescent="0.25">
      <c r="A2431" s="28" t="s">
        <v>29164</v>
      </c>
      <c r="B2431" s="28" t="s">
        <v>29165</v>
      </c>
    </row>
    <row r="2432" spans="1:2" x14ac:dyDescent="0.25">
      <c r="A2432" s="28" t="s">
        <v>29166</v>
      </c>
      <c r="B2432" s="28" t="s">
        <v>29167</v>
      </c>
    </row>
    <row r="2433" spans="1:2" x14ac:dyDescent="0.25">
      <c r="A2433" s="28" t="s">
        <v>29168</v>
      </c>
      <c r="B2433" s="28" t="s">
        <v>29169</v>
      </c>
    </row>
    <row r="2434" spans="1:2" x14ac:dyDescent="0.25">
      <c r="A2434" s="28" t="s">
        <v>29170</v>
      </c>
      <c r="B2434" s="28" t="s">
        <v>29171</v>
      </c>
    </row>
    <row r="2435" spans="1:2" x14ac:dyDescent="0.25">
      <c r="A2435" s="28" t="s">
        <v>29172</v>
      </c>
      <c r="B2435" s="28" t="s">
        <v>29173</v>
      </c>
    </row>
    <row r="2436" spans="1:2" x14ac:dyDescent="0.25">
      <c r="A2436" s="28" t="s">
        <v>29174</v>
      </c>
      <c r="B2436" s="28" t="s">
        <v>29175</v>
      </c>
    </row>
    <row r="2437" spans="1:2" x14ac:dyDescent="0.25">
      <c r="A2437" s="28" t="s">
        <v>29176</v>
      </c>
      <c r="B2437" s="28" t="s">
        <v>29177</v>
      </c>
    </row>
    <row r="2438" spans="1:2" x14ac:dyDescent="0.25">
      <c r="A2438" s="28" t="s">
        <v>29178</v>
      </c>
      <c r="B2438" s="28" t="s">
        <v>29179</v>
      </c>
    </row>
    <row r="2439" spans="1:2" x14ac:dyDescent="0.25">
      <c r="A2439" s="28" t="s">
        <v>29180</v>
      </c>
      <c r="B2439" s="28" t="s">
        <v>29181</v>
      </c>
    </row>
    <row r="2440" spans="1:2" x14ac:dyDescent="0.25">
      <c r="A2440" s="28" t="s">
        <v>29182</v>
      </c>
      <c r="B2440" s="28" t="s">
        <v>29183</v>
      </c>
    </row>
    <row r="2441" spans="1:2" x14ac:dyDescent="0.25">
      <c r="A2441" s="28" t="s">
        <v>29184</v>
      </c>
      <c r="B2441" s="28" t="s">
        <v>29185</v>
      </c>
    </row>
    <row r="2442" spans="1:2" x14ac:dyDescent="0.25">
      <c r="A2442" s="28" t="s">
        <v>29186</v>
      </c>
      <c r="B2442" s="28" t="s">
        <v>29187</v>
      </c>
    </row>
    <row r="2443" spans="1:2" x14ac:dyDescent="0.25">
      <c r="A2443" s="28" t="s">
        <v>29188</v>
      </c>
      <c r="B2443" s="28" t="s">
        <v>29189</v>
      </c>
    </row>
    <row r="2444" spans="1:2" x14ac:dyDescent="0.25">
      <c r="A2444" s="28" t="s">
        <v>29190</v>
      </c>
      <c r="B2444" s="28" t="s">
        <v>29191</v>
      </c>
    </row>
    <row r="2445" spans="1:2" x14ac:dyDescent="0.25">
      <c r="A2445" s="28" t="s">
        <v>29192</v>
      </c>
      <c r="B2445" s="28" t="s">
        <v>29193</v>
      </c>
    </row>
    <row r="2446" spans="1:2" x14ac:dyDescent="0.25">
      <c r="A2446" s="28" t="s">
        <v>29194</v>
      </c>
      <c r="B2446" s="28" t="s">
        <v>29195</v>
      </c>
    </row>
    <row r="2447" spans="1:2" x14ac:dyDescent="0.25">
      <c r="A2447" s="28" t="s">
        <v>29196</v>
      </c>
      <c r="B2447" s="28" t="s">
        <v>29197</v>
      </c>
    </row>
    <row r="2448" spans="1:2" x14ac:dyDescent="0.25">
      <c r="A2448" s="28" t="s">
        <v>29198</v>
      </c>
      <c r="B2448" s="28" t="s">
        <v>29199</v>
      </c>
    </row>
    <row r="2449" spans="1:2" x14ac:dyDescent="0.25">
      <c r="A2449" s="28" t="s">
        <v>29200</v>
      </c>
      <c r="B2449" s="28" t="s">
        <v>29201</v>
      </c>
    </row>
    <row r="2450" spans="1:2" x14ac:dyDescent="0.25">
      <c r="A2450" s="28" t="s">
        <v>29202</v>
      </c>
      <c r="B2450" s="28" t="s">
        <v>29203</v>
      </c>
    </row>
    <row r="2451" spans="1:2" x14ac:dyDescent="0.25">
      <c r="A2451" s="28" t="s">
        <v>29204</v>
      </c>
      <c r="B2451" s="28" t="s">
        <v>29205</v>
      </c>
    </row>
    <row r="2452" spans="1:2" x14ac:dyDescent="0.25">
      <c r="A2452" s="28" t="s">
        <v>29206</v>
      </c>
      <c r="B2452" s="28" t="s">
        <v>29207</v>
      </c>
    </row>
    <row r="2453" spans="1:2" x14ac:dyDescent="0.25">
      <c r="A2453" s="28" t="s">
        <v>29208</v>
      </c>
      <c r="B2453" s="28" t="s">
        <v>29209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29210</v>
      </c>
      <c r="B2568" s="28" t="s">
        <v>29211</v>
      </c>
    </row>
    <row r="2569" spans="1:2" x14ac:dyDescent="0.25">
      <c r="A2569" s="28" t="s">
        <v>29212</v>
      </c>
      <c r="B2569" s="28" t="s">
        <v>29213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29214</v>
      </c>
      <c r="B2587" s="28" t="s">
        <v>29215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29216</v>
      </c>
      <c r="B2621" s="28" t="s">
        <v>29217</v>
      </c>
    </row>
    <row r="2622" spans="1:2" x14ac:dyDescent="0.25">
      <c r="A2622" s="28" t="s">
        <v>29218</v>
      </c>
      <c r="B2622" s="28" t="s">
        <v>29219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29220</v>
      </c>
      <c r="B2624" s="28" t="s">
        <v>29221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29222</v>
      </c>
      <c r="B2635" s="28" t="s">
        <v>29223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29224</v>
      </c>
      <c r="B2665" s="28" t="s">
        <v>29225</v>
      </c>
    </row>
    <row r="2666" spans="1:2" x14ac:dyDescent="0.25">
      <c r="A2666" s="28" t="s">
        <v>29226</v>
      </c>
      <c r="B2666" s="28" t="s">
        <v>29227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29228</v>
      </c>
      <c r="B2681" s="28" t="s">
        <v>29229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29230</v>
      </c>
      <c r="B2684" s="28" t="s">
        <v>29231</v>
      </c>
    </row>
    <row r="2685" spans="1:2" x14ac:dyDescent="0.25">
      <c r="A2685" s="28" t="s">
        <v>29232</v>
      </c>
      <c r="B2685" s="28" t="s">
        <v>29233</v>
      </c>
    </row>
    <row r="2686" spans="1:2" x14ac:dyDescent="0.25">
      <c r="A2686" s="28" t="s">
        <v>29234</v>
      </c>
      <c r="B2686" s="28" t="s">
        <v>29235</v>
      </c>
    </row>
    <row r="2687" spans="1:2" x14ac:dyDescent="0.25">
      <c r="A2687" s="28" t="s">
        <v>29236</v>
      </c>
      <c r="B2687" s="28" t="s">
        <v>29237</v>
      </c>
    </row>
    <row r="2688" spans="1:2" x14ac:dyDescent="0.25">
      <c r="A2688" s="28" t="s">
        <v>29238</v>
      </c>
      <c r="B2688" s="28" t="s">
        <v>29239</v>
      </c>
    </row>
    <row r="2689" spans="1:2" x14ac:dyDescent="0.25">
      <c r="A2689" s="28" t="s">
        <v>29240</v>
      </c>
      <c r="B2689" s="28" t="s">
        <v>29241</v>
      </c>
    </row>
    <row r="2690" spans="1:2" x14ac:dyDescent="0.25">
      <c r="A2690" s="28" t="s">
        <v>29242</v>
      </c>
      <c r="B2690" s="28" t="s">
        <v>29243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29244</v>
      </c>
      <c r="B2704" s="28" t="s">
        <v>29245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29246</v>
      </c>
      <c r="B2718" s="28" t="s">
        <v>29247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29248</v>
      </c>
      <c r="B2722" s="28" t="s">
        <v>29249</v>
      </c>
    </row>
    <row r="2723" spans="1:2" x14ac:dyDescent="0.25">
      <c r="A2723" s="28" t="s">
        <v>29250</v>
      </c>
      <c r="B2723" s="28" t="s">
        <v>29251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29252</v>
      </c>
      <c r="B3255" s="28" t="s">
        <v>29253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29254</v>
      </c>
      <c r="B3454" s="28" t="s">
        <v>29255</v>
      </c>
    </row>
    <row r="3455" spans="1:2" x14ac:dyDescent="0.25">
      <c r="A3455" s="28" t="s">
        <v>29256</v>
      </c>
      <c r="B3455" s="28" t="s">
        <v>29257</v>
      </c>
    </row>
    <row r="3456" spans="1:2" x14ac:dyDescent="0.25">
      <c r="A3456" s="28" t="s">
        <v>29258</v>
      </c>
      <c r="B3456" s="28" t="s">
        <v>29259</v>
      </c>
    </row>
    <row r="3457" spans="1:2" x14ac:dyDescent="0.25">
      <c r="A3457" s="28" t="s">
        <v>29260</v>
      </c>
      <c r="B3457" s="28" t="s">
        <v>29261</v>
      </c>
    </row>
    <row r="3458" spans="1:2" x14ac:dyDescent="0.25">
      <c r="A3458" s="28" t="s">
        <v>29262</v>
      </c>
      <c r="B3458" s="28" t="s">
        <v>29263</v>
      </c>
    </row>
    <row r="3459" spans="1:2" x14ac:dyDescent="0.25">
      <c r="A3459" s="28" t="s">
        <v>29264</v>
      </c>
      <c r="B3459" s="28" t="s">
        <v>29265</v>
      </c>
    </row>
    <row r="3460" spans="1:2" x14ac:dyDescent="0.25">
      <c r="A3460" s="28" t="s">
        <v>29266</v>
      </c>
      <c r="B3460" s="28" t="s">
        <v>29267</v>
      </c>
    </row>
    <row r="3461" spans="1:2" x14ac:dyDescent="0.25">
      <c r="A3461" s="28" t="s">
        <v>29268</v>
      </c>
      <c r="B3461" s="28" t="s">
        <v>29269</v>
      </c>
    </row>
    <row r="3462" spans="1:2" x14ac:dyDescent="0.25">
      <c r="A3462" s="28" t="s">
        <v>29270</v>
      </c>
      <c r="B3462" s="28" t="s">
        <v>29271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29272</v>
      </c>
      <c r="B3581" s="28" t="s">
        <v>29273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29274</v>
      </c>
      <c r="B3584" s="28" t="s">
        <v>29275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29276</v>
      </c>
      <c r="B3586" s="28" t="s">
        <v>29277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29278</v>
      </c>
      <c r="B3589" s="28" t="s">
        <v>29279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29280</v>
      </c>
      <c r="B6010" s="28" t="s">
        <v>29281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29282</v>
      </c>
      <c r="B6055" s="28" t="s">
        <v>29283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29284</v>
      </c>
      <c r="B6097" s="28" t="s">
        <v>29285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29286</v>
      </c>
      <c r="B6100" s="28" t="s">
        <v>29287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29288</v>
      </c>
      <c r="B6105" s="28" t="s">
        <v>29289</v>
      </c>
    </row>
    <row r="6106" spans="1:2" x14ac:dyDescent="0.25">
      <c r="A6106" s="28" t="s">
        <v>29290</v>
      </c>
      <c r="B6106" s="28" t="s">
        <v>29291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29292</v>
      </c>
      <c r="B6171" s="28" t="s">
        <v>29293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29294</v>
      </c>
      <c r="B6210" s="28" t="s">
        <v>29295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29296</v>
      </c>
      <c r="B6290" s="28" t="s">
        <v>29297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29298</v>
      </c>
      <c r="B6295" s="28" t="s">
        <v>29299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29300</v>
      </c>
      <c r="B6299" s="28" t="s">
        <v>29301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29302</v>
      </c>
      <c r="B6302" s="28" t="s">
        <v>29303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29304</v>
      </c>
      <c r="B6322" s="28" t="s">
        <v>29305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29306</v>
      </c>
      <c r="B6330" s="28" t="s">
        <v>29307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29308</v>
      </c>
      <c r="B6606" s="28" t="s">
        <v>29309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29310</v>
      </c>
      <c r="B6608" s="28" t="s">
        <v>29311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29312</v>
      </c>
      <c r="B6610" s="28" t="s">
        <v>29313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29314</v>
      </c>
      <c r="B6612" s="28" t="s">
        <v>29315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29316</v>
      </c>
      <c r="B6625" s="28" t="s">
        <v>29317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29318</v>
      </c>
      <c r="B6628" s="28" t="s">
        <v>29319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29320</v>
      </c>
      <c r="B6870" s="28" t="s">
        <v>29321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29322</v>
      </c>
      <c r="B6879" s="28" t="s">
        <v>29323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29324</v>
      </c>
      <c r="B6883" s="28" t="s">
        <v>29325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29326</v>
      </c>
      <c r="B6885" s="28" t="s">
        <v>29327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29328</v>
      </c>
      <c r="B7414" s="28" t="s">
        <v>29329</v>
      </c>
    </row>
    <row r="7415" spans="1:2" x14ac:dyDescent="0.25">
      <c r="A7415" s="28" t="s">
        <v>29330</v>
      </c>
      <c r="B7415" s="28" t="s">
        <v>29331</v>
      </c>
    </row>
    <row r="7416" spans="1:2" x14ac:dyDescent="0.25">
      <c r="A7416" s="28" t="s">
        <v>29332</v>
      </c>
      <c r="B7416" s="28" t="s">
        <v>29333</v>
      </c>
    </row>
    <row r="7417" spans="1:2" x14ac:dyDescent="0.25">
      <c r="A7417" s="28" t="s">
        <v>29334</v>
      </c>
      <c r="B7417" s="28" t="s">
        <v>29335</v>
      </c>
    </row>
    <row r="7418" spans="1:2" x14ac:dyDescent="0.25">
      <c r="A7418" s="28" t="s">
        <v>29336</v>
      </c>
      <c r="B7418" s="28" t="s">
        <v>29337</v>
      </c>
    </row>
    <row r="7419" spans="1:2" x14ac:dyDescent="0.25">
      <c r="A7419" s="28" t="s">
        <v>29338</v>
      </c>
      <c r="B7419" s="28" t="s">
        <v>29339</v>
      </c>
    </row>
    <row r="7420" spans="1:2" x14ac:dyDescent="0.25">
      <c r="A7420" s="28" t="s">
        <v>29340</v>
      </c>
      <c r="B7420" s="28" t="s">
        <v>29341</v>
      </c>
    </row>
    <row r="7421" spans="1:2" x14ac:dyDescent="0.25">
      <c r="A7421" s="28" t="s">
        <v>29342</v>
      </c>
      <c r="B7421" s="28" t="s">
        <v>29343</v>
      </c>
    </row>
    <row r="7422" spans="1:2" x14ac:dyDescent="0.25">
      <c r="A7422" s="28" t="s">
        <v>29344</v>
      </c>
      <c r="B7422" s="28" t="s">
        <v>29345</v>
      </c>
    </row>
    <row r="7423" spans="1:2" x14ac:dyDescent="0.25">
      <c r="A7423" s="28" t="s">
        <v>29346</v>
      </c>
      <c r="B7423" s="28" t="s">
        <v>29347</v>
      </c>
    </row>
    <row r="7424" spans="1:2" x14ac:dyDescent="0.25">
      <c r="A7424" s="28" t="s">
        <v>29348</v>
      </c>
      <c r="B7424" s="28" t="s">
        <v>29349</v>
      </c>
    </row>
    <row r="7425" spans="1:2" x14ac:dyDescent="0.25">
      <c r="A7425" s="28" t="s">
        <v>29350</v>
      </c>
      <c r="B7425" s="28" t="s">
        <v>29351</v>
      </c>
    </row>
    <row r="7426" spans="1:2" x14ac:dyDescent="0.25">
      <c r="A7426" s="28" t="s">
        <v>29352</v>
      </c>
      <c r="B7426" s="28" t="s">
        <v>29353</v>
      </c>
    </row>
    <row r="7427" spans="1:2" x14ac:dyDescent="0.25">
      <c r="A7427" s="28" t="s">
        <v>29354</v>
      </c>
      <c r="B7427" s="28" t="s">
        <v>29355</v>
      </c>
    </row>
    <row r="7428" spans="1:2" x14ac:dyDescent="0.25">
      <c r="A7428" s="28" t="s">
        <v>29356</v>
      </c>
      <c r="B7428" s="28" t="s">
        <v>29357</v>
      </c>
    </row>
    <row r="7429" spans="1:2" x14ac:dyDescent="0.25">
      <c r="A7429" s="28" t="s">
        <v>29358</v>
      </c>
      <c r="B7429" s="28" t="s">
        <v>29359</v>
      </c>
    </row>
    <row r="7430" spans="1:2" x14ac:dyDescent="0.25">
      <c r="A7430" s="28" t="s">
        <v>29360</v>
      </c>
      <c r="B7430" s="28" t="s">
        <v>29361</v>
      </c>
    </row>
    <row r="7431" spans="1:2" x14ac:dyDescent="0.25">
      <c r="A7431" s="28" t="s">
        <v>29362</v>
      </c>
      <c r="B7431" s="28" t="s">
        <v>29363</v>
      </c>
    </row>
    <row r="7432" spans="1:2" x14ac:dyDescent="0.25">
      <c r="A7432" s="28" t="s">
        <v>29364</v>
      </c>
      <c r="B7432" s="28" t="s">
        <v>29365</v>
      </c>
    </row>
    <row r="7433" spans="1:2" x14ac:dyDescent="0.25">
      <c r="A7433" s="28" t="s">
        <v>29366</v>
      </c>
      <c r="B7433" s="28" t="s">
        <v>29367</v>
      </c>
    </row>
    <row r="7434" spans="1:2" x14ac:dyDescent="0.25">
      <c r="A7434" s="28" t="s">
        <v>29368</v>
      </c>
      <c r="B7434" s="28" t="s">
        <v>29369</v>
      </c>
    </row>
    <row r="7435" spans="1:2" x14ac:dyDescent="0.25">
      <c r="A7435" s="28" t="s">
        <v>29370</v>
      </c>
      <c r="B7435" s="28" t="s">
        <v>29371</v>
      </c>
    </row>
    <row r="7436" spans="1:2" x14ac:dyDescent="0.25">
      <c r="A7436" s="28" t="s">
        <v>29372</v>
      </c>
      <c r="B7436" s="28" t="s">
        <v>29373</v>
      </c>
    </row>
    <row r="7437" spans="1:2" x14ac:dyDescent="0.25">
      <c r="A7437" s="28" t="s">
        <v>29374</v>
      </c>
      <c r="B7437" s="28" t="s">
        <v>29375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29376</v>
      </c>
      <c r="B7547" s="28" t="s">
        <v>28497</v>
      </c>
    </row>
    <row r="7548" spans="1:2" x14ac:dyDescent="0.25">
      <c r="A7548" s="28" t="s">
        <v>29377</v>
      </c>
      <c r="B7548" s="28" t="s">
        <v>28492</v>
      </c>
    </row>
    <row r="7549" spans="1:2" x14ac:dyDescent="0.25">
      <c r="A7549" s="28" t="s">
        <v>29378</v>
      </c>
      <c r="B7549" s="28" t="s">
        <v>28490</v>
      </c>
    </row>
    <row r="7550" spans="1:2" x14ac:dyDescent="0.25">
      <c r="A7550" s="28" t="s">
        <v>29379</v>
      </c>
      <c r="B7550" s="28" t="s">
        <v>28488</v>
      </c>
    </row>
    <row r="7551" spans="1:2" x14ac:dyDescent="0.25">
      <c r="A7551" s="28" t="s">
        <v>29380</v>
      </c>
      <c r="B7551" s="28" t="s">
        <v>28495</v>
      </c>
    </row>
    <row r="7552" spans="1:2" x14ac:dyDescent="0.25">
      <c r="A7552" s="28" t="s">
        <v>29381</v>
      </c>
      <c r="B7552" s="28" t="s">
        <v>28494</v>
      </c>
    </row>
    <row r="7553" spans="1:2" x14ac:dyDescent="0.25">
      <c r="A7553" s="28" t="s">
        <v>29382</v>
      </c>
      <c r="B7553" s="28" t="s">
        <v>28486</v>
      </c>
    </row>
    <row r="7554" spans="1:2" x14ac:dyDescent="0.25">
      <c r="A7554" s="28" t="s">
        <v>29383</v>
      </c>
      <c r="B7554" s="28" t="s">
        <v>28491</v>
      </c>
    </row>
    <row r="7555" spans="1:2" x14ac:dyDescent="0.25">
      <c r="A7555" s="28" t="s">
        <v>29384</v>
      </c>
      <c r="B7555" s="28" t="s">
        <v>28496</v>
      </c>
    </row>
    <row r="7556" spans="1:2" x14ac:dyDescent="0.25">
      <c r="A7556" s="28" t="s">
        <v>29385</v>
      </c>
      <c r="B7556" s="28" t="s">
        <v>28489</v>
      </c>
    </row>
    <row r="7557" spans="1:2" x14ac:dyDescent="0.25">
      <c r="A7557" s="28" t="s">
        <v>29386</v>
      </c>
      <c r="B7557" s="28" t="s">
        <v>28493</v>
      </c>
    </row>
    <row r="7558" spans="1:2" x14ac:dyDescent="0.25">
      <c r="A7558" s="28" t="s">
        <v>29387</v>
      </c>
      <c r="B7558" s="28" t="s">
        <v>28487</v>
      </c>
    </row>
    <row r="7559" spans="1:2" x14ac:dyDescent="0.25">
      <c r="A7559" s="28" t="s">
        <v>29388</v>
      </c>
      <c r="B7559" s="28" t="s">
        <v>28505</v>
      </c>
    </row>
    <row r="7560" spans="1:2" x14ac:dyDescent="0.25">
      <c r="A7560" s="28" t="s">
        <v>29389</v>
      </c>
      <c r="B7560" s="28" t="s">
        <v>28501</v>
      </c>
    </row>
    <row r="7561" spans="1:2" x14ac:dyDescent="0.25">
      <c r="A7561" s="28" t="s">
        <v>29390</v>
      </c>
      <c r="B7561" s="28" t="s">
        <v>28511</v>
      </c>
    </row>
    <row r="7562" spans="1:2" x14ac:dyDescent="0.25">
      <c r="A7562" s="28" t="s">
        <v>29391</v>
      </c>
      <c r="B7562" s="28" t="s">
        <v>28503</v>
      </c>
    </row>
    <row r="7563" spans="1:2" x14ac:dyDescent="0.25">
      <c r="A7563" s="28" t="s">
        <v>29392</v>
      </c>
      <c r="B7563" s="28" t="s">
        <v>28499</v>
      </c>
    </row>
    <row r="7564" spans="1:2" x14ac:dyDescent="0.25">
      <c r="A7564" s="28" t="s">
        <v>29393</v>
      </c>
      <c r="B7564" s="28" t="s">
        <v>28508</v>
      </c>
    </row>
    <row r="7565" spans="1:2" x14ac:dyDescent="0.25">
      <c r="A7565" s="28" t="s">
        <v>29394</v>
      </c>
      <c r="B7565" s="28" t="s">
        <v>28507</v>
      </c>
    </row>
    <row r="7566" spans="1:2" x14ac:dyDescent="0.25">
      <c r="A7566" s="28" t="s">
        <v>29395</v>
      </c>
      <c r="B7566" s="28" t="s">
        <v>28498</v>
      </c>
    </row>
    <row r="7567" spans="1:2" x14ac:dyDescent="0.25">
      <c r="A7567" s="28" t="s">
        <v>29396</v>
      </c>
      <c r="B7567" s="28" t="s">
        <v>28510</v>
      </c>
    </row>
    <row r="7568" spans="1:2" x14ac:dyDescent="0.25">
      <c r="A7568" s="28" t="s">
        <v>29397</v>
      </c>
      <c r="B7568" s="28" t="s">
        <v>28500</v>
      </c>
    </row>
    <row r="7569" spans="1:2" x14ac:dyDescent="0.25">
      <c r="A7569" s="28" t="s">
        <v>29398</v>
      </c>
      <c r="B7569" s="28" t="s">
        <v>28504</v>
      </c>
    </row>
    <row r="7570" spans="1:2" x14ac:dyDescent="0.25">
      <c r="A7570" s="28" t="s">
        <v>29399</v>
      </c>
      <c r="B7570" s="28" t="s">
        <v>28509</v>
      </c>
    </row>
    <row r="7571" spans="1:2" x14ac:dyDescent="0.25">
      <c r="A7571" s="28" t="s">
        <v>29400</v>
      </c>
      <c r="B7571" s="28" t="s">
        <v>28502</v>
      </c>
    </row>
    <row r="7572" spans="1:2" x14ac:dyDescent="0.25">
      <c r="A7572" s="28" t="s">
        <v>29401</v>
      </c>
      <c r="B7572" s="28" t="s">
        <v>28506</v>
      </c>
    </row>
    <row r="7573" spans="1:2" x14ac:dyDescent="0.25">
      <c r="A7573" s="28" t="s">
        <v>29402</v>
      </c>
      <c r="B7573" s="28" t="s">
        <v>28516</v>
      </c>
    </row>
    <row r="7574" spans="1:2" x14ac:dyDescent="0.25">
      <c r="A7574" s="28" t="s">
        <v>29403</v>
      </c>
      <c r="B7574" s="28" t="s">
        <v>28514</v>
      </c>
    </row>
    <row r="7575" spans="1:2" x14ac:dyDescent="0.25">
      <c r="A7575" s="28" t="s">
        <v>29404</v>
      </c>
      <c r="B7575" s="28" t="s">
        <v>28517</v>
      </c>
    </row>
    <row r="7576" spans="1:2" x14ac:dyDescent="0.25">
      <c r="A7576" s="28" t="s">
        <v>29405</v>
      </c>
      <c r="B7576" s="28" t="s">
        <v>28513</v>
      </c>
    </row>
    <row r="7577" spans="1:2" x14ac:dyDescent="0.25">
      <c r="A7577" s="28" t="s">
        <v>29406</v>
      </c>
      <c r="B7577" s="28" t="s">
        <v>28515</v>
      </c>
    </row>
    <row r="7578" spans="1:2" x14ac:dyDescent="0.25">
      <c r="A7578" s="28" t="s">
        <v>29407</v>
      </c>
      <c r="B7578" s="28" t="s">
        <v>28512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29408</v>
      </c>
      <c r="B7623" s="28" t="s">
        <v>29409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29410</v>
      </c>
      <c r="B7631" s="28" t="s">
        <v>29411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29412</v>
      </c>
      <c r="B7635" s="28" t="s">
        <v>29413</v>
      </c>
    </row>
    <row r="7636" spans="1:2" x14ac:dyDescent="0.25">
      <c r="A7636" s="28" t="s">
        <v>29414</v>
      </c>
      <c r="B7636" s="28" t="s">
        <v>29415</v>
      </c>
    </row>
    <row r="7637" spans="1:2" x14ac:dyDescent="0.25">
      <c r="A7637" s="28" t="s">
        <v>29416</v>
      </c>
      <c r="B7637" s="28" t="s">
        <v>29417</v>
      </c>
    </row>
    <row r="7638" spans="1:2" x14ac:dyDescent="0.25">
      <c r="A7638" s="28" t="s">
        <v>29418</v>
      </c>
      <c r="B7638" s="28" t="s">
        <v>29419</v>
      </c>
    </row>
    <row r="7639" spans="1:2" x14ac:dyDescent="0.25">
      <c r="A7639" s="28" t="s">
        <v>29420</v>
      </c>
      <c r="B7639" s="28" t="s">
        <v>29421</v>
      </c>
    </row>
    <row r="7640" spans="1:2" x14ac:dyDescent="0.25">
      <c r="A7640" s="28" t="s">
        <v>29422</v>
      </c>
      <c r="B7640" s="28" t="s">
        <v>29423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29424</v>
      </c>
      <c r="B7642" s="28" t="s">
        <v>29425</v>
      </c>
    </row>
    <row r="7643" spans="1:2" x14ac:dyDescent="0.25">
      <c r="A7643" s="28" t="s">
        <v>29426</v>
      </c>
      <c r="B7643" s="28" t="s">
        <v>29427</v>
      </c>
    </row>
    <row r="7644" spans="1:2" x14ac:dyDescent="0.25">
      <c r="A7644" s="28" t="s">
        <v>29428</v>
      </c>
      <c r="B7644" s="28" t="s">
        <v>29429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29430</v>
      </c>
      <c r="B7694" s="28" t="s">
        <v>29431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29432</v>
      </c>
      <c r="B7704" s="28" t="s">
        <v>29433</v>
      </c>
    </row>
    <row r="7705" spans="1:2" x14ac:dyDescent="0.25">
      <c r="A7705" s="28" t="s">
        <v>29434</v>
      </c>
      <c r="B7705" s="28" t="s">
        <v>29435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29436</v>
      </c>
      <c r="B10028" s="28" t="s">
        <v>29437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29438</v>
      </c>
      <c r="B10038" s="28" t="s">
        <v>29439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29440</v>
      </c>
      <c r="B10062" s="28" t="s">
        <v>29441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29442</v>
      </c>
      <c r="B10124" s="28" t="s">
        <v>29443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29444</v>
      </c>
      <c r="B10141" s="28" t="s">
        <v>29445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29446</v>
      </c>
      <c r="B10161" s="28" t="s">
        <v>29447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29448</v>
      </c>
      <c r="B10215" s="28" t="s">
        <v>29449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29450</v>
      </c>
      <c r="B10227" s="28" t="s">
        <v>29451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29452</v>
      </c>
      <c r="B10233" s="28" t="s">
        <v>29453</v>
      </c>
    </row>
    <row r="10234" spans="1:2" x14ac:dyDescent="0.25">
      <c r="A10234" s="28" t="s">
        <v>29454</v>
      </c>
      <c r="B10234" s="28" t="s">
        <v>29455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29456</v>
      </c>
      <c r="B10236" s="28" t="s">
        <v>29457</v>
      </c>
    </row>
    <row r="10237" spans="1:2" x14ac:dyDescent="0.25">
      <c r="A10237" s="28" t="s">
        <v>29458</v>
      </c>
      <c r="B10237" s="28" t="s">
        <v>29459</v>
      </c>
    </row>
    <row r="10238" spans="1:2" x14ac:dyDescent="0.25">
      <c r="A10238" s="28" t="s">
        <v>29460</v>
      </c>
      <c r="B10238" s="28" t="s">
        <v>29461</v>
      </c>
    </row>
    <row r="10239" spans="1:2" x14ac:dyDescent="0.25">
      <c r="A10239" s="28" t="s">
        <v>29462</v>
      </c>
      <c r="B10239" s="28" t="s">
        <v>29463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29464</v>
      </c>
      <c r="B10306" s="28" t="s">
        <v>29465</v>
      </c>
    </row>
    <row r="10307" spans="1:2" x14ac:dyDescent="0.25">
      <c r="A10307" s="28" t="s">
        <v>29466</v>
      </c>
      <c r="B10307" s="28" t="s">
        <v>29467</v>
      </c>
    </row>
    <row r="10308" spans="1:2" x14ac:dyDescent="0.25">
      <c r="A10308" s="28" t="s">
        <v>29468</v>
      </c>
      <c r="B10308" s="28" t="s">
        <v>29469</v>
      </c>
    </row>
    <row r="10309" spans="1:2" x14ac:dyDescent="0.25">
      <c r="A10309" s="28" t="s">
        <v>29470</v>
      </c>
      <c r="B10309" s="28" t="s">
        <v>29471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29472</v>
      </c>
      <c r="B10387" s="28" t="s">
        <v>29473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29474</v>
      </c>
      <c r="B10496" s="28" t="s">
        <v>29475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29476</v>
      </c>
      <c r="B10522" s="28" t="s">
        <v>29477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29478</v>
      </c>
      <c r="B10540" s="28" t="s">
        <v>29479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29480</v>
      </c>
      <c r="B10578" s="28" t="s">
        <v>29481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29482</v>
      </c>
      <c r="B10593" s="28" t="s">
        <v>29483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29484</v>
      </c>
      <c r="B10694" s="28" t="s">
        <v>29485</v>
      </c>
    </row>
    <row r="10695" spans="1:2" x14ac:dyDescent="0.25">
      <c r="A10695" s="28" t="s">
        <v>29486</v>
      </c>
      <c r="B10695" s="28" t="s">
        <v>29487</v>
      </c>
    </row>
    <row r="10696" spans="1:2" x14ac:dyDescent="0.25">
      <c r="A10696" s="28" t="s">
        <v>29488</v>
      </c>
      <c r="B10696" s="28" t="s">
        <v>29489</v>
      </c>
    </row>
    <row r="10697" spans="1:2" x14ac:dyDescent="0.25">
      <c r="A10697" s="28" t="s">
        <v>29490</v>
      </c>
      <c r="B10697" s="28" t="s">
        <v>29491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29492</v>
      </c>
      <c r="B10707" s="28" t="s">
        <v>29493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29494</v>
      </c>
      <c r="B10741" s="28" t="s">
        <v>29495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29496</v>
      </c>
      <c r="B10763" s="28" t="s">
        <v>29497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29498</v>
      </c>
      <c r="B10784" s="28" t="s">
        <v>29499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29500</v>
      </c>
      <c r="B10787" s="28" t="s">
        <v>29501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29502</v>
      </c>
      <c r="B10790" s="28" t="s">
        <v>29503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29504</v>
      </c>
      <c r="B10798" s="28" t="s">
        <v>29505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29506</v>
      </c>
      <c r="B10808" s="28" t="s">
        <v>29507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29508</v>
      </c>
      <c r="B10825" s="28" t="s">
        <v>29509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29510</v>
      </c>
      <c r="B10849" s="28" t="s">
        <v>29511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29512</v>
      </c>
      <c r="B10873" s="28" t="s">
        <v>29513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29514</v>
      </c>
      <c r="B10875" s="28" t="s">
        <v>29515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29516</v>
      </c>
      <c r="B10879" s="28" t="s">
        <v>29517</v>
      </c>
    </row>
    <row r="10880" spans="1:2" x14ac:dyDescent="0.25">
      <c r="A10880" s="28" t="s">
        <v>29518</v>
      </c>
      <c r="B10880" s="28" t="s">
        <v>29519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29520</v>
      </c>
      <c r="B10944" s="28" t="s">
        <v>29521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29522</v>
      </c>
      <c r="B10996" s="28" t="s">
        <v>29523</v>
      </c>
    </row>
    <row r="10997" spans="1:2" x14ac:dyDescent="0.25">
      <c r="A10997" s="28" t="s">
        <v>29524</v>
      </c>
      <c r="B10997" s="28" t="s">
        <v>29525</v>
      </c>
    </row>
    <row r="10998" spans="1:2" x14ac:dyDescent="0.25">
      <c r="A10998" s="28" t="s">
        <v>29526</v>
      </c>
      <c r="B10998" s="28" t="s">
        <v>29527</v>
      </c>
    </row>
    <row r="10999" spans="1:2" x14ac:dyDescent="0.25">
      <c r="A10999" s="28" t="s">
        <v>29528</v>
      </c>
      <c r="B10999" s="28" t="s">
        <v>29529</v>
      </c>
    </row>
    <row r="11000" spans="1:2" x14ac:dyDescent="0.25">
      <c r="A11000" s="28" t="s">
        <v>29530</v>
      </c>
      <c r="B11000" s="28" t="s">
        <v>29531</v>
      </c>
    </row>
    <row r="11001" spans="1:2" x14ac:dyDescent="0.25">
      <c r="A11001" s="28" t="s">
        <v>29532</v>
      </c>
      <c r="B11001" s="28" t="s">
        <v>29533</v>
      </c>
    </row>
    <row r="11002" spans="1:2" x14ac:dyDescent="0.25">
      <c r="A11002" s="28" t="s">
        <v>29534</v>
      </c>
      <c r="B11002" s="28" t="s">
        <v>29535</v>
      </c>
    </row>
    <row r="11003" spans="1:2" x14ac:dyDescent="0.25">
      <c r="A11003" s="28" t="s">
        <v>29536</v>
      </c>
      <c r="B11003" s="28" t="s">
        <v>29537</v>
      </c>
    </row>
    <row r="11004" spans="1:2" x14ac:dyDescent="0.25">
      <c r="A11004" s="28" t="s">
        <v>29538</v>
      </c>
      <c r="B11004" s="28" t="s">
        <v>29539</v>
      </c>
    </row>
    <row r="11005" spans="1:2" x14ac:dyDescent="0.25">
      <c r="A11005" s="28" t="s">
        <v>29540</v>
      </c>
      <c r="B11005" s="28" t="s">
        <v>29541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29542</v>
      </c>
      <c r="B11151" s="28" t="s">
        <v>29543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29544</v>
      </c>
      <c r="B11253" s="28" t="s">
        <v>29545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29546</v>
      </c>
      <c r="B11358" s="28" t="s">
        <v>29547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29548</v>
      </c>
      <c r="B11415" s="28" t="s">
        <v>29549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ht="22.5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29550</v>
      </c>
      <c r="B13562" s="30" t="s">
        <v>29551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29552</v>
      </c>
      <c r="B13615" s="30" t="s">
        <v>29553</v>
      </c>
    </row>
    <row r="13616" spans="1:2" x14ac:dyDescent="0.25">
      <c r="A13616" s="30" t="s">
        <v>29554</v>
      </c>
      <c r="B13616" s="30" t="s">
        <v>29555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29556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29557</v>
      </c>
      <c r="B13639" s="30" t="s">
        <v>29558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29559</v>
      </c>
      <c r="B13744" s="30" t="s">
        <v>29560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29561</v>
      </c>
      <c r="B13793" s="30" t="s">
        <v>29562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29563</v>
      </c>
      <c r="B13817" s="30" t="s">
        <v>29564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abSelected="1" topLeftCell="AL1" zoomScaleNormal="100" workbookViewId="0">
      <pane ySplit="1" topLeftCell="A425" activePane="bottomLeft" state="frozen"/>
      <selection pane="bottomLeft" activeCell="AO21" sqref="AO21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28430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str" cm="1">
        <f t="array" aca="1" ref="AA1:AA456" ca="1">_xlfn._xlws.SORT(INDIRECT(АртикулХарактеристики),1,-1,FALSE)</f>
        <v>Артикул характеристики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95-016-89</v>
      </c>
      <c r="B2" s="107" t="str">
        <f ca="1">_xlfn.LET(_xlpm.CAPS,0,_xlpm.Style,TRIM(_xlfn.XLOOKUP($A2,Строчный!$A:$A,Строчный!B:B,"ERR",0)),IF(_xlpm.CAPS=0,_xlpm.Style,UPPER(_xlpm.Style)))</f>
        <v>3363</v>
      </c>
      <c r="C2" s="81" t="str">
        <f ca="1">TRIM(PROPER(_xlfn.XLOOKUP($A2,Строчный!$A:$A,Строчный!C:C,"ERR",0)))</f>
        <v>Панамы</v>
      </c>
      <c r="D2" s="81" t="str">
        <f ca="1">_xlfn.LET(_xlpm.DATA,TRIM(_xlfn.XLOOKUP($A2,Строчный!$A:$A,Строчный!D:D,"ERR",0)),UPPER(MID(_xlpm.DATA,1,1))&amp;LOWER(MID(_xlpm.DATA,2,LEN(_xlpm.DATA)-1)))</f>
        <v>Панама</v>
      </c>
      <c r="E2" s="81" t="str">
        <f ca="1">PROPER(TRIM(_xlfn.XLOOKUP($A2,Строчный!$A:$A,Строчный!E:E,"ERR",0)))</f>
        <v>Fredrikson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FREDRIKSON</v>
      </c>
      <c r="H2" s="81" t="str">
        <f ca="1">LOWER(TRIM(_xlfn.XLOOKUP($A2,Строчный!$A:$A,Строчный!H:H,"ERR",0)))</f>
        <v>630/23</v>
      </c>
      <c r="I2" s="81" t="str">
        <f ca="1">LOWER(TRIM(_xlfn.XLOOKUP($A2,Строчный!$A:$A,Строчный!I:I,"ERR",0)))</f>
        <v>голубой / серый</v>
      </c>
      <c r="J2" s="81" t="str">
        <f ca="1">SUBSTITUTE(LOWER(TRIM(_xlfn.XLOOKUP($A2,Строчный!$A:$A,Строчный!J:J,"ERR",0))),"подклад","Подклад")</f>
        <v>80% шерсть - 20% полиамид / Подклад: 100% вискоза</v>
      </c>
      <c r="K2" s="81" t="str">
        <f ca="1">LOWER(TRIM(_xlfn.XLOOKUP($A2,Строчный!$A:$A,Строчный!K:K,"ERR",0)))</f>
        <v>шерстяные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Россия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PROPER(TRIM(_xlfn.XLOOKUP($A2,Строчный!$A:$A,Строчный!R:R,"ERR",0)))</f>
        <v/>
      </c>
      <c r="Q2" s="90">
        <f ca="1">VALUE(_xlfn.XLOOKUP($A2,Строчный!$A:$A,Строчный!N:N,"ERR",0))</f>
        <v>975.8</v>
      </c>
      <c r="R2" s="89" t="str">
        <f ca="1">_xlfn.XLOOKUP($G2,Фабрика!A:A,Фабрика!B:B,"ERR",0)</f>
        <v>ООО "ФРЭДРИКСОН" Россия 192029, С-Петербург, пр. Обуховской обороны, д.86, лит М</v>
      </c>
      <c r="S2" s="80" t="str">
        <f ca="1">_xlfn.XLOOKUP(RIGHT(AA2,2),Размеры!D:D,Размеры!A:A,"ERR",0)</f>
        <v>61</v>
      </c>
      <c r="T2" s="80">
        <f ca="1">VALUE(_xlfn.XLOOKUP($AA2,Строчный!$S:$S,Строчный!U:U,"ERR",0))</f>
        <v>3</v>
      </c>
      <c r="U2" s="14" t="s">
        <v>265</v>
      </c>
      <c r="V2" s="101" t="str">
        <f ca="1">TRIM(CONCATENATE(AB2," ",G2," арт. ",B2," (",I2,")"))</f>
        <v>Панама FREDRIKSON арт. 3363 (голубой / серый)</v>
      </c>
      <c r="W2" s="100" t="str">
        <f ca="1">TRIM(CONCATENATE(AB2," ",G2," арт. ",B2," (",I2,") {",H2,"}"))</f>
        <v>Панама FREDRIKSON арт. 3363 (голубой / серый) {630/23}</v>
      </c>
      <c r="X2" s="18" t="str">
        <f t="shared" ref="X2:X29" ca="1" si="0">IFERROR(MID(I2,FIND("-",I2)+1,LEN(I2)),IFERROR(MID(I2,1,FIND("/",I2)-2),I2))</f>
        <v>голубой</v>
      </c>
      <c r="Y2" s="18" t="str">
        <f t="shared" ref="Y2:Y29" ca="1" si="1">IFERROR(MID(I2,FIND("-",I2)+1,LEN(I2)),IFERROR(MID(I2,FIND("/",I2)+2,LEN(I2)),I2))</f>
        <v>серый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голубой</v>
      </c>
      <c r="AA2" s="73" t="str">
        <f ca="1"/>
        <v>95-016-89-61</v>
      </c>
      <c r="AB2" s="75" t="str">
        <f ca="1">VLOOKUP(C2,Группа!A:B,2,FALSE)</f>
        <v>Панама</v>
      </c>
      <c r="AC2" s="97" t="str">
        <f ca="1">IFERROR(VLOOKUP(S2,Размеры!A:C,3,FALSE),"")</f>
        <v>61 XL</v>
      </c>
      <c r="AD2" s="97" t="str">
        <f ca="1">VLOOKUP(I2,ЦветПолный!A:B,2,FALSE)</f>
        <v>89</v>
      </c>
      <c r="AE2" s="97" t="str">
        <f ca="1">IFERROR(VLOOKUP(S2,Размеры!A:D,4,FALSE),"")</f>
        <v>61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0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29" ca="1" si="2">LEFT(AA3,9)</f>
        <v>95-016-89</v>
      </c>
      <c r="B3" s="107" t="str">
        <f ca="1">_xlfn.LET(_xlpm.CAPS,0,_xlpm.Style,TRIM(_xlfn.XLOOKUP($A3,Строчный!$A:$A,Строчный!B:B,"ERR",0)),IF(_xlpm.CAPS=0,_xlpm.Style,LOWER(_xlpm.Style)))</f>
        <v>3363</v>
      </c>
      <c r="C3" s="81" t="str">
        <f ca="1">TRIM(PROPER(_xlfn.XLOOKUP($A3,Строчный!$A:$A,Строчный!C:C,"ERR",0)))</f>
        <v>Панамы</v>
      </c>
      <c r="D3" s="81" t="str">
        <f ca="1">_xlfn.LET(_xlpm.DATA,TRIM(_xlfn.XLOOKUP($A3,Строчный!$A:$A,Строчный!D:D,"ERR",0)),UPPER(MID(_xlpm.DATA,1,1))&amp;LOWER(MID(_xlpm.DATA,2,LEN(_xlpm.DATA)-1)))</f>
        <v>Панама</v>
      </c>
      <c r="E3" s="81" t="str">
        <f ca="1">PROPER(TRIM(_xlfn.XLOOKUP($A3,Строчный!$A:$A,Строчный!E:E,"ERR",0)))</f>
        <v>Fredrikson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FREDRIKSON</v>
      </c>
      <c r="H3" s="81" t="str">
        <f ca="1">LOWER(TRIM(_xlfn.XLOOKUP($A3,Строчный!$A:$A,Строчный!H:H,"ERR",0)))</f>
        <v>630/23</v>
      </c>
      <c r="I3" s="81" t="str">
        <f ca="1">LOWER(TRIM(_xlfn.XLOOKUP($A3,Строчный!$A:$A,Строчный!I:I,"ERR",0)))</f>
        <v>голубой / серый</v>
      </c>
      <c r="J3" s="81" t="str">
        <f ca="1">SUBSTITUTE(LOWER(TRIM(_xlfn.XLOOKUP($A3,Строчный!$A:$A,Строчный!J:J,"ERR",0))),"подклад","Подклад")</f>
        <v>80% шерсть - 20% полиамид / Подклад: 100% вискоза</v>
      </c>
      <c r="K3" s="81" t="str">
        <f ca="1">LOWER(TRIM(_xlfn.XLOOKUP($A3,Строчный!$A:$A,Строчный!K:K,"ERR",0)))</f>
        <v>шерстяные</v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Россия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PROPER(TRIM(_xlfn.XLOOKUP($A3,Строчный!$A:$A,Строчный!R:R,"ERR",0)))</f>
        <v/>
      </c>
      <c r="Q3" s="90">
        <f ca="1">VALUE(_xlfn.XLOOKUP($A3,Строчный!$A:$A,Строчный!N:N,"ERR",0))</f>
        <v>975.8</v>
      </c>
      <c r="R3" s="89" t="str">
        <f ca="1">_xlfn.XLOOKUP($G3,Фабрика!A:A,Фабрика!B:B,"ERR",0)</f>
        <v>ООО "ФРЭДРИКСОН" Россия 192029, С-Петербург, пр. Обуховской обороны, д.86, лит М</v>
      </c>
      <c r="S3" s="80" t="str">
        <f ca="1">_xlfn.XLOOKUP(RIGHT(AA3,2),Размеры!D:D,Размеры!A:A,"ERR",0)</f>
        <v>60</v>
      </c>
      <c r="T3" s="80">
        <f ca="1">VALUE(_xlfn.XLOOKUP($AA3,Строчный!$S:$S,Строчный!U:U,"ERR",0))</f>
        <v>5</v>
      </c>
      <c r="U3" s="14" t="s">
        <v>265</v>
      </c>
      <c r="V3" s="101" t="str">
        <f t="shared" ref="V3:V29" ca="1" si="3">TRIM(CONCATENATE(AB3," ",G3," арт. ",B3," (",I3,")"))</f>
        <v>Панама FREDRIKSON арт. 3363 (голубой / серый)</v>
      </c>
      <c r="W3" s="100" t="str">
        <f t="shared" ref="W3:W29" ca="1" si="4">TRIM(CONCATENATE(AB3," ",G3," арт. ",B3," (",I3,") {",H3,"}"))</f>
        <v>Панама FREDRIKSON арт. 3363 (голубой / серый) {630/23}</v>
      </c>
      <c r="X3" s="18" t="str">
        <f t="shared" ca="1" si="0"/>
        <v>голубой</v>
      </c>
      <c r="Y3" s="18" t="str">
        <f t="shared" ca="1" si="1"/>
        <v>серый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голубой</v>
      </c>
      <c r="AA3" s="73" t="str">
        <f ca="1"/>
        <v>95-016-89-60</v>
      </c>
      <c r="AB3" s="75" t="str">
        <f ca="1">VLOOKUP(C3,Группа!A:B,2,FALSE)</f>
        <v>Панама</v>
      </c>
      <c r="AC3" s="97" t="str">
        <f ca="1">IFERROR(VLOOKUP(S3,Размеры!A:C,3,FALSE),"")</f>
        <v>60 L/XL</v>
      </c>
      <c r="AD3" s="97" t="str">
        <f ca="1">VLOOKUP(I3,ЦветПолный!A:B,2,FALSE)</f>
        <v>89</v>
      </c>
      <c r="AE3" s="97" t="str">
        <f ca="1">IFERROR(VLOOKUP(S3,Размеры!A:D,4,FALSE),"")</f>
        <v>60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1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0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95-016-89</v>
      </c>
      <c r="B4" s="107" t="str">
        <f ca="1">_xlfn.LET(_xlpm.CAPS,0,_xlpm.Style,TRIM(_xlfn.XLOOKUP($A4,Строчный!$A:$A,Строчный!B:B,"ERR",0)),IF(_xlpm.CAPS=0,_xlpm.Style,LOWER(_xlpm.Style)))</f>
        <v>3363</v>
      </c>
      <c r="C4" s="81" t="str">
        <f ca="1">TRIM(PROPER(_xlfn.XLOOKUP($A4,Строчный!$A:$A,Строчный!C:C,"ERR",0)))</f>
        <v>Панамы</v>
      </c>
      <c r="D4" s="81" t="str">
        <f ca="1">_xlfn.LET(_xlpm.DATA,TRIM(_xlfn.XLOOKUP($A4,Строчный!$A:$A,Строчный!D:D,"ERR",0)),UPPER(MID(_xlpm.DATA,1,1))&amp;LOWER(MID(_xlpm.DATA,2,LEN(_xlpm.DATA)-1)))</f>
        <v>Панама</v>
      </c>
      <c r="E4" s="81" t="str">
        <f ca="1">PROPER(TRIM(_xlfn.XLOOKUP($A4,Строчный!$A:$A,Строчный!E:E,"ERR",0)))</f>
        <v>Fredrikson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FREDRIKSON</v>
      </c>
      <c r="H4" s="81" t="str">
        <f ca="1">LOWER(TRIM(_xlfn.XLOOKUP($A4,Строчный!$A:$A,Строчный!H:H,"ERR",0)))</f>
        <v>630/23</v>
      </c>
      <c r="I4" s="81" t="str">
        <f ca="1">LOWER(TRIM(_xlfn.XLOOKUP($A4,Строчный!$A:$A,Строчный!I:I,"ERR",0)))</f>
        <v>голубой / серый</v>
      </c>
      <c r="J4" s="81" t="str">
        <f ca="1">SUBSTITUTE(LOWER(TRIM(_xlfn.XLOOKUP($A4,Строчный!$A:$A,Строчный!J:J,"ERR",0))),"подклад","Подклад")</f>
        <v>80% шерсть - 20% полиамид / Подклад: 100% вискоза</v>
      </c>
      <c r="K4" s="81" t="str">
        <f ca="1">LOWER(TRIM(_xlfn.XLOOKUP($A4,Строчный!$A:$A,Строчный!K:K,"ERR",0)))</f>
        <v>шерстяные</v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Россия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PROPER(TRIM(_xlfn.XLOOKUP($A4,Строчный!$A:$A,Строчный!R:R,"ERR",0)))</f>
        <v/>
      </c>
      <c r="Q4" s="90">
        <f ca="1">VALUE(_xlfn.XLOOKUP($A4,Строчный!$A:$A,Строчный!N:N,"ERR",0))</f>
        <v>975.8</v>
      </c>
      <c r="R4" s="89" t="str">
        <f ca="1">_xlfn.XLOOKUP($G4,Фабрика!A:A,Фабрика!B:B,"ERR",0)</f>
        <v>ООО "ФРЭДРИКСОН" Россия 192029, С-Петербург, пр. Обуховской обороны, д.86, лит М</v>
      </c>
      <c r="S4" s="80" t="str">
        <f ca="1">_xlfn.XLOOKUP(RIGHT(AA4,2),Размеры!D:D,Размеры!A:A,"ERR",0)</f>
        <v>59</v>
      </c>
      <c r="T4" s="80">
        <f ca="1">VALUE(_xlfn.XLOOKUP($AA4,Строчный!$S:$S,Строчный!U:U,"ERR",0))</f>
        <v>7</v>
      </c>
      <c r="U4" s="14" t="s">
        <v>265</v>
      </c>
      <c r="V4" s="101" t="str">
        <f t="shared" ca="1" si="3"/>
        <v>Панама FREDRIKSON арт. 3363 (голубой / серый)</v>
      </c>
      <c r="W4" s="100" t="str">
        <f t="shared" ca="1" si="4"/>
        <v>Панама FREDRIKSON арт. 3363 (голубой / серый) {630/23}</v>
      </c>
      <c r="X4" s="18" t="str">
        <f t="shared" ca="1" si="0"/>
        <v>голубой</v>
      </c>
      <c r="Y4" s="18" t="str">
        <f t="shared" ca="1" si="1"/>
        <v>серый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голубой</v>
      </c>
      <c r="AA4" s="73" t="str">
        <f ca="1"/>
        <v>95-016-89-59</v>
      </c>
      <c r="AB4" s="75" t="str">
        <f ca="1">VLOOKUP(C4,Группа!A:B,2,FALSE)</f>
        <v>Панама</v>
      </c>
      <c r="AC4" s="97" t="str">
        <f ca="1">IFERROR(VLOOKUP(S4,Размеры!A:C,3,FALSE),"")</f>
        <v>59 L</v>
      </c>
      <c r="AD4" s="97" t="str">
        <f ca="1">VLOOKUP(I4,ЦветПолный!A:B,2,FALSE)</f>
        <v>89</v>
      </c>
      <c r="AE4" s="97" t="str">
        <f ca="1">IFERROR(VLOOKUP(S4,Размеры!A:D,4,FALSE),"")</f>
        <v>59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0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95-016-89</v>
      </c>
      <c r="B5" s="107" t="str">
        <f ca="1">_xlfn.LET(_xlpm.CAPS,0,_xlpm.Style,TRIM(_xlfn.XLOOKUP($A5,Строчный!$A:$A,Строчный!B:B,"ERR",0)),IF(_xlpm.CAPS=0,_xlpm.Style,LOWER(_xlpm.Style)))</f>
        <v>3363</v>
      </c>
      <c r="C5" s="81" t="str">
        <f ca="1">TRIM(PROPER(_xlfn.XLOOKUP($A5,Строчный!$A:$A,Строчный!C:C,"ERR",0)))</f>
        <v>Панамы</v>
      </c>
      <c r="D5" s="81" t="str">
        <f ca="1">_xlfn.LET(_xlpm.DATA,TRIM(_xlfn.XLOOKUP($A5,Строчный!$A:$A,Строчный!D:D,"ERR",0)),UPPER(MID(_xlpm.DATA,1,1))&amp;LOWER(MID(_xlpm.DATA,2,LEN(_xlpm.DATA)-1)))</f>
        <v>Панама</v>
      </c>
      <c r="E5" s="81" t="str">
        <f ca="1">PROPER(TRIM(_xlfn.XLOOKUP($A5,Строчный!$A:$A,Строчный!E:E,"ERR",0)))</f>
        <v>Fredrikson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FREDRIKSON</v>
      </c>
      <c r="H5" s="81" t="str">
        <f ca="1">LOWER(TRIM(_xlfn.XLOOKUP($A5,Строчный!$A:$A,Строчный!H:H,"ERR",0)))</f>
        <v>630/23</v>
      </c>
      <c r="I5" s="81" t="str">
        <f ca="1">LOWER(TRIM(_xlfn.XLOOKUP($A5,Строчный!$A:$A,Строчный!I:I,"ERR",0)))</f>
        <v>голубой / серый</v>
      </c>
      <c r="J5" s="81" t="str">
        <f ca="1">SUBSTITUTE(LOWER(TRIM(_xlfn.XLOOKUP($A5,Строчный!$A:$A,Строчный!J:J,"ERR",0))),"подклад","Подклад")</f>
        <v>80% шерсть - 20% полиамид / Подклад: 100% вискоза</v>
      </c>
      <c r="K5" s="81" t="str">
        <f ca="1">LOWER(TRIM(_xlfn.XLOOKUP($A5,Строчный!$A:$A,Строчный!K:K,"ERR",0)))</f>
        <v>шерстяные</v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Россия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PROPER(TRIM(_xlfn.XLOOKUP($A5,Строчный!$A:$A,Строчный!R:R,"ERR",0)))</f>
        <v/>
      </c>
      <c r="Q5" s="90">
        <f ca="1">VALUE(_xlfn.XLOOKUP($A5,Строчный!$A:$A,Строчный!N:N,"ERR",0))</f>
        <v>975.8</v>
      </c>
      <c r="R5" s="89" t="str">
        <f ca="1">_xlfn.XLOOKUP($G5,Фабрика!A:A,Фабрика!B:B,"ERR",0)</f>
        <v>ООО "ФРЭДРИКСОН" Россия 192029, С-Петербург, пр. Обуховской обороны, д.86, лит М</v>
      </c>
      <c r="S5" s="80" t="str">
        <f ca="1">_xlfn.XLOOKUP(RIGHT(AA5,2),Размеры!D:D,Размеры!A:A,"ERR",0)</f>
        <v>58</v>
      </c>
      <c r="T5" s="80">
        <f ca="1">VALUE(_xlfn.XLOOKUP($AA5,Строчный!$S:$S,Строчный!U:U,"ERR",0))</f>
        <v>5</v>
      </c>
      <c r="U5" s="14" t="s">
        <v>265</v>
      </c>
      <c r="V5" s="101" t="str">
        <f t="shared" ca="1" si="3"/>
        <v>Панама FREDRIKSON арт. 3363 (голубой / серый)</v>
      </c>
      <c r="W5" s="100" t="str">
        <f t="shared" ca="1" si="4"/>
        <v>Панама FREDRIKSON арт. 3363 (голубой / серый) {630/23}</v>
      </c>
      <c r="X5" s="18" t="str">
        <f t="shared" ca="1" si="0"/>
        <v>голубой</v>
      </c>
      <c r="Y5" s="18" t="str">
        <f t="shared" ca="1" si="1"/>
        <v>серый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голубой</v>
      </c>
      <c r="AA5" s="73" t="str">
        <f ca="1"/>
        <v>95-016-89-58</v>
      </c>
      <c r="AB5" s="75" t="str">
        <f ca="1">VLOOKUP(C5,Группа!A:B,2,FALSE)</f>
        <v>Панама</v>
      </c>
      <c r="AC5" s="97" t="str">
        <f ca="1">IFERROR(VLOOKUP(S5,Размеры!A:C,3,FALSE),"")</f>
        <v>58 M/L</v>
      </c>
      <c r="AD5" s="97" t="str">
        <f ca="1">VLOOKUP(I5,ЦветПолный!A:B,2,FALSE)</f>
        <v>89</v>
      </c>
      <c r="AE5" s="97" t="str">
        <f ca="1">IFERROR(VLOOKUP(S5,Размеры!A:D,4,FALSE),"")</f>
        <v>58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0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95-016-89</v>
      </c>
      <c r="B6" s="107" t="str">
        <f ca="1">_xlfn.LET(_xlpm.CAPS,0,_xlpm.Style,TRIM(_xlfn.XLOOKUP($A6,Строчный!$A:$A,Строчный!B:B,"ERR",0)),IF(_xlpm.CAPS=0,_xlpm.Style,LOWER(_xlpm.Style)))</f>
        <v>3363</v>
      </c>
      <c r="C6" s="81" t="str">
        <f ca="1">TRIM(PROPER(_xlfn.XLOOKUP($A6,Строчный!$A:$A,Строчный!C:C,"ERR",0)))</f>
        <v>Панамы</v>
      </c>
      <c r="D6" s="81" t="str">
        <f ca="1">_xlfn.LET(_xlpm.DATA,TRIM(_xlfn.XLOOKUP($A6,Строчный!$A:$A,Строчный!D:D,"ERR",0)),UPPER(MID(_xlpm.DATA,1,1))&amp;LOWER(MID(_xlpm.DATA,2,LEN(_xlpm.DATA)-1)))</f>
        <v>Панама</v>
      </c>
      <c r="E6" s="81" t="str">
        <f ca="1">PROPER(TRIM(_xlfn.XLOOKUP($A6,Строчный!$A:$A,Строчный!E:E,"ERR",0)))</f>
        <v>Fredrikson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FREDRIKSON</v>
      </c>
      <c r="H6" s="81" t="str">
        <f ca="1">LOWER(TRIM(_xlfn.XLOOKUP($A6,Строчный!$A:$A,Строчный!H:H,"ERR",0)))</f>
        <v>630/23</v>
      </c>
      <c r="I6" s="81" t="str">
        <f ca="1">LOWER(TRIM(_xlfn.XLOOKUP($A6,Строчный!$A:$A,Строчный!I:I,"ERR",0)))</f>
        <v>голубой / серый</v>
      </c>
      <c r="J6" s="81" t="str">
        <f ca="1">SUBSTITUTE(LOWER(TRIM(_xlfn.XLOOKUP($A6,Строчный!$A:$A,Строчный!J:J,"ERR",0))),"подклад","Подклад")</f>
        <v>80% шерсть - 20% полиамид / Подклад: 100% вискоза</v>
      </c>
      <c r="K6" s="81" t="str">
        <f ca="1">LOWER(TRIM(_xlfn.XLOOKUP($A6,Строчный!$A:$A,Строчный!K:K,"ERR",0)))</f>
        <v>шерстяные</v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Россия</v>
      </c>
      <c r="N6" s="81" t="str">
        <f ca="1">UPPER(TRIM(_xlfn.XLOOKUP($A6,Строчный!$A:$A,Строчный!O:O,"ERR",0)))</f>
        <v/>
      </c>
      <c r="O6" s="102" t="str">
        <f ca="1">PROPER(TRIM(_xlfn.XLOOKUP($A6,Строчный!$A:$A,Строчный!P:P,"ERR",0)))</f>
        <v/>
      </c>
      <c r="P6" s="81" t="str">
        <f ca="1">PROPER(TRIM(_xlfn.XLOOKUP($A6,Строчный!$A:$A,Строчный!R:R,"ERR",0)))</f>
        <v/>
      </c>
      <c r="Q6" s="90">
        <f ca="1">VALUE(_xlfn.XLOOKUP($A6,Строчный!$A:$A,Строчный!N:N,"ERR",0))</f>
        <v>975.8</v>
      </c>
      <c r="R6" s="89" t="str">
        <f ca="1">_xlfn.XLOOKUP($G6,Фабрика!A:A,Фабрика!B:B,"ERR",0)</f>
        <v>ООО "ФРЭДРИКСОН" Россия 192029, С-Петербург, пр. Обуховской обороны, д.86, лит М</v>
      </c>
      <c r="S6" s="80" t="str">
        <f ca="1">_xlfn.XLOOKUP(RIGHT(AA6,2),Размеры!D:D,Размеры!A:A,"ERR",0)</f>
        <v>57</v>
      </c>
      <c r="T6" s="80">
        <f ca="1">VALUE(_xlfn.XLOOKUP($AA6,Строчный!$S:$S,Строчный!U:U,"ERR",0))</f>
        <v>3</v>
      </c>
      <c r="U6" s="14" t="s">
        <v>265</v>
      </c>
      <c r="V6" s="101" t="str">
        <f t="shared" ca="1" si="3"/>
        <v>Панама FREDRIKSON арт. 3363 (голубой / серый)</v>
      </c>
      <c r="W6" s="100" t="str">
        <f t="shared" ca="1" si="4"/>
        <v>Панама FREDRIKSON арт. 3363 (голубой / серый) {630/23}</v>
      </c>
      <c r="X6" s="18" t="str">
        <f t="shared" ca="1" si="0"/>
        <v>голубой</v>
      </c>
      <c r="Y6" s="18" t="str">
        <f t="shared" ca="1" si="1"/>
        <v>серый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голубой</v>
      </c>
      <c r="AA6" s="73" t="str">
        <f ca="1"/>
        <v>95-016-89-57</v>
      </c>
      <c r="AB6" s="75" t="str">
        <f ca="1">VLOOKUP(C6,Группа!A:B,2,FALSE)</f>
        <v>Панама</v>
      </c>
      <c r="AC6" s="97" t="str">
        <f ca="1">IFERROR(VLOOKUP(S6,Размеры!A:C,3,FALSE),"")</f>
        <v>57 M</v>
      </c>
      <c r="AD6" s="97" t="str">
        <f ca="1">VLOOKUP(I6,ЦветПолный!A:B,2,FALSE)</f>
        <v>89</v>
      </c>
      <c r="AE6" s="97" t="str">
        <f ca="1">IFERROR(VLOOKUP(S6,Размеры!A:D,4,FALSE),"")</f>
        <v>57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1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0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95-016-89</v>
      </c>
      <c r="B7" s="107" t="str">
        <f ca="1">_xlfn.LET(_xlpm.CAPS,0,_xlpm.Style,TRIM(_xlfn.XLOOKUP($A7,Строчный!$A:$A,Строчный!B:B,"ERR",0)),IF(_xlpm.CAPS=0,_xlpm.Style,LOWER(_xlpm.Style)))</f>
        <v>3363</v>
      </c>
      <c r="C7" s="81" t="str">
        <f ca="1">TRIM(PROPER(_xlfn.XLOOKUP($A7,Строчный!$A:$A,Строчный!C:C,"ERR",0)))</f>
        <v>Панамы</v>
      </c>
      <c r="D7" s="81" t="str">
        <f ca="1">_xlfn.LET(_xlpm.DATA,TRIM(_xlfn.XLOOKUP($A7,Строчный!$A:$A,Строчный!D:D,"ERR",0)),UPPER(MID(_xlpm.DATA,1,1))&amp;LOWER(MID(_xlpm.DATA,2,LEN(_xlpm.DATA)-1)))</f>
        <v>Панама</v>
      </c>
      <c r="E7" s="81" t="str">
        <f ca="1">PROPER(TRIM(_xlfn.XLOOKUP($A7,Строчный!$A:$A,Строчный!E:E,"ERR",0)))</f>
        <v>Fredrikson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FREDRIKSON</v>
      </c>
      <c r="H7" s="81" t="str">
        <f ca="1">LOWER(TRIM(_xlfn.XLOOKUP($A7,Строчный!$A:$A,Строчный!H:H,"ERR",0)))</f>
        <v>630/23</v>
      </c>
      <c r="I7" s="81" t="str">
        <f ca="1">LOWER(TRIM(_xlfn.XLOOKUP($A7,Строчный!$A:$A,Строчный!I:I,"ERR",0)))</f>
        <v>голубой / серый</v>
      </c>
      <c r="J7" s="81" t="str">
        <f ca="1">SUBSTITUTE(LOWER(TRIM(_xlfn.XLOOKUP($A7,Строчный!$A:$A,Строчный!J:J,"ERR",0))),"подклад","Подклад")</f>
        <v>80% шерсть - 20% полиамид / Подклад: 100% вискоза</v>
      </c>
      <c r="K7" s="81" t="str">
        <f ca="1">LOWER(TRIM(_xlfn.XLOOKUP($A7,Строчный!$A:$A,Строчный!K:K,"ERR",0)))</f>
        <v>шерстяные</v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Россия</v>
      </c>
      <c r="N7" s="81" t="str">
        <f ca="1">UPPER(TRIM(_xlfn.XLOOKUP($A7,Строчный!$A:$A,Строчный!O:O,"ERR",0)))</f>
        <v/>
      </c>
      <c r="O7" s="102" t="str">
        <f ca="1">PROPER(TRIM(_xlfn.XLOOKUP($A7,Строчный!$A:$A,Строчный!P:P,"ERR",0)))</f>
        <v/>
      </c>
      <c r="P7" s="81" t="str">
        <f ca="1">PROPER(TRIM(_xlfn.XLOOKUP($A7,Строчный!$A:$A,Строчный!R:R,"ERR",0)))</f>
        <v/>
      </c>
      <c r="Q7" s="90">
        <f ca="1">VALUE(_xlfn.XLOOKUP($A7,Строчный!$A:$A,Строчный!N:N,"ERR",0))</f>
        <v>975.8</v>
      </c>
      <c r="R7" s="89" t="str">
        <f ca="1">_xlfn.XLOOKUP($G7,Фабрика!A:A,Фабрика!B:B,"ERR",0)</f>
        <v>ООО "ФРЭДРИКСОН" Россия 192029, С-Петербург, пр. Обуховской обороны, д.86, лит М</v>
      </c>
      <c r="S7" s="80" t="str">
        <f ca="1">_xlfn.XLOOKUP(RIGHT(AA7,2),Размеры!D:D,Размеры!A:A,"ERR",0)</f>
        <v>56</v>
      </c>
      <c r="T7" s="80">
        <f ca="1">VALUE(_xlfn.XLOOKUP($AA7,Строчный!$S:$S,Строчный!U:U,"ERR",0))</f>
        <v>1</v>
      </c>
      <c r="U7" s="14" t="s">
        <v>265</v>
      </c>
      <c r="V7" s="101" t="str">
        <f t="shared" ca="1" si="3"/>
        <v>Панама FREDRIKSON арт. 3363 (голубой / серый)</v>
      </c>
      <c r="W7" s="100" t="str">
        <f t="shared" ca="1" si="4"/>
        <v>Панама FREDRIKSON арт. 3363 (голубой / серый) {630/23}</v>
      </c>
      <c r="X7" s="18" t="str">
        <f t="shared" ca="1" si="0"/>
        <v>голубой</v>
      </c>
      <c r="Y7" s="18" t="str">
        <f t="shared" ca="1" si="1"/>
        <v>серый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голубой</v>
      </c>
      <c r="AA7" s="73" t="str">
        <f ca="1"/>
        <v>95-016-89-56</v>
      </c>
      <c r="AB7" s="75" t="str">
        <f ca="1">VLOOKUP(C7,Группа!A:B,2,FALSE)</f>
        <v>Панама</v>
      </c>
      <c r="AC7" s="97" t="str">
        <f ca="1">IFERROR(VLOOKUP(S7,Размеры!A:C,3,FALSE),"")</f>
        <v>56 S/M</v>
      </c>
      <c r="AD7" s="97" t="str">
        <f ca="1">VLOOKUP(I7,ЦветПолный!A:B,2,FALSE)</f>
        <v>89</v>
      </c>
      <c r="AE7" s="97" t="str">
        <f ca="1">IFERROR(VLOOKUP(S7,Размеры!A:D,4,FALSE),"")</f>
        <v>56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1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0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95-016-64</v>
      </c>
      <c r="B8" s="107" t="str">
        <f ca="1">_xlfn.LET(_xlpm.CAPS,0,_xlpm.Style,TRIM(_xlfn.XLOOKUP($A8,Строчный!$A:$A,Строчный!B:B,"ERR",0)),IF(_xlpm.CAPS=0,_xlpm.Style,LOWER(_xlpm.Style)))</f>
        <v>3363</v>
      </c>
      <c r="C8" s="81" t="str">
        <f ca="1">TRIM(PROPER(_xlfn.XLOOKUP($A8,Строчный!$A:$A,Строчный!C:C,"ERR",0)))</f>
        <v>Панамы</v>
      </c>
      <c r="D8" s="81" t="str">
        <f ca="1">_xlfn.LET(_xlpm.DATA,TRIM(_xlfn.XLOOKUP($A8,Строчный!$A:$A,Строчный!D:D,"ERR",0)),UPPER(MID(_xlpm.DATA,1,1))&amp;LOWER(MID(_xlpm.DATA,2,LEN(_xlpm.DATA)-1)))</f>
        <v>Панама</v>
      </c>
      <c r="E8" s="81" t="str">
        <f ca="1">PROPER(TRIM(_xlfn.XLOOKUP($A8,Строчный!$A:$A,Строчный!E:E,"ERR",0)))</f>
        <v>Fredrikson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FREDRIKSON</v>
      </c>
      <c r="H8" s="81" t="str">
        <f ca="1">LOWER(TRIM(_xlfn.XLOOKUP($A8,Строчный!$A:$A,Строчный!H:H,"ERR",0)))</f>
        <v>632/23</v>
      </c>
      <c r="I8" s="81" t="str">
        <f ca="1">LOWER(TRIM(_xlfn.XLOOKUP($A8,Строчный!$A:$A,Строчный!I:I,"ERR",0)))</f>
        <v>синий / темно-серый</v>
      </c>
      <c r="J8" s="81" t="str">
        <f ca="1">SUBSTITUTE(LOWER(TRIM(_xlfn.XLOOKUP($A8,Строчный!$A:$A,Строчный!J:J,"ERR",0))),"подклад","Подклад")</f>
        <v>80% шерсть - 20% полиамид / Подклад: 100% вискоза</v>
      </c>
      <c r="K8" s="81" t="str">
        <f ca="1">LOWER(TRIM(_xlfn.XLOOKUP($A8,Строчный!$A:$A,Строчный!K:K,"ERR",0)))</f>
        <v>шерстяные</v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Россия</v>
      </c>
      <c r="N8" s="81" t="str">
        <f ca="1">UPPER(TRIM(_xlfn.XLOOKUP($A8,Строчный!$A:$A,Строчный!O:O,"ERR",0)))</f>
        <v/>
      </c>
      <c r="O8" s="102" t="str">
        <f ca="1">PROPER(TRIM(_xlfn.XLOOKUP($A8,Строчный!$A:$A,Строчный!P:P,"ERR",0)))</f>
        <v/>
      </c>
      <c r="P8" s="81" t="str">
        <f ca="1">PROPER(TRIM(_xlfn.XLOOKUP($A8,Строчный!$A:$A,Строчный!R:R,"ERR",0)))</f>
        <v/>
      </c>
      <c r="Q8" s="90">
        <f ca="1">VALUE(_xlfn.XLOOKUP($A8,Строчный!$A:$A,Строчный!N:N,"ERR",0))</f>
        <v>975.8</v>
      </c>
      <c r="R8" s="89" t="str">
        <f ca="1">_xlfn.XLOOKUP($G8,Фабрика!A:A,Фабрика!B:B,"ERR",0)</f>
        <v>ООО "ФРЭДРИКСОН" Россия 192029, С-Петербург, пр. Обуховской обороны, д.86, лит М</v>
      </c>
      <c r="S8" s="80" t="str">
        <f ca="1">_xlfn.XLOOKUP(RIGHT(AA8,2),Размеры!D:D,Размеры!A:A,"ERR",0)</f>
        <v>61</v>
      </c>
      <c r="T8" s="80">
        <f ca="1">VALUE(_xlfn.XLOOKUP($AA8,Строчный!$S:$S,Строчный!U:U,"ERR",0))</f>
        <v>1</v>
      </c>
      <c r="U8" s="14" t="s">
        <v>265</v>
      </c>
      <c r="V8" s="101" t="str">
        <f t="shared" ca="1" si="3"/>
        <v>Панама FREDRIKSON арт. 3363 (синий / темно-серый)</v>
      </c>
      <c r="W8" s="100" t="str">
        <f t="shared" ca="1" si="4"/>
        <v>Панама FREDRIKSON арт. 3363 (синий / темно-серый) {632/23}</v>
      </c>
      <c r="X8" s="18" t="str">
        <f t="shared" ca="1" si="0"/>
        <v>серый</v>
      </c>
      <c r="Y8" s="18" t="str">
        <f t="shared" ca="1" si="1"/>
        <v>серый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серый</v>
      </c>
      <c r="AA8" s="73" t="str">
        <f ca="1"/>
        <v>95-016-64-61</v>
      </c>
      <c r="AB8" s="75" t="str">
        <f ca="1">VLOOKUP(C8,Группа!A:B,2,FALSE)</f>
        <v>Панама</v>
      </c>
      <c r="AC8" s="97" t="str">
        <f ca="1">IFERROR(VLOOKUP(S8,Размеры!A:C,3,FALSE),"")</f>
        <v>61 XL</v>
      </c>
      <c r="AD8" s="97" t="str">
        <f ca="1">VLOOKUP(I8,ЦветПолный!A:B,2,FALSE)</f>
        <v>64</v>
      </c>
      <c r="AE8" s="97" t="str">
        <f ca="1">IFERROR(VLOOKUP(S8,Размеры!A:D,4,FALSE),"")</f>
        <v>61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1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0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95-016-64</v>
      </c>
      <c r="B9" s="107" t="str">
        <f ca="1">_xlfn.LET(_xlpm.CAPS,0,_xlpm.Style,TRIM(_xlfn.XLOOKUP($A9,Строчный!$A:$A,Строчный!B:B,"ERR",0)),IF(_xlpm.CAPS=0,_xlpm.Style,LOWER(_xlpm.Style)))</f>
        <v>3363</v>
      </c>
      <c r="C9" s="81" t="str">
        <f ca="1">TRIM(PROPER(_xlfn.XLOOKUP($A9,Строчный!$A:$A,Строчный!C:C,"ERR",0)))</f>
        <v>Панамы</v>
      </c>
      <c r="D9" s="81" t="str">
        <f ca="1">_xlfn.LET(_xlpm.DATA,TRIM(_xlfn.XLOOKUP($A9,Строчный!$A:$A,Строчный!D:D,"ERR",0)),UPPER(MID(_xlpm.DATA,1,1))&amp;LOWER(MID(_xlpm.DATA,2,LEN(_xlpm.DATA)-1)))</f>
        <v>Панама</v>
      </c>
      <c r="E9" s="81" t="str">
        <f ca="1">PROPER(TRIM(_xlfn.XLOOKUP($A9,Строчный!$A:$A,Строчный!E:E,"ERR",0)))</f>
        <v>Fredrikson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FREDRIKSON</v>
      </c>
      <c r="H9" s="81" t="str">
        <f ca="1">LOWER(TRIM(_xlfn.XLOOKUP($A9,Строчный!$A:$A,Строчный!H:H,"ERR",0)))</f>
        <v>632/23</v>
      </c>
      <c r="I9" s="81" t="str">
        <f ca="1">LOWER(TRIM(_xlfn.XLOOKUP($A9,Строчный!$A:$A,Строчный!I:I,"ERR",0)))</f>
        <v>синий / темно-серый</v>
      </c>
      <c r="J9" s="81" t="str">
        <f ca="1">SUBSTITUTE(LOWER(TRIM(_xlfn.XLOOKUP($A9,Строчный!$A:$A,Строчный!J:J,"ERR",0))),"подклад","Подклад")</f>
        <v>80% шерсть - 20% полиамид / Подклад: 100% вискоза</v>
      </c>
      <c r="K9" s="81" t="str">
        <f ca="1">LOWER(TRIM(_xlfn.XLOOKUP($A9,Строчный!$A:$A,Строчный!K:K,"ERR",0)))</f>
        <v>шерстяные</v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Россия</v>
      </c>
      <c r="N9" s="81" t="str">
        <f ca="1">UPPER(TRIM(_xlfn.XLOOKUP($A9,Строчный!$A:$A,Строчный!O:O,"ERR",0)))</f>
        <v/>
      </c>
      <c r="O9" s="102" t="str">
        <f ca="1">PROPER(TRIM(_xlfn.XLOOKUP($A9,Строчный!$A:$A,Строчный!P:P,"ERR",0)))</f>
        <v/>
      </c>
      <c r="P9" s="81" t="str">
        <f ca="1">PROPER(TRIM(_xlfn.XLOOKUP($A9,Строчный!$A:$A,Строчный!R:R,"ERR",0)))</f>
        <v/>
      </c>
      <c r="Q9" s="90">
        <f ca="1">VALUE(_xlfn.XLOOKUP($A9,Строчный!$A:$A,Строчный!N:N,"ERR",0))</f>
        <v>975.8</v>
      </c>
      <c r="R9" s="89" t="str">
        <f ca="1">_xlfn.XLOOKUP($G9,Фабрика!A:A,Фабрика!B:B,"ERR",0)</f>
        <v>ООО "ФРЭДРИКСОН" Россия 192029, С-Петербург, пр. Обуховской обороны, д.86, лит М</v>
      </c>
      <c r="S9" s="80" t="str">
        <f ca="1">_xlfn.XLOOKUP(RIGHT(AA9,2),Размеры!D:D,Размеры!A:A,"ERR",0)</f>
        <v>60</v>
      </c>
      <c r="T9" s="80">
        <f ca="1">VALUE(_xlfn.XLOOKUP($AA9,Строчный!$S:$S,Строчный!U:U,"ERR",0))</f>
        <v>1</v>
      </c>
      <c r="U9" s="14" t="s">
        <v>265</v>
      </c>
      <c r="V9" s="101" t="str">
        <f t="shared" ca="1" si="3"/>
        <v>Панама FREDRIKSON арт. 3363 (синий / темно-серый)</v>
      </c>
      <c r="W9" s="100" t="str">
        <f t="shared" ca="1" si="4"/>
        <v>Панама FREDRIKSON арт. 3363 (синий / темно-серый) {632/23}</v>
      </c>
      <c r="X9" s="18" t="str">
        <f t="shared" ca="1" si="0"/>
        <v>серый</v>
      </c>
      <c r="Y9" s="18" t="str">
        <f t="shared" ca="1" si="1"/>
        <v>серый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серый</v>
      </c>
      <c r="AA9" s="73" t="str">
        <f ca="1"/>
        <v>95-016-64-60</v>
      </c>
      <c r="AB9" s="75" t="str">
        <f ca="1">VLOOKUP(C9,Группа!A:B,2,FALSE)</f>
        <v>Панама</v>
      </c>
      <c r="AC9" s="97" t="str">
        <f ca="1">IFERROR(VLOOKUP(S9,Размеры!A:C,3,FALSE),"")</f>
        <v>60 L/XL</v>
      </c>
      <c r="AD9" s="97" t="str">
        <f ca="1">VLOOKUP(I9,ЦветПолный!A:B,2,FALSE)</f>
        <v>64</v>
      </c>
      <c r="AE9" s="97" t="str">
        <f ca="1">IFERROR(VLOOKUP(S9,Размеры!A:D,4,FALSE),"")</f>
        <v>60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0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95-016-64</v>
      </c>
      <c r="B10" s="107" t="str">
        <f ca="1">_xlfn.LET(_xlpm.CAPS,0,_xlpm.Style,TRIM(_xlfn.XLOOKUP($A10,Строчный!$A:$A,Строчный!B:B,"ERR",0)),IF(_xlpm.CAPS=0,_xlpm.Style,LOWER(_xlpm.Style)))</f>
        <v>3363</v>
      </c>
      <c r="C10" s="81" t="str">
        <f ca="1">TRIM(PROPER(_xlfn.XLOOKUP($A10,Строчный!$A:$A,Строчный!C:C,"ERR",0)))</f>
        <v>Панамы</v>
      </c>
      <c r="D10" s="81" t="str">
        <f ca="1">_xlfn.LET(_xlpm.DATA,TRIM(_xlfn.XLOOKUP($A10,Строчный!$A:$A,Строчный!D:D,"ERR",0)),UPPER(MID(_xlpm.DATA,1,1))&amp;LOWER(MID(_xlpm.DATA,2,LEN(_xlpm.DATA)-1)))</f>
        <v>Панама</v>
      </c>
      <c r="E10" s="81" t="str">
        <f ca="1">PROPER(TRIM(_xlfn.XLOOKUP($A10,Строчный!$A:$A,Строчный!E:E,"ERR",0)))</f>
        <v>Fredrikson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FREDRIKSON</v>
      </c>
      <c r="H10" s="81" t="str">
        <f ca="1">LOWER(TRIM(_xlfn.XLOOKUP($A10,Строчный!$A:$A,Строчный!H:H,"ERR",0)))</f>
        <v>632/23</v>
      </c>
      <c r="I10" s="81" t="str">
        <f ca="1">LOWER(TRIM(_xlfn.XLOOKUP($A10,Строчный!$A:$A,Строчный!I:I,"ERR",0)))</f>
        <v>синий / темно-серый</v>
      </c>
      <c r="J10" s="81" t="str">
        <f ca="1">SUBSTITUTE(LOWER(TRIM(_xlfn.XLOOKUP($A10,Строчный!$A:$A,Строчный!J:J,"ERR",0))),"подклад","Подклад")</f>
        <v>80% шерсть - 20% полиамид / Подклад: 100% вискоза</v>
      </c>
      <c r="K10" s="81" t="str">
        <f ca="1">LOWER(TRIM(_xlfn.XLOOKUP($A10,Строчный!$A:$A,Строчный!K:K,"ERR",0)))</f>
        <v>шерстяные</v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Россия</v>
      </c>
      <c r="N10" s="81" t="str">
        <f ca="1">UPPER(TRIM(_xlfn.XLOOKUP($A10,Строчный!$A:$A,Строчный!O:O,"ERR",0)))</f>
        <v/>
      </c>
      <c r="O10" s="102" t="str">
        <f ca="1">PROPER(TRIM(_xlfn.XLOOKUP($A10,Строчный!$A:$A,Строчный!P:P,"ERR",0)))</f>
        <v/>
      </c>
      <c r="P10" s="81" t="str">
        <f ca="1">PROPER(TRIM(_xlfn.XLOOKUP($A10,Строчный!$A:$A,Строчный!R:R,"ERR",0)))</f>
        <v/>
      </c>
      <c r="Q10" s="90">
        <f ca="1">VALUE(_xlfn.XLOOKUP($A10,Строчный!$A:$A,Строчный!N:N,"ERR",0))</f>
        <v>975.8</v>
      </c>
      <c r="R10" s="89" t="str">
        <f ca="1">_xlfn.XLOOKUP($G10,Фабрика!A:A,Фабрика!B:B,"ERR",0)</f>
        <v>ООО "ФРЭДРИКСОН" Россия 192029, С-Петербург, пр. Обуховской обороны, д.86, лит М</v>
      </c>
      <c r="S10" s="80" t="str">
        <f ca="1">_xlfn.XLOOKUP(RIGHT(AA10,2),Размеры!D:D,Размеры!A:A,"ERR",0)</f>
        <v>59</v>
      </c>
      <c r="T10" s="80">
        <f ca="1">VALUE(_xlfn.XLOOKUP($AA10,Строчный!$S:$S,Строчный!U:U,"ERR",0))</f>
        <v>4</v>
      </c>
      <c r="U10" s="14" t="s">
        <v>265</v>
      </c>
      <c r="V10" s="101" t="str">
        <f t="shared" ca="1" si="3"/>
        <v>Панама FREDRIKSON арт. 3363 (синий / темно-серый)</v>
      </c>
      <c r="W10" s="100" t="str">
        <f t="shared" ca="1" si="4"/>
        <v>Панама FREDRIKSON арт. 3363 (синий / темно-серый) {632/23}</v>
      </c>
      <c r="X10" s="18" t="str">
        <f t="shared" ca="1" si="0"/>
        <v>серый</v>
      </c>
      <c r="Y10" s="18" t="str">
        <f t="shared" ca="1" si="1"/>
        <v>серый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серый</v>
      </c>
      <c r="AA10" s="73" t="str">
        <f ca="1"/>
        <v>95-016-64-59</v>
      </c>
      <c r="AB10" s="75" t="str">
        <f ca="1">VLOOKUP(C10,Группа!A:B,2,FALSE)</f>
        <v>Панама</v>
      </c>
      <c r="AC10" s="97" t="str">
        <f ca="1">IFERROR(VLOOKUP(S10,Размеры!A:C,3,FALSE),"")</f>
        <v>59 L</v>
      </c>
      <c r="AD10" s="97" t="str">
        <f ca="1">VLOOKUP(I10,ЦветПолный!A:B,2,FALSE)</f>
        <v>64</v>
      </c>
      <c r="AE10" s="97" t="str">
        <f ca="1">IFERROR(VLOOKUP(S10,Размеры!A:D,4,FALSE),"")</f>
        <v>59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1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0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95-016-64</v>
      </c>
      <c r="B11" s="107" t="str">
        <f ca="1">_xlfn.LET(_xlpm.CAPS,0,_xlpm.Style,TRIM(_xlfn.XLOOKUP($A11,Строчный!$A:$A,Строчный!B:B,"ERR",0)),IF(_xlpm.CAPS=0,_xlpm.Style,LOWER(_xlpm.Style)))</f>
        <v>3363</v>
      </c>
      <c r="C11" s="81" t="str">
        <f ca="1">TRIM(PROPER(_xlfn.XLOOKUP($A11,Строчный!$A:$A,Строчный!C:C,"ERR",0)))</f>
        <v>Панамы</v>
      </c>
      <c r="D11" s="81" t="str">
        <f ca="1">_xlfn.LET(_xlpm.DATA,TRIM(_xlfn.XLOOKUP($A11,Строчный!$A:$A,Строчный!D:D,"ERR",0)),UPPER(MID(_xlpm.DATA,1,1))&amp;LOWER(MID(_xlpm.DATA,2,LEN(_xlpm.DATA)-1)))</f>
        <v>Панама</v>
      </c>
      <c r="E11" s="81" t="str">
        <f ca="1">PROPER(TRIM(_xlfn.XLOOKUP($A11,Строчный!$A:$A,Строчный!E:E,"ERR",0)))</f>
        <v>Fredrikson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FREDRIKSON</v>
      </c>
      <c r="H11" s="81" t="str">
        <f ca="1">LOWER(TRIM(_xlfn.XLOOKUP($A11,Строчный!$A:$A,Строчный!H:H,"ERR",0)))</f>
        <v>632/23</v>
      </c>
      <c r="I11" s="81" t="str">
        <f ca="1">LOWER(TRIM(_xlfn.XLOOKUP($A11,Строчный!$A:$A,Строчный!I:I,"ERR",0)))</f>
        <v>синий / темно-серый</v>
      </c>
      <c r="J11" s="81" t="str">
        <f ca="1">SUBSTITUTE(LOWER(TRIM(_xlfn.XLOOKUP($A11,Строчный!$A:$A,Строчный!J:J,"ERR",0))),"подклад","Подклад")</f>
        <v>80% шерсть - 20% полиамид / Подклад: 100% вискоза</v>
      </c>
      <c r="K11" s="81" t="str">
        <f ca="1">LOWER(TRIM(_xlfn.XLOOKUP($A11,Строчный!$A:$A,Строчный!K:K,"ERR",0)))</f>
        <v>шерстяные</v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Россия</v>
      </c>
      <c r="N11" s="81" t="str">
        <f ca="1">UPPER(TRIM(_xlfn.XLOOKUP($A11,Строчный!$A:$A,Строчный!O:O,"ERR",0)))</f>
        <v/>
      </c>
      <c r="O11" s="102" t="str">
        <f ca="1">PROPER(TRIM(_xlfn.XLOOKUP($A11,Строчный!$A:$A,Строчный!P:P,"ERR",0)))</f>
        <v/>
      </c>
      <c r="P11" s="81" t="str">
        <f ca="1">PROPER(TRIM(_xlfn.XLOOKUP($A11,Строчный!$A:$A,Строчный!R:R,"ERR",0)))</f>
        <v/>
      </c>
      <c r="Q11" s="90">
        <f ca="1">VALUE(_xlfn.XLOOKUP($A11,Строчный!$A:$A,Строчный!N:N,"ERR",0))</f>
        <v>975.8</v>
      </c>
      <c r="R11" s="89" t="str">
        <f ca="1">_xlfn.XLOOKUP($G11,Фабрика!A:A,Фабрика!B:B,"ERR",0)</f>
        <v>ООО "ФРЭДРИКСОН" Россия 192029, С-Петербург, пр. Обуховской обороны, д.86, лит М</v>
      </c>
      <c r="S11" s="80" t="str">
        <f ca="1">_xlfn.XLOOKUP(RIGHT(AA11,2),Размеры!D:D,Размеры!A:A,"ERR",0)</f>
        <v>58</v>
      </c>
      <c r="T11" s="80">
        <f ca="1">VALUE(_xlfn.XLOOKUP($AA11,Строчный!$S:$S,Строчный!U:U,"ERR",0))</f>
        <v>2</v>
      </c>
      <c r="U11" s="14" t="s">
        <v>265</v>
      </c>
      <c r="V11" s="101" t="str">
        <f t="shared" ca="1" si="3"/>
        <v>Панама FREDRIKSON арт. 3363 (синий / темно-серый)</v>
      </c>
      <c r="W11" s="100" t="str">
        <f t="shared" ca="1" si="4"/>
        <v>Панама FREDRIKSON арт. 3363 (синий / темно-серый) {632/23}</v>
      </c>
      <c r="X11" s="18" t="str">
        <f t="shared" ca="1" si="0"/>
        <v>серый</v>
      </c>
      <c r="Y11" s="18" t="str">
        <f t="shared" ca="1" si="1"/>
        <v>серый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серый</v>
      </c>
      <c r="AA11" s="73" t="str">
        <f ca="1"/>
        <v>95-016-64-58</v>
      </c>
      <c r="AB11" s="75" t="str">
        <f ca="1">VLOOKUP(C11,Группа!A:B,2,FALSE)</f>
        <v>Панама</v>
      </c>
      <c r="AC11" s="97" t="str">
        <f ca="1">IFERROR(VLOOKUP(S11,Размеры!A:C,3,FALSE),"")</f>
        <v>58 M/L</v>
      </c>
      <c r="AD11" s="97" t="str">
        <f ca="1">VLOOKUP(I11,ЦветПолный!A:B,2,FALSE)</f>
        <v>64</v>
      </c>
      <c r="AE11" s="97" t="str">
        <f ca="1">IFERROR(VLOOKUP(S11,Размеры!A:D,4,FALSE),"")</f>
        <v>58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1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0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95-016-64</v>
      </c>
      <c r="B12" s="107" t="str">
        <f ca="1">_xlfn.LET(_xlpm.CAPS,0,_xlpm.Style,TRIM(_xlfn.XLOOKUP($A12,Строчный!$A:$A,Строчный!B:B,"ERR",0)),IF(_xlpm.CAPS=0,_xlpm.Style,LOWER(_xlpm.Style)))</f>
        <v>3363</v>
      </c>
      <c r="C12" s="81" t="str">
        <f ca="1">TRIM(PROPER(_xlfn.XLOOKUP($A12,Строчный!$A:$A,Строчный!C:C,"ERR",0)))</f>
        <v>Панамы</v>
      </c>
      <c r="D12" s="81" t="str">
        <f ca="1">_xlfn.LET(_xlpm.DATA,TRIM(_xlfn.XLOOKUP($A12,Строчный!$A:$A,Строчный!D:D,"ERR",0)),UPPER(MID(_xlpm.DATA,1,1))&amp;LOWER(MID(_xlpm.DATA,2,LEN(_xlpm.DATA)-1)))</f>
        <v>Панама</v>
      </c>
      <c r="E12" s="81" t="str">
        <f ca="1">PROPER(TRIM(_xlfn.XLOOKUP($A12,Строчный!$A:$A,Строчный!E:E,"ERR",0)))</f>
        <v>Fredrikson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FREDRIKSON</v>
      </c>
      <c r="H12" s="81" t="str">
        <f ca="1">LOWER(TRIM(_xlfn.XLOOKUP($A12,Строчный!$A:$A,Строчный!H:H,"ERR",0)))</f>
        <v>632/23</v>
      </c>
      <c r="I12" s="81" t="str">
        <f ca="1">LOWER(TRIM(_xlfn.XLOOKUP($A12,Строчный!$A:$A,Строчный!I:I,"ERR",0)))</f>
        <v>синий / темно-серый</v>
      </c>
      <c r="J12" s="81" t="str">
        <f ca="1">SUBSTITUTE(LOWER(TRIM(_xlfn.XLOOKUP($A12,Строчный!$A:$A,Строчный!J:J,"ERR",0))),"подклад","Подклад")</f>
        <v>80% шерсть - 20% полиамид / Подклад: 100% вискоза</v>
      </c>
      <c r="K12" s="81" t="str">
        <f ca="1">LOWER(TRIM(_xlfn.XLOOKUP($A12,Строчный!$A:$A,Строчный!K:K,"ERR",0)))</f>
        <v>шерстяные</v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Россия</v>
      </c>
      <c r="N12" s="81" t="str">
        <f ca="1">UPPER(TRIM(_xlfn.XLOOKUP($A12,Строчный!$A:$A,Строчный!O:O,"ERR",0)))</f>
        <v/>
      </c>
      <c r="O12" s="102" t="str">
        <f ca="1">PROPER(TRIM(_xlfn.XLOOKUP($A12,Строчный!$A:$A,Строчный!P:P,"ERR",0)))</f>
        <v/>
      </c>
      <c r="P12" s="81" t="str">
        <f ca="1">PROPER(TRIM(_xlfn.XLOOKUP($A12,Строчный!$A:$A,Строчный!R:R,"ERR",0)))</f>
        <v/>
      </c>
      <c r="Q12" s="90">
        <f ca="1">VALUE(_xlfn.XLOOKUP($A12,Строчный!$A:$A,Строчный!N:N,"ERR",0))</f>
        <v>975.8</v>
      </c>
      <c r="R12" s="89" t="str">
        <f ca="1">_xlfn.XLOOKUP($G12,Фабрика!A:A,Фабрика!B:B,"ERR",0)</f>
        <v>ООО "ФРЭДРИКСОН" Россия 192029, С-Петербург, пр. Обуховской обороны, д.86, лит М</v>
      </c>
      <c r="S12" s="80" t="str">
        <f ca="1">_xlfn.XLOOKUP(RIGHT(AA12,2),Размеры!D:D,Размеры!A:A,"ERR",0)</f>
        <v>57</v>
      </c>
      <c r="T12" s="80">
        <f ca="1">VALUE(_xlfn.XLOOKUP($AA12,Строчный!$S:$S,Строчный!U:U,"ERR",0))</f>
        <v>1</v>
      </c>
      <c r="U12" s="14" t="s">
        <v>265</v>
      </c>
      <c r="V12" s="101" t="str">
        <f t="shared" ca="1" si="3"/>
        <v>Панама FREDRIKSON арт. 3363 (синий / темно-серый)</v>
      </c>
      <c r="W12" s="100" t="str">
        <f t="shared" ca="1" si="4"/>
        <v>Панама FREDRIKSON арт. 3363 (синий / темно-серый) {632/23}</v>
      </c>
      <c r="X12" s="18" t="str">
        <f t="shared" ca="1" si="0"/>
        <v>серый</v>
      </c>
      <c r="Y12" s="18" t="str">
        <f t="shared" ca="1" si="1"/>
        <v>серый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серый</v>
      </c>
      <c r="AA12" s="73" t="str">
        <f ca="1"/>
        <v>95-016-64-57</v>
      </c>
      <c r="AB12" s="75" t="str">
        <f ca="1">VLOOKUP(C12,Группа!A:B,2,FALSE)</f>
        <v>Панама</v>
      </c>
      <c r="AC12" s="97" t="str">
        <f ca="1">IFERROR(VLOOKUP(S12,Размеры!A:C,3,FALSE),"")</f>
        <v>57 M</v>
      </c>
      <c r="AD12" s="97" t="str">
        <f ca="1">VLOOKUP(I12,ЦветПолный!A:B,2,FALSE)</f>
        <v>64</v>
      </c>
      <c r="AE12" s="97" t="str">
        <f ca="1">IFERROR(VLOOKUP(S12,Размеры!A:D,4,FALSE),"")</f>
        <v>57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1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0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95-016-64</v>
      </c>
      <c r="B13" s="107" t="str">
        <f ca="1">_xlfn.LET(_xlpm.CAPS,0,_xlpm.Style,TRIM(_xlfn.XLOOKUP($A13,Строчный!$A:$A,Строчный!B:B,"ERR",0)),IF(_xlpm.CAPS=0,_xlpm.Style,LOWER(_xlpm.Style)))</f>
        <v>3363</v>
      </c>
      <c r="C13" s="81" t="str">
        <f ca="1">TRIM(PROPER(_xlfn.XLOOKUP($A13,Строчный!$A:$A,Строчный!C:C,"ERR",0)))</f>
        <v>Панамы</v>
      </c>
      <c r="D13" s="81" t="str">
        <f ca="1">_xlfn.LET(_xlpm.DATA,TRIM(_xlfn.XLOOKUP($A13,Строчный!$A:$A,Строчный!D:D,"ERR",0)),UPPER(MID(_xlpm.DATA,1,1))&amp;LOWER(MID(_xlpm.DATA,2,LEN(_xlpm.DATA)-1)))</f>
        <v>Панама</v>
      </c>
      <c r="E13" s="81" t="str">
        <f ca="1">PROPER(TRIM(_xlfn.XLOOKUP($A13,Строчный!$A:$A,Строчный!E:E,"ERR",0)))</f>
        <v>Fredrikson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FREDRIKSON</v>
      </c>
      <c r="H13" s="81" t="str">
        <f ca="1">LOWER(TRIM(_xlfn.XLOOKUP($A13,Строчный!$A:$A,Строчный!H:H,"ERR",0)))</f>
        <v>632/23</v>
      </c>
      <c r="I13" s="81" t="str">
        <f ca="1">LOWER(TRIM(_xlfn.XLOOKUP($A13,Строчный!$A:$A,Строчный!I:I,"ERR",0)))</f>
        <v>синий / темно-серый</v>
      </c>
      <c r="J13" s="81" t="str">
        <f ca="1">SUBSTITUTE(LOWER(TRIM(_xlfn.XLOOKUP($A13,Строчный!$A:$A,Строчный!J:J,"ERR",0))),"подклад","Подклад")</f>
        <v>80% шерсть - 20% полиамид / Подклад: 100% вискоза</v>
      </c>
      <c r="K13" s="81" t="str">
        <f ca="1">LOWER(TRIM(_xlfn.XLOOKUP($A13,Строчный!$A:$A,Строчный!K:K,"ERR",0)))</f>
        <v>шерстяные</v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Россия</v>
      </c>
      <c r="N13" s="81" t="str">
        <f ca="1">UPPER(TRIM(_xlfn.XLOOKUP($A13,Строчный!$A:$A,Строчный!O:O,"ERR",0)))</f>
        <v/>
      </c>
      <c r="O13" s="102" t="str">
        <f ca="1">PROPER(TRIM(_xlfn.XLOOKUP($A13,Строчный!$A:$A,Строчный!P:P,"ERR",0)))</f>
        <v/>
      </c>
      <c r="P13" s="81" t="str">
        <f ca="1">PROPER(TRIM(_xlfn.XLOOKUP($A13,Строчный!$A:$A,Строчный!R:R,"ERR",0)))</f>
        <v/>
      </c>
      <c r="Q13" s="90">
        <f ca="1">VALUE(_xlfn.XLOOKUP($A13,Строчный!$A:$A,Строчный!N:N,"ERR",0))</f>
        <v>975.8</v>
      </c>
      <c r="R13" s="89" t="str">
        <f ca="1">_xlfn.XLOOKUP($G13,Фабрика!A:A,Фабрика!B:B,"ERR",0)</f>
        <v>ООО "ФРЭДРИКСОН" Россия 192029, С-Петербург, пр. Обуховской обороны, д.86, лит М</v>
      </c>
      <c r="S13" s="80" t="str">
        <f ca="1">_xlfn.XLOOKUP(RIGHT(AA13,2),Размеры!D:D,Размеры!A:A,"ERR",0)</f>
        <v>56</v>
      </c>
      <c r="T13" s="80">
        <f ca="1">VALUE(_xlfn.XLOOKUP($AA13,Строчный!$S:$S,Строчный!U:U,"ERR",0))</f>
        <v>1</v>
      </c>
      <c r="U13" s="14" t="s">
        <v>265</v>
      </c>
      <c r="V13" s="101" t="str">
        <f t="shared" ca="1" si="3"/>
        <v>Панама FREDRIKSON арт. 3363 (синий / темно-серый)</v>
      </c>
      <c r="W13" s="100" t="str">
        <f t="shared" ca="1" si="4"/>
        <v>Панама FREDRIKSON арт. 3363 (синий / темно-серый) {632/23}</v>
      </c>
      <c r="X13" s="18" t="str">
        <f t="shared" ca="1" si="0"/>
        <v>серый</v>
      </c>
      <c r="Y13" s="18" t="str">
        <f t="shared" ca="1" si="1"/>
        <v>серый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серый</v>
      </c>
      <c r="AA13" s="73" t="str">
        <f ca="1"/>
        <v>95-016-64-56</v>
      </c>
      <c r="AB13" s="75" t="str">
        <f ca="1">VLOOKUP(C13,Группа!A:B,2,FALSE)</f>
        <v>Панама</v>
      </c>
      <c r="AC13" s="97" t="str">
        <f ca="1">IFERROR(VLOOKUP(S13,Размеры!A:C,3,FALSE),"")</f>
        <v>56 S/M</v>
      </c>
      <c r="AD13" s="97" t="str">
        <f ca="1">VLOOKUP(I13,ЦветПолный!A:B,2,FALSE)</f>
        <v>64</v>
      </c>
      <c r="AE13" s="97" t="str">
        <f ca="1">IFERROR(VLOOKUP(S13,Размеры!A:D,4,FALSE),"")</f>
        <v>56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1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0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95-016-47</v>
      </c>
      <c r="B14" s="107" t="str">
        <f ca="1">_xlfn.LET(_xlpm.CAPS,0,_xlpm.Style,TRIM(_xlfn.XLOOKUP($A14,Строчный!$A:$A,Строчный!B:B,"ERR",0)),IF(_xlpm.CAPS=0,_xlpm.Style,LOWER(_xlpm.Style)))</f>
        <v>3363</v>
      </c>
      <c r="C14" s="81" t="str">
        <f ca="1">TRIM(PROPER(_xlfn.XLOOKUP($A14,Строчный!$A:$A,Строчный!C:C,"ERR",0)))</f>
        <v>Панамы</v>
      </c>
      <c r="D14" s="81" t="str">
        <f ca="1">_xlfn.LET(_xlpm.DATA,TRIM(_xlfn.XLOOKUP($A14,Строчный!$A:$A,Строчный!D:D,"ERR",0)),UPPER(MID(_xlpm.DATA,1,1))&amp;LOWER(MID(_xlpm.DATA,2,LEN(_xlpm.DATA)-1)))</f>
        <v>Панама</v>
      </c>
      <c r="E14" s="81" t="str">
        <f ca="1">PROPER(TRIM(_xlfn.XLOOKUP($A14,Строчный!$A:$A,Строчный!E:E,"ERR",0)))</f>
        <v>Fredrikson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FREDRIKSON</v>
      </c>
      <c r="H14" s="81" t="str">
        <f ca="1">LOWER(TRIM(_xlfn.XLOOKUP($A14,Строчный!$A:$A,Строчный!H:H,"ERR",0)))</f>
        <v>641/76</v>
      </c>
      <c r="I14" s="81" t="str">
        <f ca="1">LOWER(TRIM(_xlfn.XLOOKUP($A14,Строчный!$A:$A,Строчный!I:I,"ERR",0)))</f>
        <v>серый / черный</v>
      </c>
      <c r="J14" s="81" t="str">
        <f ca="1">SUBSTITUTE(LOWER(TRIM(_xlfn.XLOOKUP($A14,Строчный!$A:$A,Строчный!J:J,"ERR",0))),"подклад","Подклад")</f>
        <v>80% шерсть - 20% полиамид / Подклад: 100% вискоза</v>
      </c>
      <c r="K14" s="81" t="str">
        <f ca="1">LOWER(TRIM(_xlfn.XLOOKUP($A14,Строчный!$A:$A,Строчный!K:K,"ERR",0)))</f>
        <v>шерстяные</v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Россия</v>
      </c>
      <c r="N14" s="81" t="str">
        <f ca="1">UPPER(TRIM(_xlfn.XLOOKUP($A14,Строчный!$A:$A,Строчный!O:O,"ERR",0)))</f>
        <v/>
      </c>
      <c r="O14" s="102" t="str">
        <f ca="1">PROPER(TRIM(_xlfn.XLOOKUP($A14,Строчный!$A:$A,Строчный!P:P,"ERR",0)))</f>
        <v/>
      </c>
      <c r="P14" s="81" t="str">
        <f ca="1">PROPER(TRIM(_xlfn.XLOOKUP($A14,Строчный!$A:$A,Строчный!R:R,"ERR",0)))</f>
        <v/>
      </c>
      <c r="Q14" s="90">
        <f ca="1">VALUE(_xlfn.XLOOKUP($A14,Строчный!$A:$A,Строчный!N:N,"ERR",0))</f>
        <v>975.8</v>
      </c>
      <c r="R14" s="89" t="str">
        <f ca="1">_xlfn.XLOOKUP($G14,Фабрика!A:A,Фабрика!B:B,"ERR",0)</f>
        <v>ООО "ФРЭДРИКСОН" Россия 192029, С-Петербург, пр. Обуховской обороны, д.86, лит М</v>
      </c>
      <c r="S14" s="80" t="str">
        <f ca="1">_xlfn.XLOOKUP(RIGHT(AA14,2),Размеры!D:D,Размеры!A:A,"ERR",0)</f>
        <v>62</v>
      </c>
      <c r="T14" s="80">
        <f ca="1">VALUE(_xlfn.XLOOKUP($AA14,Строчный!$S:$S,Строчный!U:U,"ERR",0))</f>
        <v>1</v>
      </c>
      <c r="U14" s="14" t="s">
        <v>265</v>
      </c>
      <c r="V14" s="101" t="str">
        <f t="shared" ca="1" si="3"/>
        <v>Панама FREDRIKSON арт. 3363 (серый / черный)</v>
      </c>
      <c r="W14" s="100" t="str">
        <f t="shared" ca="1" si="4"/>
        <v>Панама FREDRIKSON арт. 3363 (серый / черный) {641/76}</v>
      </c>
      <c r="X14" s="18" t="str">
        <f t="shared" ca="1" si="0"/>
        <v>серый</v>
      </c>
      <c r="Y14" s="18" t="str">
        <f t="shared" ca="1" si="1"/>
        <v>черный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серый</v>
      </c>
      <c r="AA14" s="73" t="str">
        <f ca="1"/>
        <v>95-016-47-62</v>
      </c>
      <c r="AB14" s="75" t="str">
        <f ca="1">VLOOKUP(C14,Группа!A:B,2,FALSE)</f>
        <v>Панама</v>
      </c>
      <c r="AC14" s="97" t="str">
        <f ca="1">IFERROR(VLOOKUP(S14,Размеры!A:C,3,FALSE),"")</f>
        <v>62 XL/XXL</v>
      </c>
      <c r="AD14" s="97" t="str">
        <f ca="1">VLOOKUP(I14,ЦветПолный!A:B,2,FALSE)</f>
        <v>47</v>
      </c>
      <c r="AE14" s="97" t="str">
        <f ca="1">IFERROR(VLOOKUP(S14,Размеры!A:D,4,FALSE),"")</f>
        <v>62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1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0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95-016-47</v>
      </c>
      <c r="B15" s="107" t="str">
        <f ca="1">_xlfn.LET(_xlpm.CAPS,0,_xlpm.Style,TRIM(_xlfn.XLOOKUP($A15,Строчный!$A:$A,Строчный!B:B,"ERR",0)),IF(_xlpm.CAPS=0,_xlpm.Style,LOWER(_xlpm.Style)))</f>
        <v>3363</v>
      </c>
      <c r="C15" s="81" t="str">
        <f ca="1">TRIM(PROPER(_xlfn.XLOOKUP($A15,Строчный!$A:$A,Строчный!C:C,"ERR",0)))</f>
        <v>Панамы</v>
      </c>
      <c r="D15" s="81" t="str">
        <f ca="1">_xlfn.LET(_xlpm.DATA,TRIM(_xlfn.XLOOKUP($A15,Строчный!$A:$A,Строчный!D:D,"ERR",0)),UPPER(MID(_xlpm.DATA,1,1))&amp;LOWER(MID(_xlpm.DATA,2,LEN(_xlpm.DATA)-1)))</f>
        <v>Панама</v>
      </c>
      <c r="E15" s="81" t="str">
        <f ca="1">PROPER(TRIM(_xlfn.XLOOKUP($A15,Строчный!$A:$A,Строчный!E:E,"ERR",0)))</f>
        <v>Fredrikson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FREDRIKSON</v>
      </c>
      <c r="H15" s="81" t="str">
        <f ca="1">LOWER(TRIM(_xlfn.XLOOKUP($A15,Строчный!$A:$A,Строчный!H:H,"ERR",0)))</f>
        <v>641/76</v>
      </c>
      <c r="I15" s="81" t="str">
        <f ca="1">LOWER(TRIM(_xlfn.XLOOKUP($A15,Строчный!$A:$A,Строчный!I:I,"ERR",0)))</f>
        <v>серый / черный</v>
      </c>
      <c r="J15" s="81" t="str">
        <f ca="1">SUBSTITUTE(LOWER(TRIM(_xlfn.XLOOKUP($A15,Строчный!$A:$A,Строчный!J:J,"ERR",0))),"подклад","Подклад")</f>
        <v>80% шерсть - 20% полиамид / Подклад: 100% вискоза</v>
      </c>
      <c r="K15" s="81" t="str">
        <f ca="1">LOWER(TRIM(_xlfn.XLOOKUP($A15,Строчный!$A:$A,Строчный!K:K,"ERR",0)))</f>
        <v>шерстяные</v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Россия</v>
      </c>
      <c r="N15" s="81" t="str">
        <f ca="1">UPPER(TRIM(_xlfn.XLOOKUP($A15,Строчный!$A:$A,Строчный!O:O,"ERR",0)))</f>
        <v/>
      </c>
      <c r="O15" s="102" t="str">
        <f ca="1">PROPER(TRIM(_xlfn.XLOOKUP($A15,Строчный!$A:$A,Строчный!P:P,"ERR",0)))</f>
        <v/>
      </c>
      <c r="P15" s="81" t="str">
        <f ca="1">PROPER(TRIM(_xlfn.XLOOKUP($A15,Строчный!$A:$A,Строчный!R:R,"ERR",0)))</f>
        <v/>
      </c>
      <c r="Q15" s="90">
        <f ca="1">VALUE(_xlfn.XLOOKUP($A15,Строчный!$A:$A,Строчный!N:N,"ERR",0))</f>
        <v>975.8</v>
      </c>
      <c r="R15" s="89" t="str">
        <f ca="1">_xlfn.XLOOKUP($G15,Фабрика!A:A,Фабрика!B:B,"ERR",0)</f>
        <v>ООО "ФРЭДРИКСОН" Россия 192029, С-Петербург, пр. Обуховской обороны, д.86, лит М</v>
      </c>
      <c r="S15" s="80" t="str">
        <f ca="1">_xlfn.XLOOKUP(RIGHT(AA15,2),Размеры!D:D,Размеры!A:A,"ERR",0)</f>
        <v>61</v>
      </c>
      <c r="T15" s="80">
        <f ca="1">VALUE(_xlfn.XLOOKUP($AA15,Строчный!$S:$S,Строчный!U:U,"ERR",0))</f>
        <v>3</v>
      </c>
      <c r="U15" s="14" t="s">
        <v>265</v>
      </c>
      <c r="V15" s="101" t="str">
        <f t="shared" ca="1" si="3"/>
        <v>Панама FREDRIKSON арт. 3363 (серый / черный)</v>
      </c>
      <c r="W15" s="100" t="str">
        <f t="shared" ca="1" si="4"/>
        <v>Панама FREDRIKSON арт. 3363 (серый / черный) {641/76}</v>
      </c>
      <c r="X15" s="18" t="str">
        <f t="shared" ca="1" si="0"/>
        <v>серый</v>
      </c>
      <c r="Y15" s="18" t="str">
        <f t="shared" ca="1" si="1"/>
        <v>черный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серый</v>
      </c>
      <c r="AA15" s="73" t="str">
        <f ca="1"/>
        <v>95-016-47-61</v>
      </c>
      <c r="AB15" s="75" t="str">
        <f ca="1">VLOOKUP(C15,Группа!A:B,2,FALSE)</f>
        <v>Панама</v>
      </c>
      <c r="AC15" s="97" t="str">
        <f ca="1">IFERROR(VLOOKUP(S15,Размеры!A:C,3,FALSE),"")</f>
        <v>61 XL</v>
      </c>
      <c r="AD15" s="97" t="str">
        <f ca="1">VLOOKUP(I15,ЦветПолный!A:B,2,FALSE)</f>
        <v>47</v>
      </c>
      <c r="AE15" s="97" t="str">
        <f ca="1">IFERROR(VLOOKUP(S15,Размеры!A:D,4,FALSE),"")</f>
        <v>61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1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0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95-016-47</v>
      </c>
      <c r="B16" s="107" t="str">
        <f ca="1">_xlfn.LET(_xlpm.CAPS,0,_xlpm.Style,TRIM(_xlfn.XLOOKUP($A16,Строчный!$A:$A,Строчный!B:B,"ERR",0)),IF(_xlpm.CAPS=0,_xlpm.Style,LOWER(_xlpm.Style)))</f>
        <v>3363</v>
      </c>
      <c r="C16" s="81" t="str">
        <f ca="1">TRIM(PROPER(_xlfn.XLOOKUP($A16,Строчный!$A:$A,Строчный!C:C,"ERR",0)))</f>
        <v>Панамы</v>
      </c>
      <c r="D16" s="81" t="str">
        <f ca="1">_xlfn.LET(_xlpm.DATA,TRIM(_xlfn.XLOOKUP($A16,Строчный!$A:$A,Строчный!D:D,"ERR",0)),UPPER(MID(_xlpm.DATA,1,1))&amp;LOWER(MID(_xlpm.DATA,2,LEN(_xlpm.DATA)-1)))</f>
        <v>Панама</v>
      </c>
      <c r="E16" s="81" t="str">
        <f ca="1">PROPER(TRIM(_xlfn.XLOOKUP($A16,Строчный!$A:$A,Строчный!E:E,"ERR",0)))</f>
        <v>Fredrikson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FREDRIKSON</v>
      </c>
      <c r="H16" s="81" t="str">
        <f ca="1">LOWER(TRIM(_xlfn.XLOOKUP($A16,Строчный!$A:$A,Строчный!H:H,"ERR",0)))</f>
        <v>641/76</v>
      </c>
      <c r="I16" s="81" t="str">
        <f ca="1">LOWER(TRIM(_xlfn.XLOOKUP($A16,Строчный!$A:$A,Строчный!I:I,"ERR",0)))</f>
        <v>серый / черный</v>
      </c>
      <c r="J16" s="81" t="str">
        <f ca="1">SUBSTITUTE(LOWER(TRIM(_xlfn.XLOOKUP($A16,Строчный!$A:$A,Строчный!J:J,"ERR",0))),"подклад","Подклад")</f>
        <v>80% шерсть - 20% полиамид / Подклад: 100% вискоза</v>
      </c>
      <c r="K16" s="81" t="str">
        <f ca="1">LOWER(TRIM(_xlfn.XLOOKUP($A16,Строчный!$A:$A,Строчный!K:K,"ERR",0)))</f>
        <v>шерстяные</v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Россия</v>
      </c>
      <c r="N16" s="81" t="str">
        <f ca="1">UPPER(TRIM(_xlfn.XLOOKUP($A16,Строчный!$A:$A,Строчный!O:O,"ERR",0)))</f>
        <v/>
      </c>
      <c r="O16" s="102" t="str">
        <f ca="1">PROPER(TRIM(_xlfn.XLOOKUP($A16,Строчный!$A:$A,Строчный!P:P,"ERR",0)))</f>
        <v/>
      </c>
      <c r="P16" s="81" t="str">
        <f ca="1">PROPER(TRIM(_xlfn.XLOOKUP($A16,Строчный!$A:$A,Строчный!R:R,"ERR",0)))</f>
        <v/>
      </c>
      <c r="Q16" s="90">
        <f ca="1">VALUE(_xlfn.XLOOKUP($A16,Строчный!$A:$A,Строчный!N:N,"ERR",0))</f>
        <v>975.8</v>
      </c>
      <c r="R16" s="89" t="str">
        <f ca="1">_xlfn.XLOOKUP($G16,Фабрика!A:A,Фабрика!B:B,"ERR",0)</f>
        <v>ООО "ФРЭДРИКСОН" Россия 192029, С-Петербург, пр. Обуховской обороны, д.86, лит М</v>
      </c>
      <c r="S16" s="80" t="str">
        <f ca="1">_xlfn.XLOOKUP(RIGHT(AA16,2),Размеры!D:D,Размеры!A:A,"ERR",0)</f>
        <v>60</v>
      </c>
      <c r="T16" s="80">
        <f ca="1">VALUE(_xlfn.XLOOKUP($AA16,Строчный!$S:$S,Строчный!U:U,"ERR",0))</f>
        <v>5</v>
      </c>
      <c r="U16" s="14" t="s">
        <v>265</v>
      </c>
      <c r="V16" s="101" t="str">
        <f t="shared" ca="1" si="3"/>
        <v>Панама FREDRIKSON арт. 3363 (серый / черный)</v>
      </c>
      <c r="W16" s="100" t="str">
        <f t="shared" ca="1" si="4"/>
        <v>Панама FREDRIKSON арт. 3363 (серый / черный) {641/76}</v>
      </c>
      <c r="X16" s="18" t="str">
        <f t="shared" ca="1" si="0"/>
        <v>серый</v>
      </c>
      <c r="Y16" s="18" t="str">
        <f t="shared" ca="1" si="1"/>
        <v>черный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серый</v>
      </c>
      <c r="AA16" s="73" t="str">
        <f ca="1"/>
        <v>95-016-47-60</v>
      </c>
      <c r="AB16" s="75" t="str">
        <f ca="1">VLOOKUP(C16,Группа!A:B,2,FALSE)</f>
        <v>Панама</v>
      </c>
      <c r="AC16" s="97" t="str">
        <f ca="1">IFERROR(VLOOKUP(S16,Размеры!A:C,3,FALSE),"")</f>
        <v>60 L/XL</v>
      </c>
      <c r="AD16" s="97" t="str">
        <f ca="1">VLOOKUP(I16,ЦветПолный!A:B,2,FALSE)</f>
        <v>47</v>
      </c>
      <c r="AE16" s="97" t="str">
        <f ca="1">IFERROR(VLOOKUP(S16,Размеры!A:D,4,FALSE),"")</f>
        <v>60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1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0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95-016-47</v>
      </c>
      <c r="B17" s="107" t="str">
        <f ca="1">_xlfn.LET(_xlpm.CAPS,0,_xlpm.Style,TRIM(_xlfn.XLOOKUP($A17,Строчный!$A:$A,Строчный!B:B,"ERR",0)),IF(_xlpm.CAPS=0,_xlpm.Style,LOWER(_xlpm.Style)))</f>
        <v>3363</v>
      </c>
      <c r="C17" s="81" t="str">
        <f ca="1">TRIM(PROPER(_xlfn.XLOOKUP($A17,Строчный!$A:$A,Строчный!C:C,"ERR",0)))</f>
        <v>Панамы</v>
      </c>
      <c r="D17" s="81" t="str">
        <f ca="1">_xlfn.LET(_xlpm.DATA,TRIM(_xlfn.XLOOKUP($A17,Строчный!$A:$A,Строчный!D:D,"ERR",0)),UPPER(MID(_xlpm.DATA,1,1))&amp;LOWER(MID(_xlpm.DATA,2,LEN(_xlpm.DATA)-1)))</f>
        <v>Панама</v>
      </c>
      <c r="E17" s="81" t="str">
        <f ca="1">PROPER(TRIM(_xlfn.XLOOKUP($A17,Строчный!$A:$A,Строчный!E:E,"ERR",0)))</f>
        <v>Fredrikson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FREDRIKSON</v>
      </c>
      <c r="H17" s="81" t="str">
        <f ca="1">LOWER(TRIM(_xlfn.XLOOKUP($A17,Строчный!$A:$A,Строчный!H:H,"ERR",0)))</f>
        <v>641/76</v>
      </c>
      <c r="I17" s="81" t="str">
        <f ca="1">LOWER(TRIM(_xlfn.XLOOKUP($A17,Строчный!$A:$A,Строчный!I:I,"ERR",0)))</f>
        <v>серый / черный</v>
      </c>
      <c r="J17" s="81" t="str">
        <f ca="1">SUBSTITUTE(LOWER(TRIM(_xlfn.XLOOKUP($A17,Строчный!$A:$A,Строчный!J:J,"ERR",0))),"подклад","Подклад")</f>
        <v>80% шерсть - 20% полиамид / Подклад: 100% вискоза</v>
      </c>
      <c r="K17" s="81" t="str">
        <f ca="1">LOWER(TRIM(_xlfn.XLOOKUP($A17,Строчный!$A:$A,Строчный!K:K,"ERR",0)))</f>
        <v>шерстяные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Россия</v>
      </c>
      <c r="N17" s="81" t="str">
        <f ca="1">UPPER(TRIM(_xlfn.XLOOKUP($A17,Строчный!$A:$A,Строчный!O:O,"ERR",0)))</f>
        <v/>
      </c>
      <c r="O17" s="102" t="str">
        <f ca="1">PROPER(TRIM(_xlfn.XLOOKUP($A17,Строчный!$A:$A,Строчный!P:P,"ERR",0)))</f>
        <v/>
      </c>
      <c r="P17" s="81" t="str">
        <f ca="1">PROPER(TRIM(_xlfn.XLOOKUP($A17,Строчный!$A:$A,Строчный!R:R,"ERR",0)))</f>
        <v/>
      </c>
      <c r="Q17" s="90">
        <f ca="1">VALUE(_xlfn.XLOOKUP($A17,Строчный!$A:$A,Строчный!N:N,"ERR",0))</f>
        <v>975.8</v>
      </c>
      <c r="R17" s="89" t="str">
        <f ca="1">_xlfn.XLOOKUP($G17,Фабрика!A:A,Фабрика!B:B,"ERR",0)</f>
        <v>ООО "ФРЭДРИКСОН" Россия 192029, С-Петербург, пр. Обуховской обороны, д.86, лит М</v>
      </c>
      <c r="S17" s="80" t="str">
        <f ca="1">_xlfn.XLOOKUP(RIGHT(AA17,2),Размеры!D:D,Размеры!A:A,"ERR",0)</f>
        <v>59</v>
      </c>
      <c r="T17" s="80">
        <f ca="1">VALUE(_xlfn.XLOOKUP($AA17,Строчный!$S:$S,Строчный!U:U,"ERR",0))</f>
        <v>7</v>
      </c>
      <c r="U17" s="14" t="s">
        <v>265</v>
      </c>
      <c r="V17" s="101" t="str">
        <f t="shared" ca="1" si="3"/>
        <v>Панама FREDRIKSON арт. 3363 (серый / черный)</v>
      </c>
      <c r="W17" s="100" t="str">
        <f t="shared" ca="1" si="4"/>
        <v>Панама FREDRIKSON арт. 3363 (серый / черный) {641/76}</v>
      </c>
      <c r="X17" s="18" t="str">
        <f t="shared" ca="1" si="0"/>
        <v>серый</v>
      </c>
      <c r="Y17" s="18" t="str">
        <f t="shared" ca="1" si="1"/>
        <v>черный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серый</v>
      </c>
      <c r="AA17" s="73" t="str">
        <f ca="1"/>
        <v>95-016-47-59</v>
      </c>
      <c r="AB17" s="75" t="str">
        <f ca="1">VLOOKUP(C17,Группа!A:B,2,FALSE)</f>
        <v>Панама</v>
      </c>
      <c r="AC17" s="97" t="str">
        <f ca="1">IFERROR(VLOOKUP(S17,Размеры!A:C,3,FALSE),"")</f>
        <v>59 L</v>
      </c>
      <c r="AD17" s="97" t="str">
        <f ca="1">VLOOKUP(I17,ЦветПолный!A:B,2,FALSE)</f>
        <v>47</v>
      </c>
      <c r="AE17" s="97" t="str">
        <f ca="1">IFERROR(VLOOKUP(S17,Размеры!A:D,4,FALSE),"")</f>
        <v>59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0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95-016-47</v>
      </c>
      <c r="B18" s="107" t="str">
        <f ca="1">_xlfn.LET(_xlpm.CAPS,0,_xlpm.Style,TRIM(_xlfn.XLOOKUP($A18,Строчный!$A:$A,Строчный!B:B,"ERR",0)),IF(_xlpm.CAPS=0,_xlpm.Style,LOWER(_xlpm.Style)))</f>
        <v>3363</v>
      </c>
      <c r="C18" s="81" t="str">
        <f ca="1">TRIM(PROPER(_xlfn.XLOOKUP($A18,Строчный!$A:$A,Строчный!C:C,"ERR",0)))</f>
        <v>Панамы</v>
      </c>
      <c r="D18" s="81" t="str">
        <f ca="1">_xlfn.LET(_xlpm.DATA,TRIM(_xlfn.XLOOKUP($A18,Строчный!$A:$A,Строчный!D:D,"ERR",0)),UPPER(MID(_xlpm.DATA,1,1))&amp;LOWER(MID(_xlpm.DATA,2,LEN(_xlpm.DATA)-1)))</f>
        <v>Панама</v>
      </c>
      <c r="E18" s="81" t="str">
        <f ca="1">PROPER(TRIM(_xlfn.XLOOKUP($A18,Строчный!$A:$A,Строчный!E:E,"ERR",0)))</f>
        <v>Fredrikson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FREDRIKSON</v>
      </c>
      <c r="H18" s="81" t="str">
        <f ca="1">LOWER(TRIM(_xlfn.XLOOKUP($A18,Строчный!$A:$A,Строчный!H:H,"ERR",0)))</f>
        <v>641/76</v>
      </c>
      <c r="I18" s="81" t="str">
        <f ca="1">LOWER(TRIM(_xlfn.XLOOKUP($A18,Строчный!$A:$A,Строчный!I:I,"ERR",0)))</f>
        <v>серый / черный</v>
      </c>
      <c r="J18" s="81" t="str">
        <f ca="1">SUBSTITUTE(LOWER(TRIM(_xlfn.XLOOKUP($A18,Строчный!$A:$A,Строчный!J:J,"ERR",0))),"подклад","Подклад")</f>
        <v>80% шерсть - 20% полиамид / Подклад: 100% вискоза</v>
      </c>
      <c r="K18" s="81" t="str">
        <f ca="1">LOWER(TRIM(_xlfn.XLOOKUP($A18,Строчный!$A:$A,Строчный!K:K,"ERR",0)))</f>
        <v>шерстяные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Россия</v>
      </c>
      <c r="N18" s="81" t="str">
        <f ca="1">UPPER(TRIM(_xlfn.XLOOKUP($A18,Строчный!$A:$A,Строчный!O:O,"ERR",0)))</f>
        <v/>
      </c>
      <c r="O18" s="102" t="str">
        <f ca="1">PROPER(TRIM(_xlfn.XLOOKUP($A18,Строчный!$A:$A,Строчный!P:P,"ERR",0)))</f>
        <v/>
      </c>
      <c r="P18" s="81" t="str">
        <f ca="1">PROPER(TRIM(_xlfn.XLOOKUP($A18,Строчный!$A:$A,Строчный!R:R,"ERR",0)))</f>
        <v/>
      </c>
      <c r="Q18" s="90">
        <f ca="1">VALUE(_xlfn.XLOOKUP($A18,Строчный!$A:$A,Строчный!N:N,"ERR",0))</f>
        <v>975.8</v>
      </c>
      <c r="R18" s="89" t="str">
        <f ca="1">_xlfn.XLOOKUP($G18,Фабрика!A:A,Фабрика!B:B,"ERR",0)</f>
        <v>ООО "ФРЭДРИКСОН" Россия 192029, С-Петербург, пр. Обуховской обороны, д.86, лит М</v>
      </c>
      <c r="S18" s="80" t="str">
        <f ca="1">_xlfn.XLOOKUP(RIGHT(AA18,2),Размеры!D:D,Размеры!A:A,"ERR",0)</f>
        <v>58</v>
      </c>
      <c r="T18" s="80">
        <f ca="1">VALUE(_xlfn.XLOOKUP($AA18,Строчный!$S:$S,Строчный!U:U,"ERR",0))</f>
        <v>5</v>
      </c>
      <c r="U18" s="14" t="s">
        <v>265</v>
      </c>
      <c r="V18" s="101" t="str">
        <f t="shared" ca="1" si="3"/>
        <v>Панама FREDRIKSON арт. 3363 (серый / черный)</v>
      </c>
      <c r="W18" s="100" t="str">
        <f t="shared" ca="1" si="4"/>
        <v>Панама FREDRIKSON арт. 3363 (серый / черный) {641/76}</v>
      </c>
      <c r="X18" s="18" t="str">
        <f t="shared" ca="1" si="0"/>
        <v>серый</v>
      </c>
      <c r="Y18" s="18" t="str">
        <f t="shared" ca="1" si="1"/>
        <v>черный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серый</v>
      </c>
      <c r="AA18" s="73" t="str">
        <f ca="1"/>
        <v>95-016-47-58</v>
      </c>
      <c r="AB18" s="75" t="str">
        <f ca="1">VLOOKUP(C18,Группа!A:B,2,FALSE)</f>
        <v>Панама</v>
      </c>
      <c r="AC18" s="97" t="str">
        <f ca="1">IFERROR(VLOOKUP(S18,Размеры!A:C,3,FALSE),"")</f>
        <v>58 M/L</v>
      </c>
      <c r="AD18" s="97" t="str">
        <f ca="1">VLOOKUP(I18,ЦветПолный!A:B,2,FALSE)</f>
        <v>47</v>
      </c>
      <c r="AE18" s="97" t="str">
        <f ca="1">IFERROR(VLOOKUP(S18,Размеры!A:D,4,FALSE),"")</f>
        <v>58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1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0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95-016-47</v>
      </c>
      <c r="B19" s="107" t="str">
        <f ca="1">_xlfn.LET(_xlpm.CAPS,0,_xlpm.Style,TRIM(_xlfn.XLOOKUP($A19,Строчный!$A:$A,Строчный!B:B,"ERR",0)),IF(_xlpm.CAPS=0,_xlpm.Style,LOWER(_xlpm.Style)))</f>
        <v>3363</v>
      </c>
      <c r="C19" s="81" t="str">
        <f ca="1">TRIM(PROPER(_xlfn.XLOOKUP($A19,Строчный!$A:$A,Строчный!C:C,"ERR",0)))</f>
        <v>Панамы</v>
      </c>
      <c r="D19" s="81" t="str">
        <f ca="1">_xlfn.LET(_xlpm.DATA,TRIM(_xlfn.XLOOKUP($A19,Строчный!$A:$A,Строчный!D:D,"ERR",0)),UPPER(MID(_xlpm.DATA,1,1))&amp;LOWER(MID(_xlpm.DATA,2,LEN(_xlpm.DATA)-1)))</f>
        <v>Панама</v>
      </c>
      <c r="E19" s="81" t="str">
        <f ca="1">PROPER(TRIM(_xlfn.XLOOKUP($A19,Строчный!$A:$A,Строчный!E:E,"ERR",0)))</f>
        <v>Fredrikson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FREDRIKSON</v>
      </c>
      <c r="H19" s="81" t="str">
        <f ca="1">LOWER(TRIM(_xlfn.XLOOKUP($A19,Строчный!$A:$A,Строчный!H:H,"ERR",0)))</f>
        <v>641/76</v>
      </c>
      <c r="I19" s="81" t="str">
        <f ca="1">LOWER(TRIM(_xlfn.XLOOKUP($A19,Строчный!$A:$A,Строчный!I:I,"ERR",0)))</f>
        <v>серый / черный</v>
      </c>
      <c r="J19" s="81" t="str">
        <f ca="1">SUBSTITUTE(LOWER(TRIM(_xlfn.XLOOKUP($A19,Строчный!$A:$A,Строчный!J:J,"ERR",0))),"подклад","Подклад")</f>
        <v>80% шерсть - 20% полиамид / Подклад: 100% вискоза</v>
      </c>
      <c r="K19" s="81" t="str">
        <f ca="1">LOWER(TRIM(_xlfn.XLOOKUP($A19,Строчный!$A:$A,Строчный!K:K,"ERR",0)))</f>
        <v>шерстяные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Россия</v>
      </c>
      <c r="N19" s="81" t="str">
        <f ca="1">UPPER(TRIM(_xlfn.XLOOKUP($A19,Строчный!$A:$A,Строчный!O:O,"ERR",0)))</f>
        <v/>
      </c>
      <c r="O19" s="102" t="str">
        <f ca="1">PROPER(TRIM(_xlfn.XLOOKUP($A19,Строчный!$A:$A,Строчный!P:P,"ERR",0)))</f>
        <v/>
      </c>
      <c r="P19" s="81" t="str">
        <f ca="1">PROPER(TRIM(_xlfn.XLOOKUP($A19,Строчный!$A:$A,Строчный!R:R,"ERR",0)))</f>
        <v/>
      </c>
      <c r="Q19" s="90">
        <f ca="1">VALUE(_xlfn.XLOOKUP($A19,Строчный!$A:$A,Строчный!N:N,"ERR",0))</f>
        <v>975.8</v>
      </c>
      <c r="R19" s="89" t="str">
        <f ca="1">_xlfn.XLOOKUP($G19,Фабрика!A:A,Фабрика!B:B,"ERR",0)</f>
        <v>ООО "ФРЭДРИКСОН" Россия 192029, С-Петербург, пр. Обуховской обороны, д.86, лит М</v>
      </c>
      <c r="S19" s="80" t="str">
        <f ca="1">_xlfn.XLOOKUP(RIGHT(AA19,2),Размеры!D:D,Размеры!A:A,"ERR",0)</f>
        <v>57</v>
      </c>
      <c r="T19" s="80">
        <f ca="1">VALUE(_xlfn.XLOOKUP($AA19,Строчный!$S:$S,Строчный!U:U,"ERR",0))</f>
        <v>3</v>
      </c>
      <c r="U19" s="14" t="s">
        <v>265</v>
      </c>
      <c r="V19" s="101" t="str">
        <f t="shared" ca="1" si="3"/>
        <v>Панама FREDRIKSON арт. 3363 (серый / черный)</v>
      </c>
      <c r="W19" s="100" t="str">
        <f t="shared" ca="1" si="4"/>
        <v>Панама FREDRIKSON арт. 3363 (серый / черный) {641/76}</v>
      </c>
      <c r="X19" s="18" t="str">
        <f t="shared" ca="1" si="0"/>
        <v>серый</v>
      </c>
      <c r="Y19" s="18" t="str">
        <f t="shared" ca="1" si="1"/>
        <v>черный</v>
      </c>
      <c r="Z19" s="117" t="str">
        <f ca="1">_xlfn.LET(_xlpm.FormColors,_xlfn.XLOOKUP(A19,Строчный!A:A,Строчный!Q:Q,"",0),IF(_xlpm.FormColors=0,IFERROR(MID(I19,FIND("-",I19)+1,LEN(I19)),IFERROR(MID(I19,1,FIND("/",I19)-2),I19)),_xlpm.FormColors))</f>
        <v>серый</v>
      </c>
      <c r="AA19" s="73" t="str">
        <f ca="1"/>
        <v>95-016-47-57</v>
      </c>
      <c r="AB19" s="75" t="str">
        <f ca="1">VLOOKUP(C19,Группа!A:B,2,FALSE)</f>
        <v>Панама</v>
      </c>
      <c r="AC19" s="97" t="str">
        <f ca="1">IFERROR(VLOOKUP(S19,Размеры!A:C,3,FALSE),"")</f>
        <v>57 M</v>
      </c>
      <c r="AD19" s="97" t="str">
        <f ca="1">VLOOKUP(I19,ЦветПолный!A:B,2,FALSE)</f>
        <v>47</v>
      </c>
      <c r="AE19" s="97" t="str">
        <f ca="1">IFERROR(VLOOKUP(S19,Размеры!A:D,4,FALSE),"")</f>
        <v>57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1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0</v>
      </c>
      <c r="AO19" s="97">
        <f ca="1">VLOOKUP(I19,ЦветПолный!A:C,3,0)</f>
        <v>1</v>
      </c>
      <c r="AP19" s="97">
        <f ca="1"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95-016-47</v>
      </c>
      <c r="B20" s="107" t="str">
        <f ca="1">_xlfn.LET(_xlpm.CAPS,0,_xlpm.Style,TRIM(_xlfn.XLOOKUP($A20,Строчный!$A:$A,Строчный!B:B,"ERR",0)),IF(_xlpm.CAPS=0,_xlpm.Style,LOWER(_xlpm.Style)))</f>
        <v>3363</v>
      </c>
      <c r="C20" s="81" t="str">
        <f ca="1">TRIM(PROPER(_xlfn.XLOOKUP($A20,Строчный!$A:$A,Строчный!C:C,"ERR",0)))</f>
        <v>Панамы</v>
      </c>
      <c r="D20" s="81" t="str">
        <f ca="1">_xlfn.LET(_xlpm.DATA,TRIM(_xlfn.XLOOKUP($A20,Строчный!$A:$A,Строчный!D:D,"ERR",0)),UPPER(MID(_xlpm.DATA,1,1))&amp;LOWER(MID(_xlpm.DATA,2,LEN(_xlpm.DATA)-1)))</f>
        <v>Панама</v>
      </c>
      <c r="E20" s="81" t="str">
        <f ca="1">PROPER(TRIM(_xlfn.XLOOKUP($A20,Строчный!$A:$A,Строчный!E:E,"ERR",0)))</f>
        <v>Fredrikson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FREDRIKSON</v>
      </c>
      <c r="H20" s="81" t="str">
        <f ca="1">LOWER(TRIM(_xlfn.XLOOKUP($A20,Строчный!$A:$A,Строчный!H:H,"ERR",0)))</f>
        <v>641/76</v>
      </c>
      <c r="I20" s="81" t="str">
        <f ca="1">LOWER(TRIM(_xlfn.XLOOKUP($A20,Строчный!$A:$A,Строчный!I:I,"ERR",0)))</f>
        <v>серый / черный</v>
      </c>
      <c r="J20" s="81" t="str">
        <f ca="1">SUBSTITUTE(LOWER(TRIM(_xlfn.XLOOKUP($A20,Строчный!$A:$A,Строчный!J:J,"ERR",0))),"подклад","Подклад")</f>
        <v>80% шерсть - 20% полиамид / Подклад: 100% вискоза</v>
      </c>
      <c r="K20" s="81" t="str">
        <f ca="1">LOWER(TRIM(_xlfn.XLOOKUP($A20,Строчный!$A:$A,Строчный!K:K,"ERR",0)))</f>
        <v>шерстяные</v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Россия</v>
      </c>
      <c r="N20" s="81" t="str">
        <f ca="1">UPPER(TRIM(_xlfn.XLOOKUP($A20,Строчный!$A:$A,Строчный!O:O,"ERR",0)))</f>
        <v/>
      </c>
      <c r="O20" s="102" t="str">
        <f ca="1">PROPER(TRIM(_xlfn.XLOOKUP($A20,Строчный!$A:$A,Строчный!P:P,"ERR",0)))</f>
        <v/>
      </c>
      <c r="P20" s="81" t="str">
        <f ca="1">PROPER(TRIM(_xlfn.XLOOKUP($A20,Строчный!$A:$A,Строчный!R:R,"ERR",0)))</f>
        <v/>
      </c>
      <c r="Q20" s="90">
        <f ca="1">VALUE(_xlfn.XLOOKUP($A20,Строчный!$A:$A,Строчный!N:N,"ERR",0))</f>
        <v>975.8</v>
      </c>
      <c r="R20" s="89" t="str">
        <f ca="1">_xlfn.XLOOKUP($G20,Фабрика!A:A,Фабрика!B:B,"ERR",0)</f>
        <v>ООО "ФРЭДРИКСОН" Россия 192029, С-Петербург, пр. Обуховской обороны, д.86, лит М</v>
      </c>
      <c r="S20" s="80" t="str">
        <f ca="1">_xlfn.XLOOKUP(RIGHT(AA20,2),Размеры!D:D,Размеры!A:A,"ERR",0)</f>
        <v>56</v>
      </c>
      <c r="T20" s="80">
        <f ca="1">VALUE(_xlfn.XLOOKUP($AA20,Строчный!$S:$S,Строчный!U:U,"ERR",0))</f>
        <v>1</v>
      </c>
      <c r="U20" s="14" t="s">
        <v>265</v>
      </c>
      <c r="V20" s="101" t="str">
        <f t="shared" ca="1" si="3"/>
        <v>Панама FREDRIKSON арт. 3363 (серый / черный)</v>
      </c>
      <c r="W20" s="100" t="str">
        <f t="shared" ca="1" si="4"/>
        <v>Панама FREDRIKSON арт. 3363 (серый / черный) {641/76}</v>
      </c>
      <c r="X20" s="18" t="str">
        <f t="shared" ca="1" si="0"/>
        <v>серый</v>
      </c>
      <c r="Y20" s="18" t="str">
        <f t="shared" ca="1" si="1"/>
        <v>черный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серый</v>
      </c>
      <c r="AA20" s="73" t="str">
        <f ca="1"/>
        <v>95-016-47-56</v>
      </c>
      <c r="AB20" s="75" t="str">
        <f ca="1">VLOOKUP(C20,Группа!A:B,2,FALSE)</f>
        <v>Панама</v>
      </c>
      <c r="AC20" s="97" t="str">
        <f ca="1">IFERROR(VLOOKUP(S20,Размеры!A:C,3,FALSE),"")</f>
        <v>56 S/M</v>
      </c>
      <c r="AD20" s="97" t="str">
        <f ca="1">VLOOKUP(I20,ЦветПолный!A:B,2,FALSE)</f>
        <v>47</v>
      </c>
      <c r="AE20" s="97" t="str">
        <f ca="1">IFERROR(VLOOKUP(S20,Размеры!A:D,4,FALSE),"")</f>
        <v>56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1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0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95-016-16</v>
      </c>
      <c r="B21" s="107" t="str">
        <f ca="1">_xlfn.LET(_xlpm.CAPS,0,_xlpm.Style,TRIM(_xlfn.XLOOKUP($A21,Строчный!$A:$A,Строчный!B:B,"ERR",0)),IF(_xlpm.CAPS=0,_xlpm.Style,LOWER(_xlpm.Style)))</f>
        <v>3363</v>
      </c>
      <c r="C21" s="81" t="str">
        <f ca="1">TRIM(PROPER(_xlfn.XLOOKUP($A21,Строчный!$A:$A,Строчный!C:C,"ERR",0)))</f>
        <v>Панамы</v>
      </c>
      <c r="D21" s="81" t="str">
        <f ca="1">_xlfn.LET(_xlpm.DATA,TRIM(_xlfn.XLOOKUP($A21,Строчный!$A:$A,Строчный!D:D,"ERR",0)),UPPER(MID(_xlpm.DATA,1,1))&amp;LOWER(MID(_xlpm.DATA,2,LEN(_xlpm.DATA)-1)))</f>
        <v>Панама</v>
      </c>
      <c r="E21" s="81" t="str">
        <f ca="1">PROPER(TRIM(_xlfn.XLOOKUP($A21,Строчный!$A:$A,Строчный!E:E,"ERR",0)))</f>
        <v>Fredrikson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FREDRIKSON</v>
      </c>
      <c r="H21" s="81" t="str">
        <f ca="1">LOWER(TRIM(_xlfn.XLOOKUP($A21,Строчный!$A:$A,Строчный!H:H,"ERR",0)))</f>
        <v>625/20</v>
      </c>
      <c r="I21" s="81" t="str">
        <f ca="1">LOWER(TRIM(_xlfn.XLOOKUP($A21,Строчный!$A:$A,Строчный!I:I,"ERR",0)))</f>
        <v>темно-синий</v>
      </c>
      <c r="J21" s="81" t="str">
        <f ca="1">SUBSTITUTE(LOWER(TRIM(_xlfn.XLOOKUP($A21,Строчный!$A:$A,Строчный!J:J,"ERR",0))),"подклад","Подклад")</f>
        <v>80% шерсть - 20% полиамид / Подклад: 100% вискоза</v>
      </c>
      <c r="K21" s="81" t="str">
        <f ca="1">LOWER(TRIM(_xlfn.XLOOKUP($A21,Строчный!$A:$A,Строчный!K:K,"ERR",0)))</f>
        <v>шерстяные</v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Россия</v>
      </c>
      <c r="N21" s="81" t="str">
        <f ca="1">UPPER(TRIM(_xlfn.XLOOKUP($A21,Строчный!$A:$A,Строчный!O:O,"ERR",0)))</f>
        <v/>
      </c>
      <c r="O21" s="102" t="str">
        <f ca="1">PROPER(TRIM(_xlfn.XLOOKUP($A21,Строчный!$A:$A,Строчный!P:P,"ERR",0)))</f>
        <v/>
      </c>
      <c r="P21" s="81" t="str">
        <f ca="1">PROPER(TRIM(_xlfn.XLOOKUP($A21,Строчный!$A:$A,Строчный!R:R,"ERR",0)))</f>
        <v/>
      </c>
      <c r="Q21" s="90">
        <f ca="1">VALUE(_xlfn.XLOOKUP($A21,Строчный!$A:$A,Строчный!N:N,"ERR",0))</f>
        <v>975.8</v>
      </c>
      <c r="R21" s="89" t="str">
        <f ca="1">_xlfn.XLOOKUP($G21,Фабрика!A:A,Фабрика!B:B,"ERR",0)</f>
        <v>ООО "ФРЭДРИКСОН" Россия 192029, С-Петербург, пр. Обуховской обороны, д.86, лит М</v>
      </c>
      <c r="S21" s="80" t="str">
        <f ca="1">_xlfn.XLOOKUP(RIGHT(AA21,2),Размеры!D:D,Размеры!A:A,"ERR",0)</f>
        <v>62</v>
      </c>
      <c r="T21" s="80">
        <f ca="1">VALUE(_xlfn.XLOOKUP($AA21,Строчный!$S:$S,Строчный!U:U,"ERR",0))</f>
        <v>1</v>
      </c>
      <c r="U21" s="14" t="s">
        <v>265</v>
      </c>
      <c r="V21" s="101" t="str">
        <f t="shared" ca="1" si="3"/>
        <v>Панама FREDRIKSON арт. 3363 (темно-синий)</v>
      </c>
      <c r="W21" s="100" t="str">
        <f t="shared" ca="1" si="4"/>
        <v>Панама FREDRIKSON арт. 3363 (темно-синий) {625/20}</v>
      </c>
      <c r="X21" s="18" t="str">
        <f t="shared" ca="1" si="0"/>
        <v>синий</v>
      </c>
      <c r="Y21" s="18" t="str">
        <f t="shared" ca="1" si="1"/>
        <v>синий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синий</v>
      </c>
      <c r="AA21" s="73" t="str">
        <f ca="1"/>
        <v>95-016-16-62</v>
      </c>
      <c r="AB21" s="75" t="str">
        <f ca="1">VLOOKUP(C21,Группа!A:B,2,FALSE)</f>
        <v>Панама</v>
      </c>
      <c r="AC21" s="97" t="str">
        <f ca="1">IFERROR(VLOOKUP(S21,Размеры!A:C,3,FALSE),"")</f>
        <v>62 XL/XXL</v>
      </c>
      <c r="AD21" s="97" t="str">
        <f ca="1">VLOOKUP(I21,ЦветПолный!A:B,2,FALSE)</f>
        <v>16</v>
      </c>
      <c r="AE21" s="97" t="str">
        <f ca="1">IFERROR(VLOOKUP(S21,Размеры!A:D,4,FALSE),"")</f>
        <v>62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1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0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95-016-16</v>
      </c>
      <c r="B22" s="107" t="str">
        <f ca="1">_xlfn.LET(_xlpm.CAPS,0,_xlpm.Style,TRIM(_xlfn.XLOOKUP($A22,Строчный!$A:$A,Строчный!B:B,"ERR",0)),IF(_xlpm.CAPS=0,_xlpm.Style,LOWER(_xlpm.Style)))</f>
        <v>3363</v>
      </c>
      <c r="C22" s="81" t="str">
        <f ca="1">TRIM(PROPER(_xlfn.XLOOKUP($A22,Строчный!$A:$A,Строчный!C:C,"ERR",0)))</f>
        <v>Панамы</v>
      </c>
      <c r="D22" s="81" t="str">
        <f ca="1">_xlfn.LET(_xlpm.DATA,TRIM(_xlfn.XLOOKUP($A22,Строчный!$A:$A,Строчный!D:D,"ERR",0)),UPPER(MID(_xlpm.DATA,1,1))&amp;LOWER(MID(_xlpm.DATA,2,LEN(_xlpm.DATA)-1)))</f>
        <v>Панама</v>
      </c>
      <c r="E22" s="81" t="str">
        <f ca="1">PROPER(TRIM(_xlfn.XLOOKUP($A22,Строчный!$A:$A,Строчный!E:E,"ERR",0)))</f>
        <v>Fredrikson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FREDRIKSON</v>
      </c>
      <c r="H22" s="81" t="str">
        <f ca="1">LOWER(TRIM(_xlfn.XLOOKUP($A22,Строчный!$A:$A,Строчный!H:H,"ERR",0)))</f>
        <v>625/20</v>
      </c>
      <c r="I22" s="81" t="str">
        <f ca="1">LOWER(TRIM(_xlfn.XLOOKUP($A22,Строчный!$A:$A,Строчный!I:I,"ERR",0)))</f>
        <v>темно-синий</v>
      </c>
      <c r="J22" s="81" t="str">
        <f ca="1">SUBSTITUTE(LOWER(TRIM(_xlfn.XLOOKUP($A22,Строчный!$A:$A,Строчный!J:J,"ERR",0))),"подклад","Подклад")</f>
        <v>80% шерсть - 20% полиамид / Подклад: 100% вискоза</v>
      </c>
      <c r="K22" s="81" t="str">
        <f ca="1">LOWER(TRIM(_xlfn.XLOOKUP($A22,Строчный!$A:$A,Строчный!K:K,"ERR",0)))</f>
        <v>шерстяные</v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Россия</v>
      </c>
      <c r="N22" s="81" t="str">
        <f ca="1">UPPER(TRIM(_xlfn.XLOOKUP($A22,Строчный!$A:$A,Строчный!O:O,"ERR",0)))</f>
        <v/>
      </c>
      <c r="O22" s="102" t="str">
        <f ca="1">PROPER(TRIM(_xlfn.XLOOKUP($A22,Строчный!$A:$A,Строчный!P:P,"ERR",0)))</f>
        <v/>
      </c>
      <c r="P22" s="81" t="str">
        <f ca="1">PROPER(TRIM(_xlfn.XLOOKUP($A22,Строчный!$A:$A,Строчный!R:R,"ERR",0)))</f>
        <v/>
      </c>
      <c r="Q22" s="90">
        <f ca="1">VALUE(_xlfn.XLOOKUP($A22,Строчный!$A:$A,Строчный!N:N,"ERR",0))</f>
        <v>975.8</v>
      </c>
      <c r="R22" s="89" t="str">
        <f ca="1">_xlfn.XLOOKUP($G22,Фабрика!A:A,Фабрика!B:B,"ERR",0)</f>
        <v>ООО "ФРЭДРИКСОН" Россия 192029, С-Петербург, пр. Обуховской обороны, д.86, лит М</v>
      </c>
      <c r="S22" s="80" t="str">
        <f ca="1">_xlfn.XLOOKUP(RIGHT(AA22,2),Размеры!D:D,Размеры!A:A,"ERR",0)</f>
        <v>61</v>
      </c>
      <c r="T22" s="80">
        <f ca="1">VALUE(_xlfn.XLOOKUP($AA22,Строчный!$S:$S,Строчный!U:U,"ERR",0))</f>
        <v>2</v>
      </c>
      <c r="U22" s="14" t="s">
        <v>265</v>
      </c>
      <c r="V22" s="101" t="str">
        <f t="shared" ca="1" si="3"/>
        <v>Панама FREDRIKSON арт. 3363 (темно-синий)</v>
      </c>
      <c r="W22" s="100" t="str">
        <f t="shared" ca="1" si="4"/>
        <v>Панама FREDRIKSON арт. 3363 (темно-синий) {625/20}</v>
      </c>
      <c r="X22" s="18" t="str">
        <f t="shared" ca="1" si="0"/>
        <v>синий</v>
      </c>
      <c r="Y22" s="18" t="str">
        <f t="shared" ca="1" si="1"/>
        <v>синий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синий</v>
      </c>
      <c r="AA22" s="73" t="str">
        <f ca="1"/>
        <v>95-016-16-61</v>
      </c>
      <c r="AB22" s="75" t="str">
        <f ca="1">VLOOKUP(C22,Группа!A:B,2,FALSE)</f>
        <v>Панама</v>
      </c>
      <c r="AC22" s="97" t="str">
        <f ca="1">IFERROR(VLOOKUP(S22,Размеры!A:C,3,FALSE),"")</f>
        <v>61 XL</v>
      </c>
      <c r="AD22" s="97" t="str">
        <f ca="1">VLOOKUP(I22,ЦветПолный!A:B,2,FALSE)</f>
        <v>16</v>
      </c>
      <c r="AE22" s="97" t="str">
        <f ca="1">IFERROR(VLOOKUP(S22,Размеры!A:D,4,FALSE),"")</f>
        <v>61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1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0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95-016-16</v>
      </c>
      <c r="B23" s="107" t="str">
        <f ca="1">_xlfn.LET(_xlpm.CAPS,0,_xlpm.Style,TRIM(_xlfn.XLOOKUP($A23,Строчный!$A:$A,Строчный!B:B,"ERR",0)),IF(_xlpm.CAPS=0,_xlpm.Style,LOWER(_xlpm.Style)))</f>
        <v>3363</v>
      </c>
      <c r="C23" s="81" t="str">
        <f ca="1">TRIM(PROPER(_xlfn.XLOOKUP($A23,Строчный!$A:$A,Строчный!C:C,"ERR",0)))</f>
        <v>Панамы</v>
      </c>
      <c r="D23" s="81" t="str">
        <f ca="1">_xlfn.LET(_xlpm.DATA,TRIM(_xlfn.XLOOKUP($A23,Строчный!$A:$A,Строчный!D:D,"ERR",0)),UPPER(MID(_xlpm.DATA,1,1))&amp;LOWER(MID(_xlpm.DATA,2,LEN(_xlpm.DATA)-1)))</f>
        <v>Панама</v>
      </c>
      <c r="E23" s="81" t="str">
        <f ca="1">PROPER(TRIM(_xlfn.XLOOKUP($A23,Строчный!$A:$A,Строчный!E:E,"ERR",0)))</f>
        <v>Fredrikson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FREDRIKSON</v>
      </c>
      <c r="H23" s="81" t="str">
        <f ca="1">LOWER(TRIM(_xlfn.XLOOKUP($A23,Строчный!$A:$A,Строчный!H:H,"ERR",0)))</f>
        <v>625/20</v>
      </c>
      <c r="I23" s="81" t="str">
        <f ca="1">LOWER(TRIM(_xlfn.XLOOKUP($A23,Строчный!$A:$A,Строчный!I:I,"ERR",0)))</f>
        <v>темно-синий</v>
      </c>
      <c r="J23" s="81" t="str">
        <f ca="1">SUBSTITUTE(LOWER(TRIM(_xlfn.XLOOKUP($A23,Строчный!$A:$A,Строчный!J:J,"ERR",0))),"подклад","Подклад")</f>
        <v>80% шерсть - 20% полиамид / Подклад: 100% вискоза</v>
      </c>
      <c r="K23" s="81" t="str">
        <f ca="1">LOWER(TRIM(_xlfn.XLOOKUP($A23,Строчный!$A:$A,Строчный!K:K,"ERR",0)))</f>
        <v>шерстяные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Россия</v>
      </c>
      <c r="N23" s="81" t="str">
        <f ca="1">UPPER(TRIM(_xlfn.XLOOKUP($A23,Строчный!$A:$A,Строчный!O:O,"ERR",0)))</f>
        <v/>
      </c>
      <c r="O23" s="102" t="str">
        <f ca="1">PROPER(TRIM(_xlfn.XLOOKUP($A23,Строчный!$A:$A,Строчный!P:P,"ERR",0)))</f>
        <v/>
      </c>
      <c r="P23" s="81" t="str">
        <f ca="1">PROPER(TRIM(_xlfn.XLOOKUP($A23,Строчный!$A:$A,Строчный!R:R,"ERR",0)))</f>
        <v/>
      </c>
      <c r="Q23" s="90">
        <f ca="1">VALUE(_xlfn.XLOOKUP($A23,Строчный!$A:$A,Строчный!N:N,"ERR",0))</f>
        <v>975.8</v>
      </c>
      <c r="R23" s="89" t="str">
        <f ca="1">_xlfn.XLOOKUP($G23,Фабрика!A:A,Фабрика!B:B,"ERR",0)</f>
        <v>ООО "ФРЭДРИКСОН" Россия 192029, С-Петербург, пр. Обуховской обороны, д.86, лит М</v>
      </c>
      <c r="S23" s="80" t="str">
        <f ca="1">_xlfn.XLOOKUP(RIGHT(AA23,2),Размеры!D:D,Размеры!A:A,"ERR",0)</f>
        <v>60</v>
      </c>
      <c r="T23" s="80">
        <f ca="1">VALUE(_xlfn.XLOOKUP($AA23,Строчный!$S:$S,Строчный!U:U,"ERR",0))</f>
        <v>5</v>
      </c>
      <c r="U23" s="14" t="s">
        <v>265</v>
      </c>
      <c r="V23" s="101" t="str">
        <f t="shared" ca="1" si="3"/>
        <v>Панама FREDRIKSON арт. 3363 (темно-синий)</v>
      </c>
      <c r="W23" s="100" t="str">
        <f t="shared" ca="1" si="4"/>
        <v>Панама FREDRIKSON арт. 3363 (темно-синий) {625/20}</v>
      </c>
      <c r="X23" s="18" t="str">
        <f t="shared" ca="1" si="0"/>
        <v>синий</v>
      </c>
      <c r="Y23" s="18" t="str">
        <f t="shared" ca="1" si="1"/>
        <v>синий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синий</v>
      </c>
      <c r="AA23" s="73" t="str">
        <f ca="1"/>
        <v>95-016-16-60</v>
      </c>
      <c r="AB23" s="75" t="str">
        <f ca="1">VLOOKUP(C23,Группа!A:B,2,FALSE)</f>
        <v>Панама</v>
      </c>
      <c r="AC23" s="97" t="str">
        <f ca="1">IFERROR(VLOOKUP(S23,Размеры!A:C,3,FALSE),"")</f>
        <v>60 L/XL</v>
      </c>
      <c r="AD23" s="97" t="str">
        <f ca="1">VLOOKUP(I23,ЦветПолный!A:B,2,FALSE)</f>
        <v>16</v>
      </c>
      <c r="AE23" s="97" t="str">
        <f ca="1">IFERROR(VLOOKUP(S23,Размеры!A:D,4,FALSE),"")</f>
        <v>60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1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0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95-016-16</v>
      </c>
      <c r="B24" s="107" t="str">
        <f ca="1">_xlfn.LET(_xlpm.CAPS,0,_xlpm.Style,TRIM(_xlfn.XLOOKUP($A24,Строчный!$A:$A,Строчный!B:B,"ERR",0)),IF(_xlpm.CAPS=0,_xlpm.Style,LOWER(_xlpm.Style)))</f>
        <v>3363</v>
      </c>
      <c r="C24" s="81" t="str">
        <f ca="1">TRIM(PROPER(_xlfn.XLOOKUP($A24,Строчный!$A:$A,Строчный!C:C,"ERR",0)))</f>
        <v>Панамы</v>
      </c>
      <c r="D24" s="81" t="str">
        <f ca="1">_xlfn.LET(_xlpm.DATA,TRIM(_xlfn.XLOOKUP($A24,Строчный!$A:$A,Строчный!D:D,"ERR",0)),UPPER(MID(_xlpm.DATA,1,1))&amp;LOWER(MID(_xlpm.DATA,2,LEN(_xlpm.DATA)-1)))</f>
        <v>Панама</v>
      </c>
      <c r="E24" s="81" t="str">
        <f ca="1">PROPER(TRIM(_xlfn.XLOOKUP($A24,Строчный!$A:$A,Строчный!E:E,"ERR",0)))</f>
        <v>Fredrikson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FREDRIKSON</v>
      </c>
      <c r="H24" s="81" t="str">
        <f ca="1">LOWER(TRIM(_xlfn.XLOOKUP($A24,Строчный!$A:$A,Строчный!H:H,"ERR",0)))</f>
        <v>625/20</v>
      </c>
      <c r="I24" s="81" t="str">
        <f ca="1">LOWER(TRIM(_xlfn.XLOOKUP($A24,Строчный!$A:$A,Строчный!I:I,"ERR",0)))</f>
        <v>темно-синий</v>
      </c>
      <c r="J24" s="81" t="str">
        <f ca="1">SUBSTITUTE(LOWER(TRIM(_xlfn.XLOOKUP($A24,Строчный!$A:$A,Строчный!J:J,"ERR",0))),"подклад","Подклад")</f>
        <v>80% шерсть - 20% полиамид / Подклад: 100% вискоза</v>
      </c>
      <c r="K24" s="81" t="str">
        <f ca="1">LOWER(TRIM(_xlfn.XLOOKUP($A24,Строчный!$A:$A,Строчный!K:K,"ERR",0)))</f>
        <v>шерстяные</v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Россия</v>
      </c>
      <c r="N24" s="81" t="str">
        <f ca="1">UPPER(TRIM(_xlfn.XLOOKUP($A24,Строчный!$A:$A,Строчный!O:O,"ERR",0)))</f>
        <v/>
      </c>
      <c r="O24" s="102" t="str">
        <f ca="1">PROPER(TRIM(_xlfn.XLOOKUP($A24,Строчный!$A:$A,Строчный!P:P,"ERR",0)))</f>
        <v/>
      </c>
      <c r="P24" s="81" t="str">
        <f ca="1">PROPER(TRIM(_xlfn.XLOOKUP($A24,Строчный!$A:$A,Строчный!R:R,"ERR",0)))</f>
        <v/>
      </c>
      <c r="Q24" s="90">
        <f ca="1">VALUE(_xlfn.XLOOKUP($A24,Строчный!$A:$A,Строчный!N:N,"ERR",0))</f>
        <v>975.8</v>
      </c>
      <c r="R24" s="89" t="str">
        <f ca="1">_xlfn.XLOOKUP($G24,Фабрика!A:A,Фабрика!B:B,"ERR",0)</f>
        <v>ООО "ФРЭДРИКСОН" Россия 192029, С-Петербург, пр. Обуховской обороны, д.86, лит М</v>
      </c>
      <c r="S24" s="80" t="str">
        <f ca="1">_xlfn.XLOOKUP(RIGHT(AA24,2),Размеры!D:D,Размеры!A:A,"ERR",0)</f>
        <v>59</v>
      </c>
      <c r="T24" s="80">
        <f ca="1">VALUE(_xlfn.XLOOKUP($AA24,Строчный!$S:$S,Строчный!U:U,"ERR",0))</f>
        <v>6</v>
      </c>
      <c r="U24" s="14" t="s">
        <v>265</v>
      </c>
      <c r="V24" s="101" t="str">
        <f t="shared" ca="1" si="3"/>
        <v>Панама FREDRIKSON арт. 3363 (темно-синий)</v>
      </c>
      <c r="W24" s="100" t="str">
        <f t="shared" ca="1" si="4"/>
        <v>Панама FREDRIKSON арт. 3363 (темно-синий) {625/20}</v>
      </c>
      <c r="X24" s="18" t="str">
        <f t="shared" ca="1" si="0"/>
        <v>синий</v>
      </c>
      <c r="Y24" s="18" t="str">
        <f t="shared" ca="1" si="1"/>
        <v>синий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синий</v>
      </c>
      <c r="AA24" s="73" t="str">
        <f ca="1"/>
        <v>95-016-16-59</v>
      </c>
      <c r="AB24" s="75" t="str">
        <f ca="1">VLOOKUP(C24,Группа!A:B,2,FALSE)</f>
        <v>Панама</v>
      </c>
      <c r="AC24" s="97" t="str">
        <f ca="1">IFERROR(VLOOKUP(S24,Размеры!A:C,3,FALSE),"")</f>
        <v>59 L</v>
      </c>
      <c r="AD24" s="97" t="str">
        <f ca="1">VLOOKUP(I24,ЦветПолный!A:B,2,FALSE)</f>
        <v>16</v>
      </c>
      <c r="AE24" s="97" t="str">
        <f ca="1">IFERROR(VLOOKUP(S24,Размеры!A:D,4,FALSE),"")</f>
        <v>59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1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0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95-016-16</v>
      </c>
      <c r="B25" s="107" t="str">
        <f ca="1">_xlfn.LET(_xlpm.CAPS,0,_xlpm.Style,TRIM(_xlfn.XLOOKUP($A25,Строчный!$A:$A,Строчный!B:B,"ERR",0)),IF(_xlpm.CAPS=0,_xlpm.Style,LOWER(_xlpm.Style)))</f>
        <v>3363</v>
      </c>
      <c r="C25" s="81" t="str">
        <f ca="1">TRIM(PROPER(_xlfn.XLOOKUP($A25,Строчный!$A:$A,Строчный!C:C,"ERR",0)))</f>
        <v>Панамы</v>
      </c>
      <c r="D25" s="81" t="str">
        <f ca="1">_xlfn.LET(_xlpm.DATA,TRIM(_xlfn.XLOOKUP($A25,Строчный!$A:$A,Строчный!D:D,"ERR",0)),UPPER(MID(_xlpm.DATA,1,1))&amp;LOWER(MID(_xlpm.DATA,2,LEN(_xlpm.DATA)-1)))</f>
        <v>Панама</v>
      </c>
      <c r="E25" s="81" t="str">
        <f ca="1">PROPER(TRIM(_xlfn.XLOOKUP($A25,Строчный!$A:$A,Строчный!E:E,"ERR",0)))</f>
        <v>Fredrikson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FREDRIKSON</v>
      </c>
      <c r="H25" s="81" t="str">
        <f ca="1">LOWER(TRIM(_xlfn.XLOOKUP($A25,Строчный!$A:$A,Строчный!H:H,"ERR",0)))</f>
        <v>625/20</v>
      </c>
      <c r="I25" s="81" t="str">
        <f ca="1">LOWER(TRIM(_xlfn.XLOOKUP($A25,Строчный!$A:$A,Строчный!I:I,"ERR",0)))</f>
        <v>темно-синий</v>
      </c>
      <c r="J25" s="81" t="str">
        <f ca="1">SUBSTITUTE(LOWER(TRIM(_xlfn.XLOOKUP($A25,Строчный!$A:$A,Строчный!J:J,"ERR",0))),"подклад","Подклад")</f>
        <v>80% шерсть - 20% полиамид / Подклад: 100% вискоза</v>
      </c>
      <c r="K25" s="81" t="str">
        <f ca="1">LOWER(TRIM(_xlfn.XLOOKUP($A25,Строчный!$A:$A,Строчный!K:K,"ERR",0)))</f>
        <v>шерстяные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Россия</v>
      </c>
      <c r="N25" s="81" t="str">
        <f ca="1">UPPER(TRIM(_xlfn.XLOOKUP($A25,Строчный!$A:$A,Строчный!O:O,"ERR",0)))</f>
        <v/>
      </c>
      <c r="O25" s="102" t="str">
        <f ca="1">PROPER(TRIM(_xlfn.XLOOKUP($A25,Строчный!$A:$A,Строчный!P:P,"ERR",0)))</f>
        <v/>
      </c>
      <c r="P25" s="81" t="str">
        <f ca="1">PROPER(TRIM(_xlfn.XLOOKUP($A25,Строчный!$A:$A,Строчный!R:R,"ERR",0)))</f>
        <v/>
      </c>
      <c r="Q25" s="90">
        <f ca="1">VALUE(_xlfn.XLOOKUP($A25,Строчный!$A:$A,Строчный!N:N,"ERR",0))</f>
        <v>975.8</v>
      </c>
      <c r="R25" s="89" t="str">
        <f ca="1">_xlfn.XLOOKUP($G25,Фабрика!A:A,Фабрика!B:B,"ERR",0)</f>
        <v>ООО "ФРЭДРИКСОН" Россия 192029, С-Петербург, пр. Обуховской обороны, д.86, лит М</v>
      </c>
      <c r="S25" s="80" t="str">
        <f ca="1">_xlfn.XLOOKUP(RIGHT(AA25,2),Размеры!D:D,Размеры!A:A,"ERR",0)</f>
        <v>58</v>
      </c>
      <c r="T25" s="80">
        <f ca="1">VALUE(_xlfn.XLOOKUP($AA25,Строчный!$S:$S,Строчный!U:U,"ERR",0))</f>
        <v>6</v>
      </c>
      <c r="U25" s="14" t="s">
        <v>265</v>
      </c>
      <c r="V25" s="101" t="str">
        <f t="shared" ca="1" si="3"/>
        <v>Панама FREDRIKSON арт. 3363 (темно-синий)</v>
      </c>
      <c r="W25" s="100" t="str">
        <f t="shared" ca="1" si="4"/>
        <v>Панама FREDRIKSON арт. 3363 (темно-синий) {625/20}</v>
      </c>
      <c r="X25" s="18" t="str">
        <f t="shared" ca="1" si="0"/>
        <v>синий</v>
      </c>
      <c r="Y25" s="18" t="str">
        <f t="shared" ca="1" si="1"/>
        <v>синий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синий</v>
      </c>
      <c r="AA25" s="73" t="str">
        <f ca="1"/>
        <v>95-016-16-58</v>
      </c>
      <c r="AB25" s="75" t="str">
        <f ca="1">VLOOKUP(C25,Группа!A:B,2,FALSE)</f>
        <v>Панама</v>
      </c>
      <c r="AC25" s="97" t="str">
        <f ca="1">IFERROR(VLOOKUP(S25,Размеры!A:C,3,FALSE),"")</f>
        <v>58 M/L</v>
      </c>
      <c r="AD25" s="97" t="str">
        <f ca="1">VLOOKUP(I25,ЦветПолный!A:B,2,FALSE)</f>
        <v>16</v>
      </c>
      <c r="AE25" s="97" t="str">
        <f ca="1">IFERROR(VLOOKUP(S25,Размеры!A:D,4,FALSE),"")</f>
        <v>58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0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95-016-16</v>
      </c>
      <c r="B26" s="107" t="str">
        <f ca="1">_xlfn.LET(_xlpm.CAPS,0,_xlpm.Style,TRIM(_xlfn.XLOOKUP($A26,Строчный!$A:$A,Строчный!B:B,"ERR",0)),IF(_xlpm.CAPS=0,_xlpm.Style,LOWER(_xlpm.Style)))</f>
        <v>3363</v>
      </c>
      <c r="C26" s="81" t="str">
        <f ca="1">TRIM(PROPER(_xlfn.XLOOKUP($A26,Строчный!$A:$A,Строчный!C:C,"ERR",0)))</f>
        <v>Панамы</v>
      </c>
      <c r="D26" s="81" t="str">
        <f ca="1">_xlfn.LET(_xlpm.DATA,TRIM(_xlfn.XLOOKUP($A26,Строчный!$A:$A,Строчный!D:D,"ERR",0)),UPPER(MID(_xlpm.DATA,1,1))&amp;LOWER(MID(_xlpm.DATA,2,LEN(_xlpm.DATA)-1)))</f>
        <v>Панама</v>
      </c>
      <c r="E26" s="81" t="str">
        <f ca="1">PROPER(TRIM(_xlfn.XLOOKUP($A26,Строчный!$A:$A,Строчный!E:E,"ERR",0)))</f>
        <v>Fredrikson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FREDRIKSON</v>
      </c>
      <c r="H26" s="81" t="str">
        <f ca="1">LOWER(TRIM(_xlfn.XLOOKUP($A26,Строчный!$A:$A,Строчный!H:H,"ERR",0)))</f>
        <v>625/20</v>
      </c>
      <c r="I26" s="81" t="str">
        <f ca="1">LOWER(TRIM(_xlfn.XLOOKUP($A26,Строчный!$A:$A,Строчный!I:I,"ERR",0)))</f>
        <v>темно-синий</v>
      </c>
      <c r="J26" s="81" t="str">
        <f ca="1">SUBSTITUTE(LOWER(TRIM(_xlfn.XLOOKUP($A26,Строчный!$A:$A,Строчный!J:J,"ERR",0))),"подклад","Подклад")</f>
        <v>80% шерсть - 20% полиамид / Подклад: 100% вискоза</v>
      </c>
      <c r="K26" s="81" t="str">
        <f ca="1">LOWER(TRIM(_xlfn.XLOOKUP($A26,Строчный!$A:$A,Строчный!K:K,"ERR",0)))</f>
        <v>шерстяные</v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Россия</v>
      </c>
      <c r="N26" s="81" t="str">
        <f ca="1">UPPER(TRIM(_xlfn.XLOOKUP($A26,Строчный!$A:$A,Строчный!O:O,"ERR",0)))</f>
        <v/>
      </c>
      <c r="O26" s="102" t="str">
        <f ca="1">PROPER(TRIM(_xlfn.XLOOKUP($A26,Строчный!$A:$A,Строчный!P:P,"ERR",0)))</f>
        <v/>
      </c>
      <c r="P26" s="81" t="str">
        <f ca="1">PROPER(TRIM(_xlfn.XLOOKUP($A26,Строчный!$A:$A,Строчный!R:R,"ERR",0)))</f>
        <v/>
      </c>
      <c r="Q26" s="90">
        <f ca="1">VALUE(_xlfn.XLOOKUP($A26,Строчный!$A:$A,Строчный!N:N,"ERR",0))</f>
        <v>975.8</v>
      </c>
      <c r="R26" s="89" t="str">
        <f ca="1">_xlfn.XLOOKUP($G26,Фабрика!A:A,Фабрика!B:B,"ERR",0)</f>
        <v>ООО "ФРЭДРИКСОН" Россия 192029, С-Петербург, пр. Обуховской обороны, д.86, лит М</v>
      </c>
      <c r="S26" s="80" t="str">
        <f ca="1">_xlfn.XLOOKUP(RIGHT(AA26,2),Размеры!D:D,Размеры!A:A,"ERR",0)</f>
        <v>57</v>
      </c>
      <c r="T26" s="80">
        <f ca="1">VALUE(_xlfn.XLOOKUP($AA26,Строчный!$S:$S,Строчный!U:U,"ERR",0))</f>
        <v>3</v>
      </c>
      <c r="U26" s="14" t="s">
        <v>265</v>
      </c>
      <c r="V26" s="101" t="str">
        <f t="shared" ca="1" si="3"/>
        <v>Панама FREDRIKSON арт. 3363 (темно-синий)</v>
      </c>
      <c r="W26" s="100" t="str">
        <f t="shared" ca="1" si="4"/>
        <v>Панама FREDRIKSON арт. 3363 (темно-синий) {625/20}</v>
      </c>
      <c r="X26" s="18" t="str">
        <f t="shared" ca="1" si="0"/>
        <v>синий</v>
      </c>
      <c r="Y26" s="18" t="str">
        <f t="shared" ca="1" si="1"/>
        <v>синий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синий</v>
      </c>
      <c r="AA26" s="73" t="str">
        <f ca="1"/>
        <v>95-016-16-57</v>
      </c>
      <c r="AB26" s="75" t="str">
        <f ca="1">VLOOKUP(C26,Группа!A:B,2,FALSE)</f>
        <v>Панама</v>
      </c>
      <c r="AC26" s="97" t="str">
        <f ca="1">IFERROR(VLOOKUP(S26,Размеры!A:C,3,FALSE),"")</f>
        <v>57 M</v>
      </c>
      <c r="AD26" s="97" t="str">
        <f ca="1">VLOOKUP(I26,ЦветПолный!A:B,2,FALSE)</f>
        <v>16</v>
      </c>
      <c r="AE26" s="97" t="str">
        <f ca="1">IFERROR(VLOOKUP(S26,Размеры!A:D,4,FALSE),"")</f>
        <v>57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1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0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95-016-16</v>
      </c>
      <c r="B27" s="107" t="str">
        <f ca="1">_xlfn.LET(_xlpm.CAPS,0,_xlpm.Style,TRIM(_xlfn.XLOOKUP($A27,Строчный!$A:$A,Строчный!B:B,"ERR",0)),IF(_xlpm.CAPS=0,_xlpm.Style,LOWER(_xlpm.Style)))</f>
        <v>3363</v>
      </c>
      <c r="C27" s="81" t="str">
        <f ca="1">TRIM(PROPER(_xlfn.XLOOKUP($A27,Строчный!$A:$A,Строчный!C:C,"ERR",0)))</f>
        <v>Панамы</v>
      </c>
      <c r="D27" s="81" t="str">
        <f ca="1">_xlfn.LET(_xlpm.DATA,TRIM(_xlfn.XLOOKUP($A27,Строчный!$A:$A,Строчный!D:D,"ERR",0)),UPPER(MID(_xlpm.DATA,1,1))&amp;LOWER(MID(_xlpm.DATA,2,LEN(_xlpm.DATA)-1)))</f>
        <v>Панама</v>
      </c>
      <c r="E27" s="81" t="str">
        <f ca="1">PROPER(TRIM(_xlfn.XLOOKUP($A27,Строчный!$A:$A,Строчный!E:E,"ERR",0)))</f>
        <v>Fredrikson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FREDRIKSON</v>
      </c>
      <c r="H27" s="81" t="str">
        <f ca="1">LOWER(TRIM(_xlfn.XLOOKUP($A27,Строчный!$A:$A,Строчный!H:H,"ERR",0)))</f>
        <v>625/20</v>
      </c>
      <c r="I27" s="81" t="str">
        <f ca="1">LOWER(TRIM(_xlfn.XLOOKUP($A27,Строчный!$A:$A,Строчный!I:I,"ERR",0)))</f>
        <v>темно-синий</v>
      </c>
      <c r="J27" s="81" t="str">
        <f ca="1">SUBSTITUTE(LOWER(TRIM(_xlfn.XLOOKUP($A27,Строчный!$A:$A,Строчный!J:J,"ERR",0))),"подклад","Подклад")</f>
        <v>80% шерсть - 20% полиамид / Подклад: 100% вискоза</v>
      </c>
      <c r="K27" s="81" t="str">
        <f ca="1">LOWER(TRIM(_xlfn.XLOOKUP($A27,Строчный!$A:$A,Строчный!K:K,"ERR",0)))</f>
        <v>шерстяные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Россия</v>
      </c>
      <c r="N27" s="81" t="str">
        <f ca="1">UPPER(TRIM(_xlfn.XLOOKUP($A27,Строчный!$A:$A,Строчный!O:O,"ERR",0)))</f>
        <v/>
      </c>
      <c r="O27" s="102" t="str">
        <f ca="1">PROPER(TRIM(_xlfn.XLOOKUP($A27,Строчный!$A:$A,Строчный!P:P,"ERR",0)))</f>
        <v/>
      </c>
      <c r="P27" s="81" t="str">
        <f ca="1">PROPER(TRIM(_xlfn.XLOOKUP($A27,Строчный!$A:$A,Строчный!R:R,"ERR",0)))</f>
        <v/>
      </c>
      <c r="Q27" s="90">
        <f ca="1">VALUE(_xlfn.XLOOKUP($A27,Строчный!$A:$A,Строчный!N:N,"ERR",0))</f>
        <v>975.8</v>
      </c>
      <c r="R27" s="89" t="str">
        <f ca="1">_xlfn.XLOOKUP($G27,Фабрика!A:A,Фабрика!B:B,"ERR",0)</f>
        <v>ООО "ФРЭДРИКСОН" Россия 192029, С-Петербург, пр. Обуховской обороны, д.86, лит М</v>
      </c>
      <c r="S27" s="80" t="str">
        <f ca="1">_xlfn.XLOOKUP(RIGHT(AA27,2),Размеры!D:D,Размеры!A:A,"ERR",0)</f>
        <v>56</v>
      </c>
      <c r="T27" s="80">
        <f ca="1">VALUE(_xlfn.XLOOKUP($AA27,Строчный!$S:$S,Строчный!U:U,"ERR",0))</f>
        <v>2</v>
      </c>
      <c r="U27" s="14" t="s">
        <v>265</v>
      </c>
      <c r="V27" s="101" t="str">
        <f t="shared" ca="1" si="3"/>
        <v>Панама FREDRIKSON арт. 3363 (темно-синий)</v>
      </c>
      <c r="W27" s="100" t="str">
        <f t="shared" ca="1" si="4"/>
        <v>Панама FREDRIKSON арт. 3363 (темно-синий) {625/20}</v>
      </c>
      <c r="X27" s="18" t="str">
        <f t="shared" ca="1" si="0"/>
        <v>синий</v>
      </c>
      <c r="Y27" s="18" t="str">
        <f t="shared" ca="1" si="1"/>
        <v>синий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синий</v>
      </c>
      <c r="AA27" s="73" t="str">
        <f ca="1"/>
        <v>95-016-16-56</v>
      </c>
      <c r="AB27" s="75" t="str">
        <f ca="1">VLOOKUP(C27,Группа!A:B,2,FALSE)</f>
        <v>Панама</v>
      </c>
      <c r="AC27" s="97" t="str">
        <f ca="1">IFERROR(VLOOKUP(S27,Размеры!A:C,3,FALSE),"")</f>
        <v>56 S/M</v>
      </c>
      <c r="AD27" s="97" t="str">
        <f ca="1">VLOOKUP(I27,ЦветПолный!A:B,2,FALSE)</f>
        <v>16</v>
      </c>
      <c r="AE27" s="97" t="str">
        <f ca="1">IFERROR(VLOOKUP(S27,Размеры!A:D,4,FALSE),"")</f>
        <v>56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0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95-016-09</v>
      </c>
      <c r="B28" s="107" t="str">
        <f ca="1">_xlfn.LET(_xlpm.CAPS,0,_xlpm.Style,TRIM(_xlfn.XLOOKUP($A28,Строчный!$A:$A,Строчный!B:B,"ERR",0)),IF(_xlpm.CAPS=0,_xlpm.Style,LOWER(_xlpm.Style)))</f>
        <v>3363</v>
      </c>
      <c r="C28" s="81" t="str">
        <f ca="1">TRIM(PROPER(_xlfn.XLOOKUP($A28,Строчный!$A:$A,Строчный!C:C,"ERR",0)))</f>
        <v>Панамы</v>
      </c>
      <c r="D28" s="81" t="str">
        <f ca="1">_xlfn.LET(_xlpm.DATA,TRIM(_xlfn.XLOOKUP($A28,Строчный!$A:$A,Строчный!D:D,"ERR",0)),UPPER(MID(_xlpm.DATA,1,1))&amp;LOWER(MID(_xlpm.DATA,2,LEN(_xlpm.DATA)-1)))</f>
        <v>Панама</v>
      </c>
      <c r="E28" s="81" t="str">
        <f ca="1">PROPER(TRIM(_xlfn.XLOOKUP($A28,Строчный!$A:$A,Строчный!E:E,"ERR",0)))</f>
        <v>Fredrikson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FREDRIKSON</v>
      </c>
      <c r="H28" s="81" t="str">
        <f ca="1">LOWER(TRIM(_xlfn.XLOOKUP($A28,Строчный!$A:$A,Строчный!H:H,"ERR",0)))</f>
        <v>624/91</v>
      </c>
      <c r="I28" s="81" t="str">
        <f ca="1">LOWER(TRIM(_xlfn.XLOOKUP($A28,Строчный!$A:$A,Строчный!I:I,"ERR",0)))</f>
        <v>черный</v>
      </c>
      <c r="J28" s="81" t="str">
        <f ca="1">SUBSTITUTE(LOWER(TRIM(_xlfn.XLOOKUP($A28,Строчный!$A:$A,Строчный!J:J,"ERR",0))),"подклад","Подклад")</f>
        <v>80% шерсть - 20% полиамид / Подклад: 100% вискоза</v>
      </c>
      <c r="K28" s="81" t="str">
        <f ca="1">LOWER(TRIM(_xlfn.XLOOKUP($A28,Строчный!$A:$A,Строчный!K:K,"ERR",0)))</f>
        <v>шерстяные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Россия</v>
      </c>
      <c r="N28" s="81" t="str">
        <f ca="1">UPPER(TRIM(_xlfn.XLOOKUP($A28,Строчный!$A:$A,Строчный!O:O,"ERR",0)))</f>
        <v/>
      </c>
      <c r="O28" s="102" t="str">
        <f ca="1">PROPER(TRIM(_xlfn.XLOOKUP($A28,Строчный!$A:$A,Строчный!P:P,"ERR",0)))</f>
        <v/>
      </c>
      <c r="P28" s="81" t="str">
        <f ca="1">PROPER(TRIM(_xlfn.XLOOKUP($A28,Строчный!$A:$A,Строчный!R:R,"ERR",0)))</f>
        <v/>
      </c>
      <c r="Q28" s="90">
        <f ca="1">VALUE(_xlfn.XLOOKUP($A28,Строчный!$A:$A,Строчный!N:N,"ERR",0))</f>
        <v>975.8</v>
      </c>
      <c r="R28" s="89" t="str">
        <f ca="1">_xlfn.XLOOKUP($G28,Фабрика!A:A,Фабрика!B:B,"ERR",0)</f>
        <v>ООО "ФРЭДРИКСОН" Россия 192029, С-Петербург, пр. Обуховской обороны, д.86, лит М</v>
      </c>
      <c r="S28" s="80" t="str">
        <f ca="1">_xlfn.XLOOKUP(RIGHT(AA28,2),Размеры!D:D,Размеры!A:A,"ERR",0)</f>
        <v>61</v>
      </c>
      <c r="T28" s="80">
        <f ca="1">VALUE(_xlfn.XLOOKUP($AA28,Строчный!$S:$S,Строчный!U:U,"ERR",0))</f>
        <v>1</v>
      </c>
      <c r="U28" s="14" t="s">
        <v>265</v>
      </c>
      <c r="V28" s="101" t="str">
        <f t="shared" ca="1" si="3"/>
        <v>Панама FREDRIKSON арт. 3363 (черный)</v>
      </c>
      <c r="W28" s="100" t="str">
        <f t="shared" ca="1" si="4"/>
        <v>Панама FREDRIKSON арт. 3363 (черный) {624/91}</v>
      </c>
      <c r="X28" s="18" t="str">
        <f t="shared" ca="1" si="0"/>
        <v>черный</v>
      </c>
      <c r="Y28" s="18" t="str">
        <f t="shared" ca="1" si="1"/>
        <v>черный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черный</v>
      </c>
      <c r="AA28" s="73" t="str">
        <f ca="1"/>
        <v>95-016-09-61</v>
      </c>
      <c r="AB28" s="75" t="str">
        <f ca="1">VLOOKUP(C28,Группа!A:B,2,FALSE)</f>
        <v>Панама</v>
      </c>
      <c r="AC28" s="97" t="str">
        <f ca="1">IFERROR(VLOOKUP(S28,Размеры!A:C,3,FALSE),"")</f>
        <v>61 XL</v>
      </c>
      <c r="AD28" s="97" t="str">
        <f ca="1">VLOOKUP(I28,ЦветПолный!A:B,2,FALSE)</f>
        <v>09</v>
      </c>
      <c r="AE28" s="97" t="str">
        <f ca="1">IFERROR(VLOOKUP(S28,Размеры!A:D,4,FALSE),"")</f>
        <v>61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1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0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SUMIF(Бренд!A:A,G28,Бренд!B:B)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95-016-09</v>
      </c>
      <c r="B29" s="107" t="str">
        <f ca="1">_xlfn.LET(_xlpm.CAPS,0,_xlpm.Style,TRIM(_xlfn.XLOOKUP($A29,Строчный!$A:$A,Строчный!B:B,"ERR",0)),IF(_xlpm.CAPS=0,_xlpm.Style,LOWER(_xlpm.Style)))</f>
        <v>3363</v>
      </c>
      <c r="C29" s="81" t="str">
        <f ca="1">TRIM(PROPER(_xlfn.XLOOKUP($A29,Строчный!$A:$A,Строчный!C:C,"ERR",0)))</f>
        <v>Панамы</v>
      </c>
      <c r="D29" s="81" t="str">
        <f ca="1">_xlfn.LET(_xlpm.DATA,TRIM(_xlfn.XLOOKUP($A29,Строчный!$A:$A,Строчный!D:D,"ERR",0)),UPPER(MID(_xlpm.DATA,1,1))&amp;LOWER(MID(_xlpm.DATA,2,LEN(_xlpm.DATA)-1)))</f>
        <v>Панама</v>
      </c>
      <c r="E29" s="81" t="str">
        <f ca="1">PROPER(TRIM(_xlfn.XLOOKUP($A29,Строчный!$A:$A,Строчный!E:E,"ERR",0)))</f>
        <v>Fredrikson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FREDRIKSON</v>
      </c>
      <c r="H29" s="81" t="str">
        <f ca="1">LOWER(TRIM(_xlfn.XLOOKUP($A29,Строчный!$A:$A,Строчный!H:H,"ERR",0)))</f>
        <v>624/91</v>
      </c>
      <c r="I29" s="81" t="str">
        <f ca="1">LOWER(TRIM(_xlfn.XLOOKUP($A29,Строчный!$A:$A,Строчный!I:I,"ERR",0)))</f>
        <v>черный</v>
      </c>
      <c r="J29" s="81" t="str">
        <f ca="1">SUBSTITUTE(LOWER(TRIM(_xlfn.XLOOKUP($A29,Строчный!$A:$A,Строчный!J:J,"ERR",0))),"подклад","Подклад")</f>
        <v>80% шерсть - 20% полиамид / Подклад: 100% вискоза</v>
      </c>
      <c r="K29" s="81" t="str">
        <f ca="1">LOWER(TRIM(_xlfn.XLOOKUP($A29,Строчный!$A:$A,Строчный!K:K,"ERR",0)))</f>
        <v>шерстяные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Россия</v>
      </c>
      <c r="N29" s="81" t="str">
        <f ca="1">UPPER(TRIM(_xlfn.XLOOKUP($A29,Строчный!$A:$A,Строчный!O:O,"ERR",0)))</f>
        <v/>
      </c>
      <c r="O29" s="102" t="str">
        <f ca="1">PROPER(TRIM(_xlfn.XLOOKUP($A29,Строчный!$A:$A,Строчный!P:P,"ERR",0)))</f>
        <v/>
      </c>
      <c r="P29" s="81" t="str">
        <f ca="1">PROPER(TRIM(_xlfn.XLOOKUP($A29,Строчный!$A:$A,Строчный!R:R,"ERR",0)))</f>
        <v/>
      </c>
      <c r="Q29" s="90">
        <f ca="1">VALUE(_xlfn.XLOOKUP($A29,Строчный!$A:$A,Строчный!N:N,"ERR",0))</f>
        <v>975.8</v>
      </c>
      <c r="R29" s="89" t="str">
        <f ca="1">_xlfn.XLOOKUP($G29,Фабрика!A:A,Фабрика!B:B,"ERR",0)</f>
        <v>ООО "ФРЭДРИКСОН" Россия 192029, С-Петербург, пр. Обуховской обороны, д.86, лит М</v>
      </c>
      <c r="S29" s="80" t="str">
        <f ca="1">_xlfn.XLOOKUP(RIGHT(AA29,2),Размеры!D:D,Размеры!A:A,"ERR",0)</f>
        <v>59</v>
      </c>
      <c r="T29" s="80">
        <f ca="1">VALUE(_xlfn.XLOOKUP($AA29,Строчный!$S:$S,Строчный!U:U,"ERR",0))</f>
        <v>2</v>
      </c>
      <c r="U29" s="14" t="s">
        <v>265</v>
      </c>
      <c r="V29" s="101" t="str">
        <f t="shared" ca="1" si="3"/>
        <v>Панама FREDRIKSON арт. 3363 (черный)</v>
      </c>
      <c r="W29" s="100" t="str">
        <f t="shared" ca="1" si="4"/>
        <v>Панама FREDRIKSON арт. 3363 (черный) {624/91}</v>
      </c>
      <c r="X29" s="18" t="str">
        <f t="shared" ca="1" si="0"/>
        <v>черный</v>
      </c>
      <c r="Y29" s="18" t="str">
        <f t="shared" ca="1" si="1"/>
        <v>черный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>черный</v>
      </c>
      <c r="AA29" s="73" t="str">
        <f ca="1"/>
        <v>95-016-09-59</v>
      </c>
      <c r="AB29" s="75" t="str">
        <f ca="1">VLOOKUP(C29,Группа!A:B,2,FALSE)</f>
        <v>Панама</v>
      </c>
      <c r="AC29" s="97" t="str">
        <f ca="1">IFERROR(VLOOKUP(S29,Размеры!A:C,3,FALSE),"")</f>
        <v>59 L</v>
      </c>
      <c r="AD29" s="97" t="str">
        <f ca="1">VLOOKUP(I29,ЦветПолный!A:B,2,FALSE)</f>
        <v>09</v>
      </c>
      <c r="AE29" s="97" t="str">
        <f ca="1">IFERROR(VLOOKUP(S29,Размеры!A:D,4,FALSE),"")</f>
        <v>59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1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0</v>
      </c>
      <c r="AO29" s="97">
        <f ca="1">VLOOKUP(I29,ЦветПолный!A:C,3,0)</f>
        <v>1</v>
      </c>
      <c r="AP29" s="97">
        <f ca="1">SUMIF(Цвет!A:A,Z29,Цвет!B:B)</f>
        <v>1</v>
      </c>
      <c r="AQ29" s="97">
        <f ca="1">_xlfn.XLOOKUP(L29,Пол!A:A,Пол!B:B,0,0)</f>
        <v>1</v>
      </c>
      <c r="AR29" s="97">
        <f ca="1">SUMIF(Бренд!A:A,G29,Бренд!B:B)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ref="A30:A93" ca="1" si="5">LEFT(AA30,9)</f>
        <v>95-016-09</v>
      </c>
      <c r="B30" s="107" t="str">
        <f ca="1">_xlfn.LET(_xlpm.CAPS,0,_xlpm.Style,TRIM(_xlfn.XLOOKUP($A30,Строчный!$A:$A,Строчный!B:B,"ERR",0)),IF(_xlpm.CAPS=0,_xlpm.Style,LOWER(_xlpm.Style)))</f>
        <v>3363</v>
      </c>
      <c r="C30" s="81" t="str">
        <f ca="1">TRIM(PROPER(_xlfn.XLOOKUP($A30,Строчный!$A:$A,Строчный!C:C,"ERR",0)))</f>
        <v>Панамы</v>
      </c>
      <c r="D30" s="81" t="str">
        <f ca="1">_xlfn.LET(_xlpm.DATA,TRIM(_xlfn.XLOOKUP($A30,Строчный!$A:$A,Строчный!D:D,"ERR",0)),UPPER(MID(_xlpm.DATA,1,1))&amp;LOWER(MID(_xlpm.DATA,2,LEN(_xlpm.DATA)-1)))</f>
        <v>Панама</v>
      </c>
      <c r="E30" s="81" t="str">
        <f ca="1">PROPER(TRIM(_xlfn.XLOOKUP($A30,Строчный!$A:$A,Строчный!E:E,"ERR",0)))</f>
        <v>Fredrikson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FREDRIKSON</v>
      </c>
      <c r="H30" s="81" t="str">
        <f ca="1">LOWER(TRIM(_xlfn.XLOOKUP($A30,Строчный!$A:$A,Строчный!H:H,"ERR",0)))</f>
        <v>624/91</v>
      </c>
      <c r="I30" s="81" t="str">
        <f ca="1">LOWER(TRIM(_xlfn.XLOOKUP($A30,Строчный!$A:$A,Строчный!I:I,"ERR",0)))</f>
        <v>черный</v>
      </c>
      <c r="J30" s="81" t="str">
        <f ca="1">SUBSTITUTE(LOWER(TRIM(_xlfn.XLOOKUP($A30,Строчный!$A:$A,Строчный!J:J,"ERR",0))),"подклад","Подклад")</f>
        <v>80% шерсть - 20% полиамид / Подклад: 100% вискоза</v>
      </c>
      <c r="K30" s="81" t="str">
        <f ca="1">LOWER(TRIM(_xlfn.XLOOKUP($A30,Строчный!$A:$A,Строчный!K:K,"ERR",0)))</f>
        <v>шерстяные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Россия</v>
      </c>
      <c r="N30" s="81" t="str">
        <f ca="1">UPPER(TRIM(_xlfn.XLOOKUP($A30,Строчный!$A:$A,Строчный!O:O,"ERR",0)))</f>
        <v/>
      </c>
      <c r="O30" s="102" t="str">
        <f ca="1">PROPER(TRIM(_xlfn.XLOOKUP($A30,Строчный!$A:$A,Строчный!P:P,"ERR",0)))</f>
        <v/>
      </c>
      <c r="P30" s="81" t="str">
        <f ca="1">PROPER(TRIM(_xlfn.XLOOKUP($A30,Строчный!$A:$A,Строчный!R:R,"ERR",0)))</f>
        <v/>
      </c>
      <c r="Q30" s="90">
        <f ca="1">VALUE(_xlfn.XLOOKUP($A30,Строчный!$A:$A,Строчный!N:N,"ERR",0))</f>
        <v>975.8</v>
      </c>
      <c r="R30" s="89" t="str">
        <f ca="1">_xlfn.XLOOKUP($G30,Фабрика!A:A,Фабрика!B:B,"ERR",0)</f>
        <v>ООО "ФРЭДРИКСОН" Россия 192029, С-Петербург, пр. Обуховской обороны, д.86, лит М</v>
      </c>
      <c r="S30" s="80" t="str">
        <f ca="1">_xlfn.XLOOKUP(RIGHT(AA30,2),Размеры!D:D,Размеры!A:A,"ERR",0)</f>
        <v>58</v>
      </c>
      <c r="T30" s="80">
        <f ca="1">VALUE(_xlfn.XLOOKUP($AA30,Строчный!$S:$S,Строчный!U:U,"ERR",0))</f>
        <v>1</v>
      </c>
      <c r="U30" s="14" t="s">
        <v>265</v>
      </c>
      <c r="V30" s="101" t="str">
        <f t="shared" ref="V30:V93" ca="1" si="6">TRIM(CONCATENATE(AB30," ",G30," арт. ",B30," (",I30,")"))</f>
        <v>Панама FREDRIKSON арт. 3363 (черный)</v>
      </c>
      <c r="W30" s="100" t="str">
        <f t="shared" ref="W30:W93" ca="1" si="7">TRIM(CONCATENATE(AB30," ",G30," арт. ",B30," (",I30,") {",H30,"}"))</f>
        <v>Панама FREDRIKSON арт. 3363 (черный) {624/91}</v>
      </c>
      <c r="X30" s="18" t="str">
        <f t="shared" ref="X30:X93" ca="1" si="8">IFERROR(MID(I30,FIND("-",I30)+1,LEN(I30)),IFERROR(MID(I30,1,FIND("/",I30)-2),I30))</f>
        <v>черный</v>
      </c>
      <c r="Y30" s="18" t="str">
        <f t="shared" ref="Y30:Y93" ca="1" si="9">IFERROR(MID(I30,FIND("-",I30)+1,LEN(I30)),IFERROR(MID(I30,FIND("/",I30)+2,LEN(I30)),I30))</f>
        <v>черный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>черный</v>
      </c>
      <c r="AA30" s="73" t="str">
        <f ca="1"/>
        <v>95-016-09-58</v>
      </c>
      <c r="AB30" s="75" t="str">
        <f ca="1">VLOOKUP(C30,Группа!A:B,2,FALSE)</f>
        <v>Панама</v>
      </c>
      <c r="AC30" s="97" t="str">
        <f ca="1">IFERROR(VLOOKUP(S30,Размеры!A:C,3,FALSE),"")</f>
        <v>58 M/L</v>
      </c>
      <c r="AD30" s="97" t="str">
        <f ca="1">VLOOKUP(I30,ЦветПолный!A:B,2,FALSE)</f>
        <v>09</v>
      </c>
      <c r="AE30" s="97" t="str">
        <f ca="1">IFERROR(VLOOKUP(S30,Размеры!A:D,4,FALSE),"")</f>
        <v>58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0</v>
      </c>
      <c r="AO30" s="97">
        <f ca="1">VLOOKUP(I30,ЦветПолный!A:C,3,0)</f>
        <v>1</v>
      </c>
      <c r="AP30" s="97">
        <f ca="1">SUMIF(Цвет!A:A,Z30,Цвет!B:B)</f>
        <v>1</v>
      </c>
      <c r="AQ30" s="97">
        <f ca="1">_xlfn.XLOOKUP(L30,Пол!A:A,Пол!B:B,0,0)</f>
        <v>1</v>
      </c>
      <c r="AR30" s="97">
        <f ca="1">SUMIF(Бренд!A:A,G30,Бренд!B:B)</f>
        <v>1</v>
      </c>
      <c r="AS30" s="97">
        <f ca="1">SUMIF(Страна!A:A,M30,Страна!B:B)</f>
        <v>1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5"/>
        <v>95-016-09</v>
      </c>
      <c r="B31" s="107" t="str">
        <f ca="1">_xlfn.LET(_xlpm.CAPS,0,_xlpm.Style,TRIM(_xlfn.XLOOKUP($A31,Строчный!$A:$A,Строчный!B:B,"ERR",0)),IF(_xlpm.CAPS=0,_xlpm.Style,LOWER(_xlpm.Style)))</f>
        <v>3363</v>
      </c>
      <c r="C31" s="81" t="str">
        <f ca="1">TRIM(PROPER(_xlfn.XLOOKUP($A31,Строчный!$A:$A,Строчный!C:C,"ERR",0)))</f>
        <v>Панамы</v>
      </c>
      <c r="D31" s="81" t="str">
        <f ca="1">_xlfn.LET(_xlpm.DATA,TRIM(_xlfn.XLOOKUP($A31,Строчный!$A:$A,Строчный!D:D,"ERR",0)),UPPER(MID(_xlpm.DATA,1,1))&amp;LOWER(MID(_xlpm.DATA,2,LEN(_xlpm.DATA)-1)))</f>
        <v>Панама</v>
      </c>
      <c r="E31" s="81" t="str">
        <f ca="1">PROPER(TRIM(_xlfn.XLOOKUP($A31,Строчный!$A:$A,Строчный!E:E,"ERR",0)))</f>
        <v>Fredrikson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FREDRIKSON</v>
      </c>
      <c r="H31" s="81" t="str">
        <f ca="1">LOWER(TRIM(_xlfn.XLOOKUP($A31,Строчный!$A:$A,Строчный!H:H,"ERR",0)))</f>
        <v>624/91</v>
      </c>
      <c r="I31" s="81" t="str">
        <f ca="1">LOWER(TRIM(_xlfn.XLOOKUP($A31,Строчный!$A:$A,Строчный!I:I,"ERR",0)))</f>
        <v>черный</v>
      </c>
      <c r="J31" s="81" t="str">
        <f ca="1">SUBSTITUTE(LOWER(TRIM(_xlfn.XLOOKUP($A31,Строчный!$A:$A,Строчный!J:J,"ERR",0))),"подклад","Подклад")</f>
        <v>80% шерсть - 20% полиамид / Подклад: 100% вискоза</v>
      </c>
      <c r="K31" s="81" t="str">
        <f ca="1">LOWER(TRIM(_xlfn.XLOOKUP($A31,Строчный!$A:$A,Строчный!K:K,"ERR",0)))</f>
        <v>шерстяные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Россия</v>
      </c>
      <c r="N31" s="81" t="str">
        <f ca="1">UPPER(TRIM(_xlfn.XLOOKUP($A31,Строчный!$A:$A,Строчный!O:O,"ERR",0)))</f>
        <v/>
      </c>
      <c r="O31" s="102" t="str">
        <f ca="1">PROPER(TRIM(_xlfn.XLOOKUP($A31,Строчный!$A:$A,Строчный!P:P,"ERR",0)))</f>
        <v/>
      </c>
      <c r="P31" s="81" t="str">
        <f ca="1">PROPER(TRIM(_xlfn.XLOOKUP($A31,Строчный!$A:$A,Строчный!R:R,"ERR",0)))</f>
        <v/>
      </c>
      <c r="Q31" s="90">
        <f ca="1">VALUE(_xlfn.XLOOKUP($A31,Строчный!$A:$A,Строчный!N:N,"ERR",0))</f>
        <v>975.8</v>
      </c>
      <c r="R31" s="89" t="str">
        <f ca="1">_xlfn.XLOOKUP($G31,Фабрика!A:A,Фабрика!B:B,"ERR",0)</f>
        <v>ООО "ФРЭДРИКСОН" Россия 192029, С-Петербург, пр. Обуховской обороны, д.86, лит М</v>
      </c>
      <c r="S31" s="80" t="str">
        <f ca="1">_xlfn.XLOOKUP(RIGHT(AA31,2),Размеры!D:D,Размеры!A:A,"ERR",0)</f>
        <v>57</v>
      </c>
      <c r="T31" s="80">
        <f ca="1">VALUE(_xlfn.XLOOKUP($AA31,Строчный!$S:$S,Строчный!U:U,"ERR",0))</f>
        <v>1</v>
      </c>
      <c r="U31" s="14" t="s">
        <v>265</v>
      </c>
      <c r="V31" s="101" t="str">
        <f t="shared" ca="1" si="6"/>
        <v>Панама FREDRIKSON арт. 3363 (черный)</v>
      </c>
      <c r="W31" s="100" t="str">
        <f t="shared" ca="1" si="7"/>
        <v>Панама FREDRIKSON арт. 3363 (черный) {624/91}</v>
      </c>
      <c r="X31" s="18" t="str">
        <f t="shared" ca="1" si="8"/>
        <v>черный</v>
      </c>
      <c r="Y31" s="18" t="str">
        <f t="shared" ca="1" si="9"/>
        <v>черный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>черный</v>
      </c>
      <c r="AA31" s="73" t="str">
        <f ca="1"/>
        <v>95-016-09-57</v>
      </c>
      <c r="AB31" s="75" t="str">
        <f ca="1">VLOOKUP(C31,Группа!A:B,2,FALSE)</f>
        <v>Панама</v>
      </c>
      <c r="AC31" s="97" t="str">
        <f ca="1">IFERROR(VLOOKUP(S31,Размеры!A:C,3,FALSE),"")</f>
        <v>57 M</v>
      </c>
      <c r="AD31" s="97" t="str">
        <f ca="1">VLOOKUP(I31,ЦветПолный!A:B,2,FALSE)</f>
        <v>09</v>
      </c>
      <c r="AE31" s="97" t="str">
        <f ca="1">IFERROR(VLOOKUP(S31,Размеры!A:D,4,FALSE),"")</f>
        <v>57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1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0</v>
      </c>
      <c r="AO31" s="97">
        <f ca="1">VLOOKUP(I31,ЦветПолный!A:C,3,0)</f>
        <v>1</v>
      </c>
      <c r="AP31" s="97">
        <f ca="1">SUMIF(Цвет!A:A,Z31,Цвет!B:B)</f>
        <v>1</v>
      </c>
      <c r="AQ31" s="97">
        <f ca="1">_xlfn.XLOOKUP(L31,Пол!A:A,Пол!B:B,0,0)</f>
        <v>1</v>
      </c>
      <c r="AR31" s="97">
        <f ca="1">SUMIF(Бренд!A:A,G31,Бренд!B:B)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5"/>
        <v>95-016-09</v>
      </c>
      <c r="B32" s="107" t="str">
        <f ca="1">_xlfn.LET(_xlpm.CAPS,0,_xlpm.Style,TRIM(_xlfn.XLOOKUP($A32,Строчный!$A:$A,Строчный!B:B,"ERR",0)),IF(_xlpm.CAPS=0,_xlpm.Style,LOWER(_xlpm.Style)))</f>
        <v>3363</v>
      </c>
      <c r="C32" s="81" t="str">
        <f ca="1">TRIM(PROPER(_xlfn.XLOOKUP($A32,Строчный!$A:$A,Строчный!C:C,"ERR",0)))</f>
        <v>Панамы</v>
      </c>
      <c r="D32" s="81" t="str">
        <f ca="1">_xlfn.LET(_xlpm.DATA,TRIM(_xlfn.XLOOKUP($A32,Строчный!$A:$A,Строчный!D:D,"ERR",0)),UPPER(MID(_xlpm.DATA,1,1))&amp;LOWER(MID(_xlpm.DATA,2,LEN(_xlpm.DATA)-1)))</f>
        <v>Панама</v>
      </c>
      <c r="E32" s="81" t="str">
        <f ca="1">PROPER(TRIM(_xlfn.XLOOKUP($A32,Строчный!$A:$A,Строчный!E:E,"ERR",0)))</f>
        <v>Fredrikson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FREDRIKSON</v>
      </c>
      <c r="H32" s="81" t="str">
        <f ca="1">LOWER(TRIM(_xlfn.XLOOKUP($A32,Строчный!$A:$A,Строчный!H:H,"ERR",0)))</f>
        <v>624/91</v>
      </c>
      <c r="I32" s="81" t="str">
        <f ca="1">LOWER(TRIM(_xlfn.XLOOKUP($A32,Строчный!$A:$A,Строчный!I:I,"ERR",0)))</f>
        <v>черный</v>
      </c>
      <c r="J32" s="81" t="str">
        <f ca="1">SUBSTITUTE(LOWER(TRIM(_xlfn.XLOOKUP($A32,Строчный!$A:$A,Строчный!J:J,"ERR",0))),"подклад","Подклад")</f>
        <v>80% шерсть - 20% полиамид / Подклад: 100% вискоза</v>
      </c>
      <c r="K32" s="81" t="str">
        <f ca="1">LOWER(TRIM(_xlfn.XLOOKUP($A32,Строчный!$A:$A,Строчный!K:K,"ERR",0)))</f>
        <v>шерстяные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Россия</v>
      </c>
      <c r="N32" s="81" t="str">
        <f ca="1">UPPER(TRIM(_xlfn.XLOOKUP($A32,Строчный!$A:$A,Строчный!O:O,"ERR",0)))</f>
        <v/>
      </c>
      <c r="O32" s="102" t="str">
        <f ca="1">PROPER(TRIM(_xlfn.XLOOKUP($A32,Строчный!$A:$A,Строчный!P:P,"ERR",0)))</f>
        <v/>
      </c>
      <c r="P32" s="81" t="str">
        <f ca="1">PROPER(TRIM(_xlfn.XLOOKUP($A32,Строчный!$A:$A,Строчный!R:R,"ERR",0)))</f>
        <v/>
      </c>
      <c r="Q32" s="90">
        <f ca="1">VALUE(_xlfn.XLOOKUP($A32,Строчный!$A:$A,Строчный!N:N,"ERR",0))</f>
        <v>975.8</v>
      </c>
      <c r="R32" s="89" t="str">
        <f ca="1">_xlfn.XLOOKUP($G32,Фабрика!A:A,Фабрика!B:B,"ERR",0)</f>
        <v>ООО "ФРЭДРИКСОН" Россия 192029, С-Петербург, пр. Обуховской обороны, д.86, лит М</v>
      </c>
      <c r="S32" s="80" t="str">
        <f ca="1">_xlfn.XLOOKUP(RIGHT(AA32,2),Размеры!D:D,Размеры!A:A,"ERR",0)</f>
        <v>56</v>
      </c>
      <c r="T32" s="80">
        <f ca="1">VALUE(_xlfn.XLOOKUP($AA32,Строчный!$S:$S,Строчный!U:U,"ERR",0))</f>
        <v>1</v>
      </c>
      <c r="U32" s="14" t="s">
        <v>265</v>
      </c>
      <c r="V32" s="101" t="str">
        <f t="shared" ca="1" si="6"/>
        <v>Панама FREDRIKSON арт. 3363 (черный)</v>
      </c>
      <c r="W32" s="100" t="str">
        <f t="shared" ca="1" si="7"/>
        <v>Панама FREDRIKSON арт. 3363 (черный) {624/91}</v>
      </c>
      <c r="X32" s="18" t="str">
        <f t="shared" ca="1" si="8"/>
        <v>черный</v>
      </c>
      <c r="Y32" s="18" t="str">
        <f t="shared" ca="1" si="9"/>
        <v>черный</v>
      </c>
      <c r="Z32" s="117" t="str">
        <f ca="1">_xlfn.LET(_xlpm.FormColors,_xlfn.XLOOKUP(A32,Строчный!A:A,Строчный!Q:Q,"",0),IF(_xlpm.FormColors=0,IFERROR(MID(I32,FIND("-",I32)+1,LEN(I32)),IFERROR(MID(I32,1,FIND("/",I32)-2),I32)),_xlpm.FormColors))</f>
        <v>черный</v>
      </c>
      <c r="AA32" s="73" t="str">
        <f ca="1"/>
        <v>95-016-09-56</v>
      </c>
      <c r="AB32" s="75" t="str">
        <f ca="1">VLOOKUP(C32,Группа!A:B,2,FALSE)</f>
        <v>Панама</v>
      </c>
      <c r="AC32" s="97" t="str">
        <f ca="1">IFERROR(VLOOKUP(S32,Размеры!A:C,3,FALSE),"")</f>
        <v>56 S/M</v>
      </c>
      <c r="AD32" s="97" t="str">
        <f ca="1">VLOOKUP(I32,ЦветПолный!A:B,2,FALSE)</f>
        <v>09</v>
      </c>
      <c r="AE32" s="97" t="str">
        <f ca="1">IFERROR(VLOOKUP(S32,Размеры!A:D,4,FALSE),"")</f>
        <v>56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1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0</v>
      </c>
      <c r="AO32" s="97">
        <f ca="1">VLOOKUP(I32,ЦветПолный!A:C,3,0)</f>
        <v>1</v>
      </c>
      <c r="AP32" s="97">
        <f ca="1">SUMIF(Цвет!A:A,Z32,Цвет!B:B)</f>
        <v>1</v>
      </c>
      <c r="AQ32" s="97">
        <f ca="1">_xlfn.XLOOKUP(L32,Пол!A:A,Пол!B:B,0,0)</f>
        <v>1</v>
      </c>
      <c r="AR32" s="97">
        <f ca="1">SUMIF(Бренд!A:A,G32,Бренд!B:B)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5"/>
        <v>95-015-09</v>
      </c>
      <c r="B33" s="107" t="str">
        <f ca="1">_xlfn.LET(_xlpm.CAPS,0,_xlpm.Style,TRIM(_xlfn.XLOOKUP($A33,Строчный!$A:$A,Строчный!B:B,"ERR",0)),IF(_xlpm.CAPS=0,_xlpm.Style,LOWER(_xlpm.Style)))</f>
        <v>3276</v>
      </c>
      <c r="C33" s="81" t="str">
        <f ca="1">TRIM(PROPER(_xlfn.XLOOKUP($A33,Строчный!$A:$A,Строчный!C:C,"ERR",0)))</f>
        <v>Бейсболки</v>
      </c>
      <c r="D33" s="81" t="str">
        <f ca="1">_xlfn.LET(_xlpm.DATA,TRIM(_xlfn.XLOOKUP($A33,Строчный!$A:$A,Строчный!D:D,"ERR",0)),UPPER(MID(_xlpm.DATA,1,1))&amp;LOWER(MID(_xlpm.DATA,2,LEN(_xlpm.DATA)-1)))</f>
        <v>Бейсболка</v>
      </c>
      <c r="E33" s="81" t="str">
        <f ca="1">PROPER(TRIM(_xlfn.XLOOKUP($A33,Строчный!$A:$A,Строчный!E:E,"ERR",0)))</f>
        <v>Fredrikson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FREDRIKSON</v>
      </c>
      <c r="H33" s="81" t="str">
        <f ca="1">LOWER(TRIM(_xlfn.XLOOKUP($A33,Строчный!$A:$A,Строчный!H:H,"ERR",0)))</f>
        <v>624/91</v>
      </c>
      <c r="I33" s="81" t="str">
        <f ca="1">LOWER(TRIM(_xlfn.XLOOKUP($A33,Строчный!$A:$A,Строчный!I:I,"ERR",0)))</f>
        <v>черный</v>
      </c>
      <c r="J33" s="81" t="str">
        <f ca="1">SUBSTITUTE(LOWER(TRIM(_xlfn.XLOOKUP($A33,Строчный!$A:$A,Строчный!J:J,"ERR",0))),"подклад","Подклад")</f>
        <v>80% шерсть - 20% полиамид / Подклад: 100% вискоза</v>
      </c>
      <c r="K33" s="81" t="str">
        <f ca="1">LOWER(TRIM(_xlfn.XLOOKUP($A33,Строчный!$A:$A,Строчный!K:K,"ERR",0)))</f>
        <v>шерстяные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Россия</v>
      </c>
      <c r="N33" s="81" t="str">
        <f ca="1">UPPER(TRIM(_xlfn.XLOOKUP($A33,Строчный!$A:$A,Строчный!O:O,"ERR",0)))</f>
        <v/>
      </c>
      <c r="O33" s="102" t="str">
        <f ca="1">PROPER(TRIM(_xlfn.XLOOKUP($A33,Строчный!$A:$A,Строчный!P:P,"ERR",0)))</f>
        <v/>
      </c>
      <c r="P33" s="81" t="str">
        <f ca="1">PROPER(TRIM(_xlfn.XLOOKUP($A33,Строчный!$A:$A,Строчный!R:R,"ERR",0)))</f>
        <v/>
      </c>
      <c r="Q33" s="90">
        <f ca="1">VALUE(_xlfn.XLOOKUP($A33,Строчный!$A:$A,Строчный!N:N,"ERR",0))</f>
        <v>975.8</v>
      </c>
      <c r="R33" s="89" t="str">
        <f ca="1">_xlfn.XLOOKUP($G33,Фабрика!A:A,Фабрика!B:B,"ERR",0)</f>
        <v>ООО "ФРЭДРИКСОН" Россия 192029, С-Петербург, пр. Обуховской обороны, д.86, лит М</v>
      </c>
      <c r="S33" s="80" t="str">
        <f ca="1">_xlfn.XLOOKUP(RIGHT(AA33,2),Размеры!D:D,Размеры!A:A,"ERR",0)</f>
        <v>61</v>
      </c>
      <c r="T33" s="80">
        <f ca="1">VALUE(_xlfn.XLOOKUP($AA33,Строчный!$S:$S,Строчный!U:U,"ERR",0))</f>
        <v>2</v>
      </c>
      <c r="U33" s="14" t="s">
        <v>265</v>
      </c>
      <c r="V33" s="101" t="str">
        <f t="shared" ca="1" si="6"/>
        <v>Бейсболка FREDRIKSON арт. 3276 (черный)</v>
      </c>
      <c r="W33" s="100" t="str">
        <f t="shared" ca="1" si="7"/>
        <v>Бейсболка FREDRIKSON арт. 3276 (черный) {624/91}</v>
      </c>
      <c r="X33" s="18" t="str">
        <f t="shared" ca="1" si="8"/>
        <v>черный</v>
      </c>
      <c r="Y33" s="18" t="str">
        <f t="shared" ca="1" si="9"/>
        <v>черный</v>
      </c>
      <c r="Z33" s="117" t="str">
        <f ca="1">_xlfn.LET(_xlpm.FormColors,_xlfn.XLOOKUP(A33,Строчный!A:A,Строчный!Q:Q,"",0),IF(_xlpm.FormColors=0,IFERROR(MID(I33,FIND("-",I33)+1,LEN(I33)),IFERROR(MID(I33,1,FIND("/",I33)-2),I33)),_xlpm.FormColors))</f>
        <v>черный</v>
      </c>
      <c r="AA33" s="73" t="str">
        <f ca="1"/>
        <v>95-015-09-61</v>
      </c>
      <c r="AB33" s="75" t="str">
        <f ca="1">VLOOKUP(C33,Группа!A:B,2,FALSE)</f>
        <v>Бейсболка</v>
      </c>
      <c r="AC33" s="97" t="str">
        <f ca="1">IFERROR(VLOOKUP(S33,Размеры!A:C,3,FALSE),"")</f>
        <v>61 XL</v>
      </c>
      <c r="AD33" s="97" t="str">
        <f ca="1">VLOOKUP(I33,ЦветПолный!A:B,2,FALSE)</f>
        <v>09</v>
      </c>
      <c r="AE33" s="97" t="str">
        <f ca="1">IFERROR(VLOOKUP(S33,Размеры!A:D,4,FALSE),"")</f>
        <v>61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1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0</v>
      </c>
      <c r="AO33" s="97">
        <f ca="1">VLOOKUP(I33,ЦветПолный!A:C,3,0)</f>
        <v>1</v>
      </c>
      <c r="AP33" s="97">
        <f ca="1">SUMIF(Цвет!A:A,Z33,Цвет!B:B)</f>
        <v>1</v>
      </c>
      <c r="AQ33" s="97">
        <f ca="1">_xlfn.XLOOKUP(L33,Пол!A:A,Пол!B:B,0,0)</f>
        <v>1</v>
      </c>
      <c r="AR33" s="97">
        <f ca="1">SUMIF(Бренд!A:A,G33,Бренд!B:B)</f>
        <v>1</v>
      </c>
      <c r="AS33" s="97">
        <f ca="1">SUMIF(Страна!A:A,M33,Страна!B:B)</f>
        <v>1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5"/>
        <v>95-015-09</v>
      </c>
      <c r="B34" s="107" t="str">
        <f ca="1">_xlfn.LET(_xlpm.CAPS,0,_xlpm.Style,TRIM(_xlfn.XLOOKUP($A34,Строчный!$A:$A,Строчный!B:B,"ERR",0)),IF(_xlpm.CAPS=0,_xlpm.Style,LOWER(_xlpm.Style)))</f>
        <v>3276</v>
      </c>
      <c r="C34" s="81" t="str">
        <f ca="1">TRIM(PROPER(_xlfn.XLOOKUP($A34,Строчный!$A:$A,Строчный!C:C,"ERR",0)))</f>
        <v>Бейсболки</v>
      </c>
      <c r="D34" s="81" t="str">
        <f ca="1">_xlfn.LET(_xlpm.DATA,TRIM(_xlfn.XLOOKUP($A34,Строчный!$A:$A,Строчный!D:D,"ERR",0)),UPPER(MID(_xlpm.DATA,1,1))&amp;LOWER(MID(_xlpm.DATA,2,LEN(_xlpm.DATA)-1)))</f>
        <v>Бейсболка</v>
      </c>
      <c r="E34" s="81" t="str">
        <f ca="1">PROPER(TRIM(_xlfn.XLOOKUP($A34,Строчный!$A:$A,Строчный!E:E,"ERR",0)))</f>
        <v>Fredrikson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FREDRIKSON</v>
      </c>
      <c r="H34" s="81" t="str">
        <f ca="1">LOWER(TRIM(_xlfn.XLOOKUP($A34,Строчный!$A:$A,Строчный!H:H,"ERR",0)))</f>
        <v>624/91</v>
      </c>
      <c r="I34" s="81" t="str">
        <f ca="1">LOWER(TRIM(_xlfn.XLOOKUP($A34,Строчный!$A:$A,Строчный!I:I,"ERR",0)))</f>
        <v>черный</v>
      </c>
      <c r="J34" s="81" t="str">
        <f ca="1">SUBSTITUTE(LOWER(TRIM(_xlfn.XLOOKUP($A34,Строчный!$A:$A,Строчный!J:J,"ERR",0))),"подклад","Подклад")</f>
        <v>80% шерсть - 20% полиамид / Подклад: 100% вискоза</v>
      </c>
      <c r="K34" s="81" t="str">
        <f ca="1">LOWER(TRIM(_xlfn.XLOOKUP($A34,Строчный!$A:$A,Строчный!K:K,"ERR",0)))</f>
        <v>шерстяные</v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Россия</v>
      </c>
      <c r="N34" s="81" t="str">
        <f ca="1">UPPER(TRIM(_xlfn.XLOOKUP($A34,Строчный!$A:$A,Строчный!O:O,"ERR",0)))</f>
        <v/>
      </c>
      <c r="O34" s="102" t="str">
        <f ca="1">PROPER(TRIM(_xlfn.XLOOKUP($A34,Строчный!$A:$A,Строчный!P:P,"ERR",0)))</f>
        <v/>
      </c>
      <c r="P34" s="81" t="str">
        <f ca="1">PROPER(TRIM(_xlfn.XLOOKUP($A34,Строчный!$A:$A,Строчный!R:R,"ERR",0)))</f>
        <v/>
      </c>
      <c r="Q34" s="90">
        <f ca="1">VALUE(_xlfn.XLOOKUP($A34,Строчный!$A:$A,Строчный!N:N,"ERR",0))</f>
        <v>975.8</v>
      </c>
      <c r="R34" s="89" t="str">
        <f ca="1">_xlfn.XLOOKUP($G34,Фабрика!A:A,Фабрика!B:B,"ERR",0)</f>
        <v>ООО "ФРЭДРИКСОН" Россия 192029, С-Петербург, пр. Обуховской обороны, д.86, лит М</v>
      </c>
      <c r="S34" s="80" t="str">
        <f ca="1">_xlfn.XLOOKUP(RIGHT(AA34,2),Размеры!D:D,Размеры!A:A,"ERR",0)</f>
        <v>60</v>
      </c>
      <c r="T34" s="80">
        <f ca="1">VALUE(_xlfn.XLOOKUP($AA34,Строчный!$S:$S,Строчный!U:U,"ERR",0))</f>
        <v>4</v>
      </c>
      <c r="U34" s="14" t="s">
        <v>265</v>
      </c>
      <c r="V34" s="101" t="str">
        <f t="shared" ca="1" si="6"/>
        <v>Бейсболка FREDRIKSON арт. 3276 (черный)</v>
      </c>
      <c r="W34" s="100" t="str">
        <f t="shared" ca="1" si="7"/>
        <v>Бейсболка FREDRIKSON арт. 3276 (черный) {624/91}</v>
      </c>
      <c r="X34" s="18" t="str">
        <f t="shared" ca="1" si="8"/>
        <v>черный</v>
      </c>
      <c r="Y34" s="18" t="str">
        <f t="shared" ca="1" si="9"/>
        <v>черный</v>
      </c>
      <c r="Z34" s="117" t="str">
        <f ca="1">_xlfn.LET(_xlpm.FormColors,_xlfn.XLOOKUP(A34,Строчный!A:A,Строчный!Q:Q,"",0),IF(_xlpm.FormColors=0,IFERROR(MID(I34,FIND("-",I34)+1,LEN(I34)),IFERROR(MID(I34,1,FIND("/",I34)-2),I34)),_xlpm.FormColors))</f>
        <v>черный</v>
      </c>
      <c r="AA34" s="73" t="str">
        <f ca="1"/>
        <v>95-015-09-60</v>
      </c>
      <c r="AB34" s="75" t="str">
        <f ca="1">VLOOKUP(C34,Группа!A:B,2,FALSE)</f>
        <v>Бейсболка</v>
      </c>
      <c r="AC34" s="97" t="str">
        <f ca="1">IFERROR(VLOOKUP(S34,Размеры!A:C,3,FALSE),"")</f>
        <v>60 L/XL</v>
      </c>
      <c r="AD34" s="97" t="str">
        <f ca="1">VLOOKUP(I34,ЦветПолный!A:B,2,FALSE)</f>
        <v>09</v>
      </c>
      <c r="AE34" s="97" t="str">
        <f ca="1">IFERROR(VLOOKUP(S34,Размеры!A:D,4,FALSE),"")</f>
        <v>60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1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0</v>
      </c>
      <c r="AO34" s="97">
        <f ca="1">VLOOKUP(I34,ЦветПолный!A:C,3,0)</f>
        <v>1</v>
      </c>
      <c r="AP34" s="97">
        <f ca="1">SUMIF(Цвет!A:A,Z34,Цвет!B:B)</f>
        <v>1</v>
      </c>
      <c r="AQ34" s="97">
        <f ca="1">_xlfn.XLOOKUP(L34,Пол!A:A,Пол!B:B,0,0)</f>
        <v>1</v>
      </c>
      <c r="AR34" s="97">
        <f ca="1">SUMIF(Бренд!A:A,G34,Бренд!B:B)</f>
        <v>1</v>
      </c>
      <c r="AS34" s="97">
        <f ca="1">SUMIF(Страна!A:A,M34,Страна!B:B)</f>
        <v>1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5"/>
        <v>95-015-09</v>
      </c>
      <c r="B35" s="107" t="str">
        <f ca="1">_xlfn.LET(_xlpm.CAPS,0,_xlpm.Style,TRIM(_xlfn.XLOOKUP($A35,Строчный!$A:$A,Строчный!B:B,"ERR",0)),IF(_xlpm.CAPS=0,_xlpm.Style,LOWER(_xlpm.Style)))</f>
        <v>3276</v>
      </c>
      <c r="C35" s="81" t="str">
        <f ca="1">TRIM(PROPER(_xlfn.XLOOKUP($A35,Строчный!$A:$A,Строчный!C:C,"ERR",0)))</f>
        <v>Бейсболки</v>
      </c>
      <c r="D35" s="81" t="str">
        <f ca="1">_xlfn.LET(_xlpm.DATA,TRIM(_xlfn.XLOOKUP($A35,Строчный!$A:$A,Строчный!D:D,"ERR",0)),UPPER(MID(_xlpm.DATA,1,1))&amp;LOWER(MID(_xlpm.DATA,2,LEN(_xlpm.DATA)-1)))</f>
        <v>Бейсболка</v>
      </c>
      <c r="E35" s="81" t="str">
        <f ca="1">PROPER(TRIM(_xlfn.XLOOKUP($A35,Строчный!$A:$A,Строчный!E:E,"ERR",0)))</f>
        <v>Fredrikson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FREDRIKSON</v>
      </c>
      <c r="H35" s="81" t="str">
        <f ca="1">LOWER(TRIM(_xlfn.XLOOKUP($A35,Строчный!$A:$A,Строчный!H:H,"ERR",0)))</f>
        <v>624/91</v>
      </c>
      <c r="I35" s="81" t="str">
        <f ca="1">LOWER(TRIM(_xlfn.XLOOKUP($A35,Строчный!$A:$A,Строчный!I:I,"ERR",0)))</f>
        <v>черный</v>
      </c>
      <c r="J35" s="81" t="str">
        <f ca="1">SUBSTITUTE(LOWER(TRIM(_xlfn.XLOOKUP($A35,Строчный!$A:$A,Строчный!J:J,"ERR",0))),"подклад","Подклад")</f>
        <v>80% шерсть - 20% полиамид / Подклад: 100% вискоза</v>
      </c>
      <c r="K35" s="81" t="str">
        <f ca="1">LOWER(TRIM(_xlfn.XLOOKUP($A35,Строчный!$A:$A,Строчный!K:K,"ERR",0)))</f>
        <v>шерстяные</v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Россия</v>
      </c>
      <c r="N35" s="81" t="str">
        <f ca="1">UPPER(TRIM(_xlfn.XLOOKUP($A35,Строчный!$A:$A,Строчный!O:O,"ERR",0)))</f>
        <v/>
      </c>
      <c r="O35" s="102" t="str">
        <f ca="1">PROPER(TRIM(_xlfn.XLOOKUP($A35,Строчный!$A:$A,Строчный!P:P,"ERR",0)))</f>
        <v/>
      </c>
      <c r="P35" s="81" t="str">
        <f ca="1">PROPER(TRIM(_xlfn.XLOOKUP($A35,Строчный!$A:$A,Строчный!R:R,"ERR",0)))</f>
        <v/>
      </c>
      <c r="Q35" s="90">
        <f ca="1">VALUE(_xlfn.XLOOKUP($A35,Строчный!$A:$A,Строчный!N:N,"ERR",0))</f>
        <v>975.8</v>
      </c>
      <c r="R35" s="89" t="str">
        <f ca="1">_xlfn.XLOOKUP($G35,Фабрика!A:A,Фабрика!B:B,"ERR",0)</f>
        <v>ООО "ФРЭДРИКСОН" Россия 192029, С-Петербург, пр. Обуховской обороны, д.86, лит М</v>
      </c>
      <c r="S35" s="80" t="str">
        <f ca="1">_xlfn.XLOOKUP(RIGHT(AA35,2),Размеры!D:D,Размеры!A:A,"ERR",0)</f>
        <v>59</v>
      </c>
      <c r="T35" s="80">
        <f ca="1">VALUE(_xlfn.XLOOKUP($AA35,Строчный!$S:$S,Строчный!U:U,"ERR",0))</f>
        <v>5</v>
      </c>
      <c r="U35" s="14" t="s">
        <v>265</v>
      </c>
      <c r="V35" s="101" t="str">
        <f t="shared" ca="1" si="6"/>
        <v>Бейсболка FREDRIKSON арт. 3276 (черный)</v>
      </c>
      <c r="W35" s="100" t="str">
        <f t="shared" ca="1" si="7"/>
        <v>Бейсболка FREDRIKSON арт. 3276 (черный) {624/91}</v>
      </c>
      <c r="X35" s="18" t="str">
        <f t="shared" ca="1" si="8"/>
        <v>черный</v>
      </c>
      <c r="Y35" s="18" t="str">
        <f t="shared" ca="1" si="9"/>
        <v>черный</v>
      </c>
      <c r="Z35" s="117" t="str">
        <f ca="1">_xlfn.LET(_xlpm.FormColors,_xlfn.XLOOKUP(A35,Строчный!A:A,Строчный!Q:Q,"",0),IF(_xlpm.FormColors=0,IFERROR(MID(I35,FIND("-",I35)+1,LEN(I35)),IFERROR(MID(I35,1,FIND("/",I35)-2),I35)),_xlpm.FormColors))</f>
        <v>черный</v>
      </c>
      <c r="AA35" s="73" t="str">
        <f ca="1"/>
        <v>95-015-09-59</v>
      </c>
      <c r="AB35" s="75" t="str">
        <f ca="1">VLOOKUP(C35,Группа!A:B,2,FALSE)</f>
        <v>Бейсболка</v>
      </c>
      <c r="AC35" s="97" t="str">
        <f ca="1">IFERROR(VLOOKUP(S35,Размеры!A:C,3,FALSE),"")</f>
        <v>59 L</v>
      </c>
      <c r="AD35" s="97" t="str">
        <f ca="1">VLOOKUP(I35,ЦветПолный!A:B,2,FALSE)</f>
        <v>09</v>
      </c>
      <c r="AE35" s="97" t="str">
        <f ca="1">IFERROR(VLOOKUP(S35,Размеры!A:D,4,FALSE),"")</f>
        <v>59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1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0</v>
      </c>
      <c r="AO35" s="97">
        <f ca="1">VLOOKUP(I35,ЦветПолный!A:C,3,0)</f>
        <v>1</v>
      </c>
      <c r="AP35" s="97">
        <f ca="1">SUMIF(Цвет!A:A,Z35,Цвет!B:B)</f>
        <v>1</v>
      </c>
      <c r="AQ35" s="97">
        <f ca="1">_xlfn.XLOOKUP(L35,Пол!A:A,Пол!B:B,0,0)</f>
        <v>1</v>
      </c>
      <c r="AR35" s="97">
        <f ca="1">SUMIF(Бренд!A:A,G35,Бренд!B:B)</f>
        <v>1</v>
      </c>
      <c r="AS35" s="97">
        <f ca="1">SUMIF(Страна!A:A,M35,Страна!B:B)</f>
        <v>1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5"/>
        <v>95-015-09</v>
      </c>
      <c r="B36" s="107" t="str">
        <f ca="1">_xlfn.LET(_xlpm.CAPS,0,_xlpm.Style,TRIM(_xlfn.XLOOKUP($A36,Строчный!$A:$A,Строчный!B:B,"ERR",0)),IF(_xlpm.CAPS=0,_xlpm.Style,LOWER(_xlpm.Style)))</f>
        <v>3276</v>
      </c>
      <c r="C36" s="81" t="str">
        <f ca="1">TRIM(PROPER(_xlfn.XLOOKUP($A36,Строчный!$A:$A,Строчный!C:C,"ERR",0)))</f>
        <v>Бейсболки</v>
      </c>
      <c r="D36" s="81" t="str">
        <f ca="1">_xlfn.LET(_xlpm.DATA,TRIM(_xlfn.XLOOKUP($A36,Строчный!$A:$A,Строчный!D:D,"ERR",0)),UPPER(MID(_xlpm.DATA,1,1))&amp;LOWER(MID(_xlpm.DATA,2,LEN(_xlpm.DATA)-1)))</f>
        <v>Бейсболка</v>
      </c>
      <c r="E36" s="81" t="str">
        <f ca="1">PROPER(TRIM(_xlfn.XLOOKUP($A36,Строчный!$A:$A,Строчный!E:E,"ERR",0)))</f>
        <v>Fredrikson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FREDRIKSON</v>
      </c>
      <c r="H36" s="81" t="str">
        <f ca="1">LOWER(TRIM(_xlfn.XLOOKUP($A36,Строчный!$A:$A,Строчный!H:H,"ERR",0)))</f>
        <v>624/91</v>
      </c>
      <c r="I36" s="81" t="str">
        <f ca="1">LOWER(TRIM(_xlfn.XLOOKUP($A36,Строчный!$A:$A,Строчный!I:I,"ERR",0)))</f>
        <v>черный</v>
      </c>
      <c r="J36" s="81" t="str">
        <f ca="1">SUBSTITUTE(LOWER(TRIM(_xlfn.XLOOKUP($A36,Строчный!$A:$A,Строчный!J:J,"ERR",0))),"подклад","Подклад")</f>
        <v>80% шерсть - 20% полиамид / Подклад: 100% вискоза</v>
      </c>
      <c r="K36" s="81" t="str">
        <f ca="1">LOWER(TRIM(_xlfn.XLOOKUP($A36,Строчный!$A:$A,Строчный!K:K,"ERR",0)))</f>
        <v>шерстяные</v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Россия</v>
      </c>
      <c r="N36" s="81" t="str">
        <f ca="1">UPPER(TRIM(_xlfn.XLOOKUP($A36,Строчный!$A:$A,Строчный!O:O,"ERR",0)))</f>
        <v/>
      </c>
      <c r="O36" s="102" t="str">
        <f ca="1">PROPER(TRIM(_xlfn.XLOOKUP($A36,Строчный!$A:$A,Строчный!P:P,"ERR",0)))</f>
        <v/>
      </c>
      <c r="P36" s="81" t="str">
        <f ca="1">PROPER(TRIM(_xlfn.XLOOKUP($A36,Строчный!$A:$A,Строчный!R:R,"ERR",0)))</f>
        <v/>
      </c>
      <c r="Q36" s="90">
        <f ca="1">VALUE(_xlfn.XLOOKUP($A36,Строчный!$A:$A,Строчный!N:N,"ERR",0))</f>
        <v>975.8</v>
      </c>
      <c r="R36" s="89" t="str">
        <f ca="1">_xlfn.XLOOKUP($G36,Фабрика!A:A,Фабрика!B:B,"ERR",0)</f>
        <v>ООО "ФРЭДРИКСОН" Россия 192029, С-Петербург, пр. Обуховской обороны, д.86, лит М</v>
      </c>
      <c r="S36" s="80" t="str">
        <f ca="1">_xlfn.XLOOKUP(RIGHT(AA36,2),Размеры!D:D,Размеры!A:A,"ERR",0)</f>
        <v>58</v>
      </c>
      <c r="T36" s="80">
        <f ca="1">VALUE(_xlfn.XLOOKUP($AA36,Строчный!$S:$S,Строчный!U:U,"ERR",0))</f>
        <v>4</v>
      </c>
      <c r="U36" s="14" t="s">
        <v>265</v>
      </c>
      <c r="V36" s="101" t="str">
        <f t="shared" ca="1" si="6"/>
        <v>Бейсболка FREDRIKSON арт. 3276 (черный)</v>
      </c>
      <c r="W36" s="100" t="str">
        <f t="shared" ca="1" si="7"/>
        <v>Бейсболка FREDRIKSON арт. 3276 (черный) {624/91}</v>
      </c>
      <c r="X36" s="18" t="str">
        <f t="shared" ca="1" si="8"/>
        <v>черный</v>
      </c>
      <c r="Y36" s="18" t="str">
        <f t="shared" ca="1" si="9"/>
        <v>черный</v>
      </c>
      <c r="Z36" s="117" t="str">
        <f ca="1">_xlfn.LET(_xlpm.FormColors,_xlfn.XLOOKUP(A36,Строчный!A:A,Строчный!Q:Q,"",0),IF(_xlpm.FormColors=0,IFERROR(MID(I36,FIND("-",I36)+1,LEN(I36)),IFERROR(MID(I36,1,FIND("/",I36)-2),I36)),_xlpm.FormColors))</f>
        <v>черный</v>
      </c>
      <c r="AA36" s="73" t="str">
        <f ca="1"/>
        <v>95-015-09-58</v>
      </c>
      <c r="AB36" s="75" t="str">
        <f ca="1">VLOOKUP(C36,Группа!A:B,2,FALSE)</f>
        <v>Бейсболка</v>
      </c>
      <c r="AC36" s="97" t="str">
        <f ca="1">IFERROR(VLOOKUP(S36,Размеры!A:C,3,FALSE),"")</f>
        <v>58 M/L</v>
      </c>
      <c r="AD36" s="97" t="str">
        <f ca="1">VLOOKUP(I36,ЦветПолный!A:B,2,FALSE)</f>
        <v>09</v>
      </c>
      <c r="AE36" s="97" t="str">
        <f ca="1">IFERROR(VLOOKUP(S36,Размеры!A:D,4,FALSE),"")</f>
        <v>58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1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0</v>
      </c>
      <c r="AO36" s="97">
        <f ca="1">VLOOKUP(I36,ЦветПолный!A:C,3,0)</f>
        <v>1</v>
      </c>
      <c r="AP36" s="97">
        <f ca="1">SUMIF(Цвет!A:A,Z36,Цвет!B:B)</f>
        <v>1</v>
      </c>
      <c r="AQ36" s="97">
        <f ca="1">_xlfn.XLOOKUP(L36,Пол!A:A,Пол!B:B,0,0)</f>
        <v>1</v>
      </c>
      <c r="AR36" s="97">
        <f ca="1">SUMIF(Бренд!A:A,G36,Бренд!B:B)</f>
        <v>1</v>
      </c>
      <c r="AS36" s="97">
        <f ca="1">SUMIF(Страна!A:A,M36,Страна!B:B)</f>
        <v>1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5"/>
        <v>95-015-09</v>
      </c>
      <c r="B37" s="107" t="str">
        <f ca="1">_xlfn.LET(_xlpm.CAPS,0,_xlpm.Style,TRIM(_xlfn.XLOOKUP($A37,Строчный!$A:$A,Строчный!B:B,"ERR",0)),IF(_xlpm.CAPS=0,_xlpm.Style,LOWER(_xlpm.Style)))</f>
        <v>3276</v>
      </c>
      <c r="C37" s="81" t="str">
        <f ca="1">TRIM(PROPER(_xlfn.XLOOKUP($A37,Строчный!$A:$A,Строчный!C:C,"ERR",0)))</f>
        <v>Бейсболки</v>
      </c>
      <c r="D37" s="81" t="str">
        <f ca="1">_xlfn.LET(_xlpm.DATA,TRIM(_xlfn.XLOOKUP($A37,Строчный!$A:$A,Строчный!D:D,"ERR",0)),UPPER(MID(_xlpm.DATA,1,1))&amp;LOWER(MID(_xlpm.DATA,2,LEN(_xlpm.DATA)-1)))</f>
        <v>Бейсболка</v>
      </c>
      <c r="E37" s="81" t="str">
        <f ca="1">PROPER(TRIM(_xlfn.XLOOKUP($A37,Строчный!$A:$A,Строчный!E:E,"ERR",0)))</f>
        <v>Fredrikson</v>
      </c>
      <c r="F37" s="81" t="str">
        <f ca="1">LOWER(TRIM(_xlfn.XLOOKUP($A37,Строчный!$A:$A,Строчный!F:F,"ERR",0)))</f>
        <v>всесезон</v>
      </c>
      <c r="G37" s="81" t="str">
        <f ca="1">UPPER(TRIM(_xlfn.XLOOKUP($A37,Строчный!$A:$A,Строчный!G:G,"ERR",0)))</f>
        <v>FREDRIKSON</v>
      </c>
      <c r="H37" s="81" t="str">
        <f ca="1">LOWER(TRIM(_xlfn.XLOOKUP($A37,Строчный!$A:$A,Строчный!H:H,"ERR",0)))</f>
        <v>624/91</v>
      </c>
      <c r="I37" s="81" t="str">
        <f ca="1">LOWER(TRIM(_xlfn.XLOOKUP($A37,Строчный!$A:$A,Строчный!I:I,"ERR",0)))</f>
        <v>черный</v>
      </c>
      <c r="J37" s="81" t="str">
        <f ca="1">SUBSTITUTE(LOWER(TRIM(_xlfn.XLOOKUP($A37,Строчный!$A:$A,Строчный!J:J,"ERR",0))),"подклад","Подклад")</f>
        <v>80% шерсть - 20% полиамид / Подклад: 100% вискоза</v>
      </c>
      <c r="K37" s="81" t="str">
        <f ca="1">LOWER(TRIM(_xlfn.XLOOKUP($A37,Строчный!$A:$A,Строчный!K:K,"ERR",0)))</f>
        <v>шерстяные</v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Россия</v>
      </c>
      <c r="N37" s="81" t="str">
        <f ca="1">UPPER(TRIM(_xlfn.XLOOKUP($A37,Строчный!$A:$A,Строчный!O:O,"ERR",0)))</f>
        <v/>
      </c>
      <c r="O37" s="102" t="str">
        <f ca="1">PROPER(TRIM(_xlfn.XLOOKUP($A37,Строчный!$A:$A,Строчный!P:P,"ERR",0)))</f>
        <v/>
      </c>
      <c r="P37" s="81" t="str">
        <f ca="1">PROPER(TRIM(_xlfn.XLOOKUP($A37,Строчный!$A:$A,Строчный!R:R,"ERR",0)))</f>
        <v/>
      </c>
      <c r="Q37" s="90">
        <f ca="1">VALUE(_xlfn.XLOOKUP($A37,Строчный!$A:$A,Строчный!N:N,"ERR",0))</f>
        <v>975.8</v>
      </c>
      <c r="R37" s="89" t="str">
        <f ca="1">_xlfn.XLOOKUP($G37,Фабрика!A:A,Фабрика!B:B,"ERR",0)</f>
        <v>ООО "ФРЭДРИКСОН" Россия 192029, С-Петербург, пр. Обуховской обороны, д.86, лит М</v>
      </c>
      <c r="S37" s="80" t="str">
        <f ca="1">_xlfn.XLOOKUP(RIGHT(AA37,2),Размеры!D:D,Размеры!A:A,"ERR",0)</f>
        <v>57</v>
      </c>
      <c r="T37" s="80">
        <f ca="1">VALUE(_xlfn.XLOOKUP($AA37,Строчный!$S:$S,Строчный!U:U,"ERR",0))</f>
        <v>2</v>
      </c>
      <c r="U37" s="14" t="s">
        <v>265</v>
      </c>
      <c r="V37" s="101" t="str">
        <f t="shared" ca="1" si="6"/>
        <v>Бейсболка FREDRIKSON арт. 3276 (черный)</v>
      </c>
      <c r="W37" s="100" t="str">
        <f t="shared" ca="1" si="7"/>
        <v>Бейсболка FREDRIKSON арт. 3276 (черный) {624/91}</v>
      </c>
      <c r="X37" s="18" t="str">
        <f t="shared" ca="1" si="8"/>
        <v>черный</v>
      </c>
      <c r="Y37" s="18" t="str">
        <f t="shared" ca="1" si="9"/>
        <v>черный</v>
      </c>
      <c r="Z37" s="117" t="str">
        <f ca="1">_xlfn.LET(_xlpm.FormColors,_xlfn.XLOOKUP(A37,Строчный!A:A,Строчный!Q:Q,"",0),IF(_xlpm.FormColors=0,IFERROR(MID(I37,FIND("-",I37)+1,LEN(I37)),IFERROR(MID(I37,1,FIND("/",I37)-2),I37)),_xlpm.FormColors))</f>
        <v>черный</v>
      </c>
      <c r="AA37" s="73" t="str">
        <f ca="1"/>
        <v>95-015-09-57</v>
      </c>
      <c r="AB37" s="75" t="str">
        <f ca="1">VLOOKUP(C37,Группа!A:B,2,FALSE)</f>
        <v>Бейсболка</v>
      </c>
      <c r="AC37" s="97" t="str">
        <f ca="1">IFERROR(VLOOKUP(S37,Размеры!A:C,3,FALSE),"")</f>
        <v>57 M</v>
      </c>
      <c r="AD37" s="97" t="str">
        <f ca="1">VLOOKUP(I37,ЦветПолный!A:B,2,FALSE)</f>
        <v>09</v>
      </c>
      <c r="AE37" s="97" t="str">
        <f ca="1">IFERROR(VLOOKUP(S37,Размеры!A:D,4,FALSE),"")</f>
        <v>57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1</v>
      </c>
      <c r="AI37" s="97">
        <f ca="1">SUMIF(Группа!B:B,AB37,Группа!C:C)</f>
        <v>1</v>
      </c>
      <c r="AJ37" s="97">
        <f ca="1">SUMIF(Формы!A:A,D37,Формы!B:B)</f>
        <v>1</v>
      </c>
      <c r="AK37" s="97">
        <f ca="1">SUMIF(Материал!A:A,K37,Материал!B:B)</f>
        <v>1</v>
      </c>
      <c r="AL37" s="97">
        <f ca="1">SUMIF(Размеры!A:A,S37,Размеры!E:E)</f>
        <v>1</v>
      </c>
      <c r="AM37" s="97">
        <f ca="1">SUMIF(Сезон!A:A,F37,Сезон!B:B)</f>
        <v>1</v>
      </c>
      <c r="AN37" s="97">
        <f ca="1">SUMIF(Состав!A:A,J37,Состав!B:B)</f>
        <v>0</v>
      </c>
      <c r="AO37" s="97">
        <f ca="1">VLOOKUP(I37,ЦветПолный!A:C,3,0)</f>
        <v>1</v>
      </c>
      <c r="AP37" s="97">
        <f ca="1">SUMIF(Цвет!A:A,Z37,Цвет!B:B)</f>
        <v>1</v>
      </c>
      <c r="AQ37" s="97">
        <f ca="1">_xlfn.XLOOKUP(L37,Пол!A:A,Пол!B:B,0,0)</f>
        <v>1</v>
      </c>
      <c r="AR37" s="97">
        <f ca="1">SUMIF(Бренд!A:A,G37,Бренд!B:B)</f>
        <v>1</v>
      </c>
      <c r="AS37" s="97">
        <f ca="1">SUMIF(Страна!A:A,M37,Страна!B:B)</f>
        <v>1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5"/>
        <v>95-014-48</v>
      </c>
      <c r="B38" s="107" t="str">
        <f ca="1">_xlfn.LET(_xlpm.CAPS,0,_xlpm.Style,TRIM(_xlfn.XLOOKUP($A38,Строчный!$A:$A,Строчный!B:B,"ERR",0)),IF(_xlpm.CAPS=0,_xlpm.Style,LOWER(_xlpm.Style)))</f>
        <v>3243</v>
      </c>
      <c r="C38" s="81" t="str">
        <f ca="1">TRIM(PROPER(_xlfn.XLOOKUP($A38,Строчный!$A:$A,Строчный!C:C,"ERR",0)))</f>
        <v>Кепки</v>
      </c>
      <c r="D38" s="81" t="str">
        <f ca="1">_xlfn.LET(_xlpm.DATA,TRIM(_xlfn.XLOOKUP($A38,Строчный!$A:$A,Строчный!D:D,"ERR",0)),UPPER(MID(_xlpm.DATA,1,1))&amp;LOWER(MID(_xlpm.DATA,2,LEN(_xlpm.DATA)-1)))</f>
        <v>Кепка кадетка</v>
      </c>
      <c r="E38" s="81" t="str">
        <f ca="1">PROPER(TRIM(_xlfn.XLOOKUP($A38,Строчный!$A:$A,Строчный!E:E,"ERR",0)))</f>
        <v>Fredrikson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FREDRIKSON</v>
      </c>
      <c r="H38" s="81" t="str">
        <f ca="1">LOWER(TRIM(_xlfn.XLOOKUP($A38,Строчный!$A:$A,Строчный!H:H,"ERR",0)))</f>
        <v>624/91</v>
      </c>
      <c r="I38" s="81" t="str">
        <f ca="1">LOWER(TRIM(_xlfn.XLOOKUP($A38,Строчный!$A:$A,Строчный!I:I,"ERR",0)))</f>
        <v>черный / черный</v>
      </c>
      <c r="J38" s="81" t="str">
        <f ca="1">SUBSTITUTE(LOWER(TRIM(_xlfn.XLOOKUP($A38,Строчный!$A:$A,Строчный!J:J,"ERR",0))),"подклад","Подклад")</f>
        <v>80% шерсть - 20% полиамид / Подклад: 100% вискоза</v>
      </c>
      <c r="K38" s="81" t="str">
        <f ca="1">LOWER(TRIM(_xlfn.XLOOKUP($A38,Строчный!$A:$A,Строчный!K:K,"ERR",0)))</f>
        <v>шерстяные</v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Россия</v>
      </c>
      <c r="N38" s="81" t="str">
        <f ca="1">UPPER(TRIM(_xlfn.XLOOKUP($A38,Строчный!$A:$A,Строчный!O:O,"ERR",0)))</f>
        <v/>
      </c>
      <c r="O38" s="102" t="str">
        <f ca="1">PROPER(TRIM(_xlfn.XLOOKUP($A38,Строчный!$A:$A,Строчный!P:P,"ERR",0)))</f>
        <v/>
      </c>
      <c r="P38" s="81" t="str">
        <f ca="1">PROPER(TRIM(_xlfn.XLOOKUP($A38,Строчный!$A:$A,Строчный!R:R,"ERR",0)))</f>
        <v/>
      </c>
      <c r="Q38" s="90">
        <f ca="1">VALUE(_xlfn.XLOOKUP($A38,Строчный!$A:$A,Строчный!N:N,"ERR",0))</f>
        <v>975.8</v>
      </c>
      <c r="R38" s="89" t="str">
        <f ca="1">_xlfn.XLOOKUP($G38,Фабрика!A:A,Фабрика!B:B,"ERR",0)</f>
        <v>ООО "ФРЭДРИКСОН" Россия 192029, С-Петербург, пр. Обуховской обороны, д.86, лит М</v>
      </c>
      <c r="S38" s="80" t="str">
        <f ca="1">_xlfn.XLOOKUP(RIGHT(AA38,2),Размеры!D:D,Размеры!A:A,"ERR",0)</f>
        <v>59</v>
      </c>
      <c r="T38" s="80">
        <f ca="1">VALUE(_xlfn.XLOOKUP($AA38,Строчный!$S:$S,Строчный!U:U,"ERR",0))</f>
        <v>6</v>
      </c>
      <c r="U38" s="14" t="s">
        <v>265</v>
      </c>
      <c r="V38" s="101" t="str">
        <f t="shared" ca="1" si="6"/>
        <v>Кепка FREDRIKSON арт. 3243 (черный / черный)</v>
      </c>
      <c r="W38" s="100" t="str">
        <f t="shared" ca="1" si="7"/>
        <v>Кепка FREDRIKSON арт. 3243 (черный / черный) {624/91}</v>
      </c>
      <c r="X38" s="18" t="str">
        <f t="shared" ca="1" si="8"/>
        <v>черный</v>
      </c>
      <c r="Y38" s="18" t="str">
        <f t="shared" ca="1" si="9"/>
        <v>черный</v>
      </c>
      <c r="Z38" s="117" t="str">
        <f ca="1">_xlfn.LET(_xlpm.FormColors,_xlfn.XLOOKUP(A38,Строчный!A:A,Строчный!Q:Q,"",0),IF(_xlpm.FormColors=0,IFERROR(MID(I38,FIND("-",I38)+1,LEN(I38)),IFERROR(MID(I38,1,FIND("/",I38)-2),I38)),_xlpm.FormColors))</f>
        <v>черный</v>
      </c>
      <c r="AA38" s="73" t="str">
        <f ca="1"/>
        <v>95-014-48-59</v>
      </c>
      <c r="AB38" s="75" t="str">
        <f ca="1">VLOOKUP(C38,Группа!A:B,2,FALSE)</f>
        <v>Кепка</v>
      </c>
      <c r="AC38" s="97" t="str">
        <f ca="1">IFERROR(VLOOKUP(S38,Размеры!A:C,3,FALSE),"")</f>
        <v>59 L</v>
      </c>
      <c r="AD38" s="97" t="str">
        <f ca="1">VLOOKUP(I38,ЦветПолный!A:B,2,FALSE)</f>
        <v>48</v>
      </c>
      <c r="AE38" s="97" t="str">
        <f ca="1">IFERROR(VLOOKUP(S38,Размеры!A:D,4,FALSE),"")</f>
        <v>59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1</v>
      </c>
      <c r="AI38" s="97">
        <f ca="1">SUMIF(Группа!B:B,AB38,Группа!C:C)</f>
        <v>1</v>
      </c>
      <c r="AJ38" s="97">
        <f ca="1">SUMIF(Формы!A:A,D38,Формы!B:B)</f>
        <v>1</v>
      </c>
      <c r="AK38" s="97">
        <f ca="1">SUMIF(Материал!A:A,K38,Материал!B:B)</f>
        <v>1</v>
      </c>
      <c r="AL38" s="97">
        <f ca="1">SUMIF(Размеры!A:A,S38,Размеры!E:E)</f>
        <v>1</v>
      </c>
      <c r="AM38" s="97">
        <f ca="1">SUMIF(Сезон!A:A,F38,Сезон!B:B)</f>
        <v>1</v>
      </c>
      <c r="AN38" s="97">
        <f ca="1">SUMIF(Состав!A:A,J38,Состав!B:B)</f>
        <v>0</v>
      </c>
      <c r="AO38" s="97">
        <f ca="1">VLOOKUP(I38,ЦветПолный!A:C,3,0)</f>
        <v>1</v>
      </c>
      <c r="AP38" s="97">
        <f ca="1">SUMIF(Цвет!A:A,Z38,Цвет!B:B)</f>
        <v>1</v>
      </c>
      <c r="AQ38" s="97">
        <f ca="1">_xlfn.XLOOKUP(L38,Пол!A:A,Пол!B:B,0,0)</f>
        <v>1</v>
      </c>
      <c r="AR38" s="97">
        <f ca="1">SUMIF(Бренд!A:A,G38,Бренд!B:B)</f>
        <v>1</v>
      </c>
      <c r="AS38" s="97">
        <f ca="1">SUMIF(Страна!A:A,M38,Страна!B:B)</f>
        <v>1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5"/>
        <v>95-014-48</v>
      </c>
      <c r="B39" s="107" t="str">
        <f ca="1">_xlfn.LET(_xlpm.CAPS,0,_xlpm.Style,TRIM(_xlfn.XLOOKUP($A39,Строчный!$A:$A,Строчный!B:B,"ERR",0)),IF(_xlpm.CAPS=0,_xlpm.Style,LOWER(_xlpm.Style)))</f>
        <v>3243</v>
      </c>
      <c r="C39" s="81" t="str">
        <f ca="1">TRIM(PROPER(_xlfn.XLOOKUP($A39,Строчный!$A:$A,Строчный!C:C,"ERR",0)))</f>
        <v>Кепки</v>
      </c>
      <c r="D39" s="81" t="str">
        <f ca="1">_xlfn.LET(_xlpm.DATA,TRIM(_xlfn.XLOOKUP($A39,Строчный!$A:$A,Строчный!D:D,"ERR",0)),UPPER(MID(_xlpm.DATA,1,1))&amp;LOWER(MID(_xlpm.DATA,2,LEN(_xlpm.DATA)-1)))</f>
        <v>Кепка кадетка</v>
      </c>
      <c r="E39" s="81" t="str">
        <f ca="1">PROPER(TRIM(_xlfn.XLOOKUP($A39,Строчный!$A:$A,Строчный!E:E,"ERR",0)))</f>
        <v>Fredrikson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FREDRIKSON</v>
      </c>
      <c r="H39" s="81" t="str">
        <f ca="1">LOWER(TRIM(_xlfn.XLOOKUP($A39,Строчный!$A:$A,Строчный!H:H,"ERR",0)))</f>
        <v>624/91</v>
      </c>
      <c r="I39" s="81" t="str">
        <f ca="1">LOWER(TRIM(_xlfn.XLOOKUP($A39,Строчный!$A:$A,Строчный!I:I,"ERR",0)))</f>
        <v>черный / черный</v>
      </c>
      <c r="J39" s="81" t="str">
        <f ca="1">SUBSTITUTE(LOWER(TRIM(_xlfn.XLOOKUP($A39,Строчный!$A:$A,Строчный!J:J,"ERR",0))),"подклад","Подклад")</f>
        <v>80% шерсть - 20% полиамид / Подклад: 100% вискоза</v>
      </c>
      <c r="K39" s="81" t="str">
        <f ca="1">LOWER(TRIM(_xlfn.XLOOKUP($A39,Строчный!$A:$A,Строчный!K:K,"ERR",0)))</f>
        <v>шерстяные</v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Россия</v>
      </c>
      <c r="N39" s="81" t="str">
        <f ca="1">UPPER(TRIM(_xlfn.XLOOKUP($A39,Строчный!$A:$A,Строчный!O:O,"ERR",0)))</f>
        <v/>
      </c>
      <c r="O39" s="102" t="str">
        <f ca="1">PROPER(TRIM(_xlfn.XLOOKUP($A39,Строчный!$A:$A,Строчный!P:P,"ERR",0)))</f>
        <v/>
      </c>
      <c r="P39" s="81" t="str">
        <f ca="1">PROPER(TRIM(_xlfn.XLOOKUP($A39,Строчный!$A:$A,Строчный!R:R,"ERR",0)))</f>
        <v/>
      </c>
      <c r="Q39" s="90">
        <f ca="1">VALUE(_xlfn.XLOOKUP($A39,Строчный!$A:$A,Строчный!N:N,"ERR",0))</f>
        <v>975.8</v>
      </c>
      <c r="R39" s="89" t="str">
        <f ca="1">_xlfn.XLOOKUP($G39,Фабрика!A:A,Фабрика!B:B,"ERR",0)</f>
        <v>ООО "ФРЭДРИКСОН" Россия 192029, С-Петербург, пр. Обуховской обороны, д.86, лит М</v>
      </c>
      <c r="S39" s="80" t="str">
        <f ca="1">_xlfn.XLOOKUP(RIGHT(AA39,2),Размеры!D:D,Размеры!A:A,"ERR",0)</f>
        <v>58</v>
      </c>
      <c r="T39" s="80">
        <f ca="1">VALUE(_xlfn.XLOOKUP($AA39,Строчный!$S:$S,Строчный!U:U,"ERR",0))</f>
        <v>4</v>
      </c>
      <c r="U39" s="14" t="s">
        <v>265</v>
      </c>
      <c r="V39" s="101" t="str">
        <f t="shared" ca="1" si="6"/>
        <v>Кепка FREDRIKSON арт. 3243 (черный / черный)</v>
      </c>
      <c r="W39" s="100" t="str">
        <f t="shared" ca="1" si="7"/>
        <v>Кепка FREDRIKSON арт. 3243 (черный / черный) {624/91}</v>
      </c>
      <c r="X39" s="18" t="str">
        <f t="shared" ca="1" si="8"/>
        <v>черный</v>
      </c>
      <c r="Y39" s="18" t="str">
        <f t="shared" ca="1" si="9"/>
        <v>черный</v>
      </c>
      <c r="Z39" s="117" t="str">
        <f ca="1">_xlfn.LET(_xlpm.FormColors,_xlfn.XLOOKUP(A39,Строчный!A:A,Строчный!Q:Q,"",0),IF(_xlpm.FormColors=0,IFERROR(MID(I39,FIND("-",I39)+1,LEN(I39)),IFERROR(MID(I39,1,FIND("/",I39)-2),I39)),_xlpm.FormColors))</f>
        <v>черный</v>
      </c>
      <c r="AA39" s="73" t="str">
        <f ca="1"/>
        <v>95-014-48-58</v>
      </c>
      <c r="AB39" s="75" t="str">
        <f ca="1">VLOOKUP(C39,Группа!A:B,2,FALSE)</f>
        <v>Кепка</v>
      </c>
      <c r="AC39" s="97" t="str">
        <f ca="1">IFERROR(VLOOKUP(S39,Размеры!A:C,3,FALSE),"")</f>
        <v>58 M/L</v>
      </c>
      <c r="AD39" s="97" t="str">
        <f ca="1">VLOOKUP(I39,ЦветПолный!A:B,2,FALSE)</f>
        <v>48</v>
      </c>
      <c r="AE39" s="97" t="str">
        <f ca="1">IFERROR(VLOOKUP(S39,Размеры!A:D,4,FALSE),"")</f>
        <v>58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1</v>
      </c>
      <c r="AI39" s="97">
        <f ca="1">SUMIF(Группа!B:B,AB39,Группа!C:C)</f>
        <v>1</v>
      </c>
      <c r="AJ39" s="97">
        <f ca="1">SUMIF(Формы!A:A,D39,Формы!B:B)</f>
        <v>1</v>
      </c>
      <c r="AK39" s="97">
        <f ca="1">SUMIF(Материал!A:A,K39,Материал!B:B)</f>
        <v>1</v>
      </c>
      <c r="AL39" s="97">
        <f ca="1">SUMIF(Размеры!A:A,S39,Размеры!E:E)</f>
        <v>1</v>
      </c>
      <c r="AM39" s="97">
        <f ca="1">SUMIF(Сезон!A:A,F39,Сезон!B:B)</f>
        <v>1</v>
      </c>
      <c r="AN39" s="97">
        <f ca="1">SUMIF(Состав!A:A,J39,Состав!B:B)</f>
        <v>0</v>
      </c>
      <c r="AO39" s="97">
        <f ca="1">VLOOKUP(I39,ЦветПолный!A:C,3,0)</f>
        <v>1</v>
      </c>
      <c r="AP39" s="97">
        <f ca="1">SUMIF(Цвет!A:A,Z39,Цвет!B:B)</f>
        <v>1</v>
      </c>
      <c r="AQ39" s="97">
        <f ca="1">_xlfn.XLOOKUP(L39,Пол!A:A,Пол!B:B,0,0)</f>
        <v>1</v>
      </c>
      <c r="AR39" s="97">
        <f ca="1">SUMIF(Бренд!A:A,G39,Бренд!B:B)</f>
        <v>1</v>
      </c>
      <c r="AS39" s="97">
        <f ca="1">SUMIF(Страна!A:A,M39,Страна!B:B)</f>
        <v>1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5"/>
        <v>95-014-48</v>
      </c>
      <c r="B40" s="107" t="str">
        <f ca="1">_xlfn.LET(_xlpm.CAPS,0,_xlpm.Style,TRIM(_xlfn.XLOOKUP($A40,Строчный!$A:$A,Строчный!B:B,"ERR",0)),IF(_xlpm.CAPS=0,_xlpm.Style,LOWER(_xlpm.Style)))</f>
        <v>3243</v>
      </c>
      <c r="C40" s="81" t="str">
        <f ca="1">TRIM(PROPER(_xlfn.XLOOKUP($A40,Строчный!$A:$A,Строчный!C:C,"ERR",0)))</f>
        <v>Кепки</v>
      </c>
      <c r="D40" s="81" t="str">
        <f ca="1">_xlfn.LET(_xlpm.DATA,TRIM(_xlfn.XLOOKUP($A40,Строчный!$A:$A,Строчный!D:D,"ERR",0)),UPPER(MID(_xlpm.DATA,1,1))&amp;LOWER(MID(_xlpm.DATA,2,LEN(_xlpm.DATA)-1)))</f>
        <v>Кепка кадетка</v>
      </c>
      <c r="E40" s="81" t="str">
        <f ca="1">PROPER(TRIM(_xlfn.XLOOKUP($A40,Строчный!$A:$A,Строчный!E:E,"ERR",0)))</f>
        <v>Fredrikson</v>
      </c>
      <c r="F40" s="81" t="str">
        <f ca="1">LOWER(TRIM(_xlfn.XLOOKUP($A40,Строчный!$A:$A,Строчный!F:F,"ERR",0)))</f>
        <v>всесезон</v>
      </c>
      <c r="G40" s="81" t="str">
        <f ca="1">UPPER(TRIM(_xlfn.XLOOKUP($A40,Строчный!$A:$A,Строчный!G:G,"ERR",0)))</f>
        <v>FREDRIKSON</v>
      </c>
      <c r="H40" s="81" t="str">
        <f ca="1">LOWER(TRIM(_xlfn.XLOOKUP($A40,Строчный!$A:$A,Строчный!H:H,"ERR",0)))</f>
        <v>624/91</v>
      </c>
      <c r="I40" s="81" t="str">
        <f ca="1">LOWER(TRIM(_xlfn.XLOOKUP($A40,Строчный!$A:$A,Строчный!I:I,"ERR",0)))</f>
        <v>черный / черный</v>
      </c>
      <c r="J40" s="81" t="str">
        <f ca="1">SUBSTITUTE(LOWER(TRIM(_xlfn.XLOOKUP($A40,Строчный!$A:$A,Строчный!J:J,"ERR",0))),"подклад","Подклад")</f>
        <v>80% шерсть - 20% полиамид / Подклад: 100% вискоза</v>
      </c>
      <c r="K40" s="81" t="str">
        <f ca="1">LOWER(TRIM(_xlfn.XLOOKUP($A40,Строчный!$A:$A,Строчный!K:K,"ERR",0)))</f>
        <v>шерстяные</v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Россия</v>
      </c>
      <c r="N40" s="81" t="str">
        <f ca="1">UPPER(TRIM(_xlfn.XLOOKUP($A40,Строчный!$A:$A,Строчный!O:O,"ERR",0)))</f>
        <v/>
      </c>
      <c r="O40" s="102" t="str">
        <f ca="1">PROPER(TRIM(_xlfn.XLOOKUP($A40,Строчный!$A:$A,Строчный!P:P,"ERR",0)))</f>
        <v/>
      </c>
      <c r="P40" s="81" t="str">
        <f ca="1">PROPER(TRIM(_xlfn.XLOOKUP($A40,Строчный!$A:$A,Строчный!R:R,"ERR",0)))</f>
        <v/>
      </c>
      <c r="Q40" s="90">
        <f ca="1">VALUE(_xlfn.XLOOKUP($A40,Строчный!$A:$A,Строчный!N:N,"ERR",0))</f>
        <v>975.8</v>
      </c>
      <c r="R40" s="89" t="str">
        <f ca="1">_xlfn.XLOOKUP($G40,Фабрика!A:A,Фабрика!B:B,"ERR",0)</f>
        <v>ООО "ФРЭДРИКСОН" Россия 192029, С-Петербург, пр. Обуховской обороны, д.86, лит М</v>
      </c>
      <c r="S40" s="80" t="str">
        <f ca="1">_xlfn.XLOOKUP(RIGHT(AA40,2),Размеры!D:D,Размеры!A:A,"ERR",0)</f>
        <v>57</v>
      </c>
      <c r="T40" s="80">
        <f ca="1">VALUE(_xlfn.XLOOKUP($AA40,Строчный!$S:$S,Строчный!U:U,"ERR",0))</f>
        <v>2</v>
      </c>
      <c r="U40" s="14" t="s">
        <v>265</v>
      </c>
      <c r="V40" s="101" t="str">
        <f t="shared" ca="1" si="6"/>
        <v>Кепка FREDRIKSON арт. 3243 (черный / черный)</v>
      </c>
      <c r="W40" s="100" t="str">
        <f t="shared" ca="1" si="7"/>
        <v>Кепка FREDRIKSON арт. 3243 (черный / черный) {624/91}</v>
      </c>
      <c r="X40" s="18" t="str">
        <f t="shared" ca="1" si="8"/>
        <v>черный</v>
      </c>
      <c r="Y40" s="18" t="str">
        <f t="shared" ca="1" si="9"/>
        <v>черный</v>
      </c>
      <c r="Z40" s="117" t="str">
        <f ca="1">_xlfn.LET(_xlpm.FormColors,_xlfn.XLOOKUP(A40,Строчный!A:A,Строчный!Q:Q,"",0),IF(_xlpm.FormColors=0,IFERROR(MID(I40,FIND("-",I40)+1,LEN(I40)),IFERROR(MID(I40,1,FIND("/",I40)-2),I40)),_xlpm.FormColors))</f>
        <v>черный</v>
      </c>
      <c r="AA40" s="73" t="str">
        <f ca="1"/>
        <v>95-014-48-57</v>
      </c>
      <c r="AB40" s="75" t="str">
        <f ca="1">VLOOKUP(C40,Группа!A:B,2,FALSE)</f>
        <v>Кепка</v>
      </c>
      <c r="AC40" s="97" t="str">
        <f ca="1">IFERROR(VLOOKUP(S40,Размеры!A:C,3,FALSE),"")</f>
        <v>57 M</v>
      </c>
      <c r="AD40" s="97" t="str">
        <f ca="1">VLOOKUP(I40,ЦветПолный!A:B,2,FALSE)</f>
        <v>48</v>
      </c>
      <c r="AE40" s="97" t="str">
        <f ca="1">IFERROR(VLOOKUP(S40,Размеры!A:D,4,FALSE),"")</f>
        <v>57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1</v>
      </c>
      <c r="AI40" s="97">
        <f ca="1">SUMIF(Группа!B:B,AB40,Группа!C:C)</f>
        <v>1</v>
      </c>
      <c r="AJ40" s="97">
        <f ca="1">SUMIF(Формы!A:A,D40,Формы!B:B)</f>
        <v>1</v>
      </c>
      <c r="AK40" s="97">
        <f ca="1">SUMIF(Материал!A:A,K40,Материал!B:B)</f>
        <v>1</v>
      </c>
      <c r="AL40" s="97">
        <f ca="1">SUMIF(Размеры!A:A,S40,Размеры!E:E)</f>
        <v>1</v>
      </c>
      <c r="AM40" s="97">
        <f ca="1">SUMIF(Сезон!A:A,F40,Сезон!B:B)</f>
        <v>1</v>
      </c>
      <c r="AN40" s="97">
        <f ca="1">SUMIF(Состав!A:A,J40,Состав!B:B)</f>
        <v>0</v>
      </c>
      <c r="AO40" s="97">
        <f ca="1">VLOOKUP(I40,ЦветПолный!A:C,3,0)</f>
        <v>1</v>
      </c>
      <c r="AP40" s="97">
        <f ca="1">SUMIF(Цвет!A:A,Z40,Цвет!B:B)</f>
        <v>1</v>
      </c>
      <c r="AQ40" s="97">
        <f ca="1">_xlfn.XLOOKUP(L40,Пол!A:A,Пол!B:B,0,0)</f>
        <v>1</v>
      </c>
      <c r="AR40" s="97">
        <f ca="1">SUMIF(Бренд!A:A,G40,Бренд!B:B)</f>
        <v>1</v>
      </c>
      <c r="AS40" s="97">
        <f ca="1">SUMIF(Страна!A:A,M40,Страна!B:B)</f>
        <v>1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5"/>
        <v>95-014-47</v>
      </c>
      <c r="B41" s="107" t="str">
        <f ca="1">_xlfn.LET(_xlpm.CAPS,0,_xlpm.Style,TRIM(_xlfn.XLOOKUP($A41,Строчный!$A:$A,Строчный!B:B,"ERR",0)),IF(_xlpm.CAPS=0,_xlpm.Style,LOWER(_xlpm.Style)))</f>
        <v>3243</v>
      </c>
      <c r="C41" s="81" t="str">
        <f ca="1">TRIM(PROPER(_xlfn.XLOOKUP($A41,Строчный!$A:$A,Строчный!C:C,"ERR",0)))</f>
        <v>Кепки</v>
      </c>
      <c r="D41" s="81" t="str">
        <f ca="1">_xlfn.LET(_xlpm.DATA,TRIM(_xlfn.XLOOKUP($A41,Строчный!$A:$A,Строчный!D:D,"ERR",0)),UPPER(MID(_xlpm.DATA,1,1))&amp;LOWER(MID(_xlpm.DATA,2,LEN(_xlpm.DATA)-1)))</f>
        <v>Кепка кадетка</v>
      </c>
      <c r="E41" s="81" t="str">
        <f ca="1">PROPER(TRIM(_xlfn.XLOOKUP($A41,Строчный!$A:$A,Строчный!E:E,"ERR",0)))</f>
        <v>Fredrikson</v>
      </c>
      <c r="F41" s="81" t="str">
        <f ca="1">LOWER(TRIM(_xlfn.XLOOKUP($A41,Строчный!$A:$A,Строчный!F:F,"ERR",0)))</f>
        <v>всесезон</v>
      </c>
      <c r="G41" s="81" t="str">
        <f ca="1">UPPER(TRIM(_xlfn.XLOOKUP($A41,Строчный!$A:$A,Строчный!G:G,"ERR",0)))</f>
        <v>FREDRIKSON</v>
      </c>
      <c r="H41" s="81" t="str">
        <f ca="1">LOWER(TRIM(_xlfn.XLOOKUP($A41,Строчный!$A:$A,Строчный!H:H,"ERR",0)))</f>
        <v>641/76</v>
      </c>
      <c r="I41" s="81" t="str">
        <f ca="1">LOWER(TRIM(_xlfn.XLOOKUP($A41,Строчный!$A:$A,Строчный!I:I,"ERR",0)))</f>
        <v>серый / черный</v>
      </c>
      <c r="J41" s="81" t="str">
        <f ca="1">SUBSTITUTE(LOWER(TRIM(_xlfn.XLOOKUP($A41,Строчный!$A:$A,Строчный!J:J,"ERR",0))),"подклад","Подклад")</f>
        <v>80% шерсть - 20% полиамид / Подклад: 100% вискоза</v>
      </c>
      <c r="K41" s="81" t="str">
        <f ca="1">LOWER(TRIM(_xlfn.XLOOKUP($A41,Строчный!$A:$A,Строчный!K:K,"ERR",0)))</f>
        <v>шерстяные</v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Россия</v>
      </c>
      <c r="N41" s="81" t="str">
        <f ca="1">UPPER(TRIM(_xlfn.XLOOKUP($A41,Строчный!$A:$A,Строчный!O:O,"ERR",0)))</f>
        <v/>
      </c>
      <c r="O41" s="102" t="str">
        <f ca="1">PROPER(TRIM(_xlfn.XLOOKUP($A41,Строчный!$A:$A,Строчный!P:P,"ERR",0)))</f>
        <v/>
      </c>
      <c r="P41" s="81" t="str">
        <f ca="1">PROPER(TRIM(_xlfn.XLOOKUP($A41,Строчный!$A:$A,Строчный!R:R,"ERR",0)))</f>
        <v/>
      </c>
      <c r="Q41" s="90">
        <f ca="1">VALUE(_xlfn.XLOOKUP($A41,Строчный!$A:$A,Строчный!N:N,"ERR",0))</f>
        <v>975.8</v>
      </c>
      <c r="R41" s="89" t="str">
        <f ca="1">_xlfn.XLOOKUP($G41,Фабрика!A:A,Фабрика!B:B,"ERR",0)</f>
        <v>ООО "ФРЭДРИКСОН" Россия 192029, С-Петербург, пр. Обуховской обороны, д.86, лит М</v>
      </c>
      <c r="S41" s="80" t="str">
        <f ca="1">_xlfn.XLOOKUP(RIGHT(AA41,2),Размеры!D:D,Размеры!A:A,"ERR",0)</f>
        <v>62</v>
      </c>
      <c r="T41" s="80">
        <f ca="1">VALUE(_xlfn.XLOOKUP($AA41,Строчный!$S:$S,Строчный!U:U,"ERR",0))</f>
        <v>1</v>
      </c>
      <c r="U41" s="14" t="s">
        <v>265</v>
      </c>
      <c r="V41" s="101" t="str">
        <f t="shared" ca="1" si="6"/>
        <v>Кепка FREDRIKSON арт. 3243 (серый / черный)</v>
      </c>
      <c r="W41" s="100" t="str">
        <f t="shared" ca="1" si="7"/>
        <v>Кепка FREDRIKSON арт. 3243 (серый / черный) {641/76}</v>
      </c>
      <c r="X41" s="18" t="str">
        <f t="shared" ca="1" si="8"/>
        <v>серый</v>
      </c>
      <c r="Y41" s="18" t="str">
        <f t="shared" ca="1" si="9"/>
        <v>черный</v>
      </c>
      <c r="Z41" s="117" t="str">
        <f ca="1">_xlfn.LET(_xlpm.FormColors,_xlfn.XLOOKUP(A41,Строчный!A:A,Строчный!Q:Q,"",0),IF(_xlpm.FormColors=0,IFERROR(MID(I41,FIND("-",I41)+1,LEN(I41)),IFERROR(MID(I41,1,FIND("/",I41)-2),I41)),_xlpm.FormColors))</f>
        <v>серый</v>
      </c>
      <c r="AA41" s="73" t="str">
        <f ca="1"/>
        <v>95-014-47-62</v>
      </c>
      <c r="AB41" s="75" t="str">
        <f ca="1">VLOOKUP(C41,Группа!A:B,2,FALSE)</f>
        <v>Кепка</v>
      </c>
      <c r="AC41" s="97" t="str">
        <f ca="1">IFERROR(VLOOKUP(S41,Размеры!A:C,3,FALSE),"")</f>
        <v>62 XL/XXL</v>
      </c>
      <c r="AD41" s="97" t="str">
        <f ca="1">VLOOKUP(I41,ЦветПолный!A:B,2,FALSE)</f>
        <v>47</v>
      </c>
      <c r="AE41" s="97" t="str">
        <f ca="1">IFERROR(VLOOKUP(S41,Размеры!A:D,4,FALSE),"")</f>
        <v>62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1</v>
      </c>
      <c r="AI41" s="97">
        <f ca="1">SUMIF(Группа!B:B,AB41,Группа!C:C)</f>
        <v>1</v>
      </c>
      <c r="AJ41" s="97">
        <f ca="1">SUMIF(Формы!A:A,D41,Формы!B:B)</f>
        <v>1</v>
      </c>
      <c r="AK41" s="97">
        <f ca="1">SUMIF(Материал!A:A,K41,Материал!B:B)</f>
        <v>1</v>
      </c>
      <c r="AL41" s="97">
        <f ca="1">SUMIF(Размеры!A:A,S41,Размеры!E:E)</f>
        <v>1</v>
      </c>
      <c r="AM41" s="97">
        <f ca="1">SUMIF(Сезон!A:A,F41,Сезон!B:B)</f>
        <v>1</v>
      </c>
      <c r="AN41" s="97">
        <f ca="1">SUMIF(Состав!A:A,J41,Состав!B:B)</f>
        <v>0</v>
      </c>
      <c r="AO41" s="97">
        <f ca="1">VLOOKUP(I41,ЦветПолный!A:C,3,0)</f>
        <v>1</v>
      </c>
      <c r="AP41" s="97">
        <f ca="1">SUMIF(Цвет!A:A,Z41,Цвет!B:B)</f>
        <v>1</v>
      </c>
      <c r="AQ41" s="97">
        <f ca="1">_xlfn.XLOOKUP(L41,Пол!A:A,Пол!B:B,0,0)</f>
        <v>1</v>
      </c>
      <c r="AR41" s="97">
        <f ca="1">SUMIF(Бренд!A:A,G41,Бренд!B:B)</f>
        <v>1</v>
      </c>
      <c r="AS41" s="97">
        <f ca="1">SUMIF(Страна!A:A,M41,Страна!B:B)</f>
        <v>1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5"/>
        <v>95-014-47</v>
      </c>
      <c r="B42" s="107" t="str">
        <f ca="1">_xlfn.LET(_xlpm.CAPS,0,_xlpm.Style,TRIM(_xlfn.XLOOKUP($A42,Строчный!$A:$A,Строчный!B:B,"ERR",0)),IF(_xlpm.CAPS=0,_xlpm.Style,LOWER(_xlpm.Style)))</f>
        <v>3243</v>
      </c>
      <c r="C42" s="81" t="str">
        <f ca="1">TRIM(PROPER(_xlfn.XLOOKUP($A42,Строчный!$A:$A,Строчный!C:C,"ERR",0)))</f>
        <v>Кепки</v>
      </c>
      <c r="D42" s="81" t="str">
        <f ca="1">_xlfn.LET(_xlpm.DATA,TRIM(_xlfn.XLOOKUP($A42,Строчный!$A:$A,Строчный!D:D,"ERR",0)),UPPER(MID(_xlpm.DATA,1,1))&amp;LOWER(MID(_xlpm.DATA,2,LEN(_xlpm.DATA)-1)))</f>
        <v>Кепка кадетка</v>
      </c>
      <c r="E42" s="81" t="str">
        <f ca="1">PROPER(TRIM(_xlfn.XLOOKUP($A42,Строчный!$A:$A,Строчный!E:E,"ERR",0)))</f>
        <v>Fredrikson</v>
      </c>
      <c r="F42" s="81" t="str">
        <f ca="1">LOWER(TRIM(_xlfn.XLOOKUP($A42,Строчный!$A:$A,Строчный!F:F,"ERR",0)))</f>
        <v>всесезон</v>
      </c>
      <c r="G42" s="81" t="str">
        <f ca="1">UPPER(TRIM(_xlfn.XLOOKUP($A42,Строчный!$A:$A,Строчный!G:G,"ERR",0)))</f>
        <v>FREDRIKSON</v>
      </c>
      <c r="H42" s="81" t="str">
        <f ca="1">LOWER(TRIM(_xlfn.XLOOKUP($A42,Строчный!$A:$A,Строчный!H:H,"ERR",0)))</f>
        <v>641/76</v>
      </c>
      <c r="I42" s="81" t="str">
        <f ca="1">LOWER(TRIM(_xlfn.XLOOKUP($A42,Строчный!$A:$A,Строчный!I:I,"ERR",0)))</f>
        <v>серый / черный</v>
      </c>
      <c r="J42" s="81" t="str">
        <f ca="1">SUBSTITUTE(LOWER(TRIM(_xlfn.XLOOKUP($A42,Строчный!$A:$A,Строчный!J:J,"ERR",0))),"подклад","Подклад")</f>
        <v>80% шерсть - 20% полиамид / Подклад: 100% вискоза</v>
      </c>
      <c r="K42" s="81" t="str">
        <f ca="1">LOWER(TRIM(_xlfn.XLOOKUP($A42,Строчный!$A:$A,Строчный!K:K,"ERR",0)))</f>
        <v>шерстяные</v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Россия</v>
      </c>
      <c r="N42" s="81" t="str">
        <f ca="1">UPPER(TRIM(_xlfn.XLOOKUP($A42,Строчный!$A:$A,Строчный!O:O,"ERR",0)))</f>
        <v/>
      </c>
      <c r="O42" s="102" t="str">
        <f ca="1">PROPER(TRIM(_xlfn.XLOOKUP($A42,Строчный!$A:$A,Строчный!P:P,"ERR",0)))</f>
        <v/>
      </c>
      <c r="P42" s="81" t="str">
        <f ca="1">PROPER(TRIM(_xlfn.XLOOKUP($A42,Строчный!$A:$A,Строчный!R:R,"ERR",0)))</f>
        <v/>
      </c>
      <c r="Q42" s="90">
        <f ca="1">VALUE(_xlfn.XLOOKUP($A42,Строчный!$A:$A,Строчный!N:N,"ERR",0))</f>
        <v>975.8</v>
      </c>
      <c r="R42" s="89" t="str">
        <f ca="1">_xlfn.XLOOKUP($G42,Фабрика!A:A,Фабрика!B:B,"ERR",0)</f>
        <v>ООО "ФРЭДРИКСОН" Россия 192029, С-Петербург, пр. Обуховской обороны, д.86, лит М</v>
      </c>
      <c r="S42" s="80" t="str">
        <f ca="1">_xlfn.XLOOKUP(RIGHT(AA42,2),Размеры!D:D,Размеры!A:A,"ERR",0)</f>
        <v>60</v>
      </c>
      <c r="T42" s="80">
        <f ca="1">VALUE(_xlfn.XLOOKUP($AA42,Строчный!$S:$S,Строчный!U:U,"ERR",0))</f>
        <v>1</v>
      </c>
      <c r="U42" s="14" t="s">
        <v>265</v>
      </c>
      <c r="V42" s="101" t="str">
        <f t="shared" ca="1" si="6"/>
        <v>Кепка FREDRIKSON арт. 3243 (серый / черный)</v>
      </c>
      <c r="W42" s="100" t="str">
        <f t="shared" ca="1" si="7"/>
        <v>Кепка FREDRIKSON арт. 3243 (серый / черный) {641/76}</v>
      </c>
      <c r="X42" s="18" t="str">
        <f t="shared" ca="1" si="8"/>
        <v>серый</v>
      </c>
      <c r="Y42" s="18" t="str">
        <f t="shared" ca="1" si="9"/>
        <v>черный</v>
      </c>
      <c r="Z42" s="117" t="str">
        <f ca="1">_xlfn.LET(_xlpm.FormColors,_xlfn.XLOOKUP(A42,Строчный!A:A,Строчный!Q:Q,"",0),IF(_xlpm.FormColors=0,IFERROR(MID(I42,FIND("-",I42)+1,LEN(I42)),IFERROR(MID(I42,1,FIND("/",I42)-2),I42)),_xlpm.FormColors))</f>
        <v>серый</v>
      </c>
      <c r="AA42" s="73" t="str">
        <f ca="1"/>
        <v>95-014-47-60</v>
      </c>
      <c r="AB42" s="75" t="str">
        <f ca="1">VLOOKUP(C42,Группа!A:B,2,FALSE)</f>
        <v>Кепка</v>
      </c>
      <c r="AC42" s="97" t="str">
        <f ca="1">IFERROR(VLOOKUP(S42,Размеры!A:C,3,FALSE),"")</f>
        <v>60 L/XL</v>
      </c>
      <c r="AD42" s="97" t="str">
        <f ca="1">VLOOKUP(I42,ЦветПолный!A:B,2,FALSE)</f>
        <v>47</v>
      </c>
      <c r="AE42" s="97" t="str">
        <f ca="1">IFERROR(VLOOKUP(S42,Размеры!A:D,4,FALSE),"")</f>
        <v>60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1</v>
      </c>
      <c r="AI42" s="97">
        <f ca="1">SUMIF(Группа!B:B,AB42,Группа!C:C)</f>
        <v>1</v>
      </c>
      <c r="AJ42" s="97">
        <f ca="1">SUMIF(Формы!A:A,D42,Формы!B:B)</f>
        <v>1</v>
      </c>
      <c r="AK42" s="97">
        <f ca="1">SUMIF(Материал!A:A,K42,Материал!B:B)</f>
        <v>1</v>
      </c>
      <c r="AL42" s="97">
        <f ca="1">SUMIF(Размеры!A:A,S42,Размеры!E:E)</f>
        <v>1</v>
      </c>
      <c r="AM42" s="97">
        <f ca="1">SUMIF(Сезон!A:A,F42,Сезон!B:B)</f>
        <v>1</v>
      </c>
      <c r="AN42" s="97">
        <f ca="1">SUMIF(Состав!A:A,J42,Состав!B:B)</f>
        <v>0</v>
      </c>
      <c r="AO42" s="97">
        <f ca="1">VLOOKUP(I42,ЦветПолный!A:C,3,0)</f>
        <v>1</v>
      </c>
      <c r="AP42" s="97">
        <f ca="1">SUMIF(Цвет!A:A,Z42,Цвет!B:B)</f>
        <v>1</v>
      </c>
      <c r="AQ42" s="97">
        <f ca="1">_xlfn.XLOOKUP(L42,Пол!A:A,Пол!B:B,0,0)</f>
        <v>1</v>
      </c>
      <c r="AR42" s="97">
        <f ca="1">SUMIF(Бренд!A:A,G42,Бренд!B:B)</f>
        <v>1</v>
      </c>
      <c r="AS42" s="97">
        <f ca="1">SUMIF(Страна!A:A,M42,Страна!B:B)</f>
        <v>1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5"/>
        <v>95-014-47</v>
      </c>
      <c r="B43" s="107" t="str">
        <f ca="1">_xlfn.LET(_xlpm.CAPS,0,_xlpm.Style,TRIM(_xlfn.XLOOKUP($A43,Строчный!$A:$A,Строчный!B:B,"ERR",0)),IF(_xlpm.CAPS=0,_xlpm.Style,LOWER(_xlpm.Style)))</f>
        <v>3243</v>
      </c>
      <c r="C43" s="81" t="str">
        <f ca="1">TRIM(PROPER(_xlfn.XLOOKUP($A43,Строчный!$A:$A,Строчный!C:C,"ERR",0)))</f>
        <v>Кепки</v>
      </c>
      <c r="D43" s="81" t="str">
        <f ca="1">_xlfn.LET(_xlpm.DATA,TRIM(_xlfn.XLOOKUP($A43,Строчный!$A:$A,Строчный!D:D,"ERR",0)),UPPER(MID(_xlpm.DATA,1,1))&amp;LOWER(MID(_xlpm.DATA,2,LEN(_xlpm.DATA)-1)))</f>
        <v>Кепка кадетка</v>
      </c>
      <c r="E43" s="81" t="str">
        <f ca="1">PROPER(TRIM(_xlfn.XLOOKUP($A43,Строчный!$A:$A,Строчный!E:E,"ERR",0)))</f>
        <v>Fredrikson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FREDRIKSON</v>
      </c>
      <c r="H43" s="81" t="str">
        <f ca="1">LOWER(TRIM(_xlfn.XLOOKUP($A43,Строчный!$A:$A,Строчный!H:H,"ERR",0)))</f>
        <v>641/76</v>
      </c>
      <c r="I43" s="81" t="str">
        <f ca="1">LOWER(TRIM(_xlfn.XLOOKUP($A43,Строчный!$A:$A,Строчный!I:I,"ERR",0)))</f>
        <v>серый / черный</v>
      </c>
      <c r="J43" s="81" t="str">
        <f ca="1">SUBSTITUTE(LOWER(TRIM(_xlfn.XLOOKUP($A43,Строчный!$A:$A,Строчный!J:J,"ERR",0))),"подклад","Подклад")</f>
        <v>80% шерсть - 20% полиамид / Подклад: 100% вискоза</v>
      </c>
      <c r="K43" s="81" t="str">
        <f ca="1">LOWER(TRIM(_xlfn.XLOOKUP($A43,Строчный!$A:$A,Строчный!K:K,"ERR",0)))</f>
        <v>шерстяные</v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Россия</v>
      </c>
      <c r="N43" s="81" t="str">
        <f ca="1">UPPER(TRIM(_xlfn.XLOOKUP($A43,Строчный!$A:$A,Строчный!O:O,"ERR",0)))</f>
        <v/>
      </c>
      <c r="O43" s="102" t="str">
        <f ca="1">PROPER(TRIM(_xlfn.XLOOKUP($A43,Строчный!$A:$A,Строчный!P:P,"ERR",0)))</f>
        <v/>
      </c>
      <c r="P43" s="81" t="str">
        <f ca="1">PROPER(TRIM(_xlfn.XLOOKUP($A43,Строчный!$A:$A,Строчный!R:R,"ERR",0)))</f>
        <v/>
      </c>
      <c r="Q43" s="90">
        <f ca="1">VALUE(_xlfn.XLOOKUP($A43,Строчный!$A:$A,Строчный!N:N,"ERR",0))</f>
        <v>975.8</v>
      </c>
      <c r="R43" s="89" t="str">
        <f ca="1">_xlfn.XLOOKUP($G43,Фабрика!A:A,Фабрика!B:B,"ERR",0)</f>
        <v>ООО "ФРЭДРИКСОН" Россия 192029, С-Петербург, пр. Обуховской обороны, д.86, лит М</v>
      </c>
      <c r="S43" s="80" t="str">
        <f ca="1">_xlfn.XLOOKUP(RIGHT(AA43,2),Размеры!D:D,Размеры!A:A,"ERR",0)</f>
        <v>59</v>
      </c>
      <c r="T43" s="80">
        <f ca="1">VALUE(_xlfn.XLOOKUP($AA43,Строчный!$S:$S,Строчный!U:U,"ERR",0))</f>
        <v>3</v>
      </c>
      <c r="U43" s="14" t="s">
        <v>265</v>
      </c>
      <c r="V43" s="101" t="str">
        <f t="shared" ca="1" si="6"/>
        <v>Кепка FREDRIKSON арт. 3243 (серый / черный)</v>
      </c>
      <c r="W43" s="100" t="str">
        <f t="shared" ca="1" si="7"/>
        <v>Кепка FREDRIKSON арт. 3243 (серый / черный) {641/76}</v>
      </c>
      <c r="X43" s="18" t="str">
        <f t="shared" ca="1" si="8"/>
        <v>серый</v>
      </c>
      <c r="Y43" s="18" t="str">
        <f t="shared" ca="1" si="9"/>
        <v>черный</v>
      </c>
      <c r="Z43" s="117" t="str">
        <f ca="1">_xlfn.LET(_xlpm.FormColors,_xlfn.XLOOKUP(A43,Строчный!A:A,Строчный!Q:Q,"",0),IF(_xlpm.FormColors=0,IFERROR(MID(I43,FIND("-",I43)+1,LEN(I43)),IFERROR(MID(I43,1,FIND("/",I43)-2),I43)),_xlpm.FormColors))</f>
        <v>серый</v>
      </c>
      <c r="AA43" s="73" t="str">
        <f ca="1"/>
        <v>95-014-47-59</v>
      </c>
      <c r="AB43" s="75" t="str">
        <f ca="1">VLOOKUP(C43,Группа!A:B,2,FALSE)</f>
        <v>Кепка</v>
      </c>
      <c r="AC43" s="97" t="str">
        <f ca="1">IFERROR(VLOOKUP(S43,Размеры!A:C,3,FALSE),"")</f>
        <v>59 L</v>
      </c>
      <c r="AD43" s="97" t="str">
        <f ca="1">VLOOKUP(I43,ЦветПолный!A:B,2,FALSE)</f>
        <v>47</v>
      </c>
      <c r="AE43" s="97" t="str">
        <f ca="1">IFERROR(VLOOKUP(S43,Размеры!A:D,4,FALSE),"")</f>
        <v>59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1</v>
      </c>
      <c r="AI43" s="97">
        <f ca="1">SUMIF(Группа!B:B,AB43,Группа!C:C)</f>
        <v>1</v>
      </c>
      <c r="AJ43" s="97">
        <f ca="1">SUMIF(Формы!A:A,D43,Формы!B:B)</f>
        <v>1</v>
      </c>
      <c r="AK43" s="97">
        <f ca="1">SUMIF(Материал!A:A,K43,Материал!B:B)</f>
        <v>1</v>
      </c>
      <c r="AL43" s="97">
        <f ca="1">SUMIF(Размеры!A:A,S43,Размеры!E:E)</f>
        <v>1</v>
      </c>
      <c r="AM43" s="97">
        <f ca="1">SUMIF(Сезон!A:A,F43,Сезон!B:B)</f>
        <v>1</v>
      </c>
      <c r="AN43" s="97">
        <f ca="1">SUMIF(Состав!A:A,J43,Состав!B:B)</f>
        <v>0</v>
      </c>
      <c r="AO43" s="97">
        <f ca="1">VLOOKUP(I43,ЦветПолный!A:C,3,0)</f>
        <v>1</v>
      </c>
      <c r="AP43" s="97">
        <f ca="1">SUMIF(Цвет!A:A,Z43,Цвет!B:B)</f>
        <v>1</v>
      </c>
      <c r="AQ43" s="97">
        <f ca="1">_xlfn.XLOOKUP(L43,Пол!A:A,Пол!B:B,0,0)</f>
        <v>1</v>
      </c>
      <c r="AR43" s="97">
        <f ca="1">SUMIF(Бренд!A:A,G43,Бренд!B:B)</f>
        <v>1</v>
      </c>
      <c r="AS43" s="97">
        <f ca="1">SUMIF(Страна!A:A,M43,Страна!B:B)</f>
        <v>1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5"/>
        <v>95-014-47</v>
      </c>
      <c r="B44" s="107" t="str">
        <f ca="1">_xlfn.LET(_xlpm.CAPS,0,_xlpm.Style,TRIM(_xlfn.XLOOKUP($A44,Строчный!$A:$A,Строчный!B:B,"ERR",0)),IF(_xlpm.CAPS=0,_xlpm.Style,LOWER(_xlpm.Style)))</f>
        <v>3243</v>
      </c>
      <c r="C44" s="81" t="str">
        <f ca="1">TRIM(PROPER(_xlfn.XLOOKUP($A44,Строчный!$A:$A,Строчный!C:C,"ERR",0)))</f>
        <v>Кепки</v>
      </c>
      <c r="D44" s="81" t="str">
        <f ca="1">_xlfn.LET(_xlpm.DATA,TRIM(_xlfn.XLOOKUP($A44,Строчный!$A:$A,Строчный!D:D,"ERR",0)),UPPER(MID(_xlpm.DATA,1,1))&amp;LOWER(MID(_xlpm.DATA,2,LEN(_xlpm.DATA)-1)))</f>
        <v>Кепка кадетка</v>
      </c>
      <c r="E44" s="81" t="str">
        <f ca="1">PROPER(TRIM(_xlfn.XLOOKUP($A44,Строчный!$A:$A,Строчный!E:E,"ERR",0)))</f>
        <v>Fredrikson</v>
      </c>
      <c r="F44" s="81" t="str">
        <f ca="1">LOWER(TRIM(_xlfn.XLOOKUP($A44,Строчный!$A:$A,Строчный!F:F,"ERR",0)))</f>
        <v>всесезон</v>
      </c>
      <c r="G44" s="81" t="str">
        <f ca="1">UPPER(TRIM(_xlfn.XLOOKUP($A44,Строчный!$A:$A,Строчный!G:G,"ERR",0)))</f>
        <v>FREDRIKSON</v>
      </c>
      <c r="H44" s="81" t="str">
        <f ca="1">LOWER(TRIM(_xlfn.XLOOKUP($A44,Строчный!$A:$A,Строчный!H:H,"ERR",0)))</f>
        <v>641/76</v>
      </c>
      <c r="I44" s="81" t="str">
        <f ca="1">LOWER(TRIM(_xlfn.XLOOKUP($A44,Строчный!$A:$A,Строчный!I:I,"ERR",0)))</f>
        <v>серый / черный</v>
      </c>
      <c r="J44" s="81" t="str">
        <f ca="1">SUBSTITUTE(LOWER(TRIM(_xlfn.XLOOKUP($A44,Строчный!$A:$A,Строчный!J:J,"ERR",0))),"подклад","Подклад")</f>
        <v>80% шерсть - 20% полиамид / Подклад: 100% вискоза</v>
      </c>
      <c r="K44" s="81" t="str">
        <f ca="1">LOWER(TRIM(_xlfn.XLOOKUP($A44,Строчный!$A:$A,Строчный!K:K,"ERR",0)))</f>
        <v>шерстяные</v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Россия</v>
      </c>
      <c r="N44" s="81" t="str">
        <f ca="1">UPPER(TRIM(_xlfn.XLOOKUP($A44,Строчный!$A:$A,Строчный!O:O,"ERR",0)))</f>
        <v/>
      </c>
      <c r="O44" s="102" t="str">
        <f ca="1">PROPER(TRIM(_xlfn.XLOOKUP($A44,Строчный!$A:$A,Строчный!P:P,"ERR",0)))</f>
        <v/>
      </c>
      <c r="P44" s="81" t="str">
        <f ca="1">PROPER(TRIM(_xlfn.XLOOKUP($A44,Строчный!$A:$A,Строчный!R:R,"ERR",0)))</f>
        <v/>
      </c>
      <c r="Q44" s="90">
        <f ca="1">VALUE(_xlfn.XLOOKUP($A44,Строчный!$A:$A,Строчный!N:N,"ERR",0))</f>
        <v>975.8</v>
      </c>
      <c r="R44" s="89" t="str">
        <f ca="1">_xlfn.XLOOKUP($G44,Фабрика!A:A,Фабрика!B:B,"ERR",0)</f>
        <v>ООО "ФРЭДРИКСОН" Россия 192029, С-Петербург, пр. Обуховской обороны, д.86, лит М</v>
      </c>
      <c r="S44" s="80" t="str">
        <f ca="1">_xlfn.XLOOKUP(RIGHT(AA44,2),Размеры!D:D,Размеры!A:A,"ERR",0)</f>
        <v>58</v>
      </c>
      <c r="T44" s="80">
        <f ca="1">VALUE(_xlfn.XLOOKUP($AA44,Строчный!$S:$S,Строчный!U:U,"ERR",0))</f>
        <v>2</v>
      </c>
      <c r="U44" s="14" t="s">
        <v>265</v>
      </c>
      <c r="V44" s="101" t="str">
        <f t="shared" ca="1" si="6"/>
        <v>Кепка FREDRIKSON арт. 3243 (серый / черный)</v>
      </c>
      <c r="W44" s="100" t="str">
        <f t="shared" ca="1" si="7"/>
        <v>Кепка FREDRIKSON арт. 3243 (серый / черный) {641/76}</v>
      </c>
      <c r="X44" s="18" t="str">
        <f t="shared" ca="1" si="8"/>
        <v>серый</v>
      </c>
      <c r="Y44" s="18" t="str">
        <f t="shared" ca="1" si="9"/>
        <v>черный</v>
      </c>
      <c r="Z44" s="117" t="str">
        <f ca="1">_xlfn.LET(_xlpm.FormColors,_xlfn.XLOOKUP(A44,Строчный!A:A,Строчный!Q:Q,"",0),IF(_xlpm.FormColors=0,IFERROR(MID(I44,FIND("-",I44)+1,LEN(I44)),IFERROR(MID(I44,1,FIND("/",I44)-2),I44)),_xlpm.FormColors))</f>
        <v>серый</v>
      </c>
      <c r="AA44" s="73" t="str">
        <f ca="1"/>
        <v>95-014-47-58</v>
      </c>
      <c r="AB44" s="75" t="str">
        <f ca="1">VLOOKUP(C44,Группа!A:B,2,FALSE)</f>
        <v>Кепка</v>
      </c>
      <c r="AC44" s="97" t="str">
        <f ca="1">IFERROR(VLOOKUP(S44,Размеры!A:C,3,FALSE),"")</f>
        <v>58 M/L</v>
      </c>
      <c r="AD44" s="97" t="str">
        <f ca="1">VLOOKUP(I44,ЦветПолный!A:B,2,FALSE)</f>
        <v>47</v>
      </c>
      <c r="AE44" s="97" t="str">
        <f ca="1">IFERROR(VLOOKUP(S44,Размеры!A:D,4,FALSE),"")</f>
        <v>58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1</v>
      </c>
      <c r="AI44" s="97">
        <f ca="1">SUMIF(Группа!B:B,AB44,Группа!C:C)</f>
        <v>1</v>
      </c>
      <c r="AJ44" s="97">
        <f ca="1">SUMIF(Формы!A:A,D44,Формы!B:B)</f>
        <v>1</v>
      </c>
      <c r="AK44" s="97">
        <f ca="1">SUMIF(Материал!A:A,K44,Материал!B:B)</f>
        <v>1</v>
      </c>
      <c r="AL44" s="97">
        <f ca="1">SUMIF(Размеры!A:A,S44,Размеры!E:E)</f>
        <v>1</v>
      </c>
      <c r="AM44" s="97">
        <f ca="1">SUMIF(Сезон!A:A,F44,Сезон!B:B)</f>
        <v>1</v>
      </c>
      <c r="AN44" s="97">
        <f ca="1">SUMIF(Состав!A:A,J44,Состав!B:B)</f>
        <v>0</v>
      </c>
      <c r="AO44" s="97">
        <f ca="1">VLOOKUP(I44,ЦветПолный!A:C,3,0)</f>
        <v>1</v>
      </c>
      <c r="AP44" s="97">
        <f ca="1">SUMIF(Цвет!A:A,Z44,Цвет!B:B)</f>
        <v>1</v>
      </c>
      <c r="AQ44" s="97">
        <f ca="1">_xlfn.XLOOKUP(L44,Пол!A:A,Пол!B:B,0,0)</f>
        <v>1</v>
      </c>
      <c r="AR44" s="97">
        <f ca="1">SUMIF(Бренд!A:A,G44,Бренд!B:B)</f>
        <v>1</v>
      </c>
      <c r="AS44" s="97">
        <f ca="1">SUMIF(Страна!A:A,M44,Страна!B:B)</f>
        <v>1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5"/>
        <v>95-014-47</v>
      </c>
      <c r="B45" s="107" t="str">
        <f ca="1">_xlfn.LET(_xlpm.CAPS,0,_xlpm.Style,TRIM(_xlfn.XLOOKUP($A45,Строчный!$A:$A,Строчный!B:B,"ERR",0)),IF(_xlpm.CAPS=0,_xlpm.Style,LOWER(_xlpm.Style)))</f>
        <v>3243</v>
      </c>
      <c r="C45" s="81" t="str">
        <f ca="1">TRIM(PROPER(_xlfn.XLOOKUP($A45,Строчный!$A:$A,Строчный!C:C,"ERR",0)))</f>
        <v>Кепки</v>
      </c>
      <c r="D45" s="81" t="str">
        <f ca="1">_xlfn.LET(_xlpm.DATA,TRIM(_xlfn.XLOOKUP($A45,Строчный!$A:$A,Строчный!D:D,"ERR",0)),UPPER(MID(_xlpm.DATA,1,1))&amp;LOWER(MID(_xlpm.DATA,2,LEN(_xlpm.DATA)-1)))</f>
        <v>Кепка кадетка</v>
      </c>
      <c r="E45" s="81" t="str">
        <f ca="1">PROPER(TRIM(_xlfn.XLOOKUP($A45,Строчный!$A:$A,Строчный!E:E,"ERR",0)))</f>
        <v>Fredrikson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FREDRIKSON</v>
      </c>
      <c r="H45" s="81" t="str">
        <f ca="1">LOWER(TRIM(_xlfn.XLOOKUP($A45,Строчный!$A:$A,Строчный!H:H,"ERR",0)))</f>
        <v>641/76</v>
      </c>
      <c r="I45" s="81" t="str">
        <f ca="1">LOWER(TRIM(_xlfn.XLOOKUP($A45,Строчный!$A:$A,Строчный!I:I,"ERR",0)))</f>
        <v>серый / черный</v>
      </c>
      <c r="J45" s="81" t="str">
        <f ca="1">SUBSTITUTE(LOWER(TRIM(_xlfn.XLOOKUP($A45,Строчный!$A:$A,Строчный!J:J,"ERR",0))),"подклад","Подклад")</f>
        <v>80% шерсть - 20% полиамид / Подклад: 100% вискоза</v>
      </c>
      <c r="K45" s="81" t="str">
        <f ca="1">LOWER(TRIM(_xlfn.XLOOKUP($A45,Строчный!$A:$A,Строчный!K:K,"ERR",0)))</f>
        <v>шерстяные</v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Россия</v>
      </c>
      <c r="N45" s="81" t="str">
        <f ca="1">UPPER(TRIM(_xlfn.XLOOKUP($A45,Строчный!$A:$A,Строчный!O:O,"ERR",0)))</f>
        <v/>
      </c>
      <c r="O45" s="102" t="str">
        <f ca="1">PROPER(TRIM(_xlfn.XLOOKUP($A45,Строчный!$A:$A,Строчный!P:P,"ERR",0)))</f>
        <v/>
      </c>
      <c r="P45" s="81" t="str">
        <f ca="1">PROPER(TRIM(_xlfn.XLOOKUP($A45,Строчный!$A:$A,Строчный!R:R,"ERR",0)))</f>
        <v/>
      </c>
      <c r="Q45" s="90">
        <f ca="1">VALUE(_xlfn.XLOOKUP($A45,Строчный!$A:$A,Строчный!N:N,"ERR",0))</f>
        <v>975.8</v>
      </c>
      <c r="R45" s="89" t="str">
        <f ca="1">_xlfn.XLOOKUP($G45,Фабрика!A:A,Фабрика!B:B,"ERR",0)</f>
        <v>ООО "ФРЭДРИКСОН" Россия 192029, С-Петербург, пр. Обуховской обороны, д.86, лит М</v>
      </c>
      <c r="S45" s="80" t="str">
        <f ca="1">_xlfn.XLOOKUP(RIGHT(AA45,2),Размеры!D:D,Размеры!A:A,"ERR",0)</f>
        <v>57</v>
      </c>
      <c r="T45" s="80">
        <f ca="1">VALUE(_xlfn.XLOOKUP($AA45,Строчный!$S:$S,Строчный!U:U,"ERR",0))</f>
        <v>1</v>
      </c>
      <c r="U45" s="14" t="s">
        <v>265</v>
      </c>
      <c r="V45" s="101" t="str">
        <f t="shared" ca="1" si="6"/>
        <v>Кепка FREDRIKSON арт. 3243 (серый / черный)</v>
      </c>
      <c r="W45" s="100" t="str">
        <f t="shared" ca="1" si="7"/>
        <v>Кепка FREDRIKSON арт. 3243 (серый / черный) {641/76}</v>
      </c>
      <c r="X45" s="18" t="str">
        <f t="shared" ca="1" si="8"/>
        <v>серый</v>
      </c>
      <c r="Y45" s="18" t="str">
        <f t="shared" ca="1" si="9"/>
        <v>черный</v>
      </c>
      <c r="Z45" s="117" t="str">
        <f ca="1">_xlfn.LET(_xlpm.FormColors,_xlfn.XLOOKUP(A45,Строчный!A:A,Строчный!Q:Q,"",0),IF(_xlpm.FormColors=0,IFERROR(MID(I45,FIND("-",I45)+1,LEN(I45)),IFERROR(MID(I45,1,FIND("/",I45)-2),I45)),_xlpm.FormColors))</f>
        <v>серый</v>
      </c>
      <c r="AA45" s="73" t="str">
        <f ca="1"/>
        <v>95-014-47-57</v>
      </c>
      <c r="AB45" s="75" t="str">
        <f ca="1">VLOOKUP(C45,Группа!A:B,2,FALSE)</f>
        <v>Кепка</v>
      </c>
      <c r="AC45" s="97" t="str">
        <f ca="1">IFERROR(VLOOKUP(S45,Размеры!A:C,3,FALSE),"")</f>
        <v>57 M</v>
      </c>
      <c r="AD45" s="97" t="str">
        <f ca="1">VLOOKUP(I45,ЦветПолный!A:B,2,FALSE)</f>
        <v>47</v>
      </c>
      <c r="AE45" s="97" t="str">
        <f ca="1">IFERROR(VLOOKUP(S45,Размеры!A:D,4,FALSE),"")</f>
        <v>57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1</v>
      </c>
      <c r="AI45" s="97">
        <f ca="1">SUMIF(Группа!B:B,AB45,Группа!C:C)</f>
        <v>1</v>
      </c>
      <c r="AJ45" s="97">
        <f ca="1">SUMIF(Формы!A:A,D45,Формы!B:B)</f>
        <v>1</v>
      </c>
      <c r="AK45" s="97">
        <f ca="1">SUMIF(Материал!A:A,K45,Материал!B:B)</f>
        <v>1</v>
      </c>
      <c r="AL45" s="97">
        <f ca="1">SUMIF(Размеры!A:A,S45,Размеры!E:E)</f>
        <v>1</v>
      </c>
      <c r="AM45" s="97">
        <f ca="1">SUMIF(Сезон!A:A,F45,Сезон!B:B)</f>
        <v>1</v>
      </c>
      <c r="AN45" s="97">
        <f ca="1">SUMIF(Состав!A:A,J45,Состав!B:B)</f>
        <v>0</v>
      </c>
      <c r="AO45" s="97">
        <f ca="1">VLOOKUP(I45,ЦветПолный!A:C,3,0)</f>
        <v>1</v>
      </c>
      <c r="AP45" s="97">
        <f ca="1">SUMIF(Цвет!A:A,Z45,Цвет!B:B)</f>
        <v>1</v>
      </c>
      <c r="AQ45" s="97">
        <f ca="1">_xlfn.XLOOKUP(L45,Пол!A:A,Пол!B:B,0,0)</f>
        <v>1</v>
      </c>
      <c r="AR45" s="97">
        <f ca="1">SUMIF(Бренд!A:A,G45,Бренд!B:B)</f>
        <v>1</v>
      </c>
      <c r="AS45" s="97">
        <f ca="1">SUMIF(Страна!A:A,M45,Страна!B:B)</f>
        <v>1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5"/>
        <v>95-014-09</v>
      </c>
      <c r="B46" s="107" t="str">
        <f ca="1">_xlfn.LET(_xlpm.CAPS,0,_xlpm.Style,TRIM(_xlfn.XLOOKUP($A46,Строчный!$A:$A,Строчный!B:B,"ERR",0)),IF(_xlpm.CAPS=0,_xlpm.Style,LOWER(_xlpm.Style)))</f>
        <v>3243</v>
      </c>
      <c r="C46" s="81" t="str">
        <f ca="1">TRIM(PROPER(_xlfn.XLOOKUP($A46,Строчный!$A:$A,Строчный!C:C,"ERR",0)))</f>
        <v>Кепки</v>
      </c>
      <c r="D46" s="81" t="str">
        <f ca="1">_xlfn.LET(_xlpm.DATA,TRIM(_xlfn.XLOOKUP($A46,Строчный!$A:$A,Строчный!D:D,"ERR",0)),UPPER(MID(_xlpm.DATA,1,1))&amp;LOWER(MID(_xlpm.DATA,2,LEN(_xlpm.DATA)-1)))</f>
        <v>Кепка кадетка</v>
      </c>
      <c r="E46" s="81" t="str">
        <f ca="1">PROPER(TRIM(_xlfn.XLOOKUP($A46,Строчный!$A:$A,Строчный!E:E,"ERR",0)))</f>
        <v>Fredrikson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FREDRIKSON</v>
      </c>
      <c r="H46" s="81" t="str">
        <f ca="1">LOWER(TRIM(_xlfn.XLOOKUP($A46,Строчный!$A:$A,Строчный!H:H,"ERR",0)))</f>
        <v>631/90</v>
      </c>
      <c r="I46" s="81" t="str">
        <f ca="1">LOWER(TRIM(_xlfn.XLOOKUP($A46,Строчный!$A:$A,Строчный!I:I,"ERR",0)))</f>
        <v>черный</v>
      </c>
      <c r="J46" s="81" t="str">
        <f ca="1">SUBSTITUTE(LOWER(TRIM(_xlfn.XLOOKUP($A46,Строчный!$A:$A,Строчный!J:J,"ERR",0))),"подклад","Подклад")</f>
        <v>80% шерсть - 20% полиамид / Подклад: 100% вискоза</v>
      </c>
      <c r="K46" s="81" t="str">
        <f ca="1">LOWER(TRIM(_xlfn.XLOOKUP($A46,Строчный!$A:$A,Строчный!K:K,"ERR",0)))</f>
        <v>шерстяные</v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Россия</v>
      </c>
      <c r="N46" s="81" t="str">
        <f ca="1">UPPER(TRIM(_xlfn.XLOOKUP($A46,Строчный!$A:$A,Строчный!O:O,"ERR",0)))</f>
        <v/>
      </c>
      <c r="O46" s="102" t="str">
        <f ca="1">PROPER(TRIM(_xlfn.XLOOKUP($A46,Строчный!$A:$A,Строчный!P:P,"ERR",0)))</f>
        <v/>
      </c>
      <c r="P46" s="81" t="str">
        <f ca="1">PROPER(TRIM(_xlfn.XLOOKUP($A46,Строчный!$A:$A,Строчный!R:R,"ERR",0)))</f>
        <v/>
      </c>
      <c r="Q46" s="90">
        <f ca="1">VALUE(_xlfn.XLOOKUP($A46,Строчный!$A:$A,Строчный!N:N,"ERR",0))</f>
        <v>975.8</v>
      </c>
      <c r="R46" s="89" t="str">
        <f ca="1">_xlfn.XLOOKUP($G46,Фабрика!A:A,Фабрика!B:B,"ERR",0)</f>
        <v>ООО "ФРЭДРИКСОН" Россия 192029, С-Петербург, пр. Обуховской обороны, д.86, лит М</v>
      </c>
      <c r="S46" s="80" t="str">
        <f ca="1">_xlfn.XLOOKUP(RIGHT(AA46,2),Размеры!D:D,Размеры!A:A,"ERR",0)</f>
        <v>62</v>
      </c>
      <c r="T46" s="80">
        <f ca="1">VALUE(_xlfn.XLOOKUP($AA46,Строчный!$S:$S,Строчный!U:U,"ERR",0))</f>
        <v>1</v>
      </c>
      <c r="U46" s="14" t="s">
        <v>265</v>
      </c>
      <c r="V46" s="101" t="str">
        <f t="shared" ca="1" si="6"/>
        <v>Кепка FREDRIKSON арт. 3243 (черный)</v>
      </c>
      <c r="W46" s="100" t="str">
        <f t="shared" ca="1" si="7"/>
        <v>Кепка FREDRIKSON арт. 3243 (черный) {631/90}</v>
      </c>
      <c r="X46" s="18" t="str">
        <f t="shared" ca="1" si="8"/>
        <v>черный</v>
      </c>
      <c r="Y46" s="18" t="str">
        <f t="shared" ca="1" si="9"/>
        <v>черный</v>
      </c>
      <c r="Z46" s="117" t="str">
        <f ca="1">_xlfn.LET(_xlpm.FormColors,_xlfn.XLOOKUP(A46,Строчный!A:A,Строчный!Q:Q,"",0),IF(_xlpm.FormColors=0,IFERROR(MID(I46,FIND("-",I46)+1,LEN(I46)),IFERROR(MID(I46,1,FIND("/",I46)-2),I46)),_xlpm.FormColors))</f>
        <v>черный</v>
      </c>
      <c r="AA46" s="73" t="str">
        <f ca="1"/>
        <v>95-014-09-62</v>
      </c>
      <c r="AB46" s="75" t="str">
        <f ca="1">VLOOKUP(C46,Группа!A:B,2,FALSE)</f>
        <v>Кепка</v>
      </c>
      <c r="AC46" s="97" t="str">
        <f ca="1">IFERROR(VLOOKUP(S46,Размеры!A:C,3,FALSE),"")</f>
        <v>62 XL/XXL</v>
      </c>
      <c r="AD46" s="97" t="str">
        <f ca="1">VLOOKUP(I46,ЦветПолный!A:B,2,FALSE)</f>
        <v>09</v>
      </c>
      <c r="AE46" s="97" t="str">
        <f ca="1">IFERROR(VLOOKUP(S46,Размеры!A:D,4,FALSE),"")</f>
        <v>62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1</v>
      </c>
      <c r="AI46" s="97">
        <f ca="1">SUMIF(Группа!B:B,AB46,Группа!C:C)</f>
        <v>1</v>
      </c>
      <c r="AJ46" s="97">
        <f ca="1">SUMIF(Формы!A:A,D46,Формы!B:B)</f>
        <v>1</v>
      </c>
      <c r="AK46" s="97">
        <f ca="1">SUMIF(Материал!A:A,K46,Материал!B:B)</f>
        <v>1</v>
      </c>
      <c r="AL46" s="97">
        <f ca="1">SUMIF(Размеры!A:A,S46,Размеры!E:E)</f>
        <v>1</v>
      </c>
      <c r="AM46" s="97">
        <f ca="1">SUMIF(Сезон!A:A,F46,Сезон!B:B)</f>
        <v>1</v>
      </c>
      <c r="AN46" s="97">
        <f ca="1">SUMIF(Состав!A:A,J46,Состав!B:B)</f>
        <v>0</v>
      </c>
      <c r="AO46" s="97">
        <f ca="1">VLOOKUP(I46,ЦветПолный!A:C,3,0)</f>
        <v>1</v>
      </c>
      <c r="AP46" s="97">
        <f ca="1">SUMIF(Цвет!A:A,Z46,Цвет!B:B)</f>
        <v>1</v>
      </c>
      <c r="AQ46" s="97">
        <f ca="1">_xlfn.XLOOKUP(L46,Пол!A:A,Пол!B:B,0,0)</f>
        <v>1</v>
      </c>
      <c r="AR46" s="97">
        <f ca="1">SUMIF(Бренд!A:A,G46,Бренд!B:B)</f>
        <v>1</v>
      </c>
      <c r="AS46" s="97">
        <f ca="1">SUMIF(Страна!A:A,M46,Страна!B:B)</f>
        <v>1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5"/>
        <v>95-014-09</v>
      </c>
      <c r="B47" s="107" t="str">
        <f ca="1">_xlfn.LET(_xlpm.CAPS,0,_xlpm.Style,TRIM(_xlfn.XLOOKUP($A47,Строчный!$A:$A,Строчный!B:B,"ERR",0)),IF(_xlpm.CAPS=0,_xlpm.Style,LOWER(_xlpm.Style)))</f>
        <v>3243</v>
      </c>
      <c r="C47" s="81" t="str">
        <f ca="1">TRIM(PROPER(_xlfn.XLOOKUP($A47,Строчный!$A:$A,Строчный!C:C,"ERR",0)))</f>
        <v>Кепки</v>
      </c>
      <c r="D47" s="81" t="str">
        <f ca="1">_xlfn.LET(_xlpm.DATA,TRIM(_xlfn.XLOOKUP($A47,Строчный!$A:$A,Строчный!D:D,"ERR",0)),UPPER(MID(_xlpm.DATA,1,1))&amp;LOWER(MID(_xlpm.DATA,2,LEN(_xlpm.DATA)-1)))</f>
        <v>Кепка кадетка</v>
      </c>
      <c r="E47" s="81" t="str">
        <f ca="1">PROPER(TRIM(_xlfn.XLOOKUP($A47,Строчный!$A:$A,Строчный!E:E,"ERR",0)))</f>
        <v>Fredrikson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FREDRIKSON</v>
      </c>
      <c r="H47" s="81" t="str">
        <f ca="1">LOWER(TRIM(_xlfn.XLOOKUP($A47,Строчный!$A:$A,Строчный!H:H,"ERR",0)))</f>
        <v>631/90</v>
      </c>
      <c r="I47" s="81" t="str">
        <f ca="1">LOWER(TRIM(_xlfn.XLOOKUP($A47,Строчный!$A:$A,Строчный!I:I,"ERR",0)))</f>
        <v>черный</v>
      </c>
      <c r="J47" s="81" t="str">
        <f ca="1">SUBSTITUTE(LOWER(TRIM(_xlfn.XLOOKUP($A47,Строчный!$A:$A,Строчный!J:J,"ERR",0))),"подклад","Подклад")</f>
        <v>80% шерсть - 20% полиамид / Подклад: 100% вискоза</v>
      </c>
      <c r="K47" s="81" t="str">
        <f ca="1">LOWER(TRIM(_xlfn.XLOOKUP($A47,Строчный!$A:$A,Строчный!K:K,"ERR",0)))</f>
        <v>шерстяные</v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Россия</v>
      </c>
      <c r="N47" s="81" t="str">
        <f ca="1">UPPER(TRIM(_xlfn.XLOOKUP($A47,Строчный!$A:$A,Строчный!O:O,"ERR",0)))</f>
        <v/>
      </c>
      <c r="O47" s="102" t="str">
        <f ca="1">PROPER(TRIM(_xlfn.XLOOKUP($A47,Строчный!$A:$A,Строчный!P:P,"ERR",0)))</f>
        <v/>
      </c>
      <c r="P47" s="81" t="str">
        <f ca="1">PROPER(TRIM(_xlfn.XLOOKUP($A47,Строчный!$A:$A,Строчный!R:R,"ERR",0)))</f>
        <v/>
      </c>
      <c r="Q47" s="90">
        <f ca="1">VALUE(_xlfn.XLOOKUP($A47,Строчный!$A:$A,Строчный!N:N,"ERR",0))</f>
        <v>975.8</v>
      </c>
      <c r="R47" s="89" t="str">
        <f ca="1">_xlfn.XLOOKUP($G47,Фабрика!A:A,Фабрика!B:B,"ERR",0)</f>
        <v>ООО "ФРЭДРИКСОН" Россия 192029, С-Петербург, пр. Обуховской обороны, д.86, лит М</v>
      </c>
      <c r="S47" s="80" t="str">
        <f ca="1">_xlfn.XLOOKUP(RIGHT(AA47,2),Размеры!D:D,Размеры!A:A,"ERR",0)</f>
        <v>61</v>
      </c>
      <c r="T47" s="80">
        <f ca="1">VALUE(_xlfn.XLOOKUP($AA47,Строчный!$S:$S,Строчный!U:U,"ERR",0))</f>
        <v>1</v>
      </c>
      <c r="U47" s="14" t="s">
        <v>265</v>
      </c>
      <c r="V47" s="101" t="str">
        <f t="shared" ca="1" si="6"/>
        <v>Кепка FREDRIKSON арт. 3243 (черный)</v>
      </c>
      <c r="W47" s="100" t="str">
        <f t="shared" ca="1" si="7"/>
        <v>Кепка FREDRIKSON арт. 3243 (черный) {631/90}</v>
      </c>
      <c r="X47" s="18" t="str">
        <f t="shared" ca="1" si="8"/>
        <v>черный</v>
      </c>
      <c r="Y47" s="18" t="str">
        <f t="shared" ca="1" si="9"/>
        <v>черный</v>
      </c>
      <c r="Z47" s="117" t="str">
        <f ca="1">_xlfn.LET(_xlpm.FormColors,_xlfn.XLOOKUP(A47,Строчный!A:A,Строчный!Q:Q,"",0),IF(_xlpm.FormColors=0,IFERROR(MID(I47,FIND("-",I47)+1,LEN(I47)),IFERROR(MID(I47,1,FIND("/",I47)-2),I47)),_xlpm.FormColors))</f>
        <v>черный</v>
      </c>
      <c r="AA47" s="73" t="str">
        <f ca="1"/>
        <v>95-014-09-61</v>
      </c>
      <c r="AB47" s="75" t="str">
        <f ca="1">VLOOKUP(C47,Группа!A:B,2,FALSE)</f>
        <v>Кепка</v>
      </c>
      <c r="AC47" s="97" t="str">
        <f ca="1">IFERROR(VLOOKUP(S47,Размеры!A:C,3,FALSE),"")</f>
        <v>61 XL</v>
      </c>
      <c r="AD47" s="97" t="str">
        <f ca="1">VLOOKUP(I47,ЦветПолный!A:B,2,FALSE)</f>
        <v>09</v>
      </c>
      <c r="AE47" s="97" t="str">
        <f ca="1">IFERROR(VLOOKUP(S47,Размеры!A:D,4,FALSE),"")</f>
        <v>61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1</v>
      </c>
      <c r="AI47" s="97">
        <f ca="1">SUMIF(Группа!B:B,AB47,Группа!C:C)</f>
        <v>1</v>
      </c>
      <c r="AJ47" s="97">
        <f ca="1">SUMIF(Формы!A:A,D47,Формы!B:B)</f>
        <v>1</v>
      </c>
      <c r="AK47" s="97">
        <f ca="1">SUMIF(Материал!A:A,K47,Материал!B:B)</f>
        <v>1</v>
      </c>
      <c r="AL47" s="97">
        <f ca="1">SUMIF(Размеры!A:A,S47,Размеры!E:E)</f>
        <v>1</v>
      </c>
      <c r="AM47" s="97">
        <f ca="1">SUMIF(Сезон!A:A,F47,Сезон!B:B)</f>
        <v>1</v>
      </c>
      <c r="AN47" s="97">
        <f ca="1">SUMIF(Состав!A:A,J47,Состав!B:B)</f>
        <v>0</v>
      </c>
      <c r="AO47" s="97">
        <f ca="1">VLOOKUP(I47,ЦветПолный!A:C,3,0)</f>
        <v>1</v>
      </c>
      <c r="AP47" s="97">
        <f ca="1">SUMIF(Цвет!A:A,Z47,Цвет!B:B)</f>
        <v>1</v>
      </c>
      <c r="AQ47" s="97">
        <f ca="1">_xlfn.XLOOKUP(L47,Пол!A:A,Пол!B:B,0,0)</f>
        <v>1</v>
      </c>
      <c r="AR47" s="97">
        <f ca="1">SUMIF(Бренд!A:A,G47,Бренд!B:B)</f>
        <v>1</v>
      </c>
      <c r="AS47" s="97">
        <f ca="1">SUMIF(Страна!A:A,M47,Страна!B:B)</f>
        <v>1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5"/>
        <v>95-014-09</v>
      </c>
      <c r="B48" s="107" t="str">
        <f ca="1">_xlfn.LET(_xlpm.CAPS,0,_xlpm.Style,TRIM(_xlfn.XLOOKUP($A48,Строчный!$A:$A,Строчный!B:B,"ERR",0)),IF(_xlpm.CAPS=0,_xlpm.Style,LOWER(_xlpm.Style)))</f>
        <v>3243</v>
      </c>
      <c r="C48" s="81" t="str">
        <f ca="1">TRIM(PROPER(_xlfn.XLOOKUP($A48,Строчный!$A:$A,Строчный!C:C,"ERR",0)))</f>
        <v>Кепки</v>
      </c>
      <c r="D48" s="81" t="str">
        <f ca="1">_xlfn.LET(_xlpm.DATA,TRIM(_xlfn.XLOOKUP($A48,Строчный!$A:$A,Строчный!D:D,"ERR",0)),UPPER(MID(_xlpm.DATA,1,1))&amp;LOWER(MID(_xlpm.DATA,2,LEN(_xlpm.DATA)-1)))</f>
        <v>Кепка кадетка</v>
      </c>
      <c r="E48" s="81" t="str">
        <f ca="1">PROPER(TRIM(_xlfn.XLOOKUP($A48,Строчный!$A:$A,Строчный!E:E,"ERR",0)))</f>
        <v>Fredrikson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FREDRIKSON</v>
      </c>
      <c r="H48" s="81" t="str">
        <f ca="1">LOWER(TRIM(_xlfn.XLOOKUP($A48,Строчный!$A:$A,Строчный!H:H,"ERR",0)))</f>
        <v>631/90</v>
      </c>
      <c r="I48" s="81" t="str">
        <f ca="1">LOWER(TRIM(_xlfn.XLOOKUP($A48,Строчный!$A:$A,Строчный!I:I,"ERR",0)))</f>
        <v>черный</v>
      </c>
      <c r="J48" s="81" t="str">
        <f ca="1">SUBSTITUTE(LOWER(TRIM(_xlfn.XLOOKUP($A48,Строчный!$A:$A,Строчный!J:J,"ERR",0))),"подклад","Подклад")</f>
        <v>80% шерсть - 20% полиамид / Подклад: 100% вискоза</v>
      </c>
      <c r="K48" s="81" t="str">
        <f ca="1">LOWER(TRIM(_xlfn.XLOOKUP($A48,Строчный!$A:$A,Строчный!K:K,"ERR",0)))</f>
        <v>шерстяные</v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Россия</v>
      </c>
      <c r="N48" s="81" t="str">
        <f ca="1">UPPER(TRIM(_xlfn.XLOOKUP($A48,Строчный!$A:$A,Строчный!O:O,"ERR",0)))</f>
        <v/>
      </c>
      <c r="O48" s="102" t="str">
        <f ca="1">PROPER(TRIM(_xlfn.XLOOKUP($A48,Строчный!$A:$A,Строчный!P:P,"ERR",0)))</f>
        <v/>
      </c>
      <c r="P48" s="81" t="str">
        <f ca="1">PROPER(TRIM(_xlfn.XLOOKUP($A48,Строчный!$A:$A,Строчный!R:R,"ERR",0)))</f>
        <v/>
      </c>
      <c r="Q48" s="90">
        <f ca="1">VALUE(_xlfn.XLOOKUP($A48,Строчный!$A:$A,Строчный!N:N,"ERR",0))</f>
        <v>975.8</v>
      </c>
      <c r="R48" s="89" t="str">
        <f ca="1">_xlfn.XLOOKUP($G48,Фабрика!A:A,Фабрика!B:B,"ERR",0)</f>
        <v>ООО "ФРЭДРИКСОН" Россия 192029, С-Петербург, пр. Обуховской обороны, д.86, лит М</v>
      </c>
      <c r="S48" s="80" t="str">
        <f ca="1">_xlfn.XLOOKUP(RIGHT(AA48,2),Размеры!D:D,Размеры!A:A,"ERR",0)</f>
        <v>60</v>
      </c>
      <c r="T48" s="80">
        <f ca="1">VALUE(_xlfn.XLOOKUP($AA48,Строчный!$S:$S,Строчный!U:U,"ERR",0))</f>
        <v>2</v>
      </c>
      <c r="U48" s="14" t="s">
        <v>265</v>
      </c>
      <c r="V48" s="101" t="str">
        <f t="shared" ca="1" si="6"/>
        <v>Кепка FREDRIKSON арт. 3243 (черный)</v>
      </c>
      <c r="W48" s="100" t="str">
        <f t="shared" ca="1" si="7"/>
        <v>Кепка FREDRIKSON арт. 3243 (черный) {631/90}</v>
      </c>
      <c r="X48" s="18" t="str">
        <f t="shared" ca="1" si="8"/>
        <v>черный</v>
      </c>
      <c r="Y48" s="18" t="str">
        <f t="shared" ca="1" si="9"/>
        <v>черный</v>
      </c>
      <c r="Z48" s="117" t="str">
        <f ca="1">_xlfn.LET(_xlpm.FormColors,_xlfn.XLOOKUP(A48,Строчный!A:A,Строчный!Q:Q,"",0),IF(_xlpm.FormColors=0,IFERROR(MID(I48,FIND("-",I48)+1,LEN(I48)),IFERROR(MID(I48,1,FIND("/",I48)-2),I48)),_xlpm.FormColors))</f>
        <v>черный</v>
      </c>
      <c r="AA48" s="73" t="str">
        <f ca="1"/>
        <v>95-014-09-60</v>
      </c>
      <c r="AB48" s="75" t="str">
        <f ca="1">VLOOKUP(C48,Группа!A:B,2,FALSE)</f>
        <v>Кепка</v>
      </c>
      <c r="AC48" s="97" t="str">
        <f ca="1">IFERROR(VLOOKUP(S48,Размеры!A:C,3,FALSE),"")</f>
        <v>60 L/XL</v>
      </c>
      <c r="AD48" s="97" t="str">
        <f ca="1">VLOOKUP(I48,ЦветПолный!A:B,2,FALSE)</f>
        <v>09</v>
      </c>
      <c r="AE48" s="97" t="str">
        <f ca="1">IFERROR(VLOOKUP(S48,Размеры!A:D,4,FALSE),"")</f>
        <v>60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1</v>
      </c>
      <c r="AI48" s="97">
        <f ca="1">SUMIF(Группа!B:B,AB48,Группа!C:C)</f>
        <v>1</v>
      </c>
      <c r="AJ48" s="97">
        <f ca="1">SUMIF(Формы!A:A,D48,Формы!B:B)</f>
        <v>1</v>
      </c>
      <c r="AK48" s="97">
        <f ca="1">SUMIF(Материал!A:A,K48,Материал!B:B)</f>
        <v>1</v>
      </c>
      <c r="AL48" s="97">
        <f ca="1">SUMIF(Размеры!A:A,S48,Размеры!E:E)</f>
        <v>1</v>
      </c>
      <c r="AM48" s="97">
        <f ca="1">SUMIF(Сезон!A:A,F48,Сезон!B:B)</f>
        <v>1</v>
      </c>
      <c r="AN48" s="97">
        <f ca="1">SUMIF(Состав!A:A,J48,Состав!B:B)</f>
        <v>0</v>
      </c>
      <c r="AO48" s="97">
        <f ca="1">VLOOKUP(I48,ЦветПолный!A:C,3,0)</f>
        <v>1</v>
      </c>
      <c r="AP48" s="97">
        <f ca="1">SUMIF(Цвет!A:A,Z48,Цвет!B:B)</f>
        <v>1</v>
      </c>
      <c r="AQ48" s="97">
        <f ca="1">_xlfn.XLOOKUP(L48,Пол!A:A,Пол!B:B,0,0)</f>
        <v>1</v>
      </c>
      <c r="AR48" s="97">
        <f ca="1">SUMIF(Бренд!A:A,G48,Бренд!B:B)</f>
        <v>1</v>
      </c>
      <c r="AS48" s="97">
        <f ca="1">SUMIF(Страна!A:A,M48,Страна!B:B)</f>
        <v>1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5"/>
        <v>95-014-09</v>
      </c>
      <c r="B49" s="107" t="str">
        <f ca="1">_xlfn.LET(_xlpm.CAPS,0,_xlpm.Style,TRIM(_xlfn.XLOOKUP($A49,Строчный!$A:$A,Строчный!B:B,"ERR",0)),IF(_xlpm.CAPS=0,_xlpm.Style,LOWER(_xlpm.Style)))</f>
        <v>3243</v>
      </c>
      <c r="C49" s="81" t="str">
        <f ca="1">TRIM(PROPER(_xlfn.XLOOKUP($A49,Строчный!$A:$A,Строчный!C:C,"ERR",0)))</f>
        <v>Кепки</v>
      </c>
      <c r="D49" s="81" t="str">
        <f ca="1">_xlfn.LET(_xlpm.DATA,TRIM(_xlfn.XLOOKUP($A49,Строчный!$A:$A,Строчный!D:D,"ERR",0)),UPPER(MID(_xlpm.DATA,1,1))&amp;LOWER(MID(_xlpm.DATA,2,LEN(_xlpm.DATA)-1)))</f>
        <v>Кепка кадетка</v>
      </c>
      <c r="E49" s="81" t="str">
        <f ca="1">PROPER(TRIM(_xlfn.XLOOKUP($A49,Строчный!$A:$A,Строчный!E:E,"ERR",0)))</f>
        <v>Fredrikson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FREDRIKSON</v>
      </c>
      <c r="H49" s="81" t="str">
        <f ca="1">LOWER(TRIM(_xlfn.XLOOKUP($A49,Строчный!$A:$A,Строчный!H:H,"ERR",0)))</f>
        <v>631/90</v>
      </c>
      <c r="I49" s="81" t="str">
        <f ca="1">LOWER(TRIM(_xlfn.XLOOKUP($A49,Строчный!$A:$A,Строчный!I:I,"ERR",0)))</f>
        <v>черный</v>
      </c>
      <c r="J49" s="81" t="str">
        <f ca="1">SUBSTITUTE(LOWER(TRIM(_xlfn.XLOOKUP($A49,Строчный!$A:$A,Строчный!J:J,"ERR",0))),"подклад","Подклад")</f>
        <v>80% шерсть - 20% полиамид / Подклад: 100% вискоза</v>
      </c>
      <c r="K49" s="81" t="str">
        <f ca="1">LOWER(TRIM(_xlfn.XLOOKUP($A49,Строчный!$A:$A,Строчный!K:K,"ERR",0)))</f>
        <v>шерстяные</v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Россия</v>
      </c>
      <c r="N49" s="81" t="str">
        <f ca="1">UPPER(TRIM(_xlfn.XLOOKUP($A49,Строчный!$A:$A,Строчный!O:O,"ERR",0)))</f>
        <v/>
      </c>
      <c r="O49" s="102" t="str">
        <f ca="1">PROPER(TRIM(_xlfn.XLOOKUP($A49,Строчный!$A:$A,Строчный!P:P,"ERR",0)))</f>
        <v/>
      </c>
      <c r="P49" s="81" t="str">
        <f ca="1">PROPER(TRIM(_xlfn.XLOOKUP($A49,Строчный!$A:$A,Строчный!R:R,"ERR",0)))</f>
        <v/>
      </c>
      <c r="Q49" s="90">
        <f ca="1">VALUE(_xlfn.XLOOKUP($A49,Строчный!$A:$A,Строчный!N:N,"ERR",0))</f>
        <v>975.8</v>
      </c>
      <c r="R49" s="89" t="str">
        <f ca="1">_xlfn.XLOOKUP($G49,Фабрика!A:A,Фабрика!B:B,"ERR",0)</f>
        <v>ООО "ФРЭДРИКСОН" Россия 192029, С-Петербург, пр. Обуховской обороны, д.86, лит М</v>
      </c>
      <c r="S49" s="80" t="str">
        <f ca="1">_xlfn.XLOOKUP(RIGHT(AA49,2),Размеры!D:D,Размеры!A:A,"ERR",0)</f>
        <v>59</v>
      </c>
      <c r="T49" s="80">
        <f ca="1">VALUE(_xlfn.XLOOKUP($AA49,Строчный!$S:$S,Строчный!U:U,"ERR",0))</f>
        <v>4</v>
      </c>
      <c r="U49" s="14" t="s">
        <v>265</v>
      </c>
      <c r="V49" s="101" t="str">
        <f t="shared" ca="1" si="6"/>
        <v>Кепка FREDRIKSON арт. 3243 (черный)</v>
      </c>
      <c r="W49" s="100" t="str">
        <f t="shared" ca="1" si="7"/>
        <v>Кепка FREDRIKSON арт. 3243 (черный) {631/90}</v>
      </c>
      <c r="X49" s="18" t="str">
        <f t="shared" ca="1" si="8"/>
        <v>черный</v>
      </c>
      <c r="Y49" s="18" t="str">
        <f t="shared" ca="1" si="9"/>
        <v>черный</v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>черный</v>
      </c>
      <c r="AA49" s="73" t="str">
        <f ca="1"/>
        <v>95-014-09-59</v>
      </c>
      <c r="AB49" s="75" t="str">
        <f ca="1">VLOOKUP(C49,Группа!A:B,2,FALSE)</f>
        <v>Кепка</v>
      </c>
      <c r="AC49" s="97" t="str">
        <f ca="1">IFERROR(VLOOKUP(S49,Размеры!A:C,3,FALSE),"")</f>
        <v>59 L</v>
      </c>
      <c r="AD49" s="97" t="str">
        <f ca="1">VLOOKUP(I49,ЦветПолный!A:B,2,FALSE)</f>
        <v>09</v>
      </c>
      <c r="AE49" s="97" t="str">
        <f ca="1">IFERROR(VLOOKUP(S49,Размеры!A:D,4,FALSE),"")</f>
        <v>59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1</v>
      </c>
      <c r="AI49" s="97">
        <f ca="1">SUMIF(Группа!B:B,AB49,Группа!C:C)</f>
        <v>1</v>
      </c>
      <c r="AJ49" s="97">
        <f ca="1">SUMIF(Формы!A:A,D49,Формы!B:B)</f>
        <v>1</v>
      </c>
      <c r="AK49" s="97">
        <f ca="1">SUMIF(Материал!A:A,K49,Материал!B:B)</f>
        <v>1</v>
      </c>
      <c r="AL49" s="97">
        <f ca="1">SUMIF(Размеры!A:A,S49,Размеры!E:E)</f>
        <v>1</v>
      </c>
      <c r="AM49" s="97">
        <f ca="1">SUMIF(Сезон!A:A,F49,Сезон!B:B)</f>
        <v>1</v>
      </c>
      <c r="AN49" s="97">
        <f ca="1">SUMIF(Состав!A:A,J49,Состав!B:B)</f>
        <v>0</v>
      </c>
      <c r="AO49" s="97">
        <f ca="1">VLOOKUP(I49,ЦветПолный!A:C,3,0)</f>
        <v>1</v>
      </c>
      <c r="AP49" s="97">
        <f ca="1">SUMIF(Цвет!A:A,Z49,Цвет!B:B)</f>
        <v>1</v>
      </c>
      <c r="AQ49" s="97">
        <f ca="1">_xlfn.XLOOKUP(L49,Пол!A:A,Пол!B:B,0,0)</f>
        <v>1</v>
      </c>
      <c r="AR49" s="97">
        <f ca="1">SUMIF(Бренд!A:A,G49,Бренд!B:B)</f>
        <v>1</v>
      </c>
      <c r="AS49" s="97">
        <f ca="1">SUMIF(Страна!A:A,M49,Страна!B:B)</f>
        <v>1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5"/>
        <v>95-014-09</v>
      </c>
      <c r="B50" s="107" t="str">
        <f ca="1">_xlfn.LET(_xlpm.CAPS,0,_xlpm.Style,TRIM(_xlfn.XLOOKUP($A50,Строчный!$A:$A,Строчный!B:B,"ERR",0)),IF(_xlpm.CAPS=0,_xlpm.Style,LOWER(_xlpm.Style)))</f>
        <v>3243</v>
      </c>
      <c r="C50" s="81" t="str">
        <f ca="1">TRIM(PROPER(_xlfn.XLOOKUP($A50,Строчный!$A:$A,Строчный!C:C,"ERR",0)))</f>
        <v>Кепки</v>
      </c>
      <c r="D50" s="81" t="str">
        <f ca="1">_xlfn.LET(_xlpm.DATA,TRIM(_xlfn.XLOOKUP($A50,Строчный!$A:$A,Строчный!D:D,"ERR",0)),UPPER(MID(_xlpm.DATA,1,1))&amp;LOWER(MID(_xlpm.DATA,2,LEN(_xlpm.DATA)-1)))</f>
        <v>Кепка кадетка</v>
      </c>
      <c r="E50" s="81" t="str">
        <f ca="1">PROPER(TRIM(_xlfn.XLOOKUP($A50,Строчный!$A:$A,Строчный!E:E,"ERR",0)))</f>
        <v>Fredrikson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FREDRIKSON</v>
      </c>
      <c r="H50" s="81" t="str">
        <f ca="1">LOWER(TRIM(_xlfn.XLOOKUP($A50,Строчный!$A:$A,Строчный!H:H,"ERR",0)))</f>
        <v>631/90</v>
      </c>
      <c r="I50" s="81" t="str">
        <f ca="1">LOWER(TRIM(_xlfn.XLOOKUP($A50,Строчный!$A:$A,Строчный!I:I,"ERR",0)))</f>
        <v>черный</v>
      </c>
      <c r="J50" s="81" t="str">
        <f ca="1">SUBSTITUTE(LOWER(TRIM(_xlfn.XLOOKUP($A50,Строчный!$A:$A,Строчный!J:J,"ERR",0))),"подклад","Подклад")</f>
        <v>80% шерсть - 20% полиамид / Подклад: 100% вискоза</v>
      </c>
      <c r="K50" s="81" t="str">
        <f ca="1">LOWER(TRIM(_xlfn.XLOOKUP($A50,Строчный!$A:$A,Строчный!K:K,"ERR",0)))</f>
        <v>шерстяные</v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Россия</v>
      </c>
      <c r="N50" s="81" t="str">
        <f ca="1">UPPER(TRIM(_xlfn.XLOOKUP($A50,Строчный!$A:$A,Строчный!O:O,"ERR",0)))</f>
        <v/>
      </c>
      <c r="O50" s="102" t="str">
        <f ca="1">PROPER(TRIM(_xlfn.XLOOKUP($A50,Строчный!$A:$A,Строчный!P:P,"ERR",0)))</f>
        <v/>
      </c>
      <c r="P50" s="81" t="str">
        <f ca="1">PROPER(TRIM(_xlfn.XLOOKUP($A50,Строчный!$A:$A,Строчный!R:R,"ERR",0)))</f>
        <v/>
      </c>
      <c r="Q50" s="90">
        <f ca="1">VALUE(_xlfn.XLOOKUP($A50,Строчный!$A:$A,Строчный!N:N,"ERR",0))</f>
        <v>975.8</v>
      </c>
      <c r="R50" s="89" t="str">
        <f ca="1">_xlfn.XLOOKUP($G50,Фабрика!A:A,Фабрика!B:B,"ERR",0)</f>
        <v>ООО "ФРЭДРИКСОН" Россия 192029, С-Петербург, пр. Обуховской обороны, д.86, лит М</v>
      </c>
      <c r="S50" s="80" t="str">
        <f ca="1">_xlfn.XLOOKUP(RIGHT(AA50,2),Размеры!D:D,Размеры!A:A,"ERR",0)</f>
        <v>58</v>
      </c>
      <c r="T50" s="80">
        <f ca="1">VALUE(_xlfn.XLOOKUP($AA50,Строчный!$S:$S,Строчный!U:U,"ERR",0))</f>
        <v>2</v>
      </c>
      <c r="U50" s="14" t="s">
        <v>265</v>
      </c>
      <c r="V50" s="101" t="str">
        <f t="shared" ca="1" si="6"/>
        <v>Кепка FREDRIKSON арт. 3243 (черный)</v>
      </c>
      <c r="W50" s="100" t="str">
        <f t="shared" ca="1" si="7"/>
        <v>Кепка FREDRIKSON арт. 3243 (черный) {631/90}</v>
      </c>
      <c r="X50" s="18" t="str">
        <f t="shared" ca="1" si="8"/>
        <v>черный</v>
      </c>
      <c r="Y50" s="18" t="str">
        <f t="shared" ca="1" si="9"/>
        <v>черный</v>
      </c>
      <c r="Z50" s="117" t="str">
        <f ca="1">_xlfn.LET(_xlpm.FormColors,_xlfn.XLOOKUP(A50,Строчный!A:A,Строчный!Q:Q,"",0),IF(_xlpm.FormColors=0,IFERROR(MID(I50,FIND("-",I50)+1,LEN(I50)),IFERROR(MID(I50,1,FIND("/",I50)-2),I50)),_xlpm.FormColors))</f>
        <v>черный</v>
      </c>
      <c r="AA50" s="73" t="str">
        <f ca="1"/>
        <v>95-014-09-58</v>
      </c>
      <c r="AB50" s="75" t="str">
        <f ca="1">VLOOKUP(C50,Группа!A:B,2,FALSE)</f>
        <v>Кепка</v>
      </c>
      <c r="AC50" s="97" t="str">
        <f ca="1">IFERROR(VLOOKUP(S50,Размеры!A:C,3,FALSE),"")</f>
        <v>58 M/L</v>
      </c>
      <c r="AD50" s="97" t="str">
        <f ca="1">VLOOKUP(I50,ЦветПолный!A:B,2,FALSE)</f>
        <v>09</v>
      </c>
      <c r="AE50" s="97" t="str">
        <f ca="1">IFERROR(VLOOKUP(S50,Размеры!A:D,4,FALSE),"")</f>
        <v>58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1</v>
      </c>
      <c r="AI50" s="97">
        <f ca="1">SUMIF(Группа!B:B,AB50,Группа!C:C)</f>
        <v>1</v>
      </c>
      <c r="AJ50" s="97">
        <f ca="1">SUMIF(Формы!A:A,D50,Формы!B:B)</f>
        <v>1</v>
      </c>
      <c r="AK50" s="97">
        <f ca="1">SUMIF(Материал!A:A,K50,Материал!B:B)</f>
        <v>1</v>
      </c>
      <c r="AL50" s="97">
        <f ca="1">SUMIF(Размеры!A:A,S50,Размеры!E:E)</f>
        <v>1</v>
      </c>
      <c r="AM50" s="97">
        <f ca="1">SUMIF(Сезон!A:A,F50,Сезон!B:B)</f>
        <v>1</v>
      </c>
      <c r="AN50" s="97">
        <f ca="1">SUMIF(Состав!A:A,J50,Состав!B:B)</f>
        <v>0</v>
      </c>
      <c r="AO50" s="97">
        <f ca="1">VLOOKUP(I50,ЦветПолный!A:C,3,0)</f>
        <v>1</v>
      </c>
      <c r="AP50" s="97">
        <f ca="1">SUMIF(Цвет!A:A,Z50,Цвет!B:B)</f>
        <v>1</v>
      </c>
      <c r="AQ50" s="97">
        <f ca="1">_xlfn.XLOOKUP(L50,Пол!A:A,Пол!B:B,0,0)</f>
        <v>1</v>
      </c>
      <c r="AR50" s="97">
        <f ca="1">SUMIF(Бренд!A:A,G50,Бренд!B:B)</f>
        <v>1</v>
      </c>
      <c r="AS50" s="97">
        <f ca="1">SUMIF(Страна!A:A,M50,Страна!B:B)</f>
        <v>1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5"/>
        <v>95-014-09</v>
      </c>
      <c r="B51" s="107" t="str">
        <f ca="1">_xlfn.LET(_xlpm.CAPS,0,_xlpm.Style,TRIM(_xlfn.XLOOKUP($A51,Строчный!$A:$A,Строчный!B:B,"ERR",0)),IF(_xlpm.CAPS=0,_xlpm.Style,LOWER(_xlpm.Style)))</f>
        <v>3243</v>
      </c>
      <c r="C51" s="81" t="str">
        <f ca="1">TRIM(PROPER(_xlfn.XLOOKUP($A51,Строчный!$A:$A,Строчный!C:C,"ERR",0)))</f>
        <v>Кепки</v>
      </c>
      <c r="D51" s="81" t="str">
        <f ca="1">_xlfn.LET(_xlpm.DATA,TRIM(_xlfn.XLOOKUP($A51,Строчный!$A:$A,Строчный!D:D,"ERR",0)),UPPER(MID(_xlpm.DATA,1,1))&amp;LOWER(MID(_xlpm.DATA,2,LEN(_xlpm.DATA)-1)))</f>
        <v>Кепка кадетка</v>
      </c>
      <c r="E51" s="81" t="str">
        <f ca="1">PROPER(TRIM(_xlfn.XLOOKUP($A51,Строчный!$A:$A,Строчный!E:E,"ERR",0)))</f>
        <v>Fredrikson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FREDRIKSON</v>
      </c>
      <c r="H51" s="81" t="str">
        <f ca="1">LOWER(TRIM(_xlfn.XLOOKUP($A51,Строчный!$A:$A,Строчный!H:H,"ERR",0)))</f>
        <v>631/90</v>
      </c>
      <c r="I51" s="81" t="str">
        <f ca="1">LOWER(TRIM(_xlfn.XLOOKUP($A51,Строчный!$A:$A,Строчный!I:I,"ERR",0)))</f>
        <v>черный</v>
      </c>
      <c r="J51" s="81" t="str">
        <f ca="1">SUBSTITUTE(LOWER(TRIM(_xlfn.XLOOKUP($A51,Строчный!$A:$A,Строчный!J:J,"ERR",0))),"подклад","Подклад")</f>
        <v>80% шерсть - 20% полиамид / Подклад: 100% вискоза</v>
      </c>
      <c r="K51" s="81" t="str">
        <f ca="1">LOWER(TRIM(_xlfn.XLOOKUP($A51,Строчный!$A:$A,Строчный!K:K,"ERR",0)))</f>
        <v>шерстяные</v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Россия</v>
      </c>
      <c r="N51" s="81" t="str">
        <f ca="1">UPPER(TRIM(_xlfn.XLOOKUP($A51,Строчный!$A:$A,Строчный!O:O,"ERR",0)))</f>
        <v/>
      </c>
      <c r="O51" s="102" t="str">
        <f ca="1">PROPER(TRIM(_xlfn.XLOOKUP($A51,Строчный!$A:$A,Строчный!P:P,"ERR",0)))</f>
        <v/>
      </c>
      <c r="P51" s="81" t="str">
        <f ca="1">PROPER(TRIM(_xlfn.XLOOKUP($A51,Строчный!$A:$A,Строчный!R:R,"ERR",0)))</f>
        <v/>
      </c>
      <c r="Q51" s="90">
        <f ca="1">VALUE(_xlfn.XLOOKUP($A51,Строчный!$A:$A,Строчный!N:N,"ERR",0))</f>
        <v>975.8</v>
      </c>
      <c r="R51" s="89" t="str">
        <f ca="1">_xlfn.XLOOKUP($G51,Фабрика!A:A,Фабрика!B:B,"ERR",0)</f>
        <v>ООО "ФРЭДРИКСОН" Россия 192029, С-Петербург, пр. Обуховской обороны, д.86, лит М</v>
      </c>
      <c r="S51" s="80" t="str">
        <f ca="1">_xlfn.XLOOKUP(RIGHT(AA51,2),Размеры!D:D,Размеры!A:A,"ERR",0)</f>
        <v>57</v>
      </c>
      <c r="T51" s="80">
        <f ca="1">VALUE(_xlfn.XLOOKUP($AA51,Строчный!$S:$S,Строчный!U:U,"ERR",0))</f>
        <v>1</v>
      </c>
      <c r="U51" s="14" t="s">
        <v>265</v>
      </c>
      <c r="V51" s="101" t="str">
        <f t="shared" ca="1" si="6"/>
        <v>Кепка FREDRIKSON арт. 3243 (черный)</v>
      </c>
      <c r="W51" s="100" t="str">
        <f t="shared" ca="1" si="7"/>
        <v>Кепка FREDRIKSON арт. 3243 (черный) {631/90}</v>
      </c>
      <c r="X51" s="18" t="str">
        <f t="shared" ca="1" si="8"/>
        <v>черный</v>
      </c>
      <c r="Y51" s="18" t="str">
        <f t="shared" ca="1" si="9"/>
        <v>черный</v>
      </c>
      <c r="Z51" s="117" t="str">
        <f ca="1">_xlfn.LET(_xlpm.FormColors,_xlfn.XLOOKUP(A51,Строчный!A:A,Строчный!Q:Q,"",0),IF(_xlpm.FormColors=0,IFERROR(MID(I51,FIND("-",I51)+1,LEN(I51)),IFERROR(MID(I51,1,FIND("/",I51)-2),I51)),_xlpm.FormColors))</f>
        <v>черный</v>
      </c>
      <c r="AA51" s="73" t="str">
        <f ca="1"/>
        <v>95-014-09-57</v>
      </c>
      <c r="AB51" s="75" t="str">
        <f ca="1">VLOOKUP(C51,Группа!A:B,2,FALSE)</f>
        <v>Кепка</v>
      </c>
      <c r="AC51" s="97" t="str">
        <f ca="1">IFERROR(VLOOKUP(S51,Размеры!A:C,3,FALSE),"")</f>
        <v>57 M</v>
      </c>
      <c r="AD51" s="97" t="str">
        <f ca="1">VLOOKUP(I51,ЦветПолный!A:B,2,FALSE)</f>
        <v>09</v>
      </c>
      <c r="AE51" s="97" t="str">
        <f ca="1">IFERROR(VLOOKUP(S51,Размеры!A:D,4,FALSE),"")</f>
        <v>57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1</v>
      </c>
      <c r="AI51" s="97">
        <f ca="1">SUMIF(Группа!B:B,AB51,Группа!C:C)</f>
        <v>1</v>
      </c>
      <c r="AJ51" s="97">
        <f ca="1">SUMIF(Формы!A:A,D51,Формы!B:B)</f>
        <v>1</v>
      </c>
      <c r="AK51" s="97">
        <f ca="1">SUMIF(Материал!A:A,K51,Материал!B:B)</f>
        <v>1</v>
      </c>
      <c r="AL51" s="97">
        <f ca="1">SUMIF(Размеры!A:A,S51,Размеры!E:E)</f>
        <v>1</v>
      </c>
      <c r="AM51" s="97">
        <f ca="1">SUMIF(Сезон!A:A,F51,Сезон!B:B)</f>
        <v>1</v>
      </c>
      <c r="AN51" s="97">
        <f ca="1">SUMIF(Состав!A:A,J51,Состав!B:B)</f>
        <v>0</v>
      </c>
      <c r="AO51" s="97">
        <f ca="1">VLOOKUP(I51,ЦветПолный!A:C,3,0)</f>
        <v>1</v>
      </c>
      <c r="AP51" s="97">
        <f ca="1">SUMIF(Цвет!A:A,Z51,Цвет!B:B)</f>
        <v>1</v>
      </c>
      <c r="AQ51" s="97">
        <f ca="1">_xlfn.XLOOKUP(L51,Пол!A:A,Пол!B:B,0,0)</f>
        <v>1</v>
      </c>
      <c r="AR51" s="97">
        <f ca="1">SUMIF(Бренд!A:A,G51,Бренд!B:B)</f>
        <v>1</v>
      </c>
      <c r="AS51" s="97">
        <f ca="1">SUMIF(Страна!A:A,M51,Страна!B:B)</f>
        <v>1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5"/>
        <v>95-013-16</v>
      </c>
      <c r="B52" s="107" t="str">
        <f ca="1">_xlfn.LET(_xlpm.CAPS,0,_xlpm.Style,TRIM(_xlfn.XLOOKUP($A52,Строчный!$A:$A,Строчный!B:B,"ERR",0)),IF(_xlpm.CAPS=0,_xlpm.Style,LOWER(_xlpm.Style)))</f>
        <v>3216</v>
      </c>
      <c r="C52" s="81" t="str">
        <f ca="1">TRIM(PROPER(_xlfn.XLOOKUP($A52,Строчный!$A:$A,Строчный!C:C,"ERR",0)))</f>
        <v>Бейсболки</v>
      </c>
      <c r="D52" s="81" t="str">
        <f ca="1">_xlfn.LET(_xlpm.DATA,TRIM(_xlfn.XLOOKUP($A52,Строчный!$A:$A,Строчный!D:D,"ERR",0)),UPPER(MID(_xlpm.DATA,1,1))&amp;LOWER(MID(_xlpm.DATA,2,LEN(_xlpm.DATA)-1)))</f>
        <v>Бейсболка</v>
      </c>
      <c r="E52" s="81" t="str">
        <f ca="1">PROPER(TRIM(_xlfn.XLOOKUP($A52,Строчный!$A:$A,Строчный!E:E,"ERR",0)))</f>
        <v>Fredrikson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FREDRIKSON</v>
      </c>
      <c r="H52" s="81" t="str">
        <f ca="1">LOWER(TRIM(_xlfn.XLOOKUP($A52,Строчный!$A:$A,Строчный!H:H,"ERR",0)))</f>
        <v>625/20</v>
      </c>
      <c r="I52" s="81" t="str">
        <f ca="1">LOWER(TRIM(_xlfn.XLOOKUP($A52,Строчный!$A:$A,Строчный!I:I,"ERR",0)))</f>
        <v>темно-синий</v>
      </c>
      <c r="J52" s="81" t="str">
        <f ca="1">SUBSTITUTE(LOWER(TRIM(_xlfn.XLOOKUP($A52,Строчный!$A:$A,Строчный!J:J,"ERR",0))),"подклад","Подклад")</f>
        <v>80% шерсть - 20% полиамид / Подклад: 100% вискоза</v>
      </c>
      <c r="K52" s="81" t="str">
        <f ca="1">LOWER(TRIM(_xlfn.XLOOKUP($A52,Строчный!$A:$A,Строчный!K:K,"ERR",0)))</f>
        <v>шерстяные</v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Россия</v>
      </c>
      <c r="N52" s="81" t="str">
        <f ca="1">UPPER(TRIM(_xlfn.XLOOKUP($A52,Строчный!$A:$A,Строчный!O:O,"ERR",0)))</f>
        <v/>
      </c>
      <c r="O52" s="102" t="str">
        <f ca="1">PROPER(TRIM(_xlfn.XLOOKUP($A52,Строчный!$A:$A,Строчный!P:P,"ERR",0)))</f>
        <v/>
      </c>
      <c r="P52" s="81" t="str">
        <f ca="1">PROPER(TRIM(_xlfn.XLOOKUP($A52,Строчный!$A:$A,Строчный!R:R,"ERR",0)))</f>
        <v/>
      </c>
      <c r="Q52" s="90">
        <f ca="1">VALUE(_xlfn.XLOOKUP($A52,Строчный!$A:$A,Строчный!N:N,"ERR",0))</f>
        <v>975.8</v>
      </c>
      <c r="R52" s="89" t="str">
        <f ca="1">_xlfn.XLOOKUP($G52,Фабрика!A:A,Фабрика!B:B,"ERR",0)</f>
        <v>ООО "ФРЭДРИКСОН" Россия 192029, С-Петербург, пр. Обуховской обороны, д.86, лит М</v>
      </c>
      <c r="S52" s="80" t="str">
        <f ca="1">_xlfn.XLOOKUP(RIGHT(AA52,2),Размеры!D:D,Размеры!A:A,"ERR",0)</f>
        <v>60</v>
      </c>
      <c r="T52" s="80">
        <f ca="1">VALUE(_xlfn.XLOOKUP($AA52,Строчный!$S:$S,Строчный!U:U,"ERR",0))</f>
        <v>4</v>
      </c>
      <c r="U52" s="14" t="s">
        <v>265</v>
      </c>
      <c r="V52" s="101" t="str">
        <f t="shared" ca="1" si="6"/>
        <v>Бейсболка FREDRIKSON арт. 3216 (темно-синий)</v>
      </c>
      <c r="W52" s="100" t="str">
        <f t="shared" ca="1" si="7"/>
        <v>Бейсболка FREDRIKSON арт. 3216 (темно-синий) {625/20}</v>
      </c>
      <c r="X52" s="18" t="str">
        <f t="shared" ca="1" si="8"/>
        <v>синий</v>
      </c>
      <c r="Y52" s="18" t="str">
        <f t="shared" ca="1" si="9"/>
        <v>синий</v>
      </c>
      <c r="Z52" s="117" t="str">
        <f ca="1">_xlfn.LET(_xlpm.FormColors,_xlfn.XLOOKUP(A52,Строчный!A:A,Строчный!Q:Q,"",0),IF(_xlpm.FormColors=0,IFERROR(MID(I52,FIND("-",I52)+1,LEN(I52)),IFERROR(MID(I52,1,FIND("/",I52)-2),I52)),_xlpm.FormColors))</f>
        <v>синий</v>
      </c>
      <c r="AA52" s="73" t="str">
        <f ca="1"/>
        <v>95-013-16-60</v>
      </c>
      <c r="AB52" s="75" t="str">
        <f ca="1">VLOOKUP(C52,Группа!A:B,2,FALSE)</f>
        <v>Бейсболка</v>
      </c>
      <c r="AC52" s="97" t="str">
        <f ca="1">IFERROR(VLOOKUP(S52,Размеры!A:C,3,FALSE),"")</f>
        <v>60 L/XL</v>
      </c>
      <c r="AD52" s="97" t="str">
        <f ca="1">VLOOKUP(I52,ЦветПолный!A:B,2,FALSE)</f>
        <v>16</v>
      </c>
      <c r="AE52" s="97" t="str">
        <f ca="1">IFERROR(VLOOKUP(S52,Размеры!A:D,4,FALSE),"")</f>
        <v>60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1</v>
      </c>
      <c r="AI52" s="97">
        <f ca="1">SUMIF(Группа!B:B,AB52,Группа!C:C)</f>
        <v>1</v>
      </c>
      <c r="AJ52" s="97">
        <f ca="1">SUMIF(Формы!A:A,D52,Формы!B:B)</f>
        <v>1</v>
      </c>
      <c r="AK52" s="97">
        <f ca="1">SUMIF(Материал!A:A,K52,Материал!B:B)</f>
        <v>1</v>
      </c>
      <c r="AL52" s="97">
        <f ca="1">SUMIF(Размеры!A:A,S52,Размеры!E:E)</f>
        <v>1</v>
      </c>
      <c r="AM52" s="97">
        <f ca="1">SUMIF(Сезон!A:A,F52,Сезон!B:B)</f>
        <v>1</v>
      </c>
      <c r="AN52" s="97">
        <f ca="1">SUMIF(Состав!A:A,J52,Состав!B:B)</f>
        <v>0</v>
      </c>
      <c r="AO52" s="97">
        <f ca="1">VLOOKUP(I52,ЦветПолный!A:C,3,0)</f>
        <v>1</v>
      </c>
      <c r="AP52" s="97">
        <f ca="1">SUMIF(Цвет!A:A,Z52,Цвет!B:B)</f>
        <v>1</v>
      </c>
      <c r="AQ52" s="97">
        <f ca="1">_xlfn.XLOOKUP(L52,Пол!A:A,Пол!B:B,0,0)</f>
        <v>1</v>
      </c>
      <c r="AR52" s="97">
        <f ca="1">SUMIF(Бренд!A:A,G52,Бренд!B:B)</f>
        <v>1</v>
      </c>
      <c r="AS52" s="97">
        <f ca="1">SUMIF(Страна!A:A,M52,Страна!B:B)</f>
        <v>1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5"/>
        <v>95-013-16</v>
      </c>
      <c r="B53" s="107" t="str">
        <f ca="1">_xlfn.LET(_xlpm.CAPS,0,_xlpm.Style,TRIM(_xlfn.XLOOKUP($A53,Строчный!$A:$A,Строчный!B:B,"ERR",0)),IF(_xlpm.CAPS=0,_xlpm.Style,LOWER(_xlpm.Style)))</f>
        <v>3216</v>
      </c>
      <c r="C53" s="81" t="str">
        <f ca="1">TRIM(PROPER(_xlfn.XLOOKUP($A53,Строчный!$A:$A,Строчный!C:C,"ERR",0)))</f>
        <v>Бейсболки</v>
      </c>
      <c r="D53" s="81" t="str">
        <f ca="1">_xlfn.LET(_xlpm.DATA,TRIM(_xlfn.XLOOKUP($A53,Строчный!$A:$A,Строчный!D:D,"ERR",0)),UPPER(MID(_xlpm.DATA,1,1))&amp;LOWER(MID(_xlpm.DATA,2,LEN(_xlpm.DATA)-1)))</f>
        <v>Бейсболка</v>
      </c>
      <c r="E53" s="81" t="str">
        <f ca="1">PROPER(TRIM(_xlfn.XLOOKUP($A53,Строчный!$A:$A,Строчный!E:E,"ERR",0)))</f>
        <v>Fredrikson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FREDRIKSON</v>
      </c>
      <c r="H53" s="81" t="str">
        <f ca="1">LOWER(TRIM(_xlfn.XLOOKUP($A53,Строчный!$A:$A,Строчный!H:H,"ERR",0)))</f>
        <v>625/20</v>
      </c>
      <c r="I53" s="81" t="str">
        <f ca="1">LOWER(TRIM(_xlfn.XLOOKUP($A53,Строчный!$A:$A,Строчный!I:I,"ERR",0)))</f>
        <v>темно-синий</v>
      </c>
      <c r="J53" s="81" t="str">
        <f ca="1">SUBSTITUTE(LOWER(TRIM(_xlfn.XLOOKUP($A53,Строчный!$A:$A,Строчный!J:J,"ERR",0))),"подклад","Подклад")</f>
        <v>80% шерсть - 20% полиамид / Подклад: 100% вискоза</v>
      </c>
      <c r="K53" s="81" t="str">
        <f ca="1">LOWER(TRIM(_xlfn.XLOOKUP($A53,Строчный!$A:$A,Строчный!K:K,"ERR",0)))</f>
        <v>шерстяные</v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Россия</v>
      </c>
      <c r="N53" s="81" t="str">
        <f ca="1">UPPER(TRIM(_xlfn.XLOOKUP($A53,Строчный!$A:$A,Строчный!O:O,"ERR",0)))</f>
        <v/>
      </c>
      <c r="O53" s="102" t="str">
        <f ca="1">PROPER(TRIM(_xlfn.XLOOKUP($A53,Строчный!$A:$A,Строчный!P:P,"ERR",0)))</f>
        <v/>
      </c>
      <c r="P53" s="81" t="str">
        <f ca="1">PROPER(TRIM(_xlfn.XLOOKUP($A53,Строчный!$A:$A,Строчный!R:R,"ERR",0)))</f>
        <v/>
      </c>
      <c r="Q53" s="90">
        <f ca="1">VALUE(_xlfn.XLOOKUP($A53,Строчный!$A:$A,Строчный!N:N,"ERR",0))</f>
        <v>975.8</v>
      </c>
      <c r="R53" s="89" t="str">
        <f ca="1">_xlfn.XLOOKUP($G53,Фабрика!A:A,Фабрика!B:B,"ERR",0)</f>
        <v>ООО "ФРЭДРИКСОН" Россия 192029, С-Петербург, пр. Обуховской обороны, д.86, лит М</v>
      </c>
      <c r="S53" s="80" t="str">
        <f ca="1">_xlfn.XLOOKUP(RIGHT(AA53,2),Размеры!D:D,Размеры!A:A,"ERR",0)</f>
        <v>59</v>
      </c>
      <c r="T53" s="80">
        <f ca="1">VALUE(_xlfn.XLOOKUP($AA53,Строчный!$S:$S,Строчный!U:U,"ERR",0))</f>
        <v>5</v>
      </c>
      <c r="U53" s="14" t="s">
        <v>265</v>
      </c>
      <c r="V53" s="101" t="str">
        <f t="shared" ca="1" si="6"/>
        <v>Бейсболка FREDRIKSON арт. 3216 (темно-синий)</v>
      </c>
      <c r="W53" s="100" t="str">
        <f t="shared" ca="1" si="7"/>
        <v>Бейсболка FREDRIKSON арт. 3216 (темно-синий) {625/20}</v>
      </c>
      <c r="X53" s="18" t="str">
        <f t="shared" ca="1" si="8"/>
        <v>синий</v>
      </c>
      <c r="Y53" s="18" t="str">
        <f t="shared" ca="1" si="9"/>
        <v>синий</v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>синий</v>
      </c>
      <c r="AA53" s="73" t="str">
        <f ca="1"/>
        <v>95-013-16-59</v>
      </c>
      <c r="AB53" s="75" t="str">
        <f ca="1">VLOOKUP(C53,Группа!A:B,2,FALSE)</f>
        <v>Бейсболка</v>
      </c>
      <c r="AC53" s="97" t="str">
        <f ca="1">IFERROR(VLOOKUP(S53,Размеры!A:C,3,FALSE),"")</f>
        <v>59 L</v>
      </c>
      <c r="AD53" s="97" t="str">
        <f ca="1">VLOOKUP(I53,ЦветПолный!A:B,2,FALSE)</f>
        <v>16</v>
      </c>
      <c r="AE53" s="97" t="str">
        <f ca="1">IFERROR(VLOOKUP(S53,Размеры!A:D,4,FALSE),"")</f>
        <v>59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1</v>
      </c>
      <c r="AI53" s="97">
        <f ca="1">SUMIF(Группа!B:B,AB53,Группа!C:C)</f>
        <v>1</v>
      </c>
      <c r="AJ53" s="97">
        <f ca="1">SUMIF(Формы!A:A,D53,Формы!B:B)</f>
        <v>1</v>
      </c>
      <c r="AK53" s="97">
        <f ca="1">SUMIF(Материал!A:A,K53,Материал!B:B)</f>
        <v>1</v>
      </c>
      <c r="AL53" s="97">
        <f ca="1">SUMIF(Размеры!A:A,S53,Размеры!E:E)</f>
        <v>1</v>
      </c>
      <c r="AM53" s="97">
        <f ca="1">SUMIF(Сезон!A:A,F53,Сезон!B:B)</f>
        <v>1</v>
      </c>
      <c r="AN53" s="97">
        <f ca="1">SUMIF(Состав!A:A,J53,Состав!B:B)</f>
        <v>0</v>
      </c>
      <c r="AO53" s="97">
        <f ca="1">VLOOKUP(I53,ЦветПолный!A:C,3,0)</f>
        <v>1</v>
      </c>
      <c r="AP53" s="97">
        <f ca="1">SUMIF(Цвет!A:A,Z53,Цвет!B:B)</f>
        <v>1</v>
      </c>
      <c r="AQ53" s="97">
        <f ca="1">_xlfn.XLOOKUP(L53,Пол!A:A,Пол!B:B,0,0)</f>
        <v>1</v>
      </c>
      <c r="AR53" s="97">
        <f ca="1">SUMIF(Бренд!A:A,G53,Бренд!B:B)</f>
        <v>1</v>
      </c>
      <c r="AS53" s="97">
        <f ca="1">SUMIF(Страна!A:A,M53,Страна!B:B)</f>
        <v>1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5"/>
        <v>95-013-16</v>
      </c>
      <c r="B54" s="107" t="str">
        <f ca="1">_xlfn.LET(_xlpm.CAPS,0,_xlpm.Style,TRIM(_xlfn.XLOOKUP($A54,Строчный!$A:$A,Строчный!B:B,"ERR",0)),IF(_xlpm.CAPS=0,_xlpm.Style,LOWER(_xlpm.Style)))</f>
        <v>3216</v>
      </c>
      <c r="C54" s="81" t="str">
        <f ca="1">TRIM(PROPER(_xlfn.XLOOKUP($A54,Строчный!$A:$A,Строчный!C:C,"ERR",0)))</f>
        <v>Бейсболки</v>
      </c>
      <c r="D54" s="81" t="str">
        <f ca="1">_xlfn.LET(_xlpm.DATA,TRIM(_xlfn.XLOOKUP($A54,Строчный!$A:$A,Строчный!D:D,"ERR",0)),UPPER(MID(_xlpm.DATA,1,1))&amp;LOWER(MID(_xlpm.DATA,2,LEN(_xlpm.DATA)-1)))</f>
        <v>Бейсболка</v>
      </c>
      <c r="E54" s="81" t="str">
        <f ca="1">PROPER(TRIM(_xlfn.XLOOKUP($A54,Строчный!$A:$A,Строчный!E:E,"ERR",0)))</f>
        <v>Fredrikson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FREDRIKSON</v>
      </c>
      <c r="H54" s="81" t="str">
        <f ca="1">LOWER(TRIM(_xlfn.XLOOKUP($A54,Строчный!$A:$A,Строчный!H:H,"ERR",0)))</f>
        <v>625/20</v>
      </c>
      <c r="I54" s="81" t="str">
        <f ca="1">LOWER(TRIM(_xlfn.XLOOKUP($A54,Строчный!$A:$A,Строчный!I:I,"ERR",0)))</f>
        <v>темно-синий</v>
      </c>
      <c r="J54" s="81" t="str">
        <f ca="1">SUBSTITUTE(LOWER(TRIM(_xlfn.XLOOKUP($A54,Строчный!$A:$A,Строчный!J:J,"ERR",0))),"подклад","Подклад")</f>
        <v>80% шерсть - 20% полиамид / Подклад: 100% вискоза</v>
      </c>
      <c r="K54" s="81" t="str">
        <f ca="1">LOWER(TRIM(_xlfn.XLOOKUP($A54,Строчный!$A:$A,Строчный!K:K,"ERR",0)))</f>
        <v>шерстяные</v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Россия</v>
      </c>
      <c r="N54" s="81" t="str">
        <f ca="1">UPPER(TRIM(_xlfn.XLOOKUP($A54,Строчный!$A:$A,Строчный!O:O,"ERR",0)))</f>
        <v/>
      </c>
      <c r="O54" s="102" t="str">
        <f ca="1">PROPER(TRIM(_xlfn.XLOOKUP($A54,Строчный!$A:$A,Строчный!P:P,"ERR",0)))</f>
        <v/>
      </c>
      <c r="P54" s="81" t="str">
        <f ca="1">PROPER(TRIM(_xlfn.XLOOKUP($A54,Строчный!$A:$A,Строчный!R:R,"ERR",0)))</f>
        <v/>
      </c>
      <c r="Q54" s="90">
        <f ca="1">VALUE(_xlfn.XLOOKUP($A54,Строчный!$A:$A,Строчный!N:N,"ERR",0))</f>
        <v>975.8</v>
      </c>
      <c r="R54" s="89" t="str">
        <f ca="1">_xlfn.XLOOKUP($G54,Фабрика!A:A,Фабрика!B:B,"ERR",0)</f>
        <v>ООО "ФРЭДРИКСОН" Россия 192029, С-Петербург, пр. Обуховской обороны, д.86, лит М</v>
      </c>
      <c r="S54" s="80" t="str">
        <f ca="1">_xlfn.XLOOKUP(RIGHT(AA54,2),Размеры!D:D,Размеры!A:A,"ERR",0)</f>
        <v>58</v>
      </c>
      <c r="T54" s="80">
        <f ca="1">VALUE(_xlfn.XLOOKUP($AA54,Строчный!$S:$S,Строчный!U:U,"ERR",0))</f>
        <v>4</v>
      </c>
      <c r="U54" s="14" t="s">
        <v>265</v>
      </c>
      <c r="V54" s="101" t="str">
        <f t="shared" ca="1" si="6"/>
        <v>Бейсболка FREDRIKSON арт. 3216 (темно-синий)</v>
      </c>
      <c r="W54" s="100" t="str">
        <f t="shared" ca="1" si="7"/>
        <v>Бейсболка FREDRIKSON арт. 3216 (темно-синий) {625/20}</v>
      </c>
      <c r="X54" s="18" t="str">
        <f t="shared" ca="1" si="8"/>
        <v>синий</v>
      </c>
      <c r="Y54" s="18" t="str">
        <f t="shared" ca="1" si="9"/>
        <v>синий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>синий</v>
      </c>
      <c r="AA54" s="73" t="str">
        <f ca="1"/>
        <v>95-013-16-58</v>
      </c>
      <c r="AB54" s="75" t="str">
        <f ca="1">VLOOKUP(C54,Группа!A:B,2,FALSE)</f>
        <v>Бейсболка</v>
      </c>
      <c r="AC54" s="97" t="str">
        <f ca="1">IFERROR(VLOOKUP(S54,Размеры!A:C,3,FALSE),"")</f>
        <v>58 M/L</v>
      </c>
      <c r="AD54" s="97" t="str">
        <f ca="1">VLOOKUP(I54,ЦветПолный!A:B,2,FALSE)</f>
        <v>16</v>
      </c>
      <c r="AE54" s="97" t="str">
        <f ca="1">IFERROR(VLOOKUP(S54,Размеры!A:D,4,FALSE),"")</f>
        <v>58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1</v>
      </c>
      <c r="AI54" s="97">
        <f ca="1">SUMIF(Группа!B:B,AB54,Группа!C:C)</f>
        <v>1</v>
      </c>
      <c r="AJ54" s="97">
        <f ca="1">SUMIF(Формы!A:A,D54,Формы!B:B)</f>
        <v>1</v>
      </c>
      <c r="AK54" s="97">
        <f ca="1">SUMIF(Материал!A:A,K54,Материал!B:B)</f>
        <v>1</v>
      </c>
      <c r="AL54" s="97">
        <f ca="1">SUMIF(Размеры!A:A,S54,Размеры!E:E)</f>
        <v>1</v>
      </c>
      <c r="AM54" s="97">
        <f ca="1">SUMIF(Сезон!A:A,F54,Сезон!B:B)</f>
        <v>1</v>
      </c>
      <c r="AN54" s="97">
        <f ca="1">SUMIF(Состав!A:A,J54,Состав!B:B)</f>
        <v>0</v>
      </c>
      <c r="AO54" s="97">
        <f ca="1">VLOOKUP(I54,ЦветПолный!A:C,3,0)</f>
        <v>1</v>
      </c>
      <c r="AP54" s="97">
        <f ca="1">SUMIF(Цвет!A:A,Z54,Цвет!B:B)</f>
        <v>1</v>
      </c>
      <c r="AQ54" s="97">
        <f ca="1">_xlfn.XLOOKUP(L54,Пол!A:A,Пол!B:B,0,0)</f>
        <v>1</v>
      </c>
      <c r="AR54" s="97">
        <f ca="1">SUMIF(Бренд!A:A,G54,Бренд!B:B)</f>
        <v>1</v>
      </c>
      <c r="AS54" s="97">
        <f ca="1">SUMIF(Страна!A:A,M54,Страна!B:B)</f>
        <v>1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5"/>
        <v>95-013-16</v>
      </c>
      <c r="B55" s="107" t="str">
        <f ca="1">_xlfn.LET(_xlpm.CAPS,0,_xlpm.Style,TRIM(_xlfn.XLOOKUP($A55,Строчный!$A:$A,Строчный!B:B,"ERR",0)),IF(_xlpm.CAPS=0,_xlpm.Style,LOWER(_xlpm.Style)))</f>
        <v>3216</v>
      </c>
      <c r="C55" s="81" t="str">
        <f ca="1">TRIM(PROPER(_xlfn.XLOOKUP($A55,Строчный!$A:$A,Строчный!C:C,"ERR",0)))</f>
        <v>Бейсболки</v>
      </c>
      <c r="D55" s="81" t="str">
        <f ca="1">_xlfn.LET(_xlpm.DATA,TRIM(_xlfn.XLOOKUP($A55,Строчный!$A:$A,Строчный!D:D,"ERR",0)),UPPER(MID(_xlpm.DATA,1,1))&amp;LOWER(MID(_xlpm.DATA,2,LEN(_xlpm.DATA)-1)))</f>
        <v>Бейсболка</v>
      </c>
      <c r="E55" s="81" t="str">
        <f ca="1">PROPER(TRIM(_xlfn.XLOOKUP($A55,Строчный!$A:$A,Строчный!E:E,"ERR",0)))</f>
        <v>Fredrikson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FREDRIKSON</v>
      </c>
      <c r="H55" s="81" t="str">
        <f ca="1">LOWER(TRIM(_xlfn.XLOOKUP($A55,Строчный!$A:$A,Строчный!H:H,"ERR",0)))</f>
        <v>625/20</v>
      </c>
      <c r="I55" s="81" t="str">
        <f ca="1">LOWER(TRIM(_xlfn.XLOOKUP($A55,Строчный!$A:$A,Строчный!I:I,"ERR",0)))</f>
        <v>темно-синий</v>
      </c>
      <c r="J55" s="81" t="str">
        <f ca="1">SUBSTITUTE(LOWER(TRIM(_xlfn.XLOOKUP($A55,Строчный!$A:$A,Строчный!J:J,"ERR",0))),"подклад","Подклад")</f>
        <v>80% шерсть - 20% полиамид / Подклад: 100% вискоза</v>
      </c>
      <c r="K55" s="81" t="str">
        <f ca="1">LOWER(TRIM(_xlfn.XLOOKUP($A55,Строчный!$A:$A,Строчный!K:K,"ERR",0)))</f>
        <v>шерстяные</v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Россия</v>
      </c>
      <c r="N55" s="81" t="str">
        <f ca="1">UPPER(TRIM(_xlfn.XLOOKUP($A55,Строчный!$A:$A,Строчный!O:O,"ERR",0)))</f>
        <v/>
      </c>
      <c r="O55" s="102" t="str">
        <f ca="1">PROPER(TRIM(_xlfn.XLOOKUP($A55,Строчный!$A:$A,Строчный!P:P,"ERR",0)))</f>
        <v/>
      </c>
      <c r="P55" s="81" t="str">
        <f ca="1">PROPER(TRIM(_xlfn.XLOOKUP($A55,Строчный!$A:$A,Строчный!R:R,"ERR",0)))</f>
        <v/>
      </c>
      <c r="Q55" s="90">
        <f ca="1">VALUE(_xlfn.XLOOKUP($A55,Строчный!$A:$A,Строчный!N:N,"ERR",0))</f>
        <v>975.8</v>
      </c>
      <c r="R55" s="89" t="str">
        <f ca="1">_xlfn.XLOOKUP($G55,Фабрика!A:A,Фабрика!B:B,"ERR",0)</f>
        <v>ООО "ФРЭДРИКСОН" Россия 192029, С-Петербург, пр. Обуховской обороны, д.86, лит М</v>
      </c>
      <c r="S55" s="80" t="str">
        <f ca="1">_xlfn.XLOOKUP(RIGHT(AA55,2),Размеры!D:D,Размеры!A:A,"ERR",0)</f>
        <v>57</v>
      </c>
      <c r="T55" s="80">
        <f ca="1">VALUE(_xlfn.XLOOKUP($AA55,Строчный!$S:$S,Строчный!U:U,"ERR",0))</f>
        <v>2</v>
      </c>
      <c r="U55" s="14" t="s">
        <v>265</v>
      </c>
      <c r="V55" s="101" t="str">
        <f t="shared" ca="1" si="6"/>
        <v>Бейсболка FREDRIKSON арт. 3216 (темно-синий)</v>
      </c>
      <c r="W55" s="100" t="str">
        <f t="shared" ca="1" si="7"/>
        <v>Бейсболка FREDRIKSON арт. 3216 (темно-синий) {625/20}</v>
      </c>
      <c r="X55" s="18" t="str">
        <f t="shared" ca="1" si="8"/>
        <v>синий</v>
      </c>
      <c r="Y55" s="18" t="str">
        <f t="shared" ca="1" si="9"/>
        <v>синий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>синий</v>
      </c>
      <c r="AA55" s="73" t="str">
        <f ca="1"/>
        <v>95-013-16-57</v>
      </c>
      <c r="AB55" s="75" t="str">
        <f ca="1">VLOOKUP(C55,Группа!A:B,2,FALSE)</f>
        <v>Бейсболка</v>
      </c>
      <c r="AC55" s="97" t="str">
        <f ca="1">IFERROR(VLOOKUP(S55,Размеры!A:C,3,FALSE),"")</f>
        <v>57 M</v>
      </c>
      <c r="AD55" s="97" t="str">
        <f ca="1">VLOOKUP(I55,ЦветПолный!A:B,2,FALSE)</f>
        <v>16</v>
      </c>
      <c r="AE55" s="97" t="str">
        <f ca="1">IFERROR(VLOOKUP(S55,Размеры!A:D,4,FALSE),"")</f>
        <v>57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1</v>
      </c>
      <c r="AI55" s="97">
        <f ca="1">SUMIF(Группа!B:B,AB55,Группа!C:C)</f>
        <v>1</v>
      </c>
      <c r="AJ55" s="97">
        <f ca="1">SUMIF(Формы!A:A,D55,Формы!B:B)</f>
        <v>1</v>
      </c>
      <c r="AK55" s="97">
        <f ca="1">SUMIF(Материал!A:A,K55,Материал!B:B)</f>
        <v>1</v>
      </c>
      <c r="AL55" s="97">
        <f ca="1">SUMIF(Размеры!A:A,S55,Размеры!E:E)</f>
        <v>1</v>
      </c>
      <c r="AM55" s="97">
        <f ca="1">SUMIF(Сезон!A:A,F55,Сезон!B:B)</f>
        <v>1</v>
      </c>
      <c r="AN55" s="97">
        <f ca="1">SUMIF(Состав!A:A,J55,Состав!B:B)</f>
        <v>0</v>
      </c>
      <c r="AO55" s="97">
        <f ca="1">VLOOKUP(I55,ЦветПолный!A:C,3,0)</f>
        <v>1</v>
      </c>
      <c r="AP55" s="97">
        <f ca="1">SUMIF(Цвет!A:A,Z55,Цвет!B:B)</f>
        <v>1</v>
      </c>
      <c r="AQ55" s="97">
        <f ca="1">_xlfn.XLOOKUP(L55,Пол!A:A,Пол!B:B,0,0)</f>
        <v>1</v>
      </c>
      <c r="AR55" s="97">
        <f ca="1">SUMIF(Бренд!A:A,G55,Бренд!B:B)</f>
        <v>1</v>
      </c>
      <c r="AS55" s="97">
        <f ca="1">SUMIF(Страна!A:A,M55,Страна!B:B)</f>
        <v>1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5"/>
        <v>95-012-89</v>
      </c>
      <c r="B56" s="107" t="str">
        <f ca="1">_xlfn.LET(_xlpm.CAPS,0,_xlpm.Style,TRIM(_xlfn.XLOOKUP($A56,Строчный!$A:$A,Строчный!B:B,"ERR",0)),IF(_xlpm.CAPS=0,_xlpm.Style,LOWER(_xlpm.Style)))</f>
        <v>3142</v>
      </c>
      <c r="C56" s="81" t="str">
        <f ca="1">TRIM(PROPER(_xlfn.XLOOKUP($A56,Строчный!$A:$A,Строчный!C:C,"ERR",0)))</f>
        <v>Кепки</v>
      </c>
      <c r="D56" s="81" t="str">
        <f ca="1">_xlfn.LET(_xlpm.DATA,TRIM(_xlfn.XLOOKUP($A56,Строчный!$A:$A,Строчный!D:D,"ERR",0)),UPPER(MID(_xlpm.DATA,1,1))&amp;LOWER(MID(_xlpm.DATA,2,LEN(_xlpm.DATA)-1)))</f>
        <v>Кепка картуз</v>
      </c>
      <c r="E56" s="81" t="str">
        <f ca="1">PROPER(TRIM(_xlfn.XLOOKUP($A56,Строчный!$A:$A,Строчный!E:E,"ERR",0)))</f>
        <v>Fredrikson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FREDRIKSON</v>
      </c>
      <c r="H56" s="81" t="str">
        <f ca="1">LOWER(TRIM(_xlfn.XLOOKUP($A56,Строчный!$A:$A,Строчный!H:H,"ERR",0)))</f>
        <v>630/23</v>
      </c>
      <c r="I56" s="81" t="str">
        <f ca="1">LOWER(TRIM(_xlfn.XLOOKUP($A56,Строчный!$A:$A,Строчный!I:I,"ERR",0)))</f>
        <v>голубой / серый</v>
      </c>
      <c r="J56" s="81" t="str">
        <f ca="1">SUBSTITUTE(LOWER(TRIM(_xlfn.XLOOKUP($A56,Строчный!$A:$A,Строчный!J:J,"ERR",0))),"подклад","Подклад")</f>
        <v>80% шерсть - 20% полиамид / Подклад: 100% вискоза</v>
      </c>
      <c r="K56" s="81" t="str">
        <f ca="1">LOWER(TRIM(_xlfn.XLOOKUP($A56,Строчный!$A:$A,Строчный!K:K,"ERR",0)))</f>
        <v>шерстяные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Россия</v>
      </c>
      <c r="N56" s="81" t="str">
        <f ca="1">UPPER(TRIM(_xlfn.XLOOKUP($A56,Строчный!$A:$A,Строчный!O:O,"ERR",0)))</f>
        <v/>
      </c>
      <c r="O56" s="102" t="str">
        <f ca="1">PROPER(TRIM(_xlfn.XLOOKUP($A56,Строчный!$A:$A,Строчный!P:P,"ERR",0)))</f>
        <v/>
      </c>
      <c r="P56" s="81" t="str">
        <f ca="1">PROPER(TRIM(_xlfn.XLOOKUP($A56,Строчный!$A:$A,Строчный!R:R,"ERR",0)))</f>
        <v/>
      </c>
      <c r="Q56" s="90">
        <f ca="1">VALUE(_xlfn.XLOOKUP($A56,Строчный!$A:$A,Строчный!N:N,"ERR",0))</f>
        <v>975.8</v>
      </c>
      <c r="R56" s="89" t="str">
        <f ca="1">_xlfn.XLOOKUP($G56,Фабрика!A:A,Фабрика!B:B,"ERR",0)</f>
        <v>ООО "ФРЭДРИКСОН" Россия 192029, С-Петербург, пр. Обуховской обороны, д.86, лит М</v>
      </c>
      <c r="S56" s="80" t="str">
        <f ca="1">_xlfn.XLOOKUP(RIGHT(AA56,2),Размеры!D:D,Размеры!A:A,"ERR",0)</f>
        <v>61</v>
      </c>
      <c r="T56" s="80">
        <f ca="1">VALUE(_xlfn.XLOOKUP($AA56,Строчный!$S:$S,Строчный!U:U,"ERR",0))</f>
        <v>2</v>
      </c>
      <c r="U56" s="14" t="s">
        <v>265</v>
      </c>
      <c r="V56" s="101" t="str">
        <f t="shared" ca="1" si="6"/>
        <v>Кепка FREDRIKSON арт. 3142 (голубой / серый)</v>
      </c>
      <c r="W56" s="100" t="str">
        <f t="shared" ca="1" si="7"/>
        <v>Кепка FREDRIKSON арт. 3142 (голубой / серый) {630/23}</v>
      </c>
      <c r="X56" s="18" t="str">
        <f t="shared" ca="1" si="8"/>
        <v>голубой</v>
      </c>
      <c r="Y56" s="18" t="str">
        <f t="shared" ca="1" si="9"/>
        <v>серый</v>
      </c>
      <c r="Z56" s="117" t="str">
        <f ca="1">_xlfn.LET(_xlpm.FormColors,_xlfn.XLOOKUP(A56,Строчный!A:A,Строчный!Q:Q,"",0),IF(_xlpm.FormColors=0,IFERROR(MID(I56,FIND("-",I56)+1,LEN(I56)),IFERROR(MID(I56,1,FIND("/",I56)-2),I56)),_xlpm.FormColors))</f>
        <v>голубой</v>
      </c>
      <c r="AA56" s="73" t="str">
        <f ca="1"/>
        <v>95-012-89-61</v>
      </c>
      <c r="AB56" s="75" t="str">
        <f ca="1">VLOOKUP(C56,Группа!A:B,2,FALSE)</f>
        <v>Кепка</v>
      </c>
      <c r="AC56" s="97" t="str">
        <f ca="1">IFERROR(VLOOKUP(S56,Размеры!A:C,3,FALSE),"")</f>
        <v>61 XL</v>
      </c>
      <c r="AD56" s="97" t="str">
        <f ca="1">VLOOKUP(I56,ЦветПолный!A:B,2,FALSE)</f>
        <v>89</v>
      </c>
      <c r="AE56" s="97" t="str">
        <f ca="1">IFERROR(VLOOKUP(S56,Размеры!A:D,4,FALSE),"")</f>
        <v>61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1</v>
      </c>
      <c r="AI56" s="97">
        <f ca="1">SUMIF(Группа!B:B,AB56,Группа!C:C)</f>
        <v>1</v>
      </c>
      <c r="AJ56" s="97">
        <f ca="1">SUMIF(Формы!A:A,D56,Формы!B:B)</f>
        <v>1</v>
      </c>
      <c r="AK56" s="97">
        <f ca="1">SUMIF(Материал!A:A,K56,Материал!B:B)</f>
        <v>1</v>
      </c>
      <c r="AL56" s="97">
        <f ca="1">SUMIF(Размеры!A:A,S56,Размеры!E:E)</f>
        <v>1</v>
      </c>
      <c r="AM56" s="97">
        <f ca="1">SUMIF(Сезон!A:A,F56,Сезон!B:B)</f>
        <v>1</v>
      </c>
      <c r="AN56" s="97">
        <f ca="1">SUMIF(Состав!A:A,J56,Состав!B:B)</f>
        <v>0</v>
      </c>
      <c r="AO56" s="97">
        <f ca="1">VLOOKUP(I56,ЦветПолный!A:C,3,0)</f>
        <v>1</v>
      </c>
      <c r="AP56" s="97">
        <f ca="1">SUMIF(Цвет!A:A,Z56,Цвет!B:B)</f>
        <v>1</v>
      </c>
      <c r="AQ56" s="97">
        <f ca="1">_xlfn.XLOOKUP(L56,Пол!A:A,Пол!B:B,0,0)</f>
        <v>1</v>
      </c>
      <c r="AR56" s="97">
        <f ca="1">SUMIF(Бренд!A:A,G56,Бренд!B:B)</f>
        <v>1</v>
      </c>
      <c r="AS56" s="97">
        <f ca="1">SUMIF(Страна!A:A,M56,Страна!B:B)</f>
        <v>1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5"/>
        <v>95-012-89</v>
      </c>
      <c r="B57" s="107" t="str">
        <f ca="1">_xlfn.LET(_xlpm.CAPS,0,_xlpm.Style,TRIM(_xlfn.XLOOKUP($A57,Строчный!$A:$A,Строчный!B:B,"ERR",0)),IF(_xlpm.CAPS=0,_xlpm.Style,LOWER(_xlpm.Style)))</f>
        <v>3142</v>
      </c>
      <c r="C57" s="81" t="str">
        <f ca="1">TRIM(PROPER(_xlfn.XLOOKUP($A57,Строчный!$A:$A,Строчный!C:C,"ERR",0)))</f>
        <v>Кепки</v>
      </c>
      <c r="D57" s="81" t="str">
        <f ca="1">_xlfn.LET(_xlpm.DATA,TRIM(_xlfn.XLOOKUP($A57,Строчный!$A:$A,Строчный!D:D,"ERR",0)),UPPER(MID(_xlpm.DATA,1,1))&amp;LOWER(MID(_xlpm.DATA,2,LEN(_xlpm.DATA)-1)))</f>
        <v>Кепка картуз</v>
      </c>
      <c r="E57" s="81" t="str">
        <f ca="1">PROPER(TRIM(_xlfn.XLOOKUP($A57,Строчный!$A:$A,Строчный!E:E,"ERR",0)))</f>
        <v>Fredrikson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FREDRIKSON</v>
      </c>
      <c r="H57" s="81" t="str">
        <f ca="1">LOWER(TRIM(_xlfn.XLOOKUP($A57,Строчный!$A:$A,Строчный!H:H,"ERR",0)))</f>
        <v>630/23</v>
      </c>
      <c r="I57" s="81" t="str">
        <f ca="1">LOWER(TRIM(_xlfn.XLOOKUP($A57,Строчный!$A:$A,Строчный!I:I,"ERR",0)))</f>
        <v>голубой / серый</v>
      </c>
      <c r="J57" s="81" t="str">
        <f ca="1">SUBSTITUTE(LOWER(TRIM(_xlfn.XLOOKUP($A57,Строчный!$A:$A,Строчный!J:J,"ERR",0))),"подклад","Подклад")</f>
        <v>80% шерсть - 20% полиамид / Подклад: 100% вискоза</v>
      </c>
      <c r="K57" s="81" t="str">
        <f ca="1">LOWER(TRIM(_xlfn.XLOOKUP($A57,Строчный!$A:$A,Строчный!K:K,"ERR",0)))</f>
        <v>шерстяные</v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Россия</v>
      </c>
      <c r="N57" s="81" t="str">
        <f ca="1">UPPER(TRIM(_xlfn.XLOOKUP($A57,Строчный!$A:$A,Строчный!O:O,"ERR",0)))</f>
        <v/>
      </c>
      <c r="O57" s="102" t="str">
        <f ca="1">PROPER(TRIM(_xlfn.XLOOKUP($A57,Строчный!$A:$A,Строчный!P:P,"ERR",0)))</f>
        <v/>
      </c>
      <c r="P57" s="81" t="str">
        <f ca="1">PROPER(TRIM(_xlfn.XLOOKUP($A57,Строчный!$A:$A,Строчный!R:R,"ERR",0)))</f>
        <v/>
      </c>
      <c r="Q57" s="90">
        <f ca="1">VALUE(_xlfn.XLOOKUP($A57,Строчный!$A:$A,Строчный!N:N,"ERR",0))</f>
        <v>975.8</v>
      </c>
      <c r="R57" s="89" t="str">
        <f ca="1">_xlfn.XLOOKUP($G57,Фабрика!A:A,Фабрика!B:B,"ERR",0)</f>
        <v>ООО "ФРЭДРИКСОН" Россия 192029, С-Петербург, пр. Обуховской обороны, д.86, лит М</v>
      </c>
      <c r="S57" s="80" t="str">
        <f ca="1">_xlfn.XLOOKUP(RIGHT(AA57,2),Размеры!D:D,Размеры!A:A,"ERR",0)</f>
        <v>60</v>
      </c>
      <c r="T57" s="80">
        <f ca="1">VALUE(_xlfn.XLOOKUP($AA57,Строчный!$S:$S,Строчный!U:U,"ERR",0))</f>
        <v>3</v>
      </c>
      <c r="U57" s="14" t="s">
        <v>265</v>
      </c>
      <c r="V57" s="101" t="str">
        <f t="shared" ca="1" si="6"/>
        <v>Кепка FREDRIKSON арт. 3142 (голубой / серый)</v>
      </c>
      <c r="W57" s="100" t="str">
        <f t="shared" ca="1" si="7"/>
        <v>Кепка FREDRIKSON арт. 3142 (голубой / серый) {630/23}</v>
      </c>
      <c r="X57" s="18" t="str">
        <f t="shared" ca="1" si="8"/>
        <v>голубой</v>
      </c>
      <c r="Y57" s="18" t="str">
        <f t="shared" ca="1" si="9"/>
        <v>серый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>голубой</v>
      </c>
      <c r="AA57" s="73" t="str">
        <f ca="1"/>
        <v>95-012-89-60</v>
      </c>
      <c r="AB57" s="75" t="str">
        <f ca="1">VLOOKUP(C57,Группа!A:B,2,FALSE)</f>
        <v>Кепка</v>
      </c>
      <c r="AC57" s="97" t="str">
        <f ca="1">IFERROR(VLOOKUP(S57,Размеры!A:C,3,FALSE),"")</f>
        <v>60 L/XL</v>
      </c>
      <c r="AD57" s="97" t="str">
        <f ca="1">VLOOKUP(I57,ЦветПолный!A:B,2,FALSE)</f>
        <v>89</v>
      </c>
      <c r="AE57" s="97" t="str">
        <f ca="1">IFERROR(VLOOKUP(S57,Размеры!A:D,4,FALSE),"")</f>
        <v>60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1</v>
      </c>
      <c r="AI57" s="97">
        <f ca="1">SUMIF(Группа!B:B,AB57,Группа!C:C)</f>
        <v>1</v>
      </c>
      <c r="AJ57" s="97">
        <f ca="1">SUMIF(Формы!A:A,D57,Формы!B:B)</f>
        <v>1</v>
      </c>
      <c r="AK57" s="97">
        <f ca="1">SUMIF(Материал!A:A,K57,Материал!B:B)</f>
        <v>1</v>
      </c>
      <c r="AL57" s="97">
        <f ca="1">SUMIF(Размеры!A:A,S57,Размеры!E:E)</f>
        <v>1</v>
      </c>
      <c r="AM57" s="97">
        <f ca="1">SUMIF(Сезон!A:A,F57,Сезон!B:B)</f>
        <v>1</v>
      </c>
      <c r="AN57" s="97">
        <f ca="1">SUMIF(Состав!A:A,J57,Состав!B:B)</f>
        <v>0</v>
      </c>
      <c r="AO57" s="97">
        <f ca="1">VLOOKUP(I57,ЦветПолный!A:C,3,0)</f>
        <v>1</v>
      </c>
      <c r="AP57" s="97">
        <f ca="1">SUMIF(Цвет!A:A,Z57,Цвет!B:B)</f>
        <v>1</v>
      </c>
      <c r="AQ57" s="97">
        <f ca="1">_xlfn.XLOOKUP(L57,Пол!A:A,Пол!B:B,0,0)</f>
        <v>1</v>
      </c>
      <c r="AR57" s="97">
        <f ca="1">SUMIF(Бренд!A:A,G57,Бренд!B:B)</f>
        <v>1</v>
      </c>
      <c r="AS57" s="97">
        <f ca="1">SUMIF(Страна!A:A,M57,Страна!B:B)</f>
        <v>1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5"/>
        <v>95-012-89</v>
      </c>
      <c r="B58" s="107" t="str">
        <f ca="1">_xlfn.LET(_xlpm.CAPS,0,_xlpm.Style,TRIM(_xlfn.XLOOKUP($A58,Строчный!$A:$A,Строчный!B:B,"ERR",0)),IF(_xlpm.CAPS=0,_xlpm.Style,LOWER(_xlpm.Style)))</f>
        <v>3142</v>
      </c>
      <c r="C58" s="81" t="str">
        <f ca="1">TRIM(PROPER(_xlfn.XLOOKUP($A58,Строчный!$A:$A,Строчный!C:C,"ERR",0)))</f>
        <v>Кепки</v>
      </c>
      <c r="D58" s="81" t="str">
        <f ca="1">_xlfn.LET(_xlpm.DATA,TRIM(_xlfn.XLOOKUP($A58,Строчный!$A:$A,Строчный!D:D,"ERR",0)),UPPER(MID(_xlpm.DATA,1,1))&amp;LOWER(MID(_xlpm.DATA,2,LEN(_xlpm.DATA)-1)))</f>
        <v>Кепка картуз</v>
      </c>
      <c r="E58" s="81" t="str">
        <f ca="1">PROPER(TRIM(_xlfn.XLOOKUP($A58,Строчный!$A:$A,Строчный!E:E,"ERR",0)))</f>
        <v>Fredrikson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FREDRIKSON</v>
      </c>
      <c r="H58" s="81" t="str">
        <f ca="1">LOWER(TRIM(_xlfn.XLOOKUP($A58,Строчный!$A:$A,Строчный!H:H,"ERR",0)))</f>
        <v>630/23</v>
      </c>
      <c r="I58" s="81" t="str">
        <f ca="1">LOWER(TRIM(_xlfn.XLOOKUP($A58,Строчный!$A:$A,Строчный!I:I,"ERR",0)))</f>
        <v>голубой / серый</v>
      </c>
      <c r="J58" s="81" t="str">
        <f ca="1">SUBSTITUTE(LOWER(TRIM(_xlfn.XLOOKUP($A58,Строчный!$A:$A,Строчный!J:J,"ERR",0))),"подклад","Подклад")</f>
        <v>80% шерсть - 20% полиамид / Подклад: 100% вискоза</v>
      </c>
      <c r="K58" s="81" t="str">
        <f ca="1">LOWER(TRIM(_xlfn.XLOOKUP($A58,Строчный!$A:$A,Строчный!K:K,"ERR",0)))</f>
        <v>шерстяные</v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Россия</v>
      </c>
      <c r="N58" s="81" t="str">
        <f ca="1">UPPER(TRIM(_xlfn.XLOOKUP($A58,Строчный!$A:$A,Строчный!O:O,"ERR",0)))</f>
        <v/>
      </c>
      <c r="O58" s="102" t="str">
        <f ca="1">PROPER(TRIM(_xlfn.XLOOKUP($A58,Строчный!$A:$A,Строчный!P:P,"ERR",0)))</f>
        <v/>
      </c>
      <c r="P58" s="81" t="str">
        <f ca="1">PROPER(TRIM(_xlfn.XLOOKUP($A58,Строчный!$A:$A,Строчный!R:R,"ERR",0)))</f>
        <v/>
      </c>
      <c r="Q58" s="90">
        <f ca="1">VALUE(_xlfn.XLOOKUP($A58,Строчный!$A:$A,Строчный!N:N,"ERR",0))</f>
        <v>975.8</v>
      </c>
      <c r="R58" s="89" t="str">
        <f ca="1">_xlfn.XLOOKUP($G58,Фабрика!A:A,Фабрика!B:B,"ERR",0)</f>
        <v>ООО "ФРЭДРИКСОН" Россия 192029, С-Петербург, пр. Обуховской обороны, д.86, лит М</v>
      </c>
      <c r="S58" s="80" t="str">
        <f ca="1">_xlfn.XLOOKUP(RIGHT(AA58,2),Размеры!D:D,Размеры!A:A,"ERR",0)</f>
        <v>59</v>
      </c>
      <c r="T58" s="80">
        <f ca="1">VALUE(_xlfn.XLOOKUP($AA58,Строчный!$S:$S,Строчный!U:U,"ERR",0))</f>
        <v>3</v>
      </c>
      <c r="U58" s="14" t="s">
        <v>265</v>
      </c>
      <c r="V58" s="101" t="str">
        <f t="shared" ca="1" si="6"/>
        <v>Кепка FREDRIKSON арт. 3142 (голубой / серый)</v>
      </c>
      <c r="W58" s="100" t="str">
        <f t="shared" ca="1" si="7"/>
        <v>Кепка FREDRIKSON арт. 3142 (голубой / серый) {630/23}</v>
      </c>
      <c r="X58" s="18" t="str">
        <f t="shared" ca="1" si="8"/>
        <v>голубой</v>
      </c>
      <c r="Y58" s="18" t="str">
        <f t="shared" ca="1" si="9"/>
        <v>серый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>голубой</v>
      </c>
      <c r="AA58" s="73" t="str">
        <f ca="1"/>
        <v>95-012-89-59</v>
      </c>
      <c r="AB58" s="75" t="str">
        <f ca="1">VLOOKUP(C58,Группа!A:B,2,FALSE)</f>
        <v>Кепка</v>
      </c>
      <c r="AC58" s="97" t="str">
        <f ca="1">IFERROR(VLOOKUP(S58,Размеры!A:C,3,FALSE),"")</f>
        <v>59 L</v>
      </c>
      <c r="AD58" s="97" t="str">
        <f ca="1">VLOOKUP(I58,ЦветПолный!A:B,2,FALSE)</f>
        <v>89</v>
      </c>
      <c r="AE58" s="97" t="str">
        <f ca="1">IFERROR(VLOOKUP(S58,Размеры!A:D,4,FALSE),"")</f>
        <v>59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1</v>
      </c>
      <c r="AI58" s="97">
        <f ca="1">SUMIF(Группа!B:B,AB58,Группа!C:C)</f>
        <v>1</v>
      </c>
      <c r="AJ58" s="97">
        <f ca="1">SUMIF(Формы!A:A,D58,Формы!B:B)</f>
        <v>1</v>
      </c>
      <c r="AK58" s="97">
        <f ca="1">SUMIF(Материал!A:A,K58,Материал!B:B)</f>
        <v>1</v>
      </c>
      <c r="AL58" s="97">
        <f ca="1">SUMIF(Размеры!A:A,S58,Размеры!E:E)</f>
        <v>1</v>
      </c>
      <c r="AM58" s="97">
        <f ca="1">SUMIF(Сезон!A:A,F58,Сезон!B:B)</f>
        <v>1</v>
      </c>
      <c r="AN58" s="97">
        <f ca="1">SUMIF(Состав!A:A,J58,Состав!B:B)</f>
        <v>0</v>
      </c>
      <c r="AO58" s="97">
        <f ca="1">VLOOKUP(I58,ЦветПолный!A:C,3,0)</f>
        <v>1</v>
      </c>
      <c r="AP58" s="97">
        <f ca="1">SUMIF(Цвет!A:A,Z58,Цвет!B:B)</f>
        <v>1</v>
      </c>
      <c r="AQ58" s="97">
        <f ca="1">_xlfn.XLOOKUP(L58,Пол!A:A,Пол!B:B,0,0)</f>
        <v>1</v>
      </c>
      <c r="AR58" s="97">
        <f ca="1">SUMIF(Бренд!A:A,G58,Бренд!B:B)</f>
        <v>1</v>
      </c>
      <c r="AS58" s="97">
        <f ca="1">SUMIF(Страна!A:A,M58,Страна!B:B)</f>
        <v>1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5"/>
        <v>95-012-89</v>
      </c>
      <c r="B59" s="107" t="str">
        <f ca="1">_xlfn.LET(_xlpm.CAPS,0,_xlpm.Style,TRIM(_xlfn.XLOOKUP($A59,Строчный!$A:$A,Строчный!B:B,"ERR",0)),IF(_xlpm.CAPS=0,_xlpm.Style,LOWER(_xlpm.Style)))</f>
        <v>3142</v>
      </c>
      <c r="C59" s="81" t="str">
        <f ca="1">TRIM(PROPER(_xlfn.XLOOKUP($A59,Строчный!$A:$A,Строчный!C:C,"ERR",0)))</f>
        <v>Кепки</v>
      </c>
      <c r="D59" s="81" t="str">
        <f ca="1">_xlfn.LET(_xlpm.DATA,TRIM(_xlfn.XLOOKUP($A59,Строчный!$A:$A,Строчный!D:D,"ERR",0)),UPPER(MID(_xlpm.DATA,1,1))&amp;LOWER(MID(_xlpm.DATA,2,LEN(_xlpm.DATA)-1)))</f>
        <v>Кепка картуз</v>
      </c>
      <c r="E59" s="81" t="str">
        <f ca="1">PROPER(TRIM(_xlfn.XLOOKUP($A59,Строчный!$A:$A,Строчный!E:E,"ERR",0)))</f>
        <v>Fredrikson</v>
      </c>
      <c r="F59" s="81" t="str">
        <f ca="1">LOWER(TRIM(_xlfn.XLOOKUP($A59,Строчный!$A:$A,Строчный!F:F,"ERR",0)))</f>
        <v>всесезон</v>
      </c>
      <c r="G59" s="81" t="str">
        <f ca="1">UPPER(TRIM(_xlfn.XLOOKUP($A59,Строчный!$A:$A,Строчный!G:G,"ERR",0)))</f>
        <v>FREDRIKSON</v>
      </c>
      <c r="H59" s="81" t="str">
        <f ca="1">LOWER(TRIM(_xlfn.XLOOKUP($A59,Строчный!$A:$A,Строчный!H:H,"ERR",0)))</f>
        <v>630/23</v>
      </c>
      <c r="I59" s="81" t="str">
        <f ca="1">LOWER(TRIM(_xlfn.XLOOKUP($A59,Строчный!$A:$A,Строчный!I:I,"ERR",0)))</f>
        <v>голубой / серый</v>
      </c>
      <c r="J59" s="81" t="str">
        <f ca="1">SUBSTITUTE(LOWER(TRIM(_xlfn.XLOOKUP($A59,Строчный!$A:$A,Строчный!J:J,"ERR",0))),"подклад","Подклад")</f>
        <v>80% шерсть - 20% полиамид / Подклад: 100% вискоза</v>
      </c>
      <c r="K59" s="81" t="str">
        <f ca="1">LOWER(TRIM(_xlfn.XLOOKUP($A59,Строчный!$A:$A,Строчный!K:K,"ERR",0)))</f>
        <v>шерстяные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Россия</v>
      </c>
      <c r="N59" s="81" t="str">
        <f ca="1">UPPER(TRIM(_xlfn.XLOOKUP($A59,Строчный!$A:$A,Строчный!O:O,"ERR",0)))</f>
        <v/>
      </c>
      <c r="O59" s="102" t="str">
        <f ca="1">PROPER(TRIM(_xlfn.XLOOKUP($A59,Строчный!$A:$A,Строчный!P:P,"ERR",0)))</f>
        <v/>
      </c>
      <c r="P59" s="81" t="str">
        <f ca="1">PROPER(TRIM(_xlfn.XLOOKUP($A59,Строчный!$A:$A,Строчный!R:R,"ERR",0)))</f>
        <v/>
      </c>
      <c r="Q59" s="90">
        <f ca="1">VALUE(_xlfn.XLOOKUP($A59,Строчный!$A:$A,Строчный!N:N,"ERR",0))</f>
        <v>975.8</v>
      </c>
      <c r="R59" s="89" t="str">
        <f ca="1">_xlfn.XLOOKUP($G59,Фабрика!A:A,Фабрика!B:B,"ERR",0)</f>
        <v>ООО "ФРЭДРИКСОН" Россия 192029, С-Петербург, пр. Обуховской обороны, д.86, лит М</v>
      </c>
      <c r="S59" s="80" t="str">
        <f ca="1">_xlfn.XLOOKUP(RIGHT(AA59,2),Размеры!D:D,Размеры!A:A,"ERR",0)</f>
        <v>57</v>
      </c>
      <c r="T59" s="80">
        <f ca="1">VALUE(_xlfn.XLOOKUP($AA59,Строчный!$S:$S,Строчный!U:U,"ERR",0))</f>
        <v>1</v>
      </c>
      <c r="U59" s="14" t="s">
        <v>265</v>
      </c>
      <c r="V59" s="101" t="str">
        <f t="shared" ca="1" si="6"/>
        <v>Кепка FREDRIKSON арт. 3142 (голубой / серый)</v>
      </c>
      <c r="W59" s="100" t="str">
        <f t="shared" ca="1" si="7"/>
        <v>Кепка FREDRIKSON арт. 3142 (голубой / серый) {630/23}</v>
      </c>
      <c r="X59" s="18" t="str">
        <f t="shared" ca="1" si="8"/>
        <v>голубой</v>
      </c>
      <c r="Y59" s="18" t="str">
        <f t="shared" ca="1" si="9"/>
        <v>серый</v>
      </c>
      <c r="Z59" s="117" t="str">
        <f ca="1">_xlfn.LET(_xlpm.FormColors,_xlfn.XLOOKUP(A59,Строчный!A:A,Строчный!Q:Q,"",0),IF(_xlpm.FormColors=0,IFERROR(MID(I59,FIND("-",I59)+1,LEN(I59)),IFERROR(MID(I59,1,FIND("/",I59)-2),I59)),_xlpm.FormColors))</f>
        <v>голубой</v>
      </c>
      <c r="AA59" s="73" t="str">
        <f ca="1"/>
        <v>95-012-89-57</v>
      </c>
      <c r="AB59" s="75" t="str">
        <f ca="1">VLOOKUP(C59,Группа!A:B,2,FALSE)</f>
        <v>Кепка</v>
      </c>
      <c r="AC59" s="97" t="str">
        <f ca="1">IFERROR(VLOOKUP(S59,Размеры!A:C,3,FALSE),"")</f>
        <v>57 M</v>
      </c>
      <c r="AD59" s="97" t="str">
        <f ca="1">VLOOKUP(I59,ЦветПолный!A:B,2,FALSE)</f>
        <v>89</v>
      </c>
      <c r="AE59" s="97" t="str">
        <f ca="1">IFERROR(VLOOKUP(S59,Размеры!A:D,4,FALSE),"")</f>
        <v>57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1</v>
      </c>
      <c r="AI59" s="97">
        <f ca="1">SUMIF(Группа!B:B,AB59,Группа!C:C)</f>
        <v>1</v>
      </c>
      <c r="AJ59" s="97">
        <f ca="1">SUMIF(Формы!A:A,D59,Формы!B:B)</f>
        <v>1</v>
      </c>
      <c r="AK59" s="97">
        <f ca="1">SUMIF(Материал!A:A,K59,Материал!B:B)</f>
        <v>1</v>
      </c>
      <c r="AL59" s="97">
        <f ca="1">SUMIF(Размеры!A:A,S59,Размеры!E:E)</f>
        <v>1</v>
      </c>
      <c r="AM59" s="97">
        <f ca="1">SUMIF(Сезон!A:A,F59,Сезон!B:B)</f>
        <v>1</v>
      </c>
      <c r="AN59" s="97">
        <f ca="1">SUMIF(Состав!A:A,J59,Состав!B:B)</f>
        <v>0</v>
      </c>
      <c r="AO59" s="97">
        <f ca="1">VLOOKUP(I59,ЦветПолный!A:C,3,0)</f>
        <v>1</v>
      </c>
      <c r="AP59" s="97">
        <f ca="1">SUMIF(Цвет!A:A,Z59,Цвет!B:B)</f>
        <v>1</v>
      </c>
      <c r="AQ59" s="97">
        <f ca="1">_xlfn.XLOOKUP(L59,Пол!A:A,Пол!B:B,0,0)</f>
        <v>1</v>
      </c>
      <c r="AR59" s="97">
        <f ca="1">SUMIF(Бренд!A:A,G59,Бренд!B:B)</f>
        <v>1</v>
      </c>
      <c r="AS59" s="97">
        <f ca="1">SUMIF(Страна!A:A,M59,Страна!B:B)</f>
        <v>1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5"/>
        <v>95-012-47</v>
      </c>
      <c r="B60" s="107" t="str">
        <f ca="1">_xlfn.LET(_xlpm.CAPS,0,_xlpm.Style,TRIM(_xlfn.XLOOKUP($A60,Строчный!$A:$A,Строчный!B:B,"ERR",0)),IF(_xlpm.CAPS=0,_xlpm.Style,LOWER(_xlpm.Style)))</f>
        <v>3142</v>
      </c>
      <c r="C60" s="81" t="str">
        <f ca="1">TRIM(PROPER(_xlfn.XLOOKUP($A60,Строчный!$A:$A,Строчный!C:C,"ERR",0)))</f>
        <v>Кепки</v>
      </c>
      <c r="D60" s="81" t="str">
        <f ca="1">_xlfn.LET(_xlpm.DATA,TRIM(_xlfn.XLOOKUP($A60,Строчный!$A:$A,Строчный!D:D,"ERR",0)),UPPER(MID(_xlpm.DATA,1,1))&amp;LOWER(MID(_xlpm.DATA,2,LEN(_xlpm.DATA)-1)))</f>
        <v>Кепка картуз</v>
      </c>
      <c r="E60" s="81" t="str">
        <f ca="1">PROPER(TRIM(_xlfn.XLOOKUP($A60,Строчный!$A:$A,Строчный!E:E,"ERR",0)))</f>
        <v>Fredrikson</v>
      </c>
      <c r="F60" s="81" t="str">
        <f ca="1">LOWER(TRIM(_xlfn.XLOOKUP($A60,Строчный!$A:$A,Строчный!F:F,"ERR",0)))</f>
        <v>всесезон</v>
      </c>
      <c r="G60" s="81" t="str">
        <f ca="1">UPPER(TRIM(_xlfn.XLOOKUP($A60,Строчный!$A:$A,Строчный!G:G,"ERR",0)))</f>
        <v>FREDRIKSON</v>
      </c>
      <c r="H60" s="81" t="str">
        <f ca="1">LOWER(TRIM(_xlfn.XLOOKUP($A60,Строчный!$A:$A,Строчный!H:H,"ERR",0)))</f>
        <v>641/76</v>
      </c>
      <c r="I60" s="81" t="str">
        <f ca="1">LOWER(TRIM(_xlfn.XLOOKUP($A60,Строчный!$A:$A,Строчный!I:I,"ERR",0)))</f>
        <v>серый / черный</v>
      </c>
      <c r="J60" s="81" t="str">
        <f ca="1">SUBSTITUTE(LOWER(TRIM(_xlfn.XLOOKUP($A60,Строчный!$A:$A,Строчный!J:J,"ERR",0))),"подклад","Подклад")</f>
        <v>80% шерсть - 20% полиамид / Подклад: 100% вискоза</v>
      </c>
      <c r="K60" s="81" t="str">
        <f ca="1">LOWER(TRIM(_xlfn.XLOOKUP($A60,Строчный!$A:$A,Строчный!K:K,"ERR",0)))</f>
        <v>шерстяные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Россия</v>
      </c>
      <c r="N60" s="81" t="str">
        <f ca="1">UPPER(TRIM(_xlfn.XLOOKUP($A60,Строчный!$A:$A,Строчный!O:O,"ERR",0)))</f>
        <v/>
      </c>
      <c r="O60" s="102" t="str">
        <f ca="1">PROPER(TRIM(_xlfn.XLOOKUP($A60,Строчный!$A:$A,Строчный!P:P,"ERR",0)))</f>
        <v/>
      </c>
      <c r="P60" s="81" t="str">
        <f ca="1">PROPER(TRIM(_xlfn.XLOOKUP($A60,Строчный!$A:$A,Строчный!R:R,"ERR",0)))</f>
        <v/>
      </c>
      <c r="Q60" s="90">
        <f ca="1">VALUE(_xlfn.XLOOKUP($A60,Строчный!$A:$A,Строчный!N:N,"ERR",0))</f>
        <v>975.8</v>
      </c>
      <c r="R60" s="89" t="str">
        <f ca="1">_xlfn.XLOOKUP($G60,Фабрика!A:A,Фабрика!B:B,"ERR",0)</f>
        <v>ООО "ФРЭДРИКСОН" Россия 192029, С-Петербург, пр. Обуховской обороны, д.86, лит М</v>
      </c>
      <c r="S60" s="80" t="str">
        <f ca="1">_xlfn.XLOOKUP(RIGHT(AA60,2),Размеры!D:D,Размеры!A:A,"ERR",0)</f>
        <v>62</v>
      </c>
      <c r="T60" s="80">
        <f ca="1">VALUE(_xlfn.XLOOKUP($AA60,Строчный!$S:$S,Строчный!U:U,"ERR",0))</f>
        <v>2</v>
      </c>
      <c r="U60" s="14" t="s">
        <v>265</v>
      </c>
      <c r="V60" s="101" t="str">
        <f t="shared" ca="1" si="6"/>
        <v>Кепка FREDRIKSON арт. 3142 (серый / черный)</v>
      </c>
      <c r="W60" s="100" t="str">
        <f t="shared" ca="1" si="7"/>
        <v>Кепка FREDRIKSON арт. 3142 (серый / черный) {641/76}</v>
      </c>
      <c r="X60" s="18" t="str">
        <f t="shared" ca="1" si="8"/>
        <v>серый</v>
      </c>
      <c r="Y60" s="18" t="str">
        <f t="shared" ca="1" si="9"/>
        <v>черный</v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>серый</v>
      </c>
      <c r="AA60" s="73" t="str">
        <f ca="1"/>
        <v>95-012-47-62</v>
      </c>
      <c r="AB60" s="75" t="str">
        <f ca="1">VLOOKUP(C60,Группа!A:B,2,FALSE)</f>
        <v>Кепка</v>
      </c>
      <c r="AC60" s="97" t="str">
        <f ca="1">IFERROR(VLOOKUP(S60,Размеры!A:C,3,FALSE),"")</f>
        <v>62 XL/XXL</v>
      </c>
      <c r="AD60" s="97" t="str">
        <f ca="1">VLOOKUP(I60,ЦветПолный!A:B,2,FALSE)</f>
        <v>47</v>
      </c>
      <c r="AE60" s="97" t="str">
        <f ca="1">IFERROR(VLOOKUP(S60,Размеры!A:D,4,FALSE),"")</f>
        <v>62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1</v>
      </c>
      <c r="AI60" s="97">
        <f ca="1">SUMIF(Группа!B:B,AB60,Группа!C:C)</f>
        <v>1</v>
      </c>
      <c r="AJ60" s="97">
        <f ca="1">SUMIF(Формы!A:A,D60,Формы!B:B)</f>
        <v>1</v>
      </c>
      <c r="AK60" s="97">
        <f ca="1">SUMIF(Материал!A:A,K60,Материал!B:B)</f>
        <v>1</v>
      </c>
      <c r="AL60" s="97">
        <f ca="1">SUMIF(Размеры!A:A,S60,Размеры!E:E)</f>
        <v>1</v>
      </c>
      <c r="AM60" s="97">
        <f ca="1">SUMIF(Сезон!A:A,F60,Сезон!B:B)</f>
        <v>1</v>
      </c>
      <c r="AN60" s="97">
        <f ca="1">SUMIF(Состав!A:A,J60,Состав!B:B)</f>
        <v>0</v>
      </c>
      <c r="AO60" s="97">
        <f ca="1">VLOOKUP(I60,ЦветПолный!A:C,3,0)</f>
        <v>1</v>
      </c>
      <c r="AP60" s="97">
        <f ca="1">SUMIF(Цвет!A:A,Z60,Цвет!B:B)</f>
        <v>1</v>
      </c>
      <c r="AQ60" s="97">
        <f ca="1">_xlfn.XLOOKUP(L60,Пол!A:A,Пол!B:B,0,0)</f>
        <v>1</v>
      </c>
      <c r="AR60" s="97">
        <f ca="1">SUMIF(Бренд!A:A,G60,Бренд!B:B)</f>
        <v>1</v>
      </c>
      <c r="AS60" s="97">
        <f ca="1">SUMIF(Страна!A:A,M60,Страна!B:B)</f>
        <v>1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5"/>
        <v>95-012-47</v>
      </c>
      <c r="B61" s="107" t="str">
        <f ca="1">_xlfn.LET(_xlpm.CAPS,0,_xlpm.Style,TRIM(_xlfn.XLOOKUP($A61,Строчный!$A:$A,Строчный!B:B,"ERR",0)),IF(_xlpm.CAPS=0,_xlpm.Style,LOWER(_xlpm.Style)))</f>
        <v>3142</v>
      </c>
      <c r="C61" s="81" t="str">
        <f ca="1">TRIM(PROPER(_xlfn.XLOOKUP($A61,Строчный!$A:$A,Строчный!C:C,"ERR",0)))</f>
        <v>Кепки</v>
      </c>
      <c r="D61" s="81" t="str">
        <f ca="1">_xlfn.LET(_xlpm.DATA,TRIM(_xlfn.XLOOKUP($A61,Строчный!$A:$A,Строчный!D:D,"ERR",0)),UPPER(MID(_xlpm.DATA,1,1))&amp;LOWER(MID(_xlpm.DATA,2,LEN(_xlpm.DATA)-1)))</f>
        <v>Кепка картуз</v>
      </c>
      <c r="E61" s="81" t="str">
        <f ca="1">PROPER(TRIM(_xlfn.XLOOKUP($A61,Строчный!$A:$A,Строчный!E:E,"ERR",0)))</f>
        <v>Fredrikson</v>
      </c>
      <c r="F61" s="81" t="str">
        <f ca="1">LOWER(TRIM(_xlfn.XLOOKUP($A61,Строчный!$A:$A,Строчный!F:F,"ERR",0)))</f>
        <v>всесезон</v>
      </c>
      <c r="G61" s="81" t="str">
        <f ca="1">UPPER(TRIM(_xlfn.XLOOKUP($A61,Строчный!$A:$A,Строчный!G:G,"ERR",0)))</f>
        <v>FREDRIKSON</v>
      </c>
      <c r="H61" s="81" t="str">
        <f ca="1">LOWER(TRIM(_xlfn.XLOOKUP($A61,Строчный!$A:$A,Строчный!H:H,"ERR",0)))</f>
        <v>641/76</v>
      </c>
      <c r="I61" s="81" t="str">
        <f ca="1">LOWER(TRIM(_xlfn.XLOOKUP($A61,Строчный!$A:$A,Строчный!I:I,"ERR",0)))</f>
        <v>серый / черный</v>
      </c>
      <c r="J61" s="81" t="str">
        <f ca="1">SUBSTITUTE(LOWER(TRIM(_xlfn.XLOOKUP($A61,Строчный!$A:$A,Строчный!J:J,"ERR",0))),"подклад","Подклад")</f>
        <v>80% шерсть - 20% полиамид / Подклад: 100% вискоза</v>
      </c>
      <c r="K61" s="81" t="str">
        <f ca="1">LOWER(TRIM(_xlfn.XLOOKUP($A61,Строчный!$A:$A,Строчный!K:K,"ERR",0)))</f>
        <v>шерстяные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Россия</v>
      </c>
      <c r="N61" s="81" t="str">
        <f ca="1">UPPER(TRIM(_xlfn.XLOOKUP($A61,Строчный!$A:$A,Строчный!O:O,"ERR",0)))</f>
        <v/>
      </c>
      <c r="O61" s="102" t="str">
        <f ca="1">PROPER(TRIM(_xlfn.XLOOKUP($A61,Строчный!$A:$A,Строчный!P:P,"ERR",0)))</f>
        <v/>
      </c>
      <c r="P61" s="81" t="str">
        <f ca="1">PROPER(TRIM(_xlfn.XLOOKUP($A61,Строчный!$A:$A,Строчный!R:R,"ERR",0)))</f>
        <v/>
      </c>
      <c r="Q61" s="90">
        <f ca="1">VALUE(_xlfn.XLOOKUP($A61,Строчный!$A:$A,Строчный!N:N,"ERR",0))</f>
        <v>975.8</v>
      </c>
      <c r="R61" s="89" t="str">
        <f ca="1">_xlfn.XLOOKUP($G61,Фабрика!A:A,Фабрика!B:B,"ERR",0)</f>
        <v>ООО "ФРЭДРИКСОН" Россия 192029, С-Петербург, пр. Обуховской обороны, д.86, лит М</v>
      </c>
      <c r="S61" s="80" t="str">
        <f ca="1">_xlfn.XLOOKUP(RIGHT(AA61,2),Размеры!D:D,Размеры!A:A,"ERR",0)</f>
        <v>61</v>
      </c>
      <c r="T61" s="80">
        <f ca="1">VALUE(_xlfn.XLOOKUP($AA61,Строчный!$S:$S,Строчный!U:U,"ERR",0))</f>
        <v>4</v>
      </c>
      <c r="U61" s="14" t="s">
        <v>265</v>
      </c>
      <c r="V61" s="101" t="str">
        <f t="shared" ca="1" si="6"/>
        <v>Кепка FREDRIKSON арт. 3142 (серый / черный)</v>
      </c>
      <c r="W61" s="100" t="str">
        <f t="shared" ca="1" si="7"/>
        <v>Кепка FREDRIKSON арт. 3142 (серый / черный) {641/76}</v>
      </c>
      <c r="X61" s="18" t="str">
        <f t="shared" ca="1" si="8"/>
        <v>серый</v>
      </c>
      <c r="Y61" s="18" t="str">
        <f t="shared" ca="1" si="9"/>
        <v>черный</v>
      </c>
      <c r="Z61" s="117" t="str">
        <f ca="1">_xlfn.LET(_xlpm.FormColors,_xlfn.XLOOKUP(A61,Строчный!A:A,Строчный!Q:Q,"",0),IF(_xlpm.FormColors=0,IFERROR(MID(I61,FIND("-",I61)+1,LEN(I61)),IFERROR(MID(I61,1,FIND("/",I61)-2),I61)),_xlpm.FormColors))</f>
        <v>серый</v>
      </c>
      <c r="AA61" s="73" t="str">
        <f ca="1"/>
        <v>95-012-47-61</v>
      </c>
      <c r="AB61" s="75" t="str">
        <f ca="1">VLOOKUP(C61,Группа!A:B,2,FALSE)</f>
        <v>Кепка</v>
      </c>
      <c r="AC61" s="97" t="str">
        <f ca="1">IFERROR(VLOOKUP(S61,Размеры!A:C,3,FALSE),"")</f>
        <v>61 XL</v>
      </c>
      <c r="AD61" s="97" t="str">
        <f ca="1">VLOOKUP(I61,ЦветПолный!A:B,2,FALSE)</f>
        <v>47</v>
      </c>
      <c r="AE61" s="97" t="str">
        <f ca="1">IFERROR(VLOOKUP(S61,Размеры!A:D,4,FALSE),"")</f>
        <v>61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1</v>
      </c>
      <c r="AI61" s="97">
        <f ca="1">SUMIF(Группа!B:B,AB61,Группа!C:C)</f>
        <v>1</v>
      </c>
      <c r="AJ61" s="97">
        <f ca="1">SUMIF(Формы!A:A,D61,Формы!B:B)</f>
        <v>1</v>
      </c>
      <c r="AK61" s="97">
        <f ca="1">SUMIF(Материал!A:A,K61,Материал!B:B)</f>
        <v>1</v>
      </c>
      <c r="AL61" s="97">
        <f ca="1">SUMIF(Размеры!A:A,S61,Размеры!E:E)</f>
        <v>1</v>
      </c>
      <c r="AM61" s="97">
        <f ca="1">SUMIF(Сезон!A:A,F61,Сезон!B:B)</f>
        <v>1</v>
      </c>
      <c r="AN61" s="97">
        <f ca="1">SUMIF(Состав!A:A,J61,Состав!B:B)</f>
        <v>0</v>
      </c>
      <c r="AO61" s="97">
        <f ca="1">VLOOKUP(I61,ЦветПолный!A:C,3,0)</f>
        <v>1</v>
      </c>
      <c r="AP61" s="97">
        <f ca="1">SUMIF(Цвет!A:A,Z61,Цвет!B:B)</f>
        <v>1</v>
      </c>
      <c r="AQ61" s="97">
        <f ca="1">_xlfn.XLOOKUP(L61,Пол!A:A,Пол!B:B,0,0)</f>
        <v>1</v>
      </c>
      <c r="AR61" s="97">
        <f ca="1">SUMIF(Бренд!A:A,G61,Бренд!B:B)</f>
        <v>1</v>
      </c>
      <c r="AS61" s="97">
        <f ca="1">SUMIF(Страна!A:A,M61,Страна!B:B)</f>
        <v>1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5"/>
        <v>95-012-47</v>
      </c>
      <c r="B62" s="107" t="str">
        <f ca="1">_xlfn.LET(_xlpm.CAPS,0,_xlpm.Style,TRIM(_xlfn.XLOOKUP($A62,Строчный!$A:$A,Строчный!B:B,"ERR",0)),IF(_xlpm.CAPS=0,_xlpm.Style,LOWER(_xlpm.Style)))</f>
        <v>3142</v>
      </c>
      <c r="C62" s="81" t="str">
        <f ca="1">TRIM(PROPER(_xlfn.XLOOKUP($A62,Строчный!$A:$A,Строчный!C:C,"ERR",0)))</f>
        <v>Кепки</v>
      </c>
      <c r="D62" s="81" t="str">
        <f ca="1">_xlfn.LET(_xlpm.DATA,TRIM(_xlfn.XLOOKUP($A62,Строчный!$A:$A,Строчный!D:D,"ERR",0)),UPPER(MID(_xlpm.DATA,1,1))&amp;LOWER(MID(_xlpm.DATA,2,LEN(_xlpm.DATA)-1)))</f>
        <v>Кепка картуз</v>
      </c>
      <c r="E62" s="81" t="str">
        <f ca="1">PROPER(TRIM(_xlfn.XLOOKUP($A62,Строчный!$A:$A,Строчный!E:E,"ERR",0)))</f>
        <v>Fredrikson</v>
      </c>
      <c r="F62" s="81" t="str">
        <f ca="1">LOWER(TRIM(_xlfn.XLOOKUP($A62,Строчный!$A:$A,Строчный!F:F,"ERR",0)))</f>
        <v>всесезон</v>
      </c>
      <c r="G62" s="81" t="str">
        <f ca="1">UPPER(TRIM(_xlfn.XLOOKUP($A62,Строчный!$A:$A,Строчный!G:G,"ERR",0)))</f>
        <v>FREDRIKSON</v>
      </c>
      <c r="H62" s="81" t="str">
        <f ca="1">LOWER(TRIM(_xlfn.XLOOKUP($A62,Строчный!$A:$A,Строчный!H:H,"ERR",0)))</f>
        <v>641/76</v>
      </c>
      <c r="I62" s="81" t="str">
        <f ca="1">LOWER(TRIM(_xlfn.XLOOKUP($A62,Строчный!$A:$A,Строчный!I:I,"ERR",0)))</f>
        <v>серый / черный</v>
      </c>
      <c r="J62" s="81" t="str">
        <f ca="1">SUBSTITUTE(LOWER(TRIM(_xlfn.XLOOKUP($A62,Строчный!$A:$A,Строчный!J:J,"ERR",0))),"подклад","Подклад")</f>
        <v>80% шерсть - 20% полиамид / Подклад: 100% вискоза</v>
      </c>
      <c r="K62" s="81" t="str">
        <f ca="1">LOWER(TRIM(_xlfn.XLOOKUP($A62,Строчный!$A:$A,Строчный!K:K,"ERR",0)))</f>
        <v>шерстяные</v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Россия</v>
      </c>
      <c r="N62" s="81" t="str">
        <f ca="1">UPPER(TRIM(_xlfn.XLOOKUP($A62,Строчный!$A:$A,Строчный!O:O,"ERR",0)))</f>
        <v/>
      </c>
      <c r="O62" s="102" t="str">
        <f ca="1">PROPER(TRIM(_xlfn.XLOOKUP($A62,Строчный!$A:$A,Строчный!P:P,"ERR",0)))</f>
        <v/>
      </c>
      <c r="P62" s="81" t="str">
        <f ca="1">PROPER(TRIM(_xlfn.XLOOKUP($A62,Строчный!$A:$A,Строчный!R:R,"ERR",0)))</f>
        <v/>
      </c>
      <c r="Q62" s="90">
        <f ca="1">VALUE(_xlfn.XLOOKUP($A62,Строчный!$A:$A,Строчный!N:N,"ERR",0))</f>
        <v>975.8</v>
      </c>
      <c r="R62" s="89" t="str">
        <f ca="1">_xlfn.XLOOKUP($G62,Фабрика!A:A,Фабрика!B:B,"ERR",0)</f>
        <v>ООО "ФРЭДРИКСОН" Россия 192029, С-Петербург, пр. Обуховской обороны, д.86, лит М</v>
      </c>
      <c r="S62" s="80" t="str">
        <f ca="1">_xlfn.XLOOKUP(RIGHT(AA62,2),Размеры!D:D,Размеры!A:A,"ERR",0)</f>
        <v>60</v>
      </c>
      <c r="T62" s="80">
        <f ca="1">VALUE(_xlfn.XLOOKUP($AA62,Строчный!$S:$S,Строчный!U:U,"ERR",0))</f>
        <v>7</v>
      </c>
      <c r="U62" s="14" t="s">
        <v>265</v>
      </c>
      <c r="V62" s="101" t="str">
        <f t="shared" ca="1" si="6"/>
        <v>Кепка FREDRIKSON арт. 3142 (серый / черный)</v>
      </c>
      <c r="W62" s="100" t="str">
        <f t="shared" ca="1" si="7"/>
        <v>Кепка FREDRIKSON арт. 3142 (серый / черный) {641/76}</v>
      </c>
      <c r="X62" s="18" t="str">
        <f t="shared" ca="1" si="8"/>
        <v>серый</v>
      </c>
      <c r="Y62" s="18" t="str">
        <f t="shared" ca="1" si="9"/>
        <v>черный</v>
      </c>
      <c r="Z62" s="117" t="str">
        <f ca="1">_xlfn.LET(_xlpm.FormColors,_xlfn.XLOOKUP(A62,Строчный!A:A,Строчный!Q:Q,"",0),IF(_xlpm.FormColors=0,IFERROR(MID(I62,FIND("-",I62)+1,LEN(I62)),IFERROR(MID(I62,1,FIND("/",I62)-2),I62)),_xlpm.FormColors))</f>
        <v>серый</v>
      </c>
      <c r="AA62" s="73" t="str">
        <f ca="1"/>
        <v>95-012-47-60</v>
      </c>
      <c r="AB62" s="75" t="str">
        <f ca="1">VLOOKUP(C62,Группа!A:B,2,FALSE)</f>
        <v>Кепка</v>
      </c>
      <c r="AC62" s="97" t="str">
        <f ca="1">IFERROR(VLOOKUP(S62,Размеры!A:C,3,FALSE),"")</f>
        <v>60 L/XL</v>
      </c>
      <c r="AD62" s="97" t="str">
        <f ca="1">VLOOKUP(I62,ЦветПолный!A:B,2,FALSE)</f>
        <v>47</v>
      </c>
      <c r="AE62" s="97" t="str">
        <f ca="1">IFERROR(VLOOKUP(S62,Размеры!A:D,4,FALSE),"")</f>
        <v>60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1</v>
      </c>
      <c r="AI62" s="97">
        <f ca="1">SUMIF(Группа!B:B,AB62,Группа!C:C)</f>
        <v>1</v>
      </c>
      <c r="AJ62" s="97">
        <f ca="1">SUMIF(Формы!A:A,D62,Формы!B:B)</f>
        <v>1</v>
      </c>
      <c r="AK62" s="97">
        <f ca="1">SUMIF(Материал!A:A,K62,Материал!B:B)</f>
        <v>1</v>
      </c>
      <c r="AL62" s="97">
        <f ca="1">SUMIF(Размеры!A:A,S62,Размеры!E:E)</f>
        <v>1</v>
      </c>
      <c r="AM62" s="97">
        <f ca="1">SUMIF(Сезон!A:A,F62,Сезон!B:B)</f>
        <v>1</v>
      </c>
      <c r="AN62" s="97">
        <f ca="1">SUMIF(Состав!A:A,J62,Состав!B:B)</f>
        <v>0</v>
      </c>
      <c r="AO62" s="97">
        <f ca="1">VLOOKUP(I62,ЦветПолный!A:C,3,0)</f>
        <v>1</v>
      </c>
      <c r="AP62" s="97">
        <f ca="1">SUMIF(Цвет!A:A,Z62,Цвет!B:B)</f>
        <v>1</v>
      </c>
      <c r="AQ62" s="97">
        <f ca="1">_xlfn.XLOOKUP(L62,Пол!A:A,Пол!B:B,0,0)</f>
        <v>1</v>
      </c>
      <c r="AR62" s="97">
        <f ca="1">SUMIF(Бренд!A:A,G62,Бренд!B:B)</f>
        <v>1</v>
      </c>
      <c r="AS62" s="97">
        <f ca="1">SUMIF(Страна!A:A,M62,Страна!B:B)</f>
        <v>1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5"/>
        <v>95-012-47</v>
      </c>
      <c r="B63" s="107" t="str">
        <f ca="1">_xlfn.LET(_xlpm.CAPS,0,_xlpm.Style,TRIM(_xlfn.XLOOKUP($A63,Строчный!$A:$A,Строчный!B:B,"ERR",0)),IF(_xlpm.CAPS=0,_xlpm.Style,LOWER(_xlpm.Style)))</f>
        <v>3142</v>
      </c>
      <c r="C63" s="81" t="str">
        <f ca="1">TRIM(PROPER(_xlfn.XLOOKUP($A63,Строчный!$A:$A,Строчный!C:C,"ERR",0)))</f>
        <v>Кепки</v>
      </c>
      <c r="D63" s="81" t="str">
        <f ca="1">_xlfn.LET(_xlpm.DATA,TRIM(_xlfn.XLOOKUP($A63,Строчный!$A:$A,Строчный!D:D,"ERR",0)),UPPER(MID(_xlpm.DATA,1,1))&amp;LOWER(MID(_xlpm.DATA,2,LEN(_xlpm.DATA)-1)))</f>
        <v>Кепка картуз</v>
      </c>
      <c r="E63" s="81" t="str">
        <f ca="1">PROPER(TRIM(_xlfn.XLOOKUP($A63,Строчный!$A:$A,Строчный!E:E,"ERR",0)))</f>
        <v>Fredrikson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FREDRIKSON</v>
      </c>
      <c r="H63" s="81" t="str">
        <f ca="1">LOWER(TRIM(_xlfn.XLOOKUP($A63,Строчный!$A:$A,Строчный!H:H,"ERR",0)))</f>
        <v>641/76</v>
      </c>
      <c r="I63" s="81" t="str">
        <f ca="1">LOWER(TRIM(_xlfn.XLOOKUP($A63,Строчный!$A:$A,Строчный!I:I,"ERR",0)))</f>
        <v>серый / черный</v>
      </c>
      <c r="J63" s="81" t="str">
        <f ca="1">SUBSTITUTE(LOWER(TRIM(_xlfn.XLOOKUP($A63,Строчный!$A:$A,Строчный!J:J,"ERR",0))),"подклад","Подклад")</f>
        <v>80% шерсть - 20% полиамид / Подклад: 100% вискоза</v>
      </c>
      <c r="K63" s="81" t="str">
        <f ca="1">LOWER(TRIM(_xlfn.XLOOKUP($A63,Строчный!$A:$A,Строчный!K:K,"ERR",0)))</f>
        <v>шерстяные</v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Россия</v>
      </c>
      <c r="N63" s="81" t="str">
        <f ca="1">UPPER(TRIM(_xlfn.XLOOKUP($A63,Строчный!$A:$A,Строчный!O:O,"ERR",0)))</f>
        <v/>
      </c>
      <c r="O63" s="102" t="str">
        <f ca="1">PROPER(TRIM(_xlfn.XLOOKUP($A63,Строчный!$A:$A,Строчный!P:P,"ERR",0)))</f>
        <v/>
      </c>
      <c r="P63" s="81" t="str">
        <f ca="1">PROPER(TRIM(_xlfn.XLOOKUP($A63,Строчный!$A:$A,Строчный!R:R,"ERR",0)))</f>
        <v/>
      </c>
      <c r="Q63" s="90">
        <f ca="1">VALUE(_xlfn.XLOOKUP($A63,Строчный!$A:$A,Строчный!N:N,"ERR",0))</f>
        <v>975.8</v>
      </c>
      <c r="R63" s="89" t="str">
        <f ca="1">_xlfn.XLOOKUP($G63,Фабрика!A:A,Фабрика!B:B,"ERR",0)</f>
        <v>ООО "ФРЭДРИКСОН" Россия 192029, С-Петербург, пр. Обуховской обороны, д.86, лит М</v>
      </c>
      <c r="S63" s="80" t="str">
        <f ca="1">_xlfn.XLOOKUP(RIGHT(AA63,2),Размеры!D:D,Размеры!A:A,"ERR",0)</f>
        <v>59</v>
      </c>
      <c r="T63" s="80">
        <f ca="1">VALUE(_xlfn.XLOOKUP($AA63,Строчный!$S:$S,Строчный!U:U,"ERR",0))</f>
        <v>9</v>
      </c>
      <c r="U63" s="14" t="s">
        <v>265</v>
      </c>
      <c r="V63" s="101" t="str">
        <f t="shared" ca="1" si="6"/>
        <v>Кепка FREDRIKSON арт. 3142 (серый / черный)</v>
      </c>
      <c r="W63" s="100" t="str">
        <f t="shared" ca="1" si="7"/>
        <v>Кепка FREDRIKSON арт. 3142 (серый / черный) {641/76}</v>
      </c>
      <c r="X63" s="18" t="str">
        <f t="shared" ca="1" si="8"/>
        <v>серый</v>
      </c>
      <c r="Y63" s="18" t="str">
        <f t="shared" ca="1" si="9"/>
        <v>черный</v>
      </c>
      <c r="Z63" s="117" t="str">
        <f ca="1">_xlfn.LET(_xlpm.FormColors,_xlfn.XLOOKUP(A63,Строчный!A:A,Строчный!Q:Q,"",0),IF(_xlpm.FormColors=0,IFERROR(MID(I63,FIND("-",I63)+1,LEN(I63)),IFERROR(MID(I63,1,FIND("/",I63)-2),I63)),_xlpm.FormColors))</f>
        <v>серый</v>
      </c>
      <c r="AA63" s="73" t="str">
        <f ca="1"/>
        <v>95-012-47-59</v>
      </c>
      <c r="AB63" s="75" t="str">
        <f ca="1">VLOOKUP(C63,Группа!A:B,2,FALSE)</f>
        <v>Кепка</v>
      </c>
      <c r="AC63" s="97" t="str">
        <f ca="1">IFERROR(VLOOKUP(S63,Размеры!A:C,3,FALSE),"")</f>
        <v>59 L</v>
      </c>
      <c r="AD63" s="97" t="str">
        <f ca="1">VLOOKUP(I63,ЦветПолный!A:B,2,FALSE)</f>
        <v>47</v>
      </c>
      <c r="AE63" s="97" t="str">
        <f ca="1">IFERROR(VLOOKUP(S63,Размеры!A:D,4,FALSE),"")</f>
        <v>59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1</v>
      </c>
      <c r="AI63" s="97">
        <f ca="1">SUMIF(Группа!B:B,AB63,Группа!C:C)</f>
        <v>1</v>
      </c>
      <c r="AJ63" s="97">
        <f ca="1">SUMIF(Формы!A:A,D63,Формы!B:B)</f>
        <v>1</v>
      </c>
      <c r="AK63" s="97">
        <f ca="1">SUMIF(Материал!A:A,K63,Материал!B:B)</f>
        <v>1</v>
      </c>
      <c r="AL63" s="97">
        <f ca="1">SUMIF(Размеры!A:A,S63,Размеры!E:E)</f>
        <v>1</v>
      </c>
      <c r="AM63" s="97">
        <f ca="1">SUMIF(Сезон!A:A,F63,Сезон!B:B)</f>
        <v>1</v>
      </c>
      <c r="AN63" s="97">
        <f ca="1">SUMIF(Состав!A:A,J63,Состав!B:B)</f>
        <v>0</v>
      </c>
      <c r="AO63" s="97">
        <f ca="1">VLOOKUP(I63,ЦветПолный!A:C,3,0)</f>
        <v>1</v>
      </c>
      <c r="AP63" s="97">
        <f ca="1">SUMIF(Цвет!A:A,Z63,Цвет!B:B)</f>
        <v>1</v>
      </c>
      <c r="AQ63" s="97">
        <f ca="1">_xlfn.XLOOKUP(L63,Пол!A:A,Пол!B:B,0,0)</f>
        <v>1</v>
      </c>
      <c r="AR63" s="97">
        <f ca="1">SUMIF(Бренд!A:A,G63,Бренд!B:B)</f>
        <v>1</v>
      </c>
      <c r="AS63" s="97">
        <f ca="1">SUMIF(Страна!A:A,M63,Страна!B:B)</f>
        <v>1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5"/>
        <v>95-012-47</v>
      </c>
      <c r="B64" s="107" t="str">
        <f ca="1">_xlfn.LET(_xlpm.CAPS,0,_xlpm.Style,TRIM(_xlfn.XLOOKUP($A64,Строчный!$A:$A,Строчный!B:B,"ERR",0)),IF(_xlpm.CAPS=0,_xlpm.Style,LOWER(_xlpm.Style)))</f>
        <v>3142</v>
      </c>
      <c r="C64" s="81" t="str">
        <f ca="1">TRIM(PROPER(_xlfn.XLOOKUP($A64,Строчный!$A:$A,Строчный!C:C,"ERR",0)))</f>
        <v>Кепки</v>
      </c>
      <c r="D64" s="81" t="str">
        <f ca="1">_xlfn.LET(_xlpm.DATA,TRIM(_xlfn.XLOOKUP($A64,Строчный!$A:$A,Строчный!D:D,"ERR",0)),UPPER(MID(_xlpm.DATA,1,1))&amp;LOWER(MID(_xlpm.DATA,2,LEN(_xlpm.DATA)-1)))</f>
        <v>Кепка картуз</v>
      </c>
      <c r="E64" s="81" t="str">
        <f ca="1">PROPER(TRIM(_xlfn.XLOOKUP($A64,Строчный!$A:$A,Строчный!E:E,"ERR",0)))</f>
        <v>Fredrikson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FREDRIKSON</v>
      </c>
      <c r="H64" s="81" t="str">
        <f ca="1">LOWER(TRIM(_xlfn.XLOOKUP($A64,Строчный!$A:$A,Строчный!H:H,"ERR",0)))</f>
        <v>641/76</v>
      </c>
      <c r="I64" s="81" t="str">
        <f ca="1">LOWER(TRIM(_xlfn.XLOOKUP($A64,Строчный!$A:$A,Строчный!I:I,"ERR",0)))</f>
        <v>серый / черный</v>
      </c>
      <c r="J64" s="81" t="str">
        <f ca="1">SUBSTITUTE(LOWER(TRIM(_xlfn.XLOOKUP($A64,Строчный!$A:$A,Строчный!J:J,"ERR",0))),"подклад","Подклад")</f>
        <v>80% шерсть - 20% полиамид / Подклад: 100% вискоза</v>
      </c>
      <c r="K64" s="81" t="str">
        <f ca="1">LOWER(TRIM(_xlfn.XLOOKUP($A64,Строчный!$A:$A,Строчный!K:K,"ERR",0)))</f>
        <v>шерстяные</v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Россия</v>
      </c>
      <c r="N64" s="81" t="str">
        <f ca="1">UPPER(TRIM(_xlfn.XLOOKUP($A64,Строчный!$A:$A,Строчный!O:O,"ERR",0)))</f>
        <v/>
      </c>
      <c r="O64" s="102" t="str">
        <f ca="1">PROPER(TRIM(_xlfn.XLOOKUP($A64,Строчный!$A:$A,Строчный!P:P,"ERR",0)))</f>
        <v/>
      </c>
      <c r="P64" s="81" t="str">
        <f ca="1">PROPER(TRIM(_xlfn.XLOOKUP($A64,Строчный!$A:$A,Строчный!R:R,"ERR",0)))</f>
        <v/>
      </c>
      <c r="Q64" s="90">
        <f ca="1">VALUE(_xlfn.XLOOKUP($A64,Строчный!$A:$A,Строчный!N:N,"ERR",0))</f>
        <v>975.8</v>
      </c>
      <c r="R64" s="89" t="str">
        <f ca="1">_xlfn.XLOOKUP($G64,Фабрика!A:A,Фабрика!B:B,"ERR",0)</f>
        <v>ООО "ФРЭДРИКСОН" Россия 192029, С-Петербург, пр. Обуховской обороны, д.86, лит М</v>
      </c>
      <c r="S64" s="80" t="str">
        <f ca="1">_xlfn.XLOOKUP(RIGHT(AA64,2),Размеры!D:D,Размеры!A:A,"ERR",0)</f>
        <v>58</v>
      </c>
      <c r="T64" s="80">
        <f ca="1">VALUE(_xlfn.XLOOKUP($AA64,Строчный!$S:$S,Строчный!U:U,"ERR",0))</f>
        <v>8</v>
      </c>
      <c r="U64" s="14" t="s">
        <v>265</v>
      </c>
      <c r="V64" s="101" t="str">
        <f t="shared" ca="1" si="6"/>
        <v>Кепка FREDRIKSON арт. 3142 (серый / черный)</v>
      </c>
      <c r="W64" s="100" t="str">
        <f t="shared" ca="1" si="7"/>
        <v>Кепка FREDRIKSON арт. 3142 (серый / черный) {641/76}</v>
      </c>
      <c r="X64" s="18" t="str">
        <f t="shared" ca="1" si="8"/>
        <v>серый</v>
      </c>
      <c r="Y64" s="18" t="str">
        <f t="shared" ca="1" si="9"/>
        <v>черный</v>
      </c>
      <c r="Z64" s="117" t="str">
        <f ca="1">_xlfn.LET(_xlpm.FormColors,_xlfn.XLOOKUP(A64,Строчный!A:A,Строчный!Q:Q,"",0),IF(_xlpm.FormColors=0,IFERROR(MID(I64,FIND("-",I64)+1,LEN(I64)),IFERROR(MID(I64,1,FIND("/",I64)-2),I64)),_xlpm.FormColors))</f>
        <v>серый</v>
      </c>
      <c r="AA64" s="73" t="str">
        <f ca="1"/>
        <v>95-012-47-58</v>
      </c>
      <c r="AB64" s="75" t="str">
        <f ca="1">VLOOKUP(C64,Группа!A:B,2,FALSE)</f>
        <v>Кепка</v>
      </c>
      <c r="AC64" s="97" t="str">
        <f ca="1">IFERROR(VLOOKUP(S64,Размеры!A:C,3,FALSE),"")</f>
        <v>58 M/L</v>
      </c>
      <c r="AD64" s="97" t="str">
        <f ca="1">VLOOKUP(I64,ЦветПолный!A:B,2,FALSE)</f>
        <v>47</v>
      </c>
      <c r="AE64" s="97" t="str">
        <f ca="1">IFERROR(VLOOKUP(S64,Размеры!A:D,4,FALSE),"")</f>
        <v>58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1</v>
      </c>
      <c r="AI64" s="97">
        <f ca="1">SUMIF(Группа!B:B,AB64,Группа!C:C)</f>
        <v>1</v>
      </c>
      <c r="AJ64" s="97">
        <f ca="1">SUMIF(Формы!A:A,D64,Формы!B:B)</f>
        <v>1</v>
      </c>
      <c r="AK64" s="97">
        <f ca="1">SUMIF(Материал!A:A,K64,Материал!B:B)</f>
        <v>1</v>
      </c>
      <c r="AL64" s="97">
        <f ca="1">SUMIF(Размеры!A:A,S64,Размеры!E:E)</f>
        <v>1</v>
      </c>
      <c r="AM64" s="97">
        <f ca="1">SUMIF(Сезон!A:A,F64,Сезон!B:B)</f>
        <v>1</v>
      </c>
      <c r="AN64" s="97">
        <f ca="1">SUMIF(Состав!A:A,J64,Состав!B:B)</f>
        <v>0</v>
      </c>
      <c r="AO64" s="97">
        <f ca="1">VLOOKUP(I64,ЦветПолный!A:C,3,0)</f>
        <v>1</v>
      </c>
      <c r="AP64" s="97">
        <f ca="1">SUMIF(Цвет!A:A,Z64,Цвет!B:B)</f>
        <v>1</v>
      </c>
      <c r="AQ64" s="97">
        <f ca="1">_xlfn.XLOOKUP(L64,Пол!A:A,Пол!B:B,0,0)</f>
        <v>1</v>
      </c>
      <c r="AR64" s="97">
        <f ca="1">SUMIF(Бренд!A:A,G64,Бренд!B:B)</f>
        <v>1</v>
      </c>
      <c r="AS64" s="97">
        <f ca="1">SUMIF(Страна!A:A,M64,Страна!B:B)</f>
        <v>1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5"/>
        <v>95-012-47</v>
      </c>
      <c r="B65" s="107" t="str">
        <f ca="1">_xlfn.LET(_xlpm.CAPS,0,_xlpm.Style,TRIM(_xlfn.XLOOKUP($A65,Строчный!$A:$A,Строчный!B:B,"ERR",0)),IF(_xlpm.CAPS=0,_xlpm.Style,LOWER(_xlpm.Style)))</f>
        <v>3142</v>
      </c>
      <c r="C65" s="81" t="str">
        <f ca="1">TRIM(PROPER(_xlfn.XLOOKUP($A65,Строчный!$A:$A,Строчный!C:C,"ERR",0)))</f>
        <v>Кепки</v>
      </c>
      <c r="D65" s="81" t="str">
        <f ca="1">_xlfn.LET(_xlpm.DATA,TRIM(_xlfn.XLOOKUP($A65,Строчный!$A:$A,Строчный!D:D,"ERR",0)),UPPER(MID(_xlpm.DATA,1,1))&amp;LOWER(MID(_xlpm.DATA,2,LEN(_xlpm.DATA)-1)))</f>
        <v>Кепка картуз</v>
      </c>
      <c r="E65" s="81" t="str">
        <f ca="1">PROPER(TRIM(_xlfn.XLOOKUP($A65,Строчный!$A:$A,Строчный!E:E,"ERR",0)))</f>
        <v>Fredrikson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FREDRIKSON</v>
      </c>
      <c r="H65" s="81" t="str">
        <f ca="1">LOWER(TRIM(_xlfn.XLOOKUP($A65,Строчный!$A:$A,Строчный!H:H,"ERR",0)))</f>
        <v>641/76</v>
      </c>
      <c r="I65" s="81" t="str">
        <f ca="1">LOWER(TRIM(_xlfn.XLOOKUP($A65,Строчный!$A:$A,Строчный!I:I,"ERR",0)))</f>
        <v>серый / черный</v>
      </c>
      <c r="J65" s="81" t="str">
        <f ca="1">SUBSTITUTE(LOWER(TRIM(_xlfn.XLOOKUP($A65,Строчный!$A:$A,Строчный!J:J,"ERR",0))),"подклад","Подклад")</f>
        <v>80% шерсть - 20% полиамид / Подклад: 100% вискоза</v>
      </c>
      <c r="K65" s="81" t="str">
        <f ca="1">LOWER(TRIM(_xlfn.XLOOKUP($A65,Строчный!$A:$A,Строчный!K:K,"ERR",0)))</f>
        <v>шерстяные</v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Россия</v>
      </c>
      <c r="N65" s="81" t="str">
        <f ca="1">UPPER(TRIM(_xlfn.XLOOKUP($A65,Строчный!$A:$A,Строчный!O:O,"ERR",0)))</f>
        <v/>
      </c>
      <c r="O65" s="102" t="str">
        <f ca="1">PROPER(TRIM(_xlfn.XLOOKUP($A65,Строчный!$A:$A,Строчный!P:P,"ERR",0)))</f>
        <v/>
      </c>
      <c r="P65" s="81" t="str">
        <f ca="1">PROPER(TRIM(_xlfn.XLOOKUP($A65,Строчный!$A:$A,Строчный!R:R,"ERR",0)))</f>
        <v/>
      </c>
      <c r="Q65" s="90">
        <f ca="1">VALUE(_xlfn.XLOOKUP($A65,Строчный!$A:$A,Строчный!N:N,"ERR",0))</f>
        <v>975.8</v>
      </c>
      <c r="R65" s="89" t="str">
        <f ca="1">_xlfn.XLOOKUP($G65,Фабрика!A:A,Фабрика!B:B,"ERR",0)</f>
        <v>ООО "ФРЭДРИКСОН" Россия 192029, С-Петербург, пр. Обуховской обороны, д.86, лит М</v>
      </c>
      <c r="S65" s="80" t="str">
        <f ca="1">_xlfn.XLOOKUP(RIGHT(AA65,2),Размеры!D:D,Размеры!A:A,"ERR",0)</f>
        <v>57</v>
      </c>
      <c r="T65" s="80">
        <f ca="1">VALUE(_xlfn.XLOOKUP($AA65,Строчный!$S:$S,Строчный!U:U,"ERR",0))</f>
        <v>5</v>
      </c>
      <c r="U65" s="14" t="s">
        <v>265</v>
      </c>
      <c r="V65" s="101" t="str">
        <f t="shared" ca="1" si="6"/>
        <v>Кепка FREDRIKSON арт. 3142 (серый / черный)</v>
      </c>
      <c r="W65" s="100" t="str">
        <f t="shared" ca="1" si="7"/>
        <v>Кепка FREDRIKSON арт. 3142 (серый / черный) {641/76}</v>
      </c>
      <c r="X65" s="18" t="str">
        <f t="shared" ca="1" si="8"/>
        <v>серый</v>
      </c>
      <c r="Y65" s="18" t="str">
        <f t="shared" ca="1" si="9"/>
        <v>черный</v>
      </c>
      <c r="Z65" s="117" t="str">
        <f ca="1">_xlfn.LET(_xlpm.FormColors,_xlfn.XLOOKUP(A65,Строчный!A:A,Строчный!Q:Q,"",0),IF(_xlpm.FormColors=0,IFERROR(MID(I65,FIND("-",I65)+1,LEN(I65)),IFERROR(MID(I65,1,FIND("/",I65)-2),I65)),_xlpm.FormColors))</f>
        <v>серый</v>
      </c>
      <c r="AA65" s="73" t="str">
        <f ca="1"/>
        <v>95-012-47-57</v>
      </c>
      <c r="AB65" s="75" t="str">
        <f ca="1">VLOOKUP(C65,Группа!A:B,2,FALSE)</f>
        <v>Кепка</v>
      </c>
      <c r="AC65" s="97" t="str">
        <f ca="1">IFERROR(VLOOKUP(S65,Размеры!A:C,3,FALSE),"")</f>
        <v>57 M</v>
      </c>
      <c r="AD65" s="97" t="str">
        <f ca="1">VLOOKUP(I65,ЦветПолный!A:B,2,FALSE)</f>
        <v>47</v>
      </c>
      <c r="AE65" s="97" t="str">
        <f ca="1">IFERROR(VLOOKUP(S65,Размеры!A:D,4,FALSE),"")</f>
        <v>57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1</v>
      </c>
      <c r="AI65" s="97">
        <f ca="1">SUMIF(Группа!B:B,AB65,Группа!C:C)</f>
        <v>1</v>
      </c>
      <c r="AJ65" s="97">
        <f ca="1">SUMIF(Формы!A:A,D65,Формы!B:B)</f>
        <v>1</v>
      </c>
      <c r="AK65" s="97">
        <f ca="1">SUMIF(Материал!A:A,K65,Материал!B:B)</f>
        <v>1</v>
      </c>
      <c r="AL65" s="97">
        <f ca="1">SUMIF(Размеры!A:A,S65,Размеры!E:E)</f>
        <v>1</v>
      </c>
      <c r="AM65" s="97">
        <f ca="1">SUMIF(Сезон!A:A,F65,Сезон!B:B)</f>
        <v>1</v>
      </c>
      <c r="AN65" s="97">
        <f ca="1">SUMIF(Состав!A:A,J65,Состав!B:B)</f>
        <v>0</v>
      </c>
      <c r="AO65" s="97">
        <f ca="1">VLOOKUP(I65,ЦветПолный!A:C,3,0)</f>
        <v>1</v>
      </c>
      <c r="AP65" s="97">
        <f ca="1">SUMIF(Цвет!A:A,Z65,Цвет!B:B)</f>
        <v>1</v>
      </c>
      <c r="AQ65" s="97">
        <f ca="1">_xlfn.XLOOKUP(L65,Пол!A:A,Пол!B:B,0,0)</f>
        <v>1</v>
      </c>
      <c r="AR65" s="97">
        <f ca="1">SUMIF(Бренд!A:A,G65,Бренд!B:B)</f>
        <v>1</v>
      </c>
      <c r="AS65" s="97">
        <f ca="1">SUMIF(Страна!A:A,M65,Страна!B:B)</f>
        <v>1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5"/>
        <v>95-012-47</v>
      </c>
      <c r="B66" s="107" t="str">
        <f ca="1">_xlfn.LET(_xlpm.CAPS,0,_xlpm.Style,TRIM(_xlfn.XLOOKUP($A66,Строчный!$A:$A,Строчный!B:B,"ERR",0)),IF(_xlpm.CAPS=0,_xlpm.Style,LOWER(_xlpm.Style)))</f>
        <v>3142</v>
      </c>
      <c r="C66" s="81" t="str">
        <f ca="1">TRIM(PROPER(_xlfn.XLOOKUP($A66,Строчный!$A:$A,Строчный!C:C,"ERR",0)))</f>
        <v>Кепки</v>
      </c>
      <c r="D66" s="81" t="str">
        <f ca="1">_xlfn.LET(_xlpm.DATA,TRIM(_xlfn.XLOOKUP($A66,Строчный!$A:$A,Строчный!D:D,"ERR",0)),UPPER(MID(_xlpm.DATA,1,1))&amp;LOWER(MID(_xlpm.DATA,2,LEN(_xlpm.DATA)-1)))</f>
        <v>Кепка картуз</v>
      </c>
      <c r="E66" s="81" t="str">
        <f ca="1">PROPER(TRIM(_xlfn.XLOOKUP($A66,Строчный!$A:$A,Строчный!E:E,"ERR",0)))</f>
        <v>Fredrikson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FREDRIKSON</v>
      </c>
      <c r="H66" s="81" t="str">
        <f ca="1">LOWER(TRIM(_xlfn.XLOOKUP($A66,Строчный!$A:$A,Строчный!H:H,"ERR",0)))</f>
        <v>641/76</v>
      </c>
      <c r="I66" s="81" t="str">
        <f ca="1">LOWER(TRIM(_xlfn.XLOOKUP($A66,Строчный!$A:$A,Строчный!I:I,"ERR",0)))</f>
        <v>серый / черный</v>
      </c>
      <c r="J66" s="81" t="str">
        <f ca="1">SUBSTITUTE(LOWER(TRIM(_xlfn.XLOOKUP($A66,Строчный!$A:$A,Строчный!J:J,"ERR",0))),"подклад","Подклад")</f>
        <v>80% шерсть - 20% полиамид / Подклад: 100% вискоза</v>
      </c>
      <c r="K66" s="81" t="str">
        <f ca="1">LOWER(TRIM(_xlfn.XLOOKUP($A66,Строчный!$A:$A,Строчный!K:K,"ERR",0)))</f>
        <v>шерстяные</v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Россия</v>
      </c>
      <c r="N66" s="81" t="str">
        <f ca="1">UPPER(TRIM(_xlfn.XLOOKUP($A66,Строчный!$A:$A,Строчный!O:O,"ERR",0)))</f>
        <v/>
      </c>
      <c r="O66" s="102" t="str">
        <f ca="1">PROPER(TRIM(_xlfn.XLOOKUP($A66,Строчный!$A:$A,Строчный!P:P,"ERR",0)))</f>
        <v/>
      </c>
      <c r="P66" s="81" t="str">
        <f ca="1">PROPER(TRIM(_xlfn.XLOOKUP($A66,Строчный!$A:$A,Строчный!R:R,"ERR",0)))</f>
        <v/>
      </c>
      <c r="Q66" s="90">
        <f ca="1">VALUE(_xlfn.XLOOKUP($A66,Строчный!$A:$A,Строчный!N:N,"ERR",0))</f>
        <v>975.8</v>
      </c>
      <c r="R66" s="89" t="str">
        <f ca="1">_xlfn.XLOOKUP($G66,Фабрика!A:A,Фабрика!B:B,"ERR",0)</f>
        <v>ООО "ФРЭДРИКСОН" Россия 192029, С-Петербург, пр. Обуховской обороны, д.86, лит М</v>
      </c>
      <c r="S66" s="80" t="str">
        <f ca="1">_xlfn.XLOOKUP(RIGHT(AA66,2),Размеры!D:D,Размеры!A:A,"ERR",0)</f>
        <v>56</v>
      </c>
      <c r="T66" s="80">
        <f ca="1">VALUE(_xlfn.XLOOKUP($AA66,Строчный!$S:$S,Строчный!U:U,"ERR",0))</f>
        <v>3</v>
      </c>
      <c r="U66" s="14" t="s">
        <v>265</v>
      </c>
      <c r="V66" s="101" t="str">
        <f t="shared" ca="1" si="6"/>
        <v>Кепка FREDRIKSON арт. 3142 (серый / черный)</v>
      </c>
      <c r="W66" s="100" t="str">
        <f t="shared" ca="1" si="7"/>
        <v>Кепка FREDRIKSON арт. 3142 (серый / черный) {641/76}</v>
      </c>
      <c r="X66" s="18" t="str">
        <f t="shared" ca="1" si="8"/>
        <v>серый</v>
      </c>
      <c r="Y66" s="18" t="str">
        <f t="shared" ca="1" si="9"/>
        <v>черный</v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>серый</v>
      </c>
      <c r="AA66" s="73" t="str">
        <f ca="1"/>
        <v>95-012-47-56</v>
      </c>
      <c r="AB66" s="75" t="str">
        <f ca="1">VLOOKUP(C66,Группа!A:B,2,FALSE)</f>
        <v>Кепка</v>
      </c>
      <c r="AC66" s="97" t="str">
        <f ca="1">IFERROR(VLOOKUP(S66,Размеры!A:C,3,FALSE),"")</f>
        <v>56 S/M</v>
      </c>
      <c r="AD66" s="97" t="str">
        <f ca="1">VLOOKUP(I66,ЦветПолный!A:B,2,FALSE)</f>
        <v>47</v>
      </c>
      <c r="AE66" s="97" t="str">
        <f ca="1">IFERROR(VLOOKUP(S66,Размеры!A:D,4,FALSE),"")</f>
        <v>56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1</v>
      </c>
      <c r="AI66" s="97">
        <f ca="1">SUMIF(Группа!B:B,AB66,Группа!C:C)</f>
        <v>1</v>
      </c>
      <c r="AJ66" s="97">
        <f ca="1">SUMIF(Формы!A:A,D66,Формы!B:B)</f>
        <v>1</v>
      </c>
      <c r="AK66" s="97">
        <f ca="1">SUMIF(Материал!A:A,K66,Материал!B:B)</f>
        <v>1</v>
      </c>
      <c r="AL66" s="97">
        <f ca="1">SUMIF(Размеры!A:A,S66,Размеры!E:E)</f>
        <v>1</v>
      </c>
      <c r="AM66" s="97">
        <f ca="1">SUMIF(Сезон!A:A,F66,Сезон!B:B)</f>
        <v>1</v>
      </c>
      <c r="AN66" s="97">
        <f ca="1">SUMIF(Состав!A:A,J66,Состав!B:B)</f>
        <v>0</v>
      </c>
      <c r="AO66" s="97">
        <f ca="1">VLOOKUP(I66,ЦветПолный!A:C,3,0)</f>
        <v>1</v>
      </c>
      <c r="AP66" s="97">
        <f ca="1">SUMIF(Цвет!A:A,Z66,Цвет!B:B)</f>
        <v>1</v>
      </c>
      <c r="AQ66" s="97">
        <f ca="1">_xlfn.XLOOKUP(L66,Пол!A:A,Пол!B:B,0,0)</f>
        <v>1</v>
      </c>
      <c r="AR66" s="97">
        <f ca="1">SUMIF(Бренд!A:A,G66,Бренд!B:B)</f>
        <v>1</v>
      </c>
      <c r="AS66" s="97">
        <f ca="1">SUMIF(Страна!A:A,M66,Страна!B:B)</f>
        <v>1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ca="1" si="5"/>
        <v>95-012-09</v>
      </c>
      <c r="B67" s="107" t="str">
        <f ca="1">_xlfn.LET(_xlpm.CAPS,0,_xlpm.Style,TRIM(_xlfn.XLOOKUP($A67,Строчный!$A:$A,Строчный!B:B,"ERR",0)),IF(_xlpm.CAPS=0,_xlpm.Style,LOWER(_xlpm.Style)))</f>
        <v>3142</v>
      </c>
      <c r="C67" s="81" t="str">
        <f ca="1">TRIM(PROPER(_xlfn.XLOOKUP($A67,Строчный!$A:$A,Строчный!C:C,"ERR",0)))</f>
        <v>Кепки</v>
      </c>
      <c r="D67" s="81" t="str">
        <f ca="1">_xlfn.LET(_xlpm.DATA,TRIM(_xlfn.XLOOKUP($A67,Строчный!$A:$A,Строчный!D:D,"ERR",0)),UPPER(MID(_xlpm.DATA,1,1))&amp;LOWER(MID(_xlpm.DATA,2,LEN(_xlpm.DATA)-1)))</f>
        <v>Кепка картуз</v>
      </c>
      <c r="E67" s="81" t="str">
        <f ca="1">PROPER(TRIM(_xlfn.XLOOKUP($A67,Строчный!$A:$A,Строчный!E:E,"ERR",0)))</f>
        <v>Fredrikson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FREDRIKSON</v>
      </c>
      <c r="H67" s="81" t="str">
        <f ca="1">LOWER(TRIM(_xlfn.XLOOKUP($A67,Строчный!$A:$A,Строчный!H:H,"ERR",0)))</f>
        <v>624/91</v>
      </c>
      <c r="I67" s="81" t="str">
        <f ca="1">LOWER(TRIM(_xlfn.XLOOKUP($A67,Строчный!$A:$A,Строчный!I:I,"ERR",0)))</f>
        <v>черный</v>
      </c>
      <c r="J67" s="81" t="str">
        <f ca="1">SUBSTITUTE(LOWER(TRIM(_xlfn.XLOOKUP($A67,Строчный!$A:$A,Строчный!J:J,"ERR",0))),"подклад","Подклад")</f>
        <v>80% шерсть - 20% полиамид / Подклад: 100% вискоза</v>
      </c>
      <c r="K67" s="81" t="str">
        <f ca="1">LOWER(TRIM(_xlfn.XLOOKUP($A67,Строчный!$A:$A,Строчный!K:K,"ERR",0)))</f>
        <v>шерстяные</v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Россия</v>
      </c>
      <c r="N67" s="81" t="str">
        <f ca="1">UPPER(TRIM(_xlfn.XLOOKUP($A67,Строчный!$A:$A,Строчный!O:O,"ERR",0)))</f>
        <v/>
      </c>
      <c r="O67" s="102" t="str">
        <f ca="1">PROPER(TRIM(_xlfn.XLOOKUP($A67,Строчный!$A:$A,Строчный!P:P,"ERR",0)))</f>
        <v/>
      </c>
      <c r="P67" s="81" t="str">
        <f ca="1">PROPER(TRIM(_xlfn.XLOOKUP($A67,Строчный!$A:$A,Строчный!R:R,"ERR",0)))</f>
        <v/>
      </c>
      <c r="Q67" s="90">
        <f ca="1">VALUE(_xlfn.XLOOKUP($A67,Строчный!$A:$A,Строчный!N:N,"ERR",0))</f>
        <v>975.8</v>
      </c>
      <c r="R67" s="89" t="str">
        <f ca="1">_xlfn.XLOOKUP($G67,Фабрика!A:A,Фабрика!B:B,"ERR",0)</f>
        <v>ООО "ФРЭДРИКСОН" Россия 192029, С-Петербург, пр. Обуховской обороны, д.86, лит М</v>
      </c>
      <c r="S67" s="80" t="str">
        <f ca="1">_xlfn.XLOOKUP(RIGHT(AA67,2),Размеры!D:D,Размеры!A:A,"ERR",0)</f>
        <v>62</v>
      </c>
      <c r="T67" s="80">
        <f ca="1">VALUE(_xlfn.XLOOKUP($AA67,Строчный!$S:$S,Строчный!U:U,"ERR",0))</f>
        <v>2</v>
      </c>
      <c r="U67" s="14" t="s">
        <v>265</v>
      </c>
      <c r="V67" s="101" t="str">
        <f t="shared" ca="1" si="6"/>
        <v>Кепка FREDRIKSON арт. 3142 (черный)</v>
      </c>
      <c r="W67" s="100" t="str">
        <f t="shared" ca="1" si="7"/>
        <v>Кепка FREDRIKSON арт. 3142 (черный) {624/91}</v>
      </c>
      <c r="X67" s="18" t="str">
        <f t="shared" ca="1" si="8"/>
        <v>черный</v>
      </c>
      <c r="Y67" s="18" t="str">
        <f t="shared" ca="1" si="9"/>
        <v>черный</v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>черный</v>
      </c>
      <c r="AA67" s="73" t="str">
        <f ca="1"/>
        <v>95-012-09-62</v>
      </c>
      <c r="AB67" s="75" t="str">
        <f ca="1">VLOOKUP(C67,Группа!A:B,2,FALSE)</f>
        <v>Кепка</v>
      </c>
      <c r="AC67" s="97" t="str">
        <f ca="1">IFERROR(VLOOKUP(S67,Размеры!A:C,3,FALSE),"")</f>
        <v>62 XL/XXL</v>
      </c>
      <c r="AD67" s="97" t="str">
        <f ca="1">VLOOKUP(I67,ЦветПолный!A:B,2,FALSE)</f>
        <v>09</v>
      </c>
      <c r="AE67" s="97" t="str">
        <f ca="1">IFERROR(VLOOKUP(S67,Размеры!A:D,4,FALSE),"")</f>
        <v>62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1</v>
      </c>
      <c r="AI67" s="97">
        <f ca="1">SUMIF(Группа!B:B,AB67,Группа!C:C)</f>
        <v>1</v>
      </c>
      <c r="AJ67" s="97">
        <f ca="1">SUMIF(Формы!A:A,D67,Формы!B:B)</f>
        <v>1</v>
      </c>
      <c r="AK67" s="97">
        <f ca="1">SUMIF(Материал!A:A,K67,Материал!B:B)</f>
        <v>1</v>
      </c>
      <c r="AL67" s="97">
        <f ca="1">SUMIF(Размеры!A:A,S67,Размеры!E:E)</f>
        <v>1</v>
      </c>
      <c r="AM67" s="97">
        <f ca="1">SUMIF(Сезон!A:A,F67,Сезон!B:B)</f>
        <v>1</v>
      </c>
      <c r="AN67" s="97">
        <f ca="1">SUMIF(Состав!A:A,J67,Состав!B:B)</f>
        <v>0</v>
      </c>
      <c r="AO67" s="97">
        <f ca="1">VLOOKUP(I67,ЦветПолный!A:C,3,0)</f>
        <v>1</v>
      </c>
      <c r="AP67" s="97">
        <f ca="1">SUMIF(Цвет!A:A,Z67,Цвет!B:B)</f>
        <v>1</v>
      </c>
      <c r="AQ67" s="97">
        <f ca="1">_xlfn.XLOOKUP(L67,Пол!A:A,Пол!B:B,0,0)</f>
        <v>1</v>
      </c>
      <c r="AR67" s="97">
        <f ca="1">SUMIF(Бренд!A:A,G67,Бренд!B:B)</f>
        <v>1</v>
      </c>
      <c r="AS67" s="97">
        <f ca="1">SUMIF(Страна!A:A,M67,Страна!B:B)</f>
        <v>1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5"/>
        <v>95-012-09</v>
      </c>
      <c r="B68" s="107" t="str">
        <f ca="1">_xlfn.LET(_xlpm.CAPS,0,_xlpm.Style,TRIM(_xlfn.XLOOKUP($A68,Строчный!$A:$A,Строчный!B:B,"ERR",0)),IF(_xlpm.CAPS=0,_xlpm.Style,LOWER(_xlpm.Style)))</f>
        <v>3142</v>
      </c>
      <c r="C68" s="81" t="str">
        <f ca="1">TRIM(PROPER(_xlfn.XLOOKUP($A68,Строчный!$A:$A,Строчный!C:C,"ERR",0)))</f>
        <v>Кепки</v>
      </c>
      <c r="D68" s="81" t="str">
        <f ca="1">_xlfn.LET(_xlpm.DATA,TRIM(_xlfn.XLOOKUP($A68,Строчный!$A:$A,Строчный!D:D,"ERR",0)),UPPER(MID(_xlpm.DATA,1,1))&amp;LOWER(MID(_xlpm.DATA,2,LEN(_xlpm.DATA)-1)))</f>
        <v>Кепка картуз</v>
      </c>
      <c r="E68" s="81" t="str">
        <f ca="1">PROPER(TRIM(_xlfn.XLOOKUP($A68,Строчный!$A:$A,Строчный!E:E,"ERR",0)))</f>
        <v>Fredrikson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FREDRIKSON</v>
      </c>
      <c r="H68" s="81" t="str">
        <f ca="1">LOWER(TRIM(_xlfn.XLOOKUP($A68,Строчный!$A:$A,Строчный!H:H,"ERR",0)))</f>
        <v>624/91</v>
      </c>
      <c r="I68" s="81" t="str">
        <f ca="1">LOWER(TRIM(_xlfn.XLOOKUP($A68,Строчный!$A:$A,Строчный!I:I,"ERR",0)))</f>
        <v>черный</v>
      </c>
      <c r="J68" s="81" t="str">
        <f ca="1">SUBSTITUTE(LOWER(TRIM(_xlfn.XLOOKUP($A68,Строчный!$A:$A,Строчный!J:J,"ERR",0))),"подклад","Подклад")</f>
        <v>80% шерсть - 20% полиамид / Подклад: 100% вискоза</v>
      </c>
      <c r="K68" s="81" t="str">
        <f ca="1">LOWER(TRIM(_xlfn.XLOOKUP($A68,Строчный!$A:$A,Строчный!K:K,"ERR",0)))</f>
        <v>шерстяные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Россия</v>
      </c>
      <c r="N68" s="81" t="str">
        <f ca="1">UPPER(TRIM(_xlfn.XLOOKUP($A68,Строчный!$A:$A,Строчный!O:O,"ERR",0)))</f>
        <v/>
      </c>
      <c r="O68" s="102" t="str">
        <f ca="1">PROPER(TRIM(_xlfn.XLOOKUP($A68,Строчный!$A:$A,Строчный!P:P,"ERR",0)))</f>
        <v/>
      </c>
      <c r="P68" s="81" t="str">
        <f ca="1">PROPER(TRIM(_xlfn.XLOOKUP($A68,Строчный!$A:$A,Строчный!R:R,"ERR",0)))</f>
        <v/>
      </c>
      <c r="Q68" s="90">
        <f ca="1">VALUE(_xlfn.XLOOKUP($A68,Строчный!$A:$A,Строчный!N:N,"ERR",0))</f>
        <v>975.8</v>
      </c>
      <c r="R68" s="89" t="str">
        <f ca="1">_xlfn.XLOOKUP($G68,Фабрика!A:A,Фабрика!B:B,"ERR",0)</f>
        <v>ООО "ФРЭДРИКСОН" Россия 192029, С-Петербург, пр. Обуховской обороны, д.86, лит М</v>
      </c>
      <c r="S68" s="80" t="str">
        <f ca="1">_xlfn.XLOOKUP(RIGHT(AA68,2),Размеры!D:D,Размеры!A:A,"ERR",0)</f>
        <v>61</v>
      </c>
      <c r="T68" s="80">
        <f ca="1">VALUE(_xlfn.XLOOKUP($AA68,Строчный!$S:$S,Строчный!U:U,"ERR",0))</f>
        <v>4</v>
      </c>
      <c r="U68" s="14" t="s">
        <v>265</v>
      </c>
      <c r="V68" s="101" t="str">
        <f t="shared" ca="1" si="6"/>
        <v>Кепка FREDRIKSON арт. 3142 (черный)</v>
      </c>
      <c r="W68" s="100" t="str">
        <f t="shared" ca="1" si="7"/>
        <v>Кепка FREDRIKSON арт. 3142 (черный) {624/91}</v>
      </c>
      <c r="X68" s="18" t="str">
        <f t="shared" ca="1" si="8"/>
        <v>черный</v>
      </c>
      <c r="Y68" s="18" t="str">
        <f t="shared" ca="1" si="9"/>
        <v>черный</v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>черный</v>
      </c>
      <c r="AA68" s="73" t="str">
        <f ca="1"/>
        <v>95-012-09-61</v>
      </c>
      <c r="AB68" s="75" t="str">
        <f ca="1">VLOOKUP(C68,Группа!A:B,2,FALSE)</f>
        <v>Кепка</v>
      </c>
      <c r="AC68" s="97" t="str">
        <f ca="1">IFERROR(VLOOKUP(S68,Размеры!A:C,3,FALSE),"")</f>
        <v>61 XL</v>
      </c>
      <c r="AD68" s="97" t="str">
        <f ca="1">VLOOKUP(I68,ЦветПолный!A:B,2,FALSE)</f>
        <v>09</v>
      </c>
      <c r="AE68" s="97" t="str">
        <f ca="1">IFERROR(VLOOKUP(S68,Размеры!A:D,4,FALSE),"")</f>
        <v>61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1</v>
      </c>
      <c r="AI68" s="97">
        <f ca="1">SUMIF(Группа!B:B,AB68,Группа!C:C)</f>
        <v>1</v>
      </c>
      <c r="AJ68" s="97">
        <f ca="1">SUMIF(Формы!A:A,D68,Формы!B:B)</f>
        <v>1</v>
      </c>
      <c r="AK68" s="97">
        <f ca="1">SUMIF(Материал!A:A,K68,Материал!B:B)</f>
        <v>1</v>
      </c>
      <c r="AL68" s="97">
        <f ca="1">SUMIF(Размеры!A:A,S68,Размеры!E:E)</f>
        <v>1</v>
      </c>
      <c r="AM68" s="97">
        <f ca="1">SUMIF(Сезон!A:A,F68,Сезон!B:B)</f>
        <v>1</v>
      </c>
      <c r="AN68" s="97">
        <f ca="1">SUMIF(Состав!A:A,J68,Состав!B:B)</f>
        <v>0</v>
      </c>
      <c r="AO68" s="97">
        <f ca="1">VLOOKUP(I68,ЦветПолный!A:C,3,0)</f>
        <v>1</v>
      </c>
      <c r="AP68" s="97">
        <f ca="1">SUMIF(Цвет!A:A,Z68,Цвет!B:B)</f>
        <v>1</v>
      </c>
      <c r="AQ68" s="97">
        <f ca="1">_xlfn.XLOOKUP(L68,Пол!A:A,Пол!B:B,0,0)</f>
        <v>1</v>
      </c>
      <c r="AR68" s="97">
        <f ca="1">SUMIF(Бренд!A:A,G68,Бренд!B:B)</f>
        <v>1</v>
      </c>
      <c r="AS68" s="97">
        <f ca="1">SUMIF(Страна!A:A,M68,Страна!B:B)</f>
        <v>1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5"/>
        <v>95-012-09</v>
      </c>
      <c r="B69" s="107" t="str">
        <f ca="1">_xlfn.LET(_xlpm.CAPS,0,_xlpm.Style,TRIM(_xlfn.XLOOKUP($A69,Строчный!$A:$A,Строчный!B:B,"ERR",0)),IF(_xlpm.CAPS=0,_xlpm.Style,LOWER(_xlpm.Style)))</f>
        <v>3142</v>
      </c>
      <c r="C69" s="81" t="str">
        <f ca="1">TRIM(PROPER(_xlfn.XLOOKUP($A69,Строчный!$A:$A,Строчный!C:C,"ERR",0)))</f>
        <v>Кепки</v>
      </c>
      <c r="D69" s="81" t="str">
        <f ca="1">_xlfn.LET(_xlpm.DATA,TRIM(_xlfn.XLOOKUP($A69,Строчный!$A:$A,Строчный!D:D,"ERR",0)),UPPER(MID(_xlpm.DATA,1,1))&amp;LOWER(MID(_xlpm.DATA,2,LEN(_xlpm.DATA)-1)))</f>
        <v>Кепка картуз</v>
      </c>
      <c r="E69" s="81" t="str">
        <f ca="1">PROPER(TRIM(_xlfn.XLOOKUP($A69,Строчный!$A:$A,Строчный!E:E,"ERR",0)))</f>
        <v>Fredrikson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FREDRIKSON</v>
      </c>
      <c r="H69" s="81" t="str">
        <f ca="1">LOWER(TRIM(_xlfn.XLOOKUP($A69,Строчный!$A:$A,Строчный!H:H,"ERR",0)))</f>
        <v>624/91</v>
      </c>
      <c r="I69" s="81" t="str">
        <f ca="1">LOWER(TRIM(_xlfn.XLOOKUP($A69,Строчный!$A:$A,Строчный!I:I,"ERR",0)))</f>
        <v>черный</v>
      </c>
      <c r="J69" s="81" t="str">
        <f ca="1">SUBSTITUTE(LOWER(TRIM(_xlfn.XLOOKUP($A69,Строчный!$A:$A,Строчный!J:J,"ERR",0))),"подклад","Подклад")</f>
        <v>80% шерсть - 20% полиамид / Подклад: 100% вискоза</v>
      </c>
      <c r="K69" s="81" t="str">
        <f ca="1">LOWER(TRIM(_xlfn.XLOOKUP($A69,Строчный!$A:$A,Строчный!K:K,"ERR",0)))</f>
        <v>шерстяные</v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Россия</v>
      </c>
      <c r="N69" s="81" t="str">
        <f ca="1">UPPER(TRIM(_xlfn.XLOOKUP($A69,Строчный!$A:$A,Строчный!O:O,"ERR",0)))</f>
        <v/>
      </c>
      <c r="O69" s="102" t="str">
        <f ca="1">PROPER(TRIM(_xlfn.XLOOKUP($A69,Строчный!$A:$A,Строчный!P:P,"ERR",0)))</f>
        <v/>
      </c>
      <c r="P69" s="81" t="str">
        <f ca="1">PROPER(TRIM(_xlfn.XLOOKUP($A69,Строчный!$A:$A,Строчный!R:R,"ERR",0)))</f>
        <v/>
      </c>
      <c r="Q69" s="90">
        <f ca="1">VALUE(_xlfn.XLOOKUP($A69,Строчный!$A:$A,Строчный!N:N,"ERR",0))</f>
        <v>975.8</v>
      </c>
      <c r="R69" s="89" t="str">
        <f ca="1">_xlfn.XLOOKUP($G69,Фабрика!A:A,Фабрика!B:B,"ERR",0)</f>
        <v>ООО "ФРЭДРИКСОН" Россия 192029, С-Петербург, пр. Обуховской обороны, д.86, лит М</v>
      </c>
      <c r="S69" s="80" t="str">
        <f ca="1">_xlfn.XLOOKUP(RIGHT(AA69,2),Размеры!D:D,Размеры!A:A,"ERR",0)</f>
        <v>60</v>
      </c>
      <c r="T69" s="80">
        <f ca="1">VALUE(_xlfn.XLOOKUP($AA69,Строчный!$S:$S,Строчный!U:U,"ERR",0))</f>
        <v>5</v>
      </c>
      <c r="U69" s="14" t="s">
        <v>265</v>
      </c>
      <c r="V69" s="101" t="str">
        <f t="shared" ca="1" si="6"/>
        <v>Кепка FREDRIKSON арт. 3142 (черный)</v>
      </c>
      <c r="W69" s="100" t="str">
        <f t="shared" ca="1" si="7"/>
        <v>Кепка FREDRIKSON арт. 3142 (черный) {624/91}</v>
      </c>
      <c r="X69" s="18" t="str">
        <f t="shared" ca="1" si="8"/>
        <v>черный</v>
      </c>
      <c r="Y69" s="18" t="str">
        <f t="shared" ca="1" si="9"/>
        <v>черный</v>
      </c>
      <c r="Z69" s="117" t="str">
        <f ca="1">_xlfn.LET(_xlpm.FormColors,_xlfn.XLOOKUP(A69,Строчный!A:A,Строчный!Q:Q,"",0),IF(_xlpm.FormColors=0,IFERROR(MID(I69,FIND("-",I69)+1,LEN(I69)),IFERROR(MID(I69,1,FIND("/",I69)-2),I69)),_xlpm.FormColors))</f>
        <v>черный</v>
      </c>
      <c r="AA69" s="73" t="str">
        <f ca="1"/>
        <v>95-012-09-60</v>
      </c>
      <c r="AB69" s="75" t="str">
        <f ca="1">VLOOKUP(C69,Группа!A:B,2,FALSE)</f>
        <v>Кепка</v>
      </c>
      <c r="AC69" s="97" t="str">
        <f ca="1">IFERROR(VLOOKUP(S69,Размеры!A:C,3,FALSE),"")</f>
        <v>60 L/XL</v>
      </c>
      <c r="AD69" s="97" t="str">
        <f ca="1">VLOOKUP(I69,ЦветПолный!A:B,2,FALSE)</f>
        <v>09</v>
      </c>
      <c r="AE69" s="97" t="str">
        <f ca="1">IFERROR(VLOOKUP(S69,Размеры!A:D,4,FALSE),"")</f>
        <v>60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1</v>
      </c>
      <c r="AI69" s="97">
        <f ca="1">SUMIF(Группа!B:B,AB69,Группа!C:C)</f>
        <v>1</v>
      </c>
      <c r="AJ69" s="97">
        <f ca="1">SUMIF(Формы!A:A,D69,Формы!B:B)</f>
        <v>1</v>
      </c>
      <c r="AK69" s="97">
        <f ca="1">SUMIF(Материал!A:A,K69,Материал!B:B)</f>
        <v>1</v>
      </c>
      <c r="AL69" s="97">
        <f ca="1">SUMIF(Размеры!A:A,S69,Размеры!E:E)</f>
        <v>1</v>
      </c>
      <c r="AM69" s="97">
        <f ca="1">SUMIF(Сезон!A:A,F69,Сезон!B:B)</f>
        <v>1</v>
      </c>
      <c r="AN69" s="97">
        <f ca="1">SUMIF(Состав!A:A,J69,Состав!B:B)</f>
        <v>0</v>
      </c>
      <c r="AO69" s="97">
        <f ca="1">VLOOKUP(I69,ЦветПолный!A:C,3,0)</f>
        <v>1</v>
      </c>
      <c r="AP69" s="97">
        <f ca="1">SUMIF(Цвет!A:A,Z69,Цвет!B:B)</f>
        <v>1</v>
      </c>
      <c r="AQ69" s="97">
        <f ca="1">_xlfn.XLOOKUP(L69,Пол!A:A,Пол!B:B,0,0)</f>
        <v>1</v>
      </c>
      <c r="AR69" s="97">
        <f ca="1">SUMIF(Бренд!A:A,G69,Бренд!B:B)</f>
        <v>1</v>
      </c>
      <c r="AS69" s="97">
        <f ca="1">SUMIF(Страна!A:A,M69,Страна!B:B)</f>
        <v>1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  <row r="70" spans="1:49" x14ac:dyDescent="0.25">
      <c r="A70" s="110" t="str">
        <f t="shared" ca="1" si="5"/>
        <v>95-012-09</v>
      </c>
      <c r="B70" s="107" t="str">
        <f ca="1">_xlfn.LET(_xlpm.CAPS,0,_xlpm.Style,TRIM(_xlfn.XLOOKUP($A70,Строчный!$A:$A,Строчный!B:B,"ERR",0)),IF(_xlpm.CAPS=0,_xlpm.Style,LOWER(_xlpm.Style)))</f>
        <v>3142</v>
      </c>
      <c r="C70" s="81" t="str">
        <f ca="1">TRIM(PROPER(_xlfn.XLOOKUP($A70,Строчный!$A:$A,Строчный!C:C,"ERR",0)))</f>
        <v>Кепки</v>
      </c>
      <c r="D70" s="81" t="str">
        <f ca="1">_xlfn.LET(_xlpm.DATA,TRIM(_xlfn.XLOOKUP($A70,Строчный!$A:$A,Строчный!D:D,"ERR",0)),UPPER(MID(_xlpm.DATA,1,1))&amp;LOWER(MID(_xlpm.DATA,2,LEN(_xlpm.DATA)-1)))</f>
        <v>Кепка картуз</v>
      </c>
      <c r="E70" s="81" t="str">
        <f ca="1">PROPER(TRIM(_xlfn.XLOOKUP($A70,Строчный!$A:$A,Строчный!E:E,"ERR",0)))</f>
        <v>Fredrikson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FREDRIKSON</v>
      </c>
      <c r="H70" s="81" t="str">
        <f ca="1">LOWER(TRIM(_xlfn.XLOOKUP($A70,Строчный!$A:$A,Строчный!H:H,"ERR",0)))</f>
        <v>624/91</v>
      </c>
      <c r="I70" s="81" t="str">
        <f ca="1">LOWER(TRIM(_xlfn.XLOOKUP($A70,Строчный!$A:$A,Строчный!I:I,"ERR",0)))</f>
        <v>черный</v>
      </c>
      <c r="J70" s="81" t="str">
        <f ca="1">SUBSTITUTE(LOWER(TRIM(_xlfn.XLOOKUP($A70,Строчный!$A:$A,Строчный!J:J,"ERR",0))),"подклад","Подклад")</f>
        <v>80% шерсть - 20% полиамид / Подклад: 100% вискоза</v>
      </c>
      <c r="K70" s="81" t="str">
        <f ca="1">LOWER(TRIM(_xlfn.XLOOKUP($A70,Строчный!$A:$A,Строчный!K:K,"ERR",0)))</f>
        <v>шерстяные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Россия</v>
      </c>
      <c r="N70" s="81" t="str">
        <f ca="1">UPPER(TRIM(_xlfn.XLOOKUP($A70,Строчный!$A:$A,Строчный!O:O,"ERR",0)))</f>
        <v/>
      </c>
      <c r="O70" s="102" t="str">
        <f ca="1">PROPER(TRIM(_xlfn.XLOOKUP($A70,Строчный!$A:$A,Строчный!P:P,"ERR",0)))</f>
        <v/>
      </c>
      <c r="P70" s="81" t="str">
        <f ca="1">PROPER(TRIM(_xlfn.XLOOKUP($A70,Строчный!$A:$A,Строчный!R:R,"ERR",0)))</f>
        <v/>
      </c>
      <c r="Q70" s="90">
        <f ca="1">VALUE(_xlfn.XLOOKUP($A70,Строчный!$A:$A,Строчный!N:N,"ERR",0))</f>
        <v>975.8</v>
      </c>
      <c r="R70" s="89" t="str">
        <f ca="1">_xlfn.XLOOKUP($G70,Фабрика!A:A,Фабрика!B:B,"ERR",0)</f>
        <v>ООО "ФРЭДРИКСОН" Россия 192029, С-Петербург, пр. Обуховской обороны, д.86, лит М</v>
      </c>
      <c r="S70" s="80" t="str">
        <f ca="1">_xlfn.XLOOKUP(RIGHT(AA70,2),Размеры!D:D,Размеры!A:A,"ERR",0)</f>
        <v>59</v>
      </c>
      <c r="T70" s="80">
        <f ca="1">VALUE(_xlfn.XLOOKUP($AA70,Строчный!$S:$S,Строчный!U:U,"ERR",0))</f>
        <v>8</v>
      </c>
      <c r="U70" s="14" t="s">
        <v>265</v>
      </c>
      <c r="V70" s="101" t="str">
        <f t="shared" ca="1" si="6"/>
        <v>Кепка FREDRIKSON арт. 3142 (черный)</v>
      </c>
      <c r="W70" s="100" t="str">
        <f t="shared" ca="1" si="7"/>
        <v>Кепка FREDRIKSON арт. 3142 (черный) {624/91}</v>
      </c>
      <c r="X70" s="18" t="str">
        <f t="shared" ca="1" si="8"/>
        <v>черный</v>
      </c>
      <c r="Y70" s="18" t="str">
        <f t="shared" ca="1" si="9"/>
        <v>черный</v>
      </c>
      <c r="Z70" s="117" t="str">
        <f ca="1">_xlfn.LET(_xlpm.FormColors,_xlfn.XLOOKUP(A70,Строчный!A:A,Строчный!Q:Q,"",0),IF(_xlpm.FormColors=0,IFERROR(MID(I70,FIND("-",I70)+1,LEN(I70)),IFERROR(MID(I70,1,FIND("/",I70)-2),I70)),_xlpm.FormColors))</f>
        <v>черный</v>
      </c>
      <c r="AA70" s="73" t="str">
        <f ca="1"/>
        <v>95-012-09-59</v>
      </c>
      <c r="AB70" s="75" t="str">
        <f ca="1">VLOOKUP(C70,Группа!A:B,2,FALSE)</f>
        <v>Кепка</v>
      </c>
      <c r="AC70" s="97" t="str">
        <f ca="1">IFERROR(VLOOKUP(S70,Размеры!A:C,3,FALSE),"")</f>
        <v>59 L</v>
      </c>
      <c r="AD70" s="97" t="str">
        <f ca="1">VLOOKUP(I70,ЦветПолный!A:B,2,FALSE)</f>
        <v>09</v>
      </c>
      <c r="AE70" s="97" t="str">
        <f ca="1">IFERROR(VLOOKUP(S70,Размеры!A:D,4,FALSE),"")</f>
        <v>59</v>
      </c>
      <c r="AF70" s="97">
        <f ca="1">IF(LEFT(IFERROR(VLOOKUP(LOOKUP(2,1/SEARCH(B70,Товары!A:A),Товары!A:A),Товары!A:B,2,0),""),6)=MID(AA70,1,6),1,0)</f>
        <v>0</v>
      </c>
      <c r="AH70" s="97">
        <f ca="1">SUMIF(Группа!A:A,C70,Группа!C:C)</f>
        <v>1</v>
      </c>
      <c r="AI70" s="97">
        <f ca="1">SUMIF(Группа!B:B,AB70,Группа!C:C)</f>
        <v>1</v>
      </c>
      <c r="AJ70" s="97">
        <f ca="1">SUMIF(Формы!A:A,D70,Формы!B:B)</f>
        <v>1</v>
      </c>
      <c r="AK70" s="97">
        <f ca="1">SUMIF(Материал!A:A,K70,Материал!B:B)</f>
        <v>1</v>
      </c>
      <c r="AL70" s="97">
        <f ca="1">SUMIF(Размеры!A:A,S70,Размеры!E:E)</f>
        <v>1</v>
      </c>
      <c r="AM70" s="97">
        <f ca="1">SUMIF(Сезон!A:A,F70,Сезон!B:B)</f>
        <v>1</v>
      </c>
      <c r="AN70" s="97">
        <f ca="1">SUMIF(Состав!A:A,J70,Состав!B:B)</f>
        <v>0</v>
      </c>
      <c r="AO70" s="97">
        <f ca="1">VLOOKUP(I70,ЦветПолный!A:C,3,0)</f>
        <v>1</v>
      </c>
      <c r="AP70" s="97">
        <f ca="1">SUMIF(Цвет!A:A,Z70,Цвет!B:B)</f>
        <v>1</v>
      </c>
      <c r="AQ70" s="97">
        <f ca="1">_xlfn.XLOOKUP(L70,Пол!A:A,Пол!B:B,0,0)</f>
        <v>1</v>
      </c>
      <c r="AR70" s="97">
        <f ca="1">SUMIF(Бренд!A:A,G70,Бренд!B:B)</f>
        <v>1</v>
      </c>
      <c r="AS70" s="97">
        <f ca="1">SUMIF(Страна!A:A,M70,Страна!B:B)</f>
        <v>1</v>
      </c>
      <c r="AT70" s="64" t="e">
        <f ca="1">IF(VLOOKUP(W70,Товары!A:B,2,FALSE)=A70,"Есть в 1С","ERR")</f>
        <v>#N/A</v>
      </c>
      <c r="AU70" s="65" t="e">
        <f ca="1">IF(VLOOKUP(A70,Товары!B:B,1,FALSE)=A70,"Есть в 1С","ERR")</f>
        <v>#N/A</v>
      </c>
      <c r="AV70" s="96" t="e">
        <f ca="1">VLOOKUP(W70,Товары!A:B,2,FALSE)</f>
        <v>#N/A</v>
      </c>
      <c r="AW70" s="94" t="e">
        <f ca="1">VLOOKUP(W70,Товары!A:B,1,FALSE)</f>
        <v>#N/A</v>
      </c>
    </row>
    <row r="71" spans="1:49" x14ac:dyDescent="0.25">
      <c r="A71" s="110" t="str">
        <f t="shared" ca="1" si="5"/>
        <v>95-012-09</v>
      </c>
      <c r="B71" s="107" t="str">
        <f ca="1">_xlfn.LET(_xlpm.CAPS,0,_xlpm.Style,TRIM(_xlfn.XLOOKUP($A71,Строчный!$A:$A,Строчный!B:B,"ERR",0)),IF(_xlpm.CAPS=0,_xlpm.Style,LOWER(_xlpm.Style)))</f>
        <v>3142</v>
      </c>
      <c r="C71" s="81" t="str">
        <f ca="1">TRIM(PROPER(_xlfn.XLOOKUP($A71,Строчный!$A:$A,Строчный!C:C,"ERR",0)))</f>
        <v>Кепки</v>
      </c>
      <c r="D71" s="81" t="str">
        <f ca="1">_xlfn.LET(_xlpm.DATA,TRIM(_xlfn.XLOOKUP($A71,Строчный!$A:$A,Строчный!D:D,"ERR",0)),UPPER(MID(_xlpm.DATA,1,1))&amp;LOWER(MID(_xlpm.DATA,2,LEN(_xlpm.DATA)-1)))</f>
        <v>Кепка картуз</v>
      </c>
      <c r="E71" s="81" t="str">
        <f ca="1">PROPER(TRIM(_xlfn.XLOOKUP($A71,Строчный!$A:$A,Строчный!E:E,"ERR",0)))</f>
        <v>Fredrikson</v>
      </c>
      <c r="F71" s="81" t="str">
        <f ca="1">LOWER(TRIM(_xlfn.XLOOKUP($A71,Строчный!$A:$A,Строчный!F:F,"ERR",0)))</f>
        <v>всесезон</v>
      </c>
      <c r="G71" s="81" t="str">
        <f ca="1">UPPER(TRIM(_xlfn.XLOOKUP($A71,Строчный!$A:$A,Строчный!G:G,"ERR",0)))</f>
        <v>FREDRIKSON</v>
      </c>
      <c r="H71" s="81" t="str">
        <f ca="1">LOWER(TRIM(_xlfn.XLOOKUP($A71,Строчный!$A:$A,Строчный!H:H,"ERR",0)))</f>
        <v>624/91</v>
      </c>
      <c r="I71" s="81" t="str">
        <f ca="1">LOWER(TRIM(_xlfn.XLOOKUP($A71,Строчный!$A:$A,Строчный!I:I,"ERR",0)))</f>
        <v>черный</v>
      </c>
      <c r="J71" s="81" t="str">
        <f ca="1">SUBSTITUTE(LOWER(TRIM(_xlfn.XLOOKUP($A71,Строчный!$A:$A,Строчный!J:J,"ERR",0))),"подклад","Подклад")</f>
        <v>80% шерсть - 20% полиамид / Подклад: 100% вискоза</v>
      </c>
      <c r="K71" s="81" t="str">
        <f ca="1">LOWER(TRIM(_xlfn.XLOOKUP($A71,Строчный!$A:$A,Строчный!K:K,"ERR",0)))</f>
        <v>шерстяные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Россия</v>
      </c>
      <c r="N71" s="81" t="str">
        <f ca="1">UPPER(TRIM(_xlfn.XLOOKUP($A71,Строчный!$A:$A,Строчный!O:O,"ERR",0)))</f>
        <v/>
      </c>
      <c r="O71" s="102" t="str">
        <f ca="1">PROPER(TRIM(_xlfn.XLOOKUP($A71,Строчный!$A:$A,Строчный!P:P,"ERR",0)))</f>
        <v/>
      </c>
      <c r="P71" s="81" t="str">
        <f ca="1">PROPER(TRIM(_xlfn.XLOOKUP($A71,Строчный!$A:$A,Строчный!R:R,"ERR",0)))</f>
        <v/>
      </c>
      <c r="Q71" s="90">
        <f ca="1">VALUE(_xlfn.XLOOKUP($A71,Строчный!$A:$A,Строчный!N:N,"ERR",0))</f>
        <v>975.8</v>
      </c>
      <c r="R71" s="89" t="str">
        <f ca="1">_xlfn.XLOOKUP($G71,Фабрика!A:A,Фабрика!B:B,"ERR",0)</f>
        <v>ООО "ФРЭДРИКСОН" Россия 192029, С-Петербург, пр. Обуховской обороны, д.86, лит М</v>
      </c>
      <c r="S71" s="80" t="str">
        <f ca="1">_xlfn.XLOOKUP(RIGHT(AA71,2),Размеры!D:D,Размеры!A:A,"ERR",0)</f>
        <v>58</v>
      </c>
      <c r="T71" s="80">
        <f ca="1">VALUE(_xlfn.XLOOKUP($AA71,Строчный!$S:$S,Строчный!U:U,"ERR",0))</f>
        <v>5</v>
      </c>
      <c r="U71" s="14" t="s">
        <v>265</v>
      </c>
      <c r="V71" s="101" t="str">
        <f t="shared" ca="1" si="6"/>
        <v>Кепка FREDRIKSON арт. 3142 (черный)</v>
      </c>
      <c r="W71" s="100" t="str">
        <f t="shared" ca="1" si="7"/>
        <v>Кепка FREDRIKSON арт. 3142 (черный) {624/91}</v>
      </c>
      <c r="X71" s="18" t="str">
        <f t="shared" ca="1" si="8"/>
        <v>черный</v>
      </c>
      <c r="Y71" s="18" t="str">
        <f t="shared" ca="1" si="9"/>
        <v>черный</v>
      </c>
      <c r="Z71" s="117" t="str">
        <f ca="1">_xlfn.LET(_xlpm.FormColors,_xlfn.XLOOKUP(A71,Строчный!A:A,Строчный!Q:Q,"",0),IF(_xlpm.FormColors=0,IFERROR(MID(I71,FIND("-",I71)+1,LEN(I71)),IFERROR(MID(I71,1,FIND("/",I71)-2),I71)),_xlpm.FormColors))</f>
        <v>черный</v>
      </c>
      <c r="AA71" s="73" t="str">
        <f ca="1"/>
        <v>95-012-09-58</v>
      </c>
      <c r="AB71" s="75" t="str">
        <f ca="1">VLOOKUP(C71,Группа!A:B,2,FALSE)</f>
        <v>Кепка</v>
      </c>
      <c r="AC71" s="97" t="str">
        <f ca="1">IFERROR(VLOOKUP(S71,Размеры!A:C,3,FALSE),"")</f>
        <v>58 M/L</v>
      </c>
      <c r="AD71" s="97" t="str">
        <f ca="1">VLOOKUP(I71,ЦветПолный!A:B,2,FALSE)</f>
        <v>09</v>
      </c>
      <c r="AE71" s="97" t="str">
        <f ca="1">IFERROR(VLOOKUP(S71,Размеры!A:D,4,FALSE),"")</f>
        <v>58</v>
      </c>
      <c r="AF71" s="97">
        <f ca="1">IF(LEFT(IFERROR(VLOOKUP(LOOKUP(2,1/SEARCH(B71,Товары!A:A),Товары!A:A),Товары!A:B,2,0),""),6)=MID(AA71,1,6),1,0)</f>
        <v>0</v>
      </c>
      <c r="AH71" s="97">
        <f ca="1">SUMIF(Группа!A:A,C71,Группа!C:C)</f>
        <v>1</v>
      </c>
      <c r="AI71" s="97">
        <f ca="1">SUMIF(Группа!B:B,AB71,Группа!C:C)</f>
        <v>1</v>
      </c>
      <c r="AJ71" s="97">
        <f ca="1">SUMIF(Формы!A:A,D71,Формы!B:B)</f>
        <v>1</v>
      </c>
      <c r="AK71" s="97">
        <f ca="1">SUMIF(Материал!A:A,K71,Материал!B:B)</f>
        <v>1</v>
      </c>
      <c r="AL71" s="97">
        <f ca="1">SUMIF(Размеры!A:A,S71,Размеры!E:E)</f>
        <v>1</v>
      </c>
      <c r="AM71" s="97">
        <f ca="1">SUMIF(Сезон!A:A,F71,Сезон!B:B)</f>
        <v>1</v>
      </c>
      <c r="AN71" s="97">
        <f ca="1">SUMIF(Состав!A:A,J71,Состав!B:B)</f>
        <v>0</v>
      </c>
      <c r="AO71" s="97">
        <f ca="1">VLOOKUP(I71,ЦветПолный!A:C,3,0)</f>
        <v>1</v>
      </c>
      <c r="AP71" s="97">
        <f ca="1">SUMIF(Цвет!A:A,Z71,Цвет!B:B)</f>
        <v>1</v>
      </c>
      <c r="AQ71" s="97">
        <f ca="1">_xlfn.XLOOKUP(L71,Пол!A:A,Пол!B:B,0,0)</f>
        <v>1</v>
      </c>
      <c r="AR71" s="97">
        <f ca="1">SUMIF(Бренд!A:A,G71,Бренд!B:B)</f>
        <v>1</v>
      </c>
      <c r="AS71" s="97">
        <f ca="1">SUMIF(Страна!A:A,M71,Страна!B:B)</f>
        <v>1</v>
      </c>
      <c r="AT71" s="64" t="e">
        <f ca="1">IF(VLOOKUP(W71,Товары!A:B,2,FALSE)=A71,"Есть в 1С","ERR")</f>
        <v>#N/A</v>
      </c>
      <c r="AU71" s="65" t="e">
        <f ca="1">IF(VLOOKUP(A71,Товары!B:B,1,FALSE)=A71,"Есть в 1С","ERR")</f>
        <v>#N/A</v>
      </c>
      <c r="AV71" s="96" t="e">
        <f ca="1">VLOOKUP(W71,Товары!A:B,2,FALSE)</f>
        <v>#N/A</v>
      </c>
      <c r="AW71" s="94" t="e">
        <f ca="1">VLOOKUP(W71,Товары!A:B,1,FALSE)</f>
        <v>#N/A</v>
      </c>
    </row>
    <row r="72" spans="1:49" x14ac:dyDescent="0.25">
      <c r="A72" s="110" t="str">
        <f t="shared" ca="1" si="5"/>
        <v>95-012-09</v>
      </c>
      <c r="B72" s="107" t="str">
        <f ca="1">_xlfn.LET(_xlpm.CAPS,0,_xlpm.Style,TRIM(_xlfn.XLOOKUP($A72,Строчный!$A:$A,Строчный!B:B,"ERR",0)),IF(_xlpm.CAPS=0,_xlpm.Style,LOWER(_xlpm.Style)))</f>
        <v>3142</v>
      </c>
      <c r="C72" s="81" t="str">
        <f ca="1">TRIM(PROPER(_xlfn.XLOOKUP($A72,Строчный!$A:$A,Строчный!C:C,"ERR",0)))</f>
        <v>Кепки</v>
      </c>
      <c r="D72" s="81" t="str">
        <f ca="1">_xlfn.LET(_xlpm.DATA,TRIM(_xlfn.XLOOKUP($A72,Строчный!$A:$A,Строчный!D:D,"ERR",0)),UPPER(MID(_xlpm.DATA,1,1))&amp;LOWER(MID(_xlpm.DATA,2,LEN(_xlpm.DATA)-1)))</f>
        <v>Кепка картуз</v>
      </c>
      <c r="E72" s="81" t="str">
        <f ca="1">PROPER(TRIM(_xlfn.XLOOKUP($A72,Строчный!$A:$A,Строчный!E:E,"ERR",0)))</f>
        <v>Fredrikson</v>
      </c>
      <c r="F72" s="81" t="str">
        <f ca="1">LOWER(TRIM(_xlfn.XLOOKUP($A72,Строчный!$A:$A,Строчный!F:F,"ERR",0)))</f>
        <v>всесезон</v>
      </c>
      <c r="G72" s="81" t="str">
        <f ca="1">UPPER(TRIM(_xlfn.XLOOKUP($A72,Строчный!$A:$A,Строчный!G:G,"ERR",0)))</f>
        <v>FREDRIKSON</v>
      </c>
      <c r="H72" s="81" t="str">
        <f ca="1">LOWER(TRIM(_xlfn.XLOOKUP($A72,Строчный!$A:$A,Строчный!H:H,"ERR",0)))</f>
        <v>624/91</v>
      </c>
      <c r="I72" s="81" t="str">
        <f ca="1">LOWER(TRIM(_xlfn.XLOOKUP($A72,Строчный!$A:$A,Строчный!I:I,"ERR",0)))</f>
        <v>черный</v>
      </c>
      <c r="J72" s="81" t="str">
        <f ca="1">SUBSTITUTE(LOWER(TRIM(_xlfn.XLOOKUP($A72,Строчный!$A:$A,Строчный!J:J,"ERR",0))),"подклад","Подклад")</f>
        <v>80% шерсть - 20% полиамид / Подклад: 100% вискоза</v>
      </c>
      <c r="K72" s="81" t="str">
        <f ca="1">LOWER(TRIM(_xlfn.XLOOKUP($A72,Строчный!$A:$A,Строчный!K:K,"ERR",0)))</f>
        <v>шерстяные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Россия</v>
      </c>
      <c r="N72" s="81" t="str">
        <f ca="1">UPPER(TRIM(_xlfn.XLOOKUP($A72,Строчный!$A:$A,Строчный!O:O,"ERR",0)))</f>
        <v/>
      </c>
      <c r="O72" s="102" t="str">
        <f ca="1">PROPER(TRIM(_xlfn.XLOOKUP($A72,Строчный!$A:$A,Строчный!P:P,"ERR",0)))</f>
        <v/>
      </c>
      <c r="P72" s="81" t="str">
        <f ca="1">PROPER(TRIM(_xlfn.XLOOKUP($A72,Строчный!$A:$A,Строчный!R:R,"ERR",0)))</f>
        <v/>
      </c>
      <c r="Q72" s="90">
        <f ca="1">VALUE(_xlfn.XLOOKUP($A72,Строчный!$A:$A,Строчный!N:N,"ERR",0))</f>
        <v>975.8</v>
      </c>
      <c r="R72" s="89" t="str">
        <f ca="1">_xlfn.XLOOKUP($G72,Фабрика!A:A,Фабрика!B:B,"ERR",0)</f>
        <v>ООО "ФРЭДРИКСОН" Россия 192029, С-Петербург, пр. Обуховской обороны, д.86, лит М</v>
      </c>
      <c r="S72" s="80" t="str">
        <f ca="1">_xlfn.XLOOKUP(RIGHT(AA72,2),Размеры!D:D,Размеры!A:A,"ERR",0)</f>
        <v>57</v>
      </c>
      <c r="T72" s="80">
        <f ca="1">VALUE(_xlfn.XLOOKUP($AA72,Строчный!$S:$S,Строчный!U:U,"ERR",0))</f>
        <v>4</v>
      </c>
      <c r="U72" s="14" t="s">
        <v>265</v>
      </c>
      <c r="V72" s="101" t="str">
        <f t="shared" ca="1" si="6"/>
        <v>Кепка FREDRIKSON арт. 3142 (черный)</v>
      </c>
      <c r="W72" s="100" t="str">
        <f t="shared" ca="1" si="7"/>
        <v>Кепка FREDRIKSON арт. 3142 (черный) {624/91}</v>
      </c>
      <c r="X72" s="18" t="str">
        <f t="shared" ca="1" si="8"/>
        <v>черный</v>
      </c>
      <c r="Y72" s="18" t="str">
        <f t="shared" ca="1" si="9"/>
        <v>черный</v>
      </c>
      <c r="Z72" s="117" t="str">
        <f ca="1">_xlfn.LET(_xlpm.FormColors,_xlfn.XLOOKUP(A72,Строчный!A:A,Строчный!Q:Q,"",0),IF(_xlpm.FormColors=0,IFERROR(MID(I72,FIND("-",I72)+1,LEN(I72)),IFERROR(MID(I72,1,FIND("/",I72)-2),I72)),_xlpm.FormColors))</f>
        <v>черный</v>
      </c>
      <c r="AA72" s="73" t="str">
        <f ca="1"/>
        <v>95-012-09-57</v>
      </c>
      <c r="AB72" s="75" t="str">
        <f ca="1">VLOOKUP(C72,Группа!A:B,2,FALSE)</f>
        <v>Кепка</v>
      </c>
      <c r="AC72" s="97" t="str">
        <f ca="1">IFERROR(VLOOKUP(S72,Размеры!A:C,3,FALSE),"")</f>
        <v>57 M</v>
      </c>
      <c r="AD72" s="97" t="str">
        <f ca="1">VLOOKUP(I72,ЦветПолный!A:B,2,FALSE)</f>
        <v>09</v>
      </c>
      <c r="AE72" s="97" t="str">
        <f ca="1">IFERROR(VLOOKUP(S72,Размеры!A:D,4,FALSE),"")</f>
        <v>57</v>
      </c>
      <c r="AF72" s="97">
        <f ca="1">IF(LEFT(IFERROR(VLOOKUP(LOOKUP(2,1/SEARCH(B72,Товары!A:A),Товары!A:A),Товары!A:B,2,0),""),6)=MID(AA72,1,6),1,0)</f>
        <v>0</v>
      </c>
      <c r="AH72" s="97">
        <f ca="1">SUMIF(Группа!A:A,C72,Группа!C:C)</f>
        <v>1</v>
      </c>
      <c r="AI72" s="97">
        <f ca="1">SUMIF(Группа!B:B,AB72,Группа!C:C)</f>
        <v>1</v>
      </c>
      <c r="AJ72" s="97">
        <f ca="1">SUMIF(Формы!A:A,D72,Формы!B:B)</f>
        <v>1</v>
      </c>
      <c r="AK72" s="97">
        <f ca="1">SUMIF(Материал!A:A,K72,Материал!B:B)</f>
        <v>1</v>
      </c>
      <c r="AL72" s="97">
        <f ca="1">SUMIF(Размеры!A:A,S72,Размеры!E:E)</f>
        <v>1</v>
      </c>
      <c r="AM72" s="97">
        <f ca="1">SUMIF(Сезон!A:A,F72,Сезон!B:B)</f>
        <v>1</v>
      </c>
      <c r="AN72" s="97">
        <f ca="1">SUMIF(Состав!A:A,J72,Состав!B:B)</f>
        <v>0</v>
      </c>
      <c r="AO72" s="97">
        <f ca="1">VLOOKUP(I72,ЦветПолный!A:C,3,0)</f>
        <v>1</v>
      </c>
      <c r="AP72" s="97">
        <f ca="1">SUMIF(Цвет!A:A,Z72,Цвет!B:B)</f>
        <v>1</v>
      </c>
      <c r="AQ72" s="97">
        <f ca="1">_xlfn.XLOOKUP(L72,Пол!A:A,Пол!B:B,0,0)</f>
        <v>1</v>
      </c>
      <c r="AR72" s="97">
        <f ca="1">SUMIF(Бренд!A:A,G72,Бренд!B:B)</f>
        <v>1</v>
      </c>
      <c r="AS72" s="97">
        <f ca="1">SUMIF(Страна!A:A,M72,Страна!B:B)</f>
        <v>1</v>
      </c>
      <c r="AT72" s="64" t="e">
        <f ca="1">IF(VLOOKUP(W72,Товары!A:B,2,FALSE)=A72,"Есть в 1С","ERR")</f>
        <v>#N/A</v>
      </c>
      <c r="AU72" s="65" t="e">
        <f ca="1">IF(VLOOKUP(A72,Товары!B:B,1,FALSE)=A72,"Есть в 1С","ERR")</f>
        <v>#N/A</v>
      </c>
      <c r="AV72" s="96" t="e">
        <f ca="1">VLOOKUP(W72,Товары!A:B,2,FALSE)</f>
        <v>#N/A</v>
      </c>
      <c r="AW72" s="94" t="e">
        <f ca="1">VLOOKUP(W72,Товары!A:B,1,FALSE)</f>
        <v>#N/A</v>
      </c>
    </row>
    <row r="73" spans="1:49" x14ac:dyDescent="0.25">
      <c r="A73" s="110" t="str">
        <f t="shared" ca="1" si="5"/>
        <v>95-012-09</v>
      </c>
      <c r="B73" s="107" t="str">
        <f ca="1">_xlfn.LET(_xlpm.CAPS,0,_xlpm.Style,TRIM(_xlfn.XLOOKUP($A73,Строчный!$A:$A,Строчный!B:B,"ERR",0)),IF(_xlpm.CAPS=0,_xlpm.Style,LOWER(_xlpm.Style)))</f>
        <v>3142</v>
      </c>
      <c r="C73" s="81" t="str">
        <f ca="1">TRIM(PROPER(_xlfn.XLOOKUP($A73,Строчный!$A:$A,Строчный!C:C,"ERR",0)))</f>
        <v>Кепки</v>
      </c>
      <c r="D73" s="81" t="str">
        <f ca="1">_xlfn.LET(_xlpm.DATA,TRIM(_xlfn.XLOOKUP($A73,Строчный!$A:$A,Строчный!D:D,"ERR",0)),UPPER(MID(_xlpm.DATA,1,1))&amp;LOWER(MID(_xlpm.DATA,2,LEN(_xlpm.DATA)-1)))</f>
        <v>Кепка картуз</v>
      </c>
      <c r="E73" s="81" t="str">
        <f ca="1">PROPER(TRIM(_xlfn.XLOOKUP($A73,Строчный!$A:$A,Строчный!E:E,"ERR",0)))</f>
        <v>Fredrikson</v>
      </c>
      <c r="F73" s="81" t="str">
        <f ca="1">LOWER(TRIM(_xlfn.XLOOKUP($A73,Строчный!$A:$A,Строчный!F:F,"ERR",0)))</f>
        <v>всесезон</v>
      </c>
      <c r="G73" s="81" t="str">
        <f ca="1">UPPER(TRIM(_xlfn.XLOOKUP($A73,Строчный!$A:$A,Строчный!G:G,"ERR",0)))</f>
        <v>FREDRIKSON</v>
      </c>
      <c r="H73" s="81" t="str">
        <f ca="1">LOWER(TRIM(_xlfn.XLOOKUP($A73,Строчный!$A:$A,Строчный!H:H,"ERR",0)))</f>
        <v>624/91</v>
      </c>
      <c r="I73" s="81" t="str">
        <f ca="1">LOWER(TRIM(_xlfn.XLOOKUP($A73,Строчный!$A:$A,Строчный!I:I,"ERR",0)))</f>
        <v>черный</v>
      </c>
      <c r="J73" s="81" t="str">
        <f ca="1">SUBSTITUTE(LOWER(TRIM(_xlfn.XLOOKUP($A73,Строчный!$A:$A,Строчный!J:J,"ERR",0))),"подклад","Подклад")</f>
        <v>80% шерсть - 20% полиамид / Подклад: 100% вискоза</v>
      </c>
      <c r="K73" s="81" t="str">
        <f ca="1">LOWER(TRIM(_xlfn.XLOOKUP($A73,Строчный!$A:$A,Строчный!K:K,"ERR",0)))</f>
        <v>шерстяные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Россия</v>
      </c>
      <c r="N73" s="81" t="str">
        <f ca="1">UPPER(TRIM(_xlfn.XLOOKUP($A73,Строчный!$A:$A,Строчный!O:O,"ERR",0)))</f>
        <v/>
      </c>
      <c r="O73" s="102" t="str">
        <f ca="1">PROPER(TRIM(_xlfn.XLOOKUP($A73,Строчный!$A:$A,Строчный!P:P,"ERR",0)))</f>
        <v/>
      </c>
      <c r="P73" s="81" t="str">
        <f ca="1">PROPER(TRIM(_xlfn.XLOOKUP($A73,Строчный!$A:$A,Строчный!R:R,"ERR",0)))</f>
        <v/>
      </c>
      <c r="Q73" s="90">
        <f ca="1">VALUE(_xlfn.XLOOKUP($A73,Строчный!$A:$A,Строчный!N:N,"ERR",0))</f>
        <v>975.8</v>
      </c>
      <c r="R73" s="89" t="str">
        <f ca="1">_xlfn.XLOOKUP($G73,Фабрика!A:A,Фабрика!B:B,"ERR",0)</f>
        <v>ООО "ФРЭДРИКСОН" Россия 192029, С-Петербург, пр. Обуховской обороны, д.86, лит М</v>
      </c>
      <c r="S73" s="80" t="str">
        <f ca="1">_xlfn.XLOOKUP(RIGHT(AA73,2),Размеры!D:D,Размеры!A:A,"ERR",0)</f>
        <v>56</v>
      </c>
      <c r="T73" s="80">
        <f ca="1">VALUE(_xlfn.XLOOKUP($AA73,Строчный!$S:$S,Строчный!U:U,"ERR",0))</f>
        <v>2</v>
      </c>
      <c r="U73" s="14" t="s">
        <v>265</v>
      </c>
      <c r="V73" s="101" t="str">
        <f t="shared" ca="1" si="6"/>
        <v>Кепка FREDRIKSON арт. 3142 (черный)</v>
      </c>
      <c r="W73" s="100" t="str">
        <f t="shared" ca="1" si="7"/>
        <v>Кепка FREDRIKSON арт. 3142 (черный) {624/91}</v>
      </c>
      <c r="X73" s="18" t="str">
        <f t="shared" ca="1" si="8"/>
        <v>черный</v>
      </c>
      <c r="Y73" s="18" t="str">
        <f t="shared" ca="1" si="9"/>
        <v>черный</v>
      </c>
      <c r="Z73" s="117" t="str">
        <f ca="1">_xlfn.LET(_xlpm.FormColors,_xlfn.XLOOKUP(A73,Строчный!A:A,Строчный!Q:Q,"",0),IF(_xlpm.FormColors=0,IFERROR(MID(I73,FIND("-",I73)+1,LEN(I73)),IFERROR(MID(I73,1,FIND("/",I73)-2),I73)),_xlpm.FormColors))</f>
        <v>черный</v>
      </c>
      <c r="AA73" s="73" t="str">
        <f ca="1"/>
        <v>95-012-09-56</v>
      </c>
      <c r="AB73" s="75" t="str">
        <f ca="1">VLOOKUP(C73,Группа!A:B,2,FALSE)</f>
        <v>Кепка</v>
      </c>
      <c r="AC73" s="97" t="str">
        <f ca="1">IFERROR(VLOOKUP(S73,Размеры!A:C,3,FALSE),"")</f>
        <v>56 S/M</v>
      </c>
      <c r="AD73" s="97" t="str">
        <f ca="1">VLOOKUP(I73,ЦветПолный!A:B,2,FALSE)</f>
        <v>09</v>
      </c>
      <c r="AE73" s="97" t="str">
        <f ca="1">IFERROR(VLOOKUP(S73,Размеры!A:D,4,FALSE),"")</f>
        <v>56</v>
      </c>
      <c r="AF73" s="97">
        <f ca="1">IF(LEFT(IFERROR(VLOOKUP(LOOKUP(2,1/SEARCH(B73,Товары!A:A),Товары!A:A),Товары!A:B,2,0),""),6)=MID(AA73,1,6),1,0)</f>
        <v>0</v>
      </c>
      <c r="AH73" s="97">
        <f ca="1">SUMIF(Группа!A:A,C73,Группа!C:C)</f>
        <v>1</v>
      </c>
      <c r="AI73" s="97">
        <f ca="1">SUMIF(Группа!B:B,AB73,Группа!C:C)</f>
        <v>1</v>
      </c>
      <c r="AJ73" s="97">
        <f ca="1">SUMIF(Формы!A:A,D73,Формы!B:B)</f>
        <v>1</v>
      </c>
      <c r="AK73" s="97">
        <f ca="1">SUMIF(Материал!A:A,K73,Материал!B:B)</f>
        <v>1</v>
      </c>
      <c r="AL73" s="97">
        <f ca="1">SUMIF(Размеры!A:A,S73,Размеры!E:E)</f>
        <v>1</v>
      </c>
      <c r="AM73" s="97">
        <f ca="1">SUMIF(Сезон!A:A,F73,Сезон!B:B)</f>
        <v>1</v>
      </c>
      <c r="AN73" s="97">
        <f ca="1">SUMIF(Состав!A:A,J73,Состав!B:B)</f>
        <v>0</v>
      </c>
      <c r="AO73" s="97">
        <f ca="1">VLOOKUP(I73,ЦветПолный!A:C,3,0)</f>
        <v>1</v>
      </c>
      <c r="AP73" s="97">
        <f ca="1">SUMIF(Цвет!A:A,Z73,Цвет!B:B)</f>
        <v>1</v>
      </c>
      <c r="AQ73" s="97">
        <f ca="1">_xlfn.XLOOKUP(L73,Пол!A:A,Пол!B:B,0,0)</f>
        <v>1</v>
      </c>
      <c r="AR73" s="97">
        <f ca="1">SUMIF(Бренд!A:A,G73,Бренд!B:B)</f>
        <v>1</v>
      </c>
      <c r="AS73" s="97">
        <f ca="1">SUMIF(Страна!A:A,M73,Страна!B:B)</f>
        <v>1</v>
      </c>
      <c r="AT73" s="64" t="e">
        <f ca="1">IF(VLOOKUP(W73,Товары!A:B,2,FALSE)=A73,"Есть в 1С","ERR")</f>
        <v>#N/A</v>
      </c>
      <c r="AU73" s="65" t="e">
        <f ca="1">IF(VLOOKUP(A73,Товары!B:B,1,FALSE)=A73,"Есть в 1С","ERR")</f>
        <v>#N/A</v>
      </c>
      <c r="AV73" s="96" t="e">
        <f ca="1">VLOOKUP(W73,Товары!A:B,2,FALSE)</f>
        <v>#N/A</v>
      </c>
      <c r="AW73" s="94" t="e">
        <f ca="1">VLOOKUP(W73,Товары!A:B,1,FALSE)</f>
        <v>#N/A</v>
      </c>
    </row>
    <row r="74" spans="1:49" x14ac:dyDescent="0.25">
      <c r="A74" s="110" t="str">
        <f t="shared" ca="1" si="5"/>
        <v>95-011-61</v>
      </c>
      <c r="B74" s="107" t="str">
        <f ca="1">_xlfn.LET(_xlpm.CAPS,0,_xlpm.Style,TRIM(_xlfn.XLOOKUP($A74,Строчный!$A:$A,Строчный!B:B,"ERR",0)),IF(_xlpm.CAPS=0,_xlpm.Style,LOWER(_xlpm.Style)))</f>
        <v>3080</v>
      </c>
      <c r="C74" s="81" t="str">
        <f ca="1">TRIM(PROPER(_xlfn.XLOOKUP($A74,Строчный!$A:$A,Строчный!C:C,"ERR",0)))</f>
        <v>Кепки</v>
      </c>
      <c r="D74" s="81" t="str">
        <f ca="1">_xlfn.LET(_xlpm.DATA,TRIM(_xlfn.XLOOKUP($A74,Строчный!$A:$A,Строчный!D:D,"ERR",0)),UPPER(MID(_xlpm.DATA,1,1))&amp;LOWER(MID(_xlpm.DATA,2,LEN(_xlpm.DATA)-1)))</f>
        <v>Кепка восьмиклинка</v>
      </c>
      <c r="E74" s="81" t="str">
        <f ca="1">PROPER(TRIM(_xlfn.XLOOKUP($A74,Строчный!$A:$A,Строчный!E:E,"ERR",0)))</f>
        <v>Fredrikson</v>
      </c>
      <c r="F74" s="81" t="str">
        <f ca="1">LOWER(TRIM(_xlfn.XLOOKUP($A74,Строчный!$A:$A,Строчный!F:F,"ERR",0)))</f>
        <v>всесезон</v>
      </c>
      <c r="G74" s="81" t="str">
        <f ca="1">UPPER(TRIM(_xlfn.XLOOKUP($A74,Строчный!$A:$A,Строчный!G:G,"ERR",0)))</f>
        <v>FREDRIKSON</v>
      </c>
      <c r="H74" s="81" t="str">
        <f ca="1">LOWER(TRIM(_xlfn.XLOOKUP($A74,Строчный!$A:$A,Строчный!H:H,"ERR",0)))</f>
        <v>642/79</v>
      </c>
      <c r="I74" s="81" t="str">
        <f ca="1">LOWER(TRIM(_xlfn.XLOOKUP($A74,Строчный!$A:$A,Строчный!I:I,"ERR",0)))</f>
        <v>темно-бежевый / черный</v>
      </c>
      <c r="J74" s="81" t="str">
        <f ca="1">SUBSTITUTE(LOWER(TRIM(_xlfn.XLOOKUP($A74,Строчный!$A:$A,Строчный!J:J,"ERR",0))),"подклад","Подклад")</f>
        <v>100% шерсть / Подклад: 100% вискоза</v>
      </c>
      <c r="K74" s="81" t="str">
        <f ca="1">LOWER(TRIM(_xlfn.XLOOKUP($A74,Строчный!$A:$A,Строчный!K:K,"ERR",0)))</f>
        <v>шерстяные</v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Россия</v>
      </c>
      <c r="N74" s="81" t="str">
        <f ca="1">UPPER(TRIM(_xlfn.XLOOKUP($A74,Строчный!$A:$A,Строчный!O:O,"ERR",0)))</f>
        <v/>
      </c>
      <c r="O74" s="102" t="str">
        <f ca="1">PROPER(TRIM(_xlfn.XLOOKUP($A74,Строчный!$A:$A,Строчный!P:P,"ERR",0)))</f>
        <v/>
      </c>
      <c r="P74" s="81" t="str">
        <f ca="1">PROPER(TRIM(_xlfn.XLOOKUP($A74,Строчный!$A:$A,Строчный!R:R,"ERR",0)))</f>
        <v/>
      </c>
      <c r="Q74" s="90">
        <f ca="1">VALUE(_xlfn.XLOOKUP($A74,Строчный!$A:$A,Строчный!N:N,"ERR",0))</f>
        <v>975.8</v>
      </c>
      <c r="R74" s="89" t="str">
        <f ca="1">_xlfn.XLOOKUP($G74,Фабрика!A:A,Фабрика!B:B,"ERR",0)</f>
        <v>ООО "ФРЭДРИКСОН" Россия 192029, С-Петербург, пр. Обуховской обороны, д.86, лит М</v>
      </c>
      <c r="S74" s="80" t="str">
        <f ca="1">_xlfn.XLOOKUP(RIGHT(AA74,2),Размеры!D:D,Размеры!A:A,"ERR",0)</f>
        <v>59</v>
      </c>
      <c r="T74" s="80">
        <f ca="1">VALUE(_xlfn.XLOOKUP($AA74,Строчный!$S:$S,Строчный!U:U,"ERR",0))</f>
        <v>16</v>
      </c>
      <c r="U74" s="14" t="s">
        <v>265</v>
      </c>
      <c r="V74" s="101" t="str">
        <f t="shared" ca="1" si="6"/>
        <v>Кепка FREDRIKSON арт. 3080 (темно-бежевый / черный)</v>
      </c>
      <c r="W74" s="100" t="str">
        <f t="shared" ca="1" si="7"/>
        <v>Кепка FREDRIKSON арт. 3080 (темно-бежевый / черный) {642/79}</v>
      </c>
      <c r="X74" s="18" t="str">
        <f t="shared" ca="1" si="8"/>
        <v>бежевый / черный</v>
      </c>
      <c r="Y74" s="18" t="str">
        <f t="shared" ca="1" si="9"/>
        <v>бежевый / черный</v>
      </c>
      <c r="Z74" s="117" t="s">
        <v>52</v>
      </c>
      <c r="AA74" s="73" t="str">
        <f ca="1"/>
        <v>95-011-61-59</v>
      </c>
      <c r="AB74" s="75" t="str">
        <f ca="1">VLOOKUP(C74,Группа!A:B,2,FALSE)</f>
        <v>Кепка</v>
      </c>
      <c r="AC74" s="97" t="str">
        <f ca="1">IFERROR(VLOOKUP(S74,Размеры!A:C,3,FALSE),"")</f>
        <v>59 L</v>
      </c>
      <c r="AD74" s="97" t="str">
        <f ca="1">VLOOKUP(I74,ЦветПолный!A:B,2,FALSE)</f>
        <v>61</v>
      </c>
      <c r="AE74" s="97" t="str">
        <f ca="1">IFERROR(VLOOKUP(S74,Размеры!A:D,4,FALSE),"")</f>
        <v>59</v>
      </c>
      <c r="AF74" s="97">
        <f ca="1">IF(LEFT(IFERROR(VLOOKUP(LOOKUP(2,1/SEARCH(B74,Товары!A:A),Товары!A:A),Товары!A:B,2,0),""),6)=MID(AA74,1,6),1,0)</f>
        <v>0</v>
      </c>
      <c r="AH74" s="97">
        <f ca="1">SUMIF(Группа!A:A,C74,Группа!C:C)</f>
        <v>1</v>
      </c>
      <c r="AI74" s="97">
        <f ca="1">SUMIF(Группа!B:B,AB74,Группа!C:C)</f>
        <v>1</v>
      </c>
      <c r="AJ74" s="97">
        <f ca="1">SUMIF(Формы!A:A,D74,Формы!B:B)</f>
        <v>1</v>
      </c>
      <c r="AK74" s="97">
        <f ca="1">SUMIF(Материал!A:A,K74,Материал!B:B)</f>
        <v>1</v>
      </c>
      <c r="AL74" s="97">
        <f ca="1">SUMIF(Размеры!A:A,S74,Размеры!E:E)</f>
        <v>1</v>
      </c>
      <c r="AM74" s="97">
        <f ca="1">SUMIF(Сезон!A:A,F74,Сезон!B:B)</f>
        <v>1</v>
      </c>
      <c r="AN74" s="97">
        <f ca="1">SUMIF(Состав!A:A,J74,Состав!B:B)</f>
        <v>0</v>
      </c>
      <c r="AO74" s="97">
        <f ca="1">VLOOKUP(I74,ЦветПолный!A:C,3,0)</f>
        <v>1</v>
      </c>
      <c r="AP74" s="97">
        <f>SUMIF(Цвет!A:A,Z74,Цвет!B:B)</f>
        <v>1</v>
      </c>
      <c r="AQ74" s="97">
        <f ca="1">_xlfn.XLOOKUP(L74,Пол!A:A,Пол!B:B,0,0)</f>
        <v>1</v>
      </c>
      <c r="AR74" s="97">
        <f ca="1">SUMIF(Бренд!A:A,G74,Бренд!B:B)</f>
        <v>1</v>
      </c>
      <c r="AS74" s="97">
        <f ca="1">SUMIF(Страна!A:A,M74,Страна!B:B)</f>
        <v>1</v>
      </c>
      <c r="AT74" s="64" t="e">
        <f ca="1">IF(VLOOKUP(W74,Товары!A:B,2,FALSE)=A74,"Есть в 1С","ERR")</f>
        <v>#N/A</v>
      </c>
      <c r="AU74" s="65" t="e">
        <f ca="1">IF(VLOOKUP(A74,Товары!B:B,1,FALSE)=A74,"Есть в 1С","ERR")</f>
        <v>#N/A</v>
      </c>
      <c r="AV74" s="96" t="e">
        <f ca="1">VLOOKUP(W74,Товары!A:B,2,FALSE)</f>
        <v>#N/A</v>
      </c>
      <c r="AW74" s="94" t="e">
        <f ca="1">VLOOKUP(W74,Товары!A:B,1,FALSE)</f>
        <v>#N/A</v>
      </c>
    </row>
    <row r="75" spans="1:49" x14ac:dyDescent="0.25">
      <c r="A75" s="110" t="str">
        <f t="shared" ca="1" si="5"/>
        <v>95-011-61</v>
      </c>
      <c r="B75" s="107" t="str">
        <f ca="1">_xlfn.LET(_xlpm.CAPS,0,_xlpm.Style,TRIM(_xlfn.XLOOKUP($A75,Строчный!$A:$A,Строчный!B:B,"ERR",0)),IF(_xlpm.CAPS=0,_xlpm.Style,LOWER(_xlpm.Style)))</f>
        <v>3080</v>
      </c>
      <c r="C75" s="81" t="str">
        <f ca="1">TRIM(PROPER(_xlfn.XLOOKUP($A75,Строчный!$A:$A,Строчный!C:C,"ERR",0)))</f>
        <v>Кепки</v>
      </c>
      <c r="D75" s="81" t="str">
        <f ca="1">_xlfn.LET(_xlpm.DATA,TRIM(_xlfn.XLOOKUP($A75,Строчный!$A:$A,Строчный!D:D,"ERR",0)),UPPER(MID(_xlpm.DATA,1,1))&amp;LOWER(MID(_xlpm.DATA,2,LEN(_xlpm.DATA)-1)))</f>
        <v>Кепка восьмиклинка</v>
      </c>
      <c r="E75" s="81" t="str">
        <f ca="1">PROPER(TRIM(_xlfn.XLOOKUP($A75,Строчный!$A:$A,Строчный!E:E,"ERR",0)))</f>
        <v>Fredrikson</v>
      </c>
      <c r="F75" s="81" t="str">
        <f ca="1">LOWER(TRIM(_xlfn.XLOOKUP($A75,Строчный!$A:$A,Строчный!F:F,"ERR",0)))</f>
        <v>всесезон</v>
      </c>
      <c r="G75" s="81" t="str">
        <f ca="1">UPPER(TRIM(_xlfn.XLOOKUP($A75,Строчный!$A:$A,Строчный!G:G,"ERR",0)))</f>
        <v>FREDRIKSON</v>
      </c>
      <c r="H75" s="81" t="str">
        <f ca="1">LOWER(TRIM(_xlfn.XLOOKUP($A75,Строчный!$A:$A,Строчный!H:H,"ERR",0)))</f>
        <v>642/79</v>
      </c>
      <c r="I75" s="81" t="str">
        <f ca="1">LOWER(TRIM(_xlfn.XLOOKUP($A75,Строчный!$A:$A,Строчный!I:I,"ERR",0)))</f>
        <v>темно-бежевый / черный</v>
      </c>
      <c r="J75" s="81" t="str">
        <f ca="1">SUBSTITUTE(LOWER(TRIM(_xlfn.XLOOKUP($A75,Строчный!$A:$A,Строчный!J:J,"ERR",0))),"подклад","Подклад")</f>
        <v>100% шерсть / Подклад: 100% вискоза</v>
      </c>
      <c r="K75" s="81" t="str">
        <f ca="1">LOWER(TRIM(_xlfn.XLOOKUP($A75,Строчный!$A:$A,Строчный!K:K,"ERR",0)))</f>
        <v>шерстяные</v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Россия</v>
      </c>
      <c r="N75" s="81" t="str">
        <f ca="1">UPPER(TRIM(_xlfn.XLOOKUP($A75,Строчный!$A:$A,Строчный!O:O,"ERR",0)))</f>
        <v/>
      </c>
      <c r="O75" s="102" t="str">
        <f ca="1">PROPER(TRIM(_xlfn.XLOOKUP($A75,Строчный!$A:$A,Строчный!P:P,"ERR",0)))</f>
        <v/>
      </c>
      <c r="P75" s="81" t="str">
        <f ca="1">PROPER(TRIM(_xlfn.XLOOKUP($A75,Строчный!$A:$A,Строчный!R:R,"ERR",0)))</f>
        <v/>
      </c>
      <c r="Q75" s="90">
        <f ca="1">VALUE(_xlfn.XLOOKUP($A75,Строчный!$A:$A,Строчный!N:N,"ERR",0))</f>
        <v>975.8</v>
      </c>
      <c r="R75" s="89" t="str">
        <f ca="1">_xlfn.XLOOKUP($G75,Фабрика!A:A,Фабрика!B:B,"ERR",0)</f>
        <v>ООО "ФРЭДРИКСОН" Россия 192029, С-Петербург, пр. Обуховской обороны, д.86, лит М</v>
      </c>
      <c r="S75" s="80" t="str">
        <f ca="1">_xlfn.XLOOKUP(RIGHT(AA75,2),Размеры!D:D,Размеры!A:A,"ERR",0)</f>
        <v>57</v>
      </c>
      <c r="T75" s="80">
        <f ca="1">VALUE(_xlfn.XLOOKUP($AA75,Строчный!$S:$S,Строчный!U:U,"ERR",0))</f>
        <v>8</v>
      </c>
      <c r="U75" s="14" t="s">
        <v>265</v>
      </c>
      <c r="V75" s="101" t="str">
        <f t="shared" ca="1" si="6"/>
        <v>Кепка FREDRIKSON арт. 3080 (темно-бежевый / черный)</v>
      </c>
      <c r="W75" s="100" t="str">
        <f t="shared" ca="1" si="7"/>
        <v>Кепка FREDRIKSON арт. 3080 (темно-бежевый / черный) {642/79}</v>
      </c>
      <c r="X75" s="18" t="str">
        <f t="shared" ca="1" si="8"/>
        <v>бежевый / черный</v>
      </c>
      <c r="Y75" s="18" t="str">
        <f t="shared" ca="1" si="9"/>
        <v>бежевый / черный</v>
      </c>
      <c r="Z75" s="117" t="s">
        <v>52</v>
      </c>
      <c r="AA75" s="73" t="str">
        <f ca="1"/>
        <v>95-011-61-57</v>
      </c>
      <c r="AB75" s="75" t="str">
        <f ca="1">VLOOKUP(C75,Группа!A:B,2,FALSE)</f>
        <v>Кепка</v>
      </c>
      <c r="AC75" s="97" t="str">
        <f ca="1">IFERROR(VLOOKUP(S75,Размеры!A:C,3,FALSE),"")</f>
        <v>57 M</v>
      </c>
      <c r="AD75" s="97" t="str">
        <f ca="1">VLOOKUP(I75,ЦветПолный!A:B,2,FALSE)</f>
        <v>61</v>
      </c>
      <c r="AE75" s="97" t="str">
        <f ca="1">IFERROR(VLOOKUP(S75,Размеры!A:D,4,FALSE),"")</f>
        <v>57</v>
      </c>
      <c r="AF75" s="97">
        <f ca="1">IF(LEFT(IFERROR(VLOOKUP(LOOKUP(2,1/SEARCH(B75,Товары!A:A),Товары!A:A),Товары!A:B,2,0),""),6)=MID(AA75,1,6),1,0)</f>
        <v>0</v>
      </c>
      <c r="AH75" s="97">
        <f ca="1">SUMIF(Группа!A:A,C75,Группа!C:C)</f>
        <v>1</v>
      </c>
      <c r="AI75" s="97">
        <f ca="1">SUMIF(Группа!B:B,AB75,Группа!C:C)</f>
        <v>1</v>
      </c>
      <c r="AJ75" s="97">
        <f ca="1">SUMIF(Формы!A:A,D75,Формы!B:B)</f>
        <v>1</v>
      </c>
      <c r="AK75" s="97">
        <f ca="1">SUMIF(Материал!A:A,K75,Материал!B:B)</f>
        <v>1</v>
      </c>
      <c r="AL75" s="97">
        <f ca="1">SUMIF(Размеры!A:A,S75,Размеры!E:E)</f>
        <v>1</v>
      </c>
      <c r="AM75" s="97">
        <f ca="1">SUMIF(Сезон!A:A,F75,Сезон!B:B)</f>
        <v>1</v>
      </c>
      <c r="AN75" s="97">
        <f ca="1">SUMIF(Состав!A:A,J75,Состав!B:B)</f>
        <v>0</v>
      </c>
      <c r="AO75" s="97">
        <f ca="1">VLOOKUP(I75,ЦветПолный!A:C,3,0)</f>
        <v>1</v>
      </c>
      <c r="AP75" s="97">
        <f>SUMIF(Цвет!A:A,Z75,Цвет!B:B)</f>
        <v>1</v>
      </c>
      <c r="AQ75" s="97">
        <f ca="1">_xlfn.XLOOKUP(L75,Пол!A:A,Пол!B:B,0,0)</f>
        <v>1</v>
      </c>
      <c r="AR75" s="97">
        <f ca="1">SUMIF(Бренд!A:A,G75,Бренд!B:B)</f>
        <v>1</v>
      </c>
      <c r="AS75" s="97">
        <f ca="1">SUMIF(Страна!A:A,M75,Страна!B:B)</f>
        <v>1</v>
      </c>
      <c r="AT75" s="64" t="e">
        <f ca="1">IF(VLOOKUP(W75,Товары!A:B,2,FALSE)=A75,"Есть в 1С","ERR")</f>
        <v>#N/A</v>
      </c>
      <c r="AU75" s="65" t="e">
        <f ca="1">IF(VLOOKUP(A75,Товары!B:B,1,FALSE)=A75,"Есть в 1С","ERR")</f>
        <v>#N/A</v>
      </c>
      <c r="AV75" s="96" t="e">
        <f ca="1">VLOOKUP(W75,Товары!A:B,2,FALSE)</f>
        <v>#N/A</v>
      </c>
      <c r="AW75" s="94" t="e">
        <f ca="1">VLOOKUP(W75,Товары!A:B,1,FALSE)</f>
        <v>#N/A</v>
      </c>
    </row>
    <row r="76" spans="1:49" x14ac:dyDescent="0.25">
      <c r="A76" s="110" t="str">
        <f t="shared" ca="1" si="5"/>
        <v>95-011-47</v>
      </c>
      <c r="B76" s="107" t="str">
        <f ca="1">_xlfn.LET(_xlpm.CAPS,0,_xlpm.Style,TRIM(_xlfn.XLOOKUP($A76,Строчный!$A:$A,Строчный!B:B,"ERR",0)),IF(_xlpm.CAPS=0,_xlpm.Style,LOWER(_xlpm.Style)))</f>
        <v>3080</v>
      </c>
      <c r="C76" s="81" t="str">
        <f ca="1">TRIM(PROPER(_xlfn.XLOOKUP($A76,Строчный!$A:$A,Строчный!C:C,"ERR",0)))</f>
        <v>Кепки</v>
      </c>
      <c r="D76" s="81" t="str">
        <f ca="1">_xlfn.LET(_xlpm.DATA,TRIM(_xlfn.XLOOKUP($A76,Строчный!$A:$A,Строчный!D:D,"ERR",0)),UPPER(MID(_xlpm.DATA,1,1))&amp;LOWER(MID(_xlpm.DATA,2,LEN(_xlpm.DATA)-1)))</f>
        <v>Кепка восьмиклинка</v>
      </c>
      <c r="E76" s="81" t="str">
        <f ca="1">PROPER(TRIM(_xlfn.XLOOKUP($A76,Строчный!$A:$A,Строчный!E:E,"ERR",0)))</f>
        <v>Fredrikson</v>
      </c>
      <c r="F76" s="81" t="str">
        <f ca="1">LOWER(TRIM(_xlfn.XLOOKUP($A76,Строчный!$A:$A,Строчный!F:F,"ERR",0)))</f>
        <v>всесезон</v>
      </c>
      <c r="G76" s="81" t="str">
        <f ca="1">UPPER(TRIM(_xlfn.XLOOKUP($A76,Строчный!$A:$A,Строчный!G:G,"ERR",0)))</f>
        <v>FREDRIKSON</v>
      </c>
      <c r="H76" s="81" t="str">
        <f ca="1">LOWER(TRIM(_xlfn.XLOOKUP($A76,Строчный!$A:$A,Строчный!H:H,"ERR",0)))</f>
        <v>641/76</v>
      </c>
      <c r="I76" s="81" t="str">
        <f ca="1">LOWER(TRIM(_xlfn.XLOOKUP($A76,Строчный!$A:$A,Строчный!I:I,"ERR",0)))</f>
        <v>серый / черный</v>
      </c>
      <c r="J76" s="81" t="str">
        <f ca="1">SUBSTITUTE(LOWER(TRIM(_xlfn.XLOOKUP($A76,Строчный!$A:$A,Строчный!J:J,"ERR",0))),"подклад","Подклад")</f>
        <v>80% шерсть - 20% полиамид / Подклад: 100% вискоза</v>
      </c>
      <c r="K76" s="81" t="str">
        <f ca="1">LOWER(TRIM(_xlfn.XLOOKUP($A76,Строчный!$A:$A,Строчный!K:K,"ERR",0)))</f>
        <v>шерстяные</v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Россия</v>
      </c>
      <c r="N76" s="81" t="str">
        <f ca="1">UPPER(TRIM(_xlfn.XLOOKUP($A76,Строчный!$A:$A,Строчный!O:O,"ERR",0)))</f>
        <v/>
      </c>
      <c r="O76" s="102" t="str">
        <f ca="1">PROPER(TRIM(_xlfn.XLOOKUP($A76,Строчный!$A:$A,Строчный!P:P,"ERR",0)))</f>
        <v/>
      </c>
      <c r="P76" s="81" t="str">
        <f ca="1">PROPER(TRIM(_xlfn.XLOOKUP($A76,Строчный!$A:$A,Строчный!R:R,"ERR",0)))</f>
        <v/>
      </c>
      <c r="Q76" s="90">
        <f ca="1">VALUE(_xlfn.XLOOKUP($A76,Строчный!$A:$A,Строчный!N:N,"ERR",0))</f>
        <v>975.8</v>
      </c>
      <c r="R76" s="89" t="str">
        <f ca="1">_xlfn.XLOOKUP($G76,Фабрика!A:A,Фабрика!B:B,"ERR",0)</f>
        <v>ООО "ФРЭДРИКСОН" Россия 192029, С-Петербург, пр. Обуховской обороны, д.86, лит М</v>
      </c>
      <c r="S76" s="80" t="str">
        <f ca="1">_xlfn.XLOOKUP(RIGHT(AA76,2),Размеры!D:D,Размеры!A:A,"ERR",0)</f>
        <v>59</v>
      </c>
      <c r="T76" s="80">
        <f ca="1">VALUE(_xlfn.XLOOKUP($AA76,Строчный!$S:$S,Строчный!U:U,"ERR",0))</f>
        <v>12</v>
      </c>
      <c r="U76" s="14" t="s">
        <v>265</v>
      </c>
      <c r="V76" s="101" t="str">
        <f t="shared" ca="1" si="6"/>
        <v>Кепка FREDRIKSON арт. 3080 (серый / черный)</v>
      </c>
      <c r="W76" s="100" t="str">
        <f t="shared" ca="1" si="7"/>
        <v>Кепка FREDRIKSON арт. 3080 (серый / черный) {641/76}</v>
      </c>
      <c r="X76" s="18" t="str">
        <f t="shared" ca="1" si="8"/>
        <v>серый</v>
      </c>
      <c r="Y76" s="18" t="str">
        <f t="shared" ca="1" si="9"/>
        <v>черный</v>
      </c>
      <c r="Z76" s="117" t="str">
        <f ca="1">_xlfn.LET(_xlpm.FormColors,_xlfn.XLOOKUP(A76,Строчный!A:A,Строчный!Q:Q,"",0),IF(_xlpm.FormColors=0,IFERROR(MID(I76,FIND("-",I76)+1,LEN(I76)),IFERROR(MID(I76,1,FIND("/",I76)-2),I76)),_xlpm.FormColors))</f>
        <v>серый</v>
      </c>
      <c r="AA76" s="73" t="str">
        <f ca="1"/>
        <v>95-011-47-59</v>
      </c>
      <c r="AB76" s="75" t="str">
        <f ca="1">VLOOKUP(C76,Группа!A:B,2,FALSE)</f>
        <v>Кепка</v>
      </c>
      <c r="AC76" s="97" t="str">
        <f ca="1">IFERROR(VLOOKUP(S76,Размеры!A:C,3,FALSE),"")</f>
        <v>59 L</v>
      </c>
      <c r="AD76" s="97" t="str">
        <f ca="1">VLOOKUP(I76,ЦветПолный!A:B,2,FALSE)</f>
        <v>47</v>
      </c>
      <c r="AE76" s="97" t="str">
        <f ca="1">IFERROR(VLOOKUP(S76,Размеры!A:D,4,FALSE),"")</f>
        <v>59</v>
      </c>
      <c r="AF76" s="97">
        <f ca="1">IF(LEFT(IFERROR(VLOOKUP(LOOKUP(2,1/SEARCH(B76,Товары!A:A),Товары!A:A),Товары!A:B,2,0),""),6)=MID(AA76,1,6),1,0)</f>
        <v>0</v>
      </c>
      <c r="AH76" s="97">
        <f ca="1">SUMIF(Группа!A:A,C76,Группа!C:C)</f>
        <v>1</v>
      </c>
      <c r="AI76" s="97">
        <f ca="1">SUMIF(Группа!B:B,AB76,Группа!C:C)</f>
        <v>1</v>
      </c>
      <c r="AJ76" s="97">
        <f ca="1">SUMIF(Формы!A:A,D76,Формы!B:B)</f>
        <v>1</v>
      </c>
      <c r="AK76" s="97">
        <f ca="1">SUMIF(Материал!A:A,K76,Материал!B:B)</f>
        <v>1</v>
      </c>
      <c r="AL76" s="97">
        <f ca="1">SUMIF(Размеры!A:A,S76,Размеры!E:E)</f>
        <v>1</v>
      </c>
      <c r="AM76" s="97">
        <f ca="1">SUMIF(Сезон!A:A,F76,Сезон!B:B)</f>
        <v>1</v>
      </c>
      <c r="AN76" s="97">
        <f ca="1">SUMIF(Состав!A:A,J76,Состав!B:B)</f>
        <v>0</v>
      </c>
      <c r="AO76" s="97">
        <f ca="1">VLOOKUP(I76,ЦветПолный!A:C,3,0)</f>
        <v>1</v>
      </c>
      <c r="AP76" s="97">
        <f ca="1">SUMIF(Цвет!A:A,Z76,Цвет!B:B)</f>
        <v>1</v>
      </c>
      <c r="AQ76" s="97">
        <f ca="1">_xlfn.XLOOKUP(L76,Пол!A:A,Пол!B:B,0,0)</f>
        <v>1</v>
      </c>
      <c r="AR76" s="97">
        <f ca="1">SUMIF(Бренд!A:A,G76,Бренд!B:B)</f>
        <v>1</v>
      </c>
      <c r="AS76" s="97">
        <f ca="1">SUMIF(Страна!A:A,M76,Страна!B:B)</f>
        <v>1</v>
      </c>
      <c r="AT76" s="64" t="e">
        <f ca="1">IF(VLOOKUP(W76,Товары!A:B,2,FALSE)=A76,"Есть в 1С","ERR")</f>
        <v>#N/A</v>
      </c>
      <c r="AU76" s="65" t="e">
        <f ca="1">IF(VLOOKUP(A76,Товары!B:B,1,FALSE)=A76,"Есть в 1С","ERR")</f>
        <v>#N/A</v>
      </c>
      <c r="AV76" s="96" t="e">
        <f ca="1">VLOOKUP(W76,Товары!A:B,2,FALSE)</f>
        <v>#N/A</v>
      </c>
      <c r="AW76" s="94" t="e">
        <f ca="1">VLOOKUP(W76,Товары!A:B,1,FALSE)</f>
        <v>#N/A</v>
      </c>
    </row>
    <row r="77" spans="1:49" x14ac:dyDescent="0.25">
      <c r="A77" s="110" t="str">
        <f t="shared" ca="1" si="5"/>
        <v>95-011-47</v>
      </c>
      <c r="B77" s="107" t="str">
        <f ca="1">_xlfn.LET(_xlpm.CAPS,0,_xlpm.Style,TRIM(_xlfn.XLOOKUP($A77,Строчный!$A:$A,Строчный!B:B,"ERR",0)),IF(_xlpm.CAPS=0,_xlpm.Style,LOWER(_xlpm.Style)))</f>
        <v>3080</v>
      </c>
      <c r="C77" s="81" t="str">
        <f ca="1">TRIM(PROPER(_xlfn.XLOOKUP($A77,Строчный!$A:$A,Строчный!C:C,"ERR",0)))</f>
        <v>Кепки</v>
      </c>
      <c r="D77" s="81" t="str">
        <f ca="1">_xlfn.LET(_xlpm.DATA,TRIM(_xlfn.XLOOKUP($A77,Строчный!$A:$A,Строчный!D:D,"ERR",0)),UPPER(MID(_xlpm.DATA,1,1))&amp;LOWER(MID(_xlpm.DATA,2,LEN(_xlpm.DATA)-1)))</f>
        <v>Кепка восьмиклинка</v>
      </c>
      <c r="E77" s="81" t="str">
        <f ca="1">PROPER(TRIM(_xlfn.XLOOKUP($A77,Строчный!$A:$A,Строчный!E:E,"ERR",0)))</f>
        <v>Fredrikson</v>
      </c>
      <c r="F77" s="81" t="str">
        <f ca="1">LOWER(TRIM(_xlfn.XLOOKUP($A77,Строчный!$A:$A,Строчный!F:F,"ERR",0)))</f>
        <v>всесезон</v>
      </c>
      <c r="G77" s="81" t="str">
        <f ca="1">UPPER(TRIM(_xlfn.XLOOKUP($A77,Строчный!$A:$A,Строчный!G:G,"ERR",0)))</f>
        <v>FREDRIKSON</v>
      </c>
      <c r="H77" s="81" t="str">
        <f ca="1">LOWER(TRIM(_xlfn.XLOOKUP($A77,Строчный!$A:$A,Строчный!H:H,"ERR",0)))</f>
        <v>641/76</v>
      </c>
      <c r="I77" s="81" t="str">
        <f ca="1">LOWER(TRIM(_xlfn.XLOOKUP($A77,Строчный!$A:$A,Строчный!I:I,"ERR",0)))</f>
        <v>серый / черный</v>
      </c>
      <c r="J77" s="81" t="str">
        <f ca="1">SUBSTITUTE(LOWER(TRIM(_xlfn.XLOOKUP($A77,Строчный!$A:$A,Строчный!J:J,"ERR",0))),"подклад","Подклад")</f>
        <v>80% шерсть - 20% полиамид / Подклад: 100% вискоза</v>
      </c>
      <c r="K77" s="81" t="str">
        <f ca="1">LOWER(TRIM(_xlfn.XLOOKUP($A77,Строчный!$A:$A,Строчный!K:K,"ERR",0)))</f>
        <v>шерстяные</v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Россия</v>
      </c>
      <c r="N77" s="81" t="str">
        <f ca="1">UPPER(TRIM(_xlfn.XLOOKUP($A77,Строчный!$A:$A,Строчный!O:O,"ERR",0)))</f>
        <v/>
      </c>
      <c r="O77" s="102" t="str">
        <f ca="1">PROPER(TRIM(_xlfn.XLOOKUP($A77,Строчный!$A:$A,Строчный!P:P,"ERR",0)))</f>
        <v/>
      </c>
      <c r="P77" s="81" t="str">
        <f ca="1">PROPER(TRIM(_xlfn.XLOOKUP($A77,Строчный!$A:$A,Строчный!R:R,"ERR",0)))</f>
        <v/>
      </c>
      <c r="Q77" s="90">
        <f ca="1">VALUE(_xlfn.XLOOKUP($A77,Строчный!$A:$A,Строчный!N:N,"ERR",0))</f>
        <v>975.8</v>
      </c>
      <c r="R77" s="89" t="str">
        <f ca="1">_xlfn.XLOOKUP($G77,Фабрика!A:A,Фабрика!B:B,"ERR",0)</f>
        <v>ООО "ФРЭДРИКСОН" Россия 192029, С-Петербург, пр. Обуховской обороны, д.86, лит М</v>
      </c>
      <c r="S77" s="80" t="str">
        <f ca="1">_xlfn.XLOOKUP(RIGHT(AA77,2),Размеры!D:D,Размеры!A:A,"ERR",0)</f>
        <v>57</v>
      </c>
      <c r="T77" s="80">
        <f ca="1">VALUE(_xlfn.XLOOKUP($AA77,Строчный!$S:$S,Строчный!U:U,"ERR",0))</f>
        <v>6</v>
      </c>
      <c r="U77" s="14" t="s">
        <v>265</v>
      </c>
      <c r="V77" s="101" t="str">
        <f t="shared" ca="1" si="6"/>
        <v>Кепка FREDRIKSON арт. 3080 (серый / черный)</v>
      </c>
      <c r="W77" s="100" t="str">
        <f t="shared" ca="1" si="7"/>
        <v>Кепка FREDRIKSON арт. 3080 (серый / черный) {641/76}</v>
      </c>
      <c r="X77" s="18" t="str">
        <f t="shared" ca="1" si="8"/>
        <v>серый</v>
      </c>
      <c r="Y77" s="18" t="str">
        <f t="shared" ca="1" si="9"/>
        <v>черный</v>
      </c>
      <c r="Z77" s="117" t="str">
        <f ca="1">_xlfn.LET(_xlpm.FormColors,_xlfn.XLOOKUP(A77,Строчный!A:A,Строчный!Q:Q,"",0),IF(_xlpm.FormColors=0,IFERROR(MID(I77,FIND("-",I77)+1,LEN(I77)),IFERROR(MID(I77,1,FIND("/",I77)-2),I77)),_xlpm.FormColors))</f>
        <v>серый</v>
      </c>
      <c r="AA77" s="73" t="str">
        <f ca="1"/>
        <v>95-011-47-57</v>
      </c>
      <c r="AB77" s="75" t="str">
        <f ca="1">VLOOKUP(C77,Группа!A:B,2,FALSE)</f>
        <v>Кепка</v>
      </c>
      <c r="AC77" s="97" t="str">
        <f ca="1">IFERROR(VLOOKUP(S77,Размеры!A:C,3,FALSE),"")</f>
        <v>57 M</v>
      </c>
      <c r="AD77" s="97" t="str">
        <f ca="1">VLOOKUP(I77,ЦветПолный!A:B,2,FALSE)</f>
        <v>47</v>
      </c>
      <c r="AE77" s="97" t="str">
        <f ca="1">IFERROR(VLOOKUP(S77,Размеры!A:D,4,FALSE),"")</f>
        <v>57</v>
      </c>
      <c r="AF77" s="97">
        <f ca="1">IF(LEFT(IFERROR(VLOOKUP(LOOKUP(2,1/SEARCH(B77,Товары!A:A),Товары!A:A),Товары!A:B,2,0),""),6)=MID(AA77,1,6),1,0)</f>
        <v>0</v>
      </c>
      <c r="AH77" s="97">
        <f ca="1">SUMIF(Группа!A:A,C77,Группа!C:C)</f>
        <v>1</v>
      </c>
      <c r="AI77" s="97">
        <f ca="1">SUMIF(Группа!B:B,AB77,Группа!C:C)</f>
        <v>1</v>
      </c>
      <c r="AJ77" s="97">
        <f ca="1">SUMIF(Формы!A:A,D77,Формы!B:B)</f>
        <v>1</v>
      </c>
      <c r="AK77" s="97">
        <f ca="1">SUMIF(Материал!A:A,K77,Материал!B:B)</f>
        <v>1</v>
      </c>
      <c r="AL77" s="97">
        <f ca="1">SUMIF(Размеры!A:A,S77,Размеры!E:E)</f>
        <v>1</v>
      </c>
      <c r="AM77" s="97">
        <f ca="1">SUMIF(Сезон!A:A,F77,Сезон!B:B)</f>
        <v>1</v>
      </c>
      <c r="AN77" s="97">
        <f ca="1">SUMIF(Состав!A:A,J77,Состав!B:B)</f>
        <v>0</v>
      </c>
      <c r="AO77" s="97">
        <f ca="1">VLOOKUP(I77,ЦветПолный!A:C,3,0)</f>
        <v>1</v>
      </c>
      <c r="AP77" s="97">
        <f ca="1">SUMIF(Цвет!A:A,Z77,Цвет!B:B)</f>
        <v>1</v>
      </c>
      <c r="AQ77" s="97">
        <f ca="1">_xlfn.XLOOKUP(L77,Пол!A:A,Пол!B:B,0,0)</f>
        <v>1</v>
      </c>
      <c r="AR77" s="97">
        <f ca="1">SUMIF(Бренд!A:A,G77,Бренд!B:B)</f>
        <v>1</v>
      </c>
      <c r="AS77" s="97">
        <f ca="1">SUMIF(Страна!A:A,M77,Страна!B:B)</f>
        <v>1</v>
      </c>
      <c r="AT77" s="64" t="e">
        <f ca="1">IF(VLOOKUP(W77,Товары!A:B,2,FALSE)=A77,"Есть в 1С","ERR")</f>
        <v>#N/A</v>
      </c>
      <c r="AU77" s="65" t="e">
        <f ca="1">IF(VLOOKUP(A77,Товары!B:B,1,FALSE)=A77,"Есть в 1С","ERR")</f>
        <v>#N/A</v>
      </c>
      <c r="AV77" s="96" t="e">
        <f ca="1">VLOOKUP(W77,Товары!A:B,2,FALSE)</f>
        <v>#N/A</v>
      </c>
      <c r="AW77" s="94" t="e">
        <f ca="1">VLOOKUP(W77,Товары!A:B,1,FALSE)</f>
        <v>#N/A</v>
      </c>
    </row>
    <row r="78" spans="1:49" x14ac:dyDescent="0.25">
      <c r="A78" s="110" t="str">
        <f t="shared" ca="1" si="5"/>
        <v>95-011-11</v>
      </c>
      <c r="B78" s="107" t="str">
        <f ca="1">_xlfn.LET(_xlpm.CAPS,0,_xlpm.Style,TRIM(_xlfn.XLOOKUP($A78,Строчный!$A:$A,Строчный!B:B,"ERR",0)),IF(_xlpm.CAPS=0,_xlpm.Style,LOWER(_xlpm.Style)))</f>
        <v>3080</v>
      </c>
      <c r="C78" s="81" t="str">
        <f ca="1">TRIM(PROPER(_xlfn.XLOOKUP($A78,Строчный!$A:$A,Строчный!C:C,"ERR",0)))</f>
        <v>Кепки</v>
      </c>
      <c r="D78" s="81" t="str">
        <f ca="1">_xlfn.LET(_xlpm.DATA,TRIM(_xlfn.XLOOKUP($A78,Строчный!$A:$A,Строчный!D:D,"ERR",0)),UPPER(MID(_xlpm.DATA,1,1))&amp;LOWER(MID(_xlpm.DATA,2,LEN(_xlpm.DATA)-1)))</f>
        <v>Кепка восьмиклинка</v>
      </c>
      <c r="E78" s="81" t="str">
        <f ca="1">PROPER(TRIM(_xlfn.XLOOKUP($A78,Строчный!$A:$A,Строчный!E:E,"ERR",0)))</f>
        <v>Fredrikson</v>
      </c>
      <c r="F78" s="81" t="str">
        <f ca="1">LOWER(TRIM(_xlfn.XLOOKUP($A78,Строчный!$A:$A,Строчный!F:F,"ERR",0)))</f>
        <v>всесезон</v>
      </c>
      <c r="G78" s="81" t="str">
        <f ca="1">UPPER(TRIM(_xlfn.XLOOKUP($A78,Строчный!$A:$A,Строчный!G:G,"ERR",0)))</f>
        <v>FREDRIKSON</v>
      </c>
      <c r="H78" s="81" t="str">
        <f ca="1">LOWER(TRIM(_xlfn.XLOOKUP($A78,Строчный!$A:$A,Строчный!H:H,"ERR",0)))</f>
        <v>640/77</v>
      </c>
      <c r="I78" s="81" t="str">
        <f ca="1">LOWER(TRIM(_xlfn.XLOOKUP($A78,Строчный!$A:$A,Строчный!I:I,"ERR",0)))</f>
        <v>светло-серый / черный</v>
      </c>
      <c r="J78" s="81" t="str">
        <f ca="1">SUBSTITUTE(LOWER(TRIM(_xlfn.XLOOKUP($A78,Строчный!$A:$A,Строчный!J:J,"ERR",0))),"подклад","Подклад")</f>
        <v>80% шерсть - 20% полиамид / Подклад: 100% вискоза</v>
      </c>
      <c r="K78" s="81" t="str">
        <f ca="1">LOWER(TRIM(_xlfn.XLOOKUP($A78,Строчный!$A:$A,Строчный!K:K,"ERR",0)))</f>
        <v>шерстяные</v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Россия</v>
      </c>
      <c r="N78" s="81" t="str">
        <f ca="1">UPPER(TRIM(_xlfn.XLOOKUP($A78,Строчный!$A:$A,Строчный!O:O,"ERR",0)))</f>
        <v/>
      </c>
      <c r="O78" s="102" t="str">
        <f ca="1">PROPER(TRIM(_xlfn.XLOOKUP($A78,Строчный!$A:$A,Строчный!P:P,"ERR",0)))</f>
        <v/>
      </c>
      <c r="P78" s="81" t="str">
        <f ca="1">PROPER(TRIM(_xlfn.XLOOKUP($A78,Строчный!$A:$A,Строчный!R:R,"ERR",0)))</f>
        <v/>
      </c>
      <c r="Q78" s="90">
        <f ca="1">VALUE(_xlfn.XLOOKUP($A78,Строчный!$A:$A,Строчный!N:N,"ERR",0))</f>
        <v>975.8</v>
      </c>
      <c r="R78" s="89" t="str">
        <f ca="1">_xlfn.XLOOKUP($G78,Фабрика!A:A,Фабрика!B:B,"ERR",0)</f>
        <v>ООО "ФРЭДРИКСОН" Россия 192029, С-Петербург, пр. Обуховской обороны, д.86, лит М</v>
      </c>
      <c r="S78" s="80" t="str">
        <f ca="1">_xlfn.XLOOKUP(RIGHT(AA78,2),Размеры!D:D,Размеры!A:A,"ERR",0)</f>
        <v>59</v>
      </c>
      <c r="T78" s="80">
        <f ca="1">VALUE(_xlfn.XLOOKUP($AA78,Строчный!$S:$S,Строчный!U:U,"ERR",0))</f>
        <v>8</v>
      </c>
      <c r="U78" s="14" t="s">
        <v>265</v>
      </c>
      <c r="V78" s="101" t="str">
        <f t="shared" ca="1" si="6"/>
        <v>Кепка FREDRIKSON арт. 3080 (светло-серый / черный)</v>
      </c>
      <c r="W78" s="100" t="str">
        <f t="shared" ca="1" si="7"/>
        <v>Кепка FREDRIKSON арт. 3080 (светло-серый / черный) {640/77}</v>
      </c>
      <c r="X78" s="18" t="str">
        <f t="shared" ca="1" si="8"/>
        <v>серый / черный</v>
      </c>
      <c r="Y78" s="18" t="str">
        <f t="shared" ca="1" si="9"/>
        <v>серый / черный</v>
      </c>
      <c r="Z78" s="117" t="s">
        <v>28</v>
      </c>
      <c r="AA78" s="73" t="str">
        <f ca="1"/>
        <v>95-011-11-59</v>
      </c>
      <c r="AB78" s="75" t="str">
        <f ca="1">VLOOKUP(C78,Группа!A:B,2,FALSE)</f>
        <v>Кепка</v>
      </c>
      <c r="AC78" s="97" t="str">
        <f ca="1">IFERROR(VLOOKUP(S78,Размеры!A:C,3,FALSE),"")</f>
        <v>59 L</v>
      </c>
      <c r="AD78" s="97" t="str">
        <f ca="1">VLOOKUP(I78,ЦветПолный!A:B,2,FALSE)</f>
        <v>11</v>
      </c>
      <c r="AE78" s="97" t="str">
        <f ca="1">IFERROR(VLOOKUP(S78,Размеры!A:D,4,FALSE),"")</f>
        <v>59</v>
      </c>
      <c r="AF78" s="97">
        <f ca="1">IF(LEFT(IFERROR(VLOOKUP(LOOKUP(2,1/SEARCH(B78,Товары!A:A),Товары!A:A),Товары!A:B,2,0),""),6)=MID(AA78,1,6),1,0)</f>
        <v>0</v>
      </c>
      <c r="AH78" s="97">
        <f ca="1">SUMIF(Группа!A:A,C78,Группа!C:C)</f>
        <v>1</v>
      </c>
      <c r="AI78" s="97">
        <f ca="1">SUMIF(Группа!B:B,AB78,Группа!C:C)</f>
        <v>1</v>
      </c>
      <c r="AJ78" s="97">
        <f ca="1">SUMIF(Формы!A:A,D78,Формы!B:B)</f>
        <v>1</v>
      </c>
      <c r="AK78" s="97">
        <f ca="1">SUMIF(Материал!A:A,K78,Материал!B:B)</f>
        <v>1</v>
      </c>
      <c r="AL78" s="97">
        <f ca="1">SUMIF(Размеры!A:A,S78,Размеры!E:E)</f>
        <v>1</v>
      </c>
      <c r="AM78" s="97">
        <f ca="1">SUMIF(Сезон!A:A,F78,Сезон!B:B)</f>
        <v>1</v>
      </c>
      <c r="AN78" s="97">
        <f ca="1">SUMIF(Состав!A:A,J78,Состав!B:B)</f>
        <v>0</v>
      </c>
      <c r="AO78" s="97">
        <f ca="1">VLOOKUP(I78,ЦветПолный!A:C,3,0)</f>
        <v>1</v>
      </c>
      <c r="AP78" s="97">
        <f>SUMIF(Цвет!A:A,Z78,Цвет!B:B)</f>
        <v>1</v>
      </c>
      <c r="AQ78" s="97">
        <f ca="1">_xlfn.XLOOKUP(L78,Пол!A:A,Пол!B:B,0,0)</f>
        <v>1</v>
      </c>
      <c r="AR78" s="97">
        <f ca="1">SUMIF(Бренд!A:A,G78,Бренд!B:B)</f>
        <v>1</v>
      </c>
      <c r="AS78" s="97">
        <f ca="1">SUMIF(Страна!A:A,M78,Страна!B:B)</f>
        <v>1</v>
      </c>
      <c r="AT78" s="64" t="e">
        <f ca="1">IF(VLOOKUP(W78,Товары!A:B,2,FALSE)=A78,"Есть в 1С","ERR")</f>
        <v>#N/A</v>
      </c>
      <c r="AU78" s="65" t="e">
        <f ca="1">IF(VLOOKUP(A78,Товары!B:B,1,FALSE)=A78,"Есть в 1С","ERR")</f>
        <v>#N/A</v>
      </c>
      <c r="AV78" s="96" t="e">
        <f ca="1">VLOOKUP(W78,Товары!A:B,2,FALSE)</f>
        <v>#N/A</v>
      </c>
      <c r="AW78" s="94" t="e">
        <f ca="1">VLOOKUP(W78,Товары!A:B,1,FALSE)</f>
        <v>#N/A</v>
      </c>
    </row>
    <row r="79" spans="1:49" x14ac:dyDescent="0.25">
      <c r="A79" s="110" t="str">
        <f t="shared" ca="1" si="5"/>
        <v>95-011-11</v>
      </c>
      <c r="B79" s="107" t="str">
        <f ca="1">_xlfn.LET(_xlpm.CAPS,0,_xlpm.Style,TRIM(_xlfn.XLOOKUP($A79,Строчный!$A:$A,Строчный!B:B,"ERR",0)),IF(_xlpm.CAPS=0,_xlpm.Style,LOWER(_xlpm.Style)))</f>
        <v>3080</v>
      </c>
      <c r="C79" s="81" t="str">
        <f ca="1">TRIM(PROPER(_xlfn.XLOOKUP($A79,Строчный!$A:$A,Строчный!C:C,"ERR",0)))</f>
        <v>Кепки</v>
      </c>
      <c r="D79" s="81" t="str">
        <f ca="1">_xlfn.LET(_xlpm.DATA,TRIM(_xlfn.XLOOKUP($A79,Строчный!$A:$A,Строчный!D:D,"ERR",0)),UPPER(MID(_xlpm.DATA,1,1))&amp;LOWER(MID(_xlpm.DATA,2,LEN(_xlpm.DATA)-1)))</f>
        <v>Кепка восьмиклинка</v>
      </c>
      <c r="E79" s="81" t="str">
        <f ca="1">PROPER(TRIM(_xlfn.XLOOKUP($A79,Строчный!$A:$A,Строчный!E:E,"ERR",0)))</f>
        <v>Fredrikson</v>
      </c>
      <c r="F79" s="81" t="str">
        <f ca="1">LOWER(TRIM(_xlfn.XLOOKUP($A79,Строчный!$A:$A,Строчный!F:F,"ERR",0)))</f>
        <v>всесезон</v>
      </c>
      <c r="G79" s="81" t="str">
        <f ca="1">UPPER(TRIM(_xlfn.XLOOKUP($A79,Строчный!$A:$A,Строчный!G:G,"ERR",0)))</f>
        <v>FREDRIKSON</v>
      </c>
      <c r="H79" s="81" t="str">
        <f ca="1">LOWER(TRIM(_xlfn.XLOOKUP($A79,Строчный!$A:$A,Строчный!H:H,"ERR",0)))</f>
        <v>640/77</v>
      </c>
      <c r="I79" s="81" t="str">
        <f ca="1">LOWER(TRIM(_xlfn.XLOOKUP($A79,Строчный!$A:$A,Строчный!I:I,"ERR",0)))</f>
        <v>светло-серый / черный</v>
      </c>
      <c r="J79" s="81" t="str">
        <f ca="1">SUBSTITUTE(LOWER(TRIM(_xlfn.XLOOKUP($A79,Строчный!$A:$A,Строчный!J:J,"ERR",0))),"подклад","Подклад")</f>
        <v>80% шерсть - 20% полиамид / Подклад: 100% вискоза</v>
      </c>
      <c r="K79" s="81" t="str">
        <f ca="1">LOWER(TRIM(_xlfn.XLOOKUP($A79,Строчный!$A:$A,Строчный!K:K,"ERR",0)))</f>
        <v>шерстяные</v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Россия</v>
      </c>
      <c r="N79" s="81" t="str">
        <f ca="1">UPPER(TRIM(_xlfn.XLOOKUP($A79,Строчный!$A:$A,Строчный!O:O,"ERR",0)))</f>
        <v/>
      </c>
      <c r="O79" s="102" t="str">
        <f ca="1">PROPER(TRIM(_xlfn.XLOOKUP($A79,Строчный!$A:$A,Строчный!P:P,"ERR",0)))</f>
        <v/>
      </c>
      <c r="P79" s="81" t="str">
        <f ca="1">PROPER(TRIM(_xlfn.XLOOKUP($A79,Строчный!$A:$A,Строчный!R:R,"ERR",0)))</f>
        <v/>
      </c>
      <c r="Q79" s="90">
        <f ca="1">VALUE(_xlfn.XLOOKUP($A79,Строчный!$A:$A,Строчный!N:N,"ERR",0))</f>
        <v>975.8</v>
      </c>
      <c r="R79" s="89" t="str">
        <f ca="1">_xlfn.XLOOKUP($G79,Фабрика!A:A,Фабрика!B:B,"ERR",0)</f>
        <v>ООО "ФРЭДРИКСОН" Россия 192029, С-Петербург, пр. Обуховской обороны, д.86, лит М</v>
      </c>
      <c r="S79" s="80" t="str">
        <f ca="1">_xlfn.XLOOKUP(RIGHT(AA79,2),Размеры!D:D,Размеры!A:A,"ERR",0)</f>
        <v>57</v>
      </c>
      <c r="T79" s="80">
        <f ca="1">VALUE(_xlfn.XLOOKUP($AA79,Строчный!$S:$S,Строчный!U:U,"ERR",0))</f>
        <v>4</v>
      </c>
      <c r="U79" s="14" t="s">
        <v>265</v>
      </c>
      <c r="V79" s="101" t="str">
        <f t="shared" ca="1" si="6"/>
        <v>Кепка FREDRIKSON арт. 3080 (светло-серый / черный)</v>
      </c>
      <c r="W79" s="100" t="str">
        <f t="shared" ca="1" si="7"/>
        <v>Кепка FREDRIKSON арт. 3080 (светло-серый / черный) {640/77}</v>
      </c>
      <c r="X79" s="18" t="str">
        <f t="shared" ca="1" si="8"/>
        <v>серый / черный</v>
      </c>
      <c r="Y79" s="18" t="str">
        <f t="shared" ca="1" si="9"/>
        <v>серый / черный</v>
      </c>
      <c r="Z79" s="117" t="s">
        <v>28</v>
      </c>
      <c r="AA79" s="73" t="str">
        <f ca="1"/>
        <v>95-011-11-57</v>
      </c>
      <c r="AB79" s="75" t="str">
        <f ca="1">VLOOKUP(C79,Группа!A:B,2,FALSE)</f>
        <v>Кепка</v>
      </c>
      <c r="AC79" s="97" t="str">
        <f ca="1">IFERROR(VLOOKUP(S79,Размеры!A:C,3,FALSE),"")</f>
        <v>57 M</v>
      </c>
      <c r="AD79" s="97" t="str">
        <f ca="1">VLOOKUP(I79,ЦветПолный!A:B,2,FALSE)</f>
        <v>11</v>
      </c>
      <c r="AE79" s="97" t="str">
        <f ca="1">IFERROR(VLOOKUP(S79,Размеры!A:D,4,FALSE),"")</f>
        <v>57</v>
      </c>
      <c r="AF79" s="97">
        <f ca="1">IF(LEFT(IFERROR(VLOOKUP(LOOKUP(2,1/SEARCH(B79,Товары!A:A),Товары!A:A),Товары!A:B,2,0),""),6)=MID(AA79,1,6),1,0)</f>
        <v>0</v>
      </c>
      <c r="AH79" s="97">
        <f ca="1">SUMIF(Группа!A:A,C79,Группа!C:C)</f>
        <v>1</v>
      </c>
      <c r="AI79" s="97">
        <f ca="1">SUMIF(Группа!B:B,AB79,Группа!C:C)</f>
        <v>1</v>
      </c>
      <c r="AJ79" s="97">
        <f ca="1">SUMIF(Формы!A:A,D79,Формы!B:B)</f>
        <v>1</v>
      </c>
      <c r="AK79" s="97">
        <f ca="1">SUMIF(Материал!A:A,K79,Материал!B:B)</f>
        <v>1</v>
      </c>
      <c r="AL79" s="97">
        <f ca="1">SUMIF(Размеры!A:A,S79,Размеры!E:E)</f>
        <v>1</v>
      </c>
      <c r="AM79" s="97">
        <f ca="1">SUMIF(Сезон!A:A,F79,Сезон!B:B)</f>
        <v>1</v>
      </c>
      <c r="AN79" s="97">
        <f ca="1">SUMIF(Состав!A:A,J79,Состав!B:B)</f>
        <v>0</v>
      </c>
      <c r="AO79" s="97">
        <f ca="1">VLOOKUP(I79,ЦветПолный!A:C,3,0)</f>
        <v>1</v>
      </c>
      <c r="AP79" s="97">
        <f>SUMIF(Цвет!A:A,Z79,Цвет!B:B)</f>
        <v>1</v>
      </c>
      <c r="AQ79" s="97">
        <f ca="1">_xlfn.XLOOKUP(L79,Пол!A:A,Пол!B:B,0,0)</f>
        <v>1</v>
      </c>
      <c r="AR79" s="97">
        <f ca="1">SUMIF(Бренд!A:A,G79,Бренд!B:B)</f>
        <v>1</v>
      </c>
      <c r="AS79" s="97">
        <f ca="1">SUMIF(Страна!A:A,M79,Страна!B:B)</f>
        <v>1</v>
      </c>
      <c r="AT79" s="64" t="e">
        <f ca="1">IF(VLOOKUP(W79,Товары!A:B,2,FALSE)=A79,"Есть в 1С","ERR")</f>
        <v>#N/A</v>
      </c>
      <c r="AU79" s="65" t="e">
        <f ca="1">IF(VLOOKUP(A79,Товары!B:B,1,FALSE)=A79,"Есть в 1С","ERR")</f>
        <v>#N/A</v>
      </c>
      <c r="AV79" s="96" t="e">
        <f ca="1">VLOOKUP(W79,Товары!A:B,2,FALSE)</f>
        <v>#N/A</v>
      </c>
      <c r="AW79" s="94" t="e">
        <f ca="1">VLOOKUP(W79,Товары!A:B,1,FALSE)</f>
        <v>#N/A</v>
      </c>
    </row>
    <row r="80" spans="1:49" x14ac:dyDescent="0.25">
      <c r="A80" s="110" t="str">
        <f t="shared" ca="1" si="5"/>
        <v>95-010-73</v>
      </c>
      <c r="B80" s="107" t="str">
        <f ca="1">_xlfn.LET(_xlpm.CAPS,0,_xlpm.Style,TRIM(_xlfn.XLOOKUP($A80,Строчный!$A:$A,Строчный!B:B,"ERR",0)),IF(_xlpm.CAPS=0,_xlpm.Style,LOWER(_xlpm.Style)))</f>
        <v>3125</v>
      </c>
      <c r="C80" s="81" t="str">
        <f ca="1">TRIM(PROPER(_xlfn.XLOOKUP($A80,Строчный!$A:$A,Строчный!C:C,"ERR",0)))</f>
        <v>Кепки</v>
      </c>
      <c r="D80" s="81" t="str">
        <f ca="1">_xlfn.LET(_xlpm.DATA,TRIM(_xlfn.XLOOKUP($A80,Строчный!$A:$A,Строчный!D:D,"ERR",0)),UPPER(MID(_xlpm.DATA,1,1))&amp;LOWER(MID(_xlpm.DATA,2,LEN(_xlpm.DATA)-1)))</f>
        <v>Кепка плоская</v>
      </c>
      <c r="E80" s="81" t="str">
        <f ca="1">PROPER(TRIM(_xlfn.XLOOKUP($A80,Строчный!$A:$A,Строчный!E:E,"ERR",0)))</f>
        <v>Fredrikson</v>
      </c>
      <c r="F80" s="81" t="str">
        <f ca="1">LOWER(TRIM(_xlfn.XLOOKUP($A80,Строчный!$A:$A,Строчный!F:F,"ERR",0)))</f>
        <v>всесезон</v>
      </c>
      <c r="G80" s="81" t="str">
        <f ca="1">UPPER(TRIM(_xlfn.XLOOKUP($A80,Строчный!$A:$A,Строчный!G:G,"ERR",0)))</f>
        <v>FREDRIKSON</v>
      </c>
      <c r="H80" s="81" t="str">
        <f ca="1">LOWER(TRIM(_xlfn.XLOOKUP($A80,Строчный!$A:$A,Строчный!H:H,"ERR",0)))</f>
        <v>667/57</v>
      </c>
      <c r="I80" s="81" t="str">
        <f ca="1">LOWER(TRIM(_xlfn.XLOOKUP($A80,Строчный!$A:$A,Строчный!I:I,"ERR",0)))</f>
        <v>бежевый / коричневый</v>
      </c>
      <c r="J80" s="81" t="str">
        <f ca="1">SUBSTITUTE(LOWER(TRIM(_xlfn.XLOOKUP($A80,Строчный!$A:$A,Строчный!J:J,"ERR",0))),"подклад","Подклад")</f>
        <v>80% шерсть - 20% полиамид / Подклад: 100% вискоза</v>
      </c>
      <c r="K80" s="81" t="str">
        <f ca="1">LOWER(TRIM(_xlfn.XLOOKUP($A80,Строчный!$A:$A,Строчный!K:K,"ERR",0)))</f>
        <v>шерстяные</v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Россия</v>
      </c>
      <c r="N80" s="81" t="str">
        <f ca="1">UPPER(TRIM(_xlfn.XLOOKUP($A80,Строчный!$A:$A,Строчный!O:O,"ERR",0)))</f>
        <v/>
      </c>
      <c r="O80" s="102" t="str">
        <f ca="1">PROPER(TRIM(_xlfn.XLOOKUP($A80,Строчный!$A:$A,Строчный!P:P,"ERR",0)))</f>
        <v/>
      </c>
      <c r="P80" s="81" t="str">
        <f ca="1">PROPER(TRIM(_xlfn.XLOOKUP($A80,Строчный!$A:$A,Строчный!R:R,"ERR",0)))</f>
        <v/>
      </c>
      <c r="Q80" s="90">
        <f ca="1">VALUE(_xlfn.XLOOKUP($A80,Строчный!$A:$A,Строчный!N:N,"ERR",0))</f>
        <v>975.8</v>
      </c>
      <c r="R80" s="89" t="str">
        <f ca="1">_xlfn.XLOOKUP($G80,Фабрика!A:A,Фабрика!B:B,"ERR",0)</f>
        <v>ООО "ФРЭДРИКСОН" Россия 192029, С-Петербург, пр. Обуховской обороны, д.86, лит М</v>
      </c>
      <c r="S80" s="80" t="str">
        <f ca="1">_xlfn.XLOOKUP(RIGHT(AA80,2),Размеры!D:D,Размеры!A:A,"ERR",0)</f>
        <v>62</v>
      </c>
      <c r="T80" s="80">
        <f ca="1">VALUE(_xlfn.XLOOKUP($AA80,Строчный!$S:$S,Строчный!U:U,"ERR",0))</f>
        <v>2</v>
      </c>
      <c r="U80" s="14" t="s">
        <v>265</v>
      </c>
      <c r="V80" s="101" t="str">
        <f t="shared" ca="1" si="6"/>
        <v>Кепка FREDRIKSON арт. 3125 (бежевый / коричневый)</v>
      </c>
      <c r="W80" s="100" t="str">
        <f t="shared" ca="1" si="7"/>
        <v>Кепка FREDRIKSON арт. 3125 (бежевый / коричневый) {667/57}</v>
      </c>
      <c r="X80" s="18" t="str">
        <f t="shared" ca="1" si="8"/>
        <v>бежевый</v>
      </c>
      <c r="Y80" s="18" t="str">
        <f t="shared" ca="1" si="9"/>
        <v>коричневый</v>
      </c>
      <c r="Z80" s="117" t="str">
        <f ca="1">_xlfn.LET(_xlpm.FormColors,_xlfn.XLOOKUP(A80,Строчный!A:A,Строчный!Q:Q,"",0),IF(_xlpm.FormColors=0,IFERROR(MID(I80,FIND("-",I80)+1,LEN(I80)),IFERROR(MID(I80,1,FIND("/",I80)-2),I80)),_xlpm.FormColors))</f>
        <v>бежевый</v>
      </c>
      <c r="AA80" s="73" t="str">
        <f ca="1"/>
        <v>95-010-73-62</v>
      </c>
      <c r="AB80" s="75" t="str">
        <f ca="1">VLOOKUP(C80,Группа!A:B,2,FALSE)</f>
        <v>Кепка</v>
      </c>
      <c r="AC80" s="97" t="str">
        <f ca="1">IFERROR(VLOOKUP(S80,Размеры!A:C,3,FALSE),"")</f>
        <v>62 XL/XXL</v>
      </c>
      <c r="AD80" s="97" t="str">
        <f ca="1">VLOOKUP(I80,ЦветПолный!A:B,2,FALSE)</f>
        <v>73</v>
      </c>
      <c r="AE80" s="97" t="str">
        <f ca="1">IFERROR(VLOOKUP(S80,Размеры!A:D,4,FALSE),"")</f>
        <v>62</v>
      </c>
      <c r="AF80" s="97">
        <f ca="1">IF(LEFT(IFERROR(VLOOKUP(LOOKUP(2,1/SEARCH(B80,Товары!A:A),Товары!A:A),Товары!A:B,2,0),""),6)=MID(AA80,1,6),1,0)</f>
        <v>0</v>
      </c>
      <c r="AH80" s="97">
        <f ca="1">SUMIF(Группа!A:A,C80,Группа!C:C)</f>
        <v>1</v>
      </c>
      <c r="AI80" s="97">
        <f ca="1">SUMIF(Группа!B:B,AB80,Группа!C:C)</f>
        <v>1</v>
      </c>
      <c r="AJ80" s="97">
        <f ca="1">SUMIF(Формы!A:A,D80,Формы!B:B)</f>
        <v>1</v>
      </c>
      <c r="AK80" s="97">
        <f ca="1">SUMIF(Материал!A:A,K80,Материал!B:B)</f>
        <v>1</v>
      </c>
      <c r="AL80" s="97">
        <f ca="1">SUMIF(Размеры!A:A,S80,Размеры!E:E)</f>
        <v>1</v>
      </c>
      <c r="AM80" s="97">
        <f ca="1">SUMIF(Сезон!A:A,F80,Сезон!B:B)</f>
        <v>1</v>
      </c>
      <c r="AN80" s="97">
        <f ca="1">SUMIF(Состав!A:A,J80,Состав!B:B)</f>
        <v>0</v>
      </c>
      <c r="AO80" s="97">
        <f ca="1">VLOOKUP(I80,ЦветПолный!A:C,3,0)</f>
        <v>1</v>
      </c>
      <c r="AP80" s="97">
        <f ca="1">SUMIF(Цвет!A:A,Z80,Цвет!B:B)</f>
        <v>1</v>
      </c>
      <c r="AQ80" s="97">
        <f ca="1">_xlfn.XLOOKUP(L80,Пол!A:A,Пол!B:B,0,0)</f>
        <v>1</v>
      </c>
      <c r="AR80" s="97">
        <f ca="1">SUMIF(Бренд!A:A,G80,Бренд!B:B)</f>
        <v>1</v>
      </c>
      <c r="AS80" s="97">
        <f ca="1">SUMIF(Страна!A:A,M80,Страна!B:B)</f>
        <v>1</v>
      </c>
      <c r="AT80" s="64" t="e">
        <f ca="1">IF(VLOOKUP(W80,Товары!A:B,2,FALSE)=A80,"Есть в 1С","ERR")</f>
        <v>#N/A</v>
      </c>
      <c r="AU80" s="65" t="e">
        <f ca="1">IF(VLOOKUP(A80,Товары!B:B,1,FALSE)=A80,"Есть в 1С","ERR")</f>
        <v>#N/A</v>
      </c>
      <c r="AV80" s="96" t="e">
        <f ca="1">VLOOKUP(W80,Товары!A:B,2,FALSE)</f>
        <v>#N/A</v>
      </c>
      <c r="AW80" s="94" t="e">
        <f ca="1">VLOOKUP(W80,Товары!A:B,1,FALSE)</f>
        <v>#N/A</v>
      </c>
    </row>
    <row r="81" spans="1:49" x14ac:dyDescent="0.25">
      <c r="A81" s="110" t="str">
        <f t="shared" ca="1" si="5"/>
        <v>95-010-73</v>
      </c>
      <c r="B81" s="107" t="str">
        <f ca="1">_xlfn.LET(_xlpm.CAPS,0,_xlpm.Style,TRIM(_xlfn.XLOOKUP($A81,Строчный!$A:$A,Строчный!B:B,"ERR",0)),IF(_xlpm.CAPS=0,_xlpm.Style,LOWER(_xlpm.Style)))</f>
        <v>3125</v>
      </c>
      <c r="C81" s="81" t="str">
        <f ca="1">TRIM(PROPER(_xlfn.XLOOKUP($A81,Строчный!$A:$A,Строчный!C:C,"ERR",0)))</f>
        <v>Кепки</v>
      </c>
      <c r="D81" s="81" t="str">
        <f ca="1">_xlfn.LET(_xlpm.DATA,TRIM(_xlfn.XLOOKUP($A81,Строчный!$A:$A,Строчный!D:D,"ERR",0)),UPPER(MID(_xlpm.DATA,1,1))&amp;LOWER(MID(_xlpm.DATA,2,LEN(_xlpm.DATA)-1)))</f>
        <v>Кепка плоская</v>
      </c>
      <c r="E81" s="81" t="str">
        <f ca="1">PROPER(TRIM(_xlfn.XLOOKUP($A81,Строчный!$A:$A,Строчный!E:E,"ERR",0)))</f>
        <v>Fredrikson</v>
      </c>
      <c r="F81" s="81" t="str">
        <f ca="1">LOWER(TRIM(_xlfn.XLOOKUP($A81,Строчный!$A:$A,Строчный!F:F,"ERR",0)))</f>
        <v>всесезон</v>
      </c>
      <c r="G81" s="81" t="str">
        <f ca="1">UPPER(TRIM(_xlfn.XLOOKUP($A81,Строчный!$A:$A,Строчный!G:G,"ERR",0)))</f>
        <v>FREDRIKSON</v>
      </c>
      <c r="H81" s="81" t="str">
        <f ca="1">LOWER(TRIM(_xlfn.XLOOKUP($A81,Строчный!$A:$A,Строчный!H:H,"ERR",0)))</f>
        <v>667/57</v>
      </c>
      <c r="I81" s="81" t="str">
        <f ca="1">LOWER(TRIM(_xlfn.XLOOKUP($A81,Строчный!$A:$A,Строчный!I:I,"ERR",0)))</f>
        <v>бежевый / коричневый</v>
      </c>
      <c r="J81" s="81" t="str">
        <f ca="1">SUBSTITUTE(LOWER(TRIM(_xlfn.XLOOKUP($A81,Строчный!$A:$A,Строчный!J:J,"ERR",0))),"подклад","Подклад")</f>
        <v>80% шерсть - 20% полиамид / Подклад: 100% вискоза</v>
      </c>
      <c r="K81" s="81" t="str">
        <f ca="1">LOWER(TRIM(_xlfn.XLOOKUP($A81,Строчный!$A:$A,Строчный!K:K,"ERR",0)))</f>
        <v>шерстяные</v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Россия</v>
      </c>
      <c r="N81" s="81" t="str">
        <f ca="1">UPPER(TRIM(_xlfn.XLOOKUP($A81,Строчный!$A:$A,Строчный!O:O,"ERR",0)))</f>
        <v/>
      </c>
      <c r="O81" s="102" t="str">
        <f ca="1">PROPER(TRIM(_xlfn.XLOOKUP($A81,Строчный!$A:$A,Строчный!P:P,"ERR",0)))</f>
        <v/>
      </c>
      <c r="P81" s="81" t="str">
        <f ca="1">PROPER(TRIM(_xlfn.XLOOKUP($A81,Строчный!$A:$A,Строчный!R:R,"ERR",0)))</f>
        <v/>
      </c>
      <c r="Q81" s="90">
        <f ca="1">VALUE(_xlfn.XLOOKUP($A81,Строчный!$A:$A,Строчный!N:N,"ERR",0))</f>
        <v>975.8</v>
      </c>
      <c r="R81" s="89" t="str">
        <f ca="1">_xlfn.XLOOKUP($G81,Фабрика!A:A,Фабрика!B:B,"ERR",0)</f>
        <v>ООО "ФРЭДРИКСОН" Россия 192029, С-Петербург, пр. Обуховской обороны, д.86, лит М</v>
      </c>
      <c r="S81" s="80" t="str">
        <f ca="1">_xlfn.XLOOKUP(RIGHT(AA81,2),Размеры!D:D,Размеры!A:A,"ERR",0)</f>
        <v>61</v>
      </c>
      <c r="T81" s="80">
        <f ca="1">VALUE(_xlfn.XLOOKUP($AA81,Строчный!$S:$S,Строчный!U:U,"ERR",0))</f>
        <v>4</v>
      </c>
      <c r="U81" s="14" t="s">
        <v>265</v>
      </c>
      <c r="V81" s="101" t="str">
        <f t="shared" ca="1" si="6"/>
        <v>Кепка FREDRIKSON арт. 3125 (бежевый / коричневый)</v>
      </c>
      <c r="W81" s="100" t="str">
        <f t="shared" ca="1" si="7"/>
        <v>Кепка FREDRIKSON арт. 3125 (бежевый / коричневый) {667/57}</v>
      </c>
      <c r="X81" s="18" t="str">
        <f t="shared" ca="1" si="8"/>
        <v>бежевый</v>
      </c>
      <c r="Y81" s="18" t="str">
        <f t="shared" ca="1" si="9"/>
        <v>коричневый</v>
      </c>
      <c r="Z81" s="117" t="str">
        <f ca="1">_xlfn.LET(_xlpm.FormColors,_xlfn.XLOOKUP(A81,Строчный!A:A,Строчный!Q:Q,"",0),IF(_xlpm.FormColors=0,IFERROR(MID(I81,FIND("-",I81)+1,LEN(I81)),IFERROR(MID(I81,1,FIND("/",I81)-2),I81)),_xlpm.FormColors))</f>
        <v>бежевый</v>
      </c>
      <c r="AA81" s="73" t="str">
        <f ca="1"/>
        <v>95-010-73-61</v>
      </c>
      <c r="AB81" s="75" t="str">
        <f ca="1">VLOOKUP(C81,Группа!A:B,2,FALSE)</f>
        <v>Кепка</v>
      </c>
      <c r="AC81" s="97" t="str">
        <f ca="1">IFERROR(VLOOKUP(S81,Размеры!A:C,3,FALSE),"")</f>
        <v>61 XL</v>
      </c>
      <c r="AD81" s="97" t="str">
        <f ca="1">VLOOKUP(I81,ЦветПолный!A:B,2,FALSE)</f>
        <v>73</v>
      </c>
      <c r="AE81" s="97" t="str">
        <f ca="1">IFERROR(VLOOKUP(S81,Размеры!A:D,4,FALSE),"")</f>
        <v>61</v>
      </c>
      <c r="AF81" s="97">
        <f ca="1">IF(LEFT(IFERROR(VLOOKUP(LOOKUP(2,1/SEARCH(B81,Товары!A:A),Товары!A:A),Товары!A:B,2,0),""),6)=MID(AA81,1,6),1,0)</f>
        <v>0</v>
      </c>
      <c r="AH81" s="97">
        <f ca="1">SUMIF(Группа!A:A,C81,Группа!C:C)</f>
        <v>1</v>
      </c>
      <c r="AI81" s="97">
        <f ca="1">SUMIF(Группа!B:B,AB81,Группа!C:C)</f>
        <v>1</v>
      </c>
      <c r="AJ81" s="97">
        <f ca="1">SUMIF(Формы!A:A,D81,Формы!B:B)</f>
        <v>1</v>
      </c>
      <c r="AK81" s="97">
        <f ca="1">SUMIF(Материал!A:A,K81,Материал!B:B)</f>
        <v>1</v>
      </c>
      <c r="AL81" s="97">
        <f ca="1">SUMIF(Размеры!A:A,S81,Размеры!E:E)</f>
        <v>1</v>
      </c>
      <c r="AM81" s="97">
        <f ca="1">SUMIF(Сезон!A:A,F81,Сезон!B:B)</f>
        <v>1</v>
      </c>
      <c r="AN81" s="97">
        <f ca="1">SUMIF(Состав!A:A,J81,Состав!B:B)</f>
        <v>0</v>
      </c>
      <c r="AO81" s="97">
        <f ca="1">VLOOKUP(I81,ЦветПолный!A:C,3,0)</f>
        <v>1</v>
      </c>
      <c r="AP81" s="97">
        <f ca="1">SUMIF(Цвет!A:A,Z81,Цвет!B:B)</f>
        <v>1</v>
      </c>
      <c r="AQ81" s="97">
        <f ca="1">_xlfn.XLOOKUP(L81,Пол!A:A,Пол!B:B,0,0)</f>
        <v>1</v>
      </c>
      <c r="AR81" s="97">
        <f ca="1">SUMIF(Бренд!A:A,G81,Бренд!B:B)</f>
        <v>1</v>
      </c>
      <c r="AS81" s="97">
        <f ca="1">SUMIF(Страна!A:A,M81,Страна!B:B)</f>
        <v>1</v>
      </c>
      <c r="AT81" s="64" t="e">
        <f ca="1">IF(VLOOKUP(W81,Товары!A:B,2,FALSE)=A81,"Есть в 1С","ERR")</f>
        <v>#N/A</v>
      </c>
      <c r="AU81" s="65" t="e">
        <f ca="1">IF(VLOOKUP(A81,Товары!B:B,1,FALSE)=A81,"Есть в 1С","ERR")</f>
        <v>#N/A</v>
      </c>
      <c r="AV81" s="96" t="e">
        <f ca="1">VLOOKUP(W81,Товары!A:B,2,FALSE)</f>
        <v>#N/A</v>
      </c>
      <c r="AW81" s="94" t="e">
        <f ca="1">VLOOKUP(W81,Товары!A:B,1,FALSE)</f>
        <v>#N/A</v>
      </c>
    </row>
    <row r="82" spans="1:49" x14ac:dyDescent="0.25">
      <c r="A82" s="110" t="str">
        <f t="shared" ca="1" si="5"/>
        <v>95-010-73</v>
      </c>
      <c r="B82" s="107" t="str">
        <f ca="1">_xlfn.LET(_xlpm.CAPS,0,_xlpm.Style,TRIM(_xlfn.XLOOKUP($A82,Строчный!$A:$A,Строчный!B:B,"ERR",0)),IF(_xlpm.CAPS=0,_xlpm.Style,LOWER(_xlpm.Style)))</f>
        <v>3125</v>
      </c>
      <c r="C82" s="81" t="str">
        <f ca="1">TRIM(PROPER(_xlfn.XLOOKUP($A82,Строчный!$A:$A,Строчный!C:C,"ERR",0)))</f>
        <v>Кепки</v>
      </c>
      <c r="D82" s="81" t="str">
        <f ca="1">_xlfn.LET(_xlpm.DATA,TRIM(_xlfn.XLOOKUP($A82,Строчный!$A:$A,Строчный!D:D,"ERR",0)),UPPER(MID(_xlpm.DATA,1,1))&amp;LOWER(MID(_xlpm.DATA,2,LEN(_xlpm.DATA)-1)))</f>
        <v>Кепка плоская</v>
      </c>
      <c r="E82" s="81" t="str">
        <f ca="1">PROPER(TRIM(_xlfn.XLOOKUP($A82,Строчный!$A:$A,Строчный!E:E,"ERR",0)))</f>
        <v>Fredrikson</v>
      </c>
      <c r="F82" s="81" t="str">
        <f ca="1">LOWER(TRIM(_xlfn.XLOOKUP($A82,Строчный!$A:$A,Строчный!F:F,"ERR",0)))</f>
        <v>всесезон</v>
      </c>
      <c r="G82" s="81" t="str">
        <f ca="1">UPPER(TRIM(_xlfn.XLOOKUP($A82,Строчный!$A:$A,Строчный!G:G,"ERR",0)))</f>
        <v>FREDRIKSON</v>
      </c>
      <c r="H82" s="81" t="str">
        <f ca="1">LOWER(TRIM(_xlfn.XLOOKUP($A82,Строчный!$A:$A,Строчный!H:H,"ERR",0)))</f>
        <v>667/57</v>
      </c>
      <c r="I82" s="81" t="str">
        <f ca="1">LOWER(TRIM(_xlfn.XLOOKUP($A82,Строчный!$A:$A,Строчный!I:I,"ERR",0)))</f>
        <v>бежевый / коричневый</v>
      </c>
      <c r="J82" s="81" t="str">
        <f ca="1">SUBSTITUTE(LOWER(TRIM(_xlfn.XLOOKUP($A82,Строчный!$A:$A,Строчный!J:J,"ERR",0))),"подклад","Подклад")</f>
        <v>80% шерсть - 20% полиамид / Подклад: 100% вискоза</v>
      </c>
      <c r="K82" s="81" t="str">
        <f ca="1">LOWER(TRIM(_xlfn.XLOOKUP($A82,Строчный!$A:$A,Строчный!K:K,"ERR",0)))</f>
        <v>шерстяные</v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Россия</v>
      </c>
      <c r="N82" s="81" t="str">
        <f ca="1">UPPER(TRIM(_xlfn.XLOOKUP($A82,Строчный!$A:$A,Строчный!O:O,"ERR",0)))</f>
        <v/>
      </c>
      <c r="O82" s="102" t="str">
        <f ca="1">PROPER(TRIM(_xlfn.XLOOKUP($A82,Строчный!$A:$A,Строчный!P:P,"ERR",0)))</f>
        <v/>
      </c>
      <c r="P82" s="81" t="str">
        <f ca="1">PROPER(TRIM(_xlfn.XLOOKUP($A82,Строчный!$A:$A,Строчный!R:R,"ERR",0)))</f>
        <v/>
      </c>
      <c r="Q82" s="90">
        <f ca="1">VALUE(_xlfn.XLOOKUP($A82,Строчный!$A:$A,Строчный!N:N,"ERR",0))</f>
        <v>975.8</v>
      </c>
      <c r="R82" s="89" t="str">
        <f ca="1">_xlfn.XLOOKUP($G82,Фабрика!A:A,Фабрика!B:B,"ERR",0)</f>
        <v>ООО "ФРЭДРИКСОН" Россия 192029, С-Петербург, пр. Обуховской обороны, д.86, лит М</v>
      </c>
      <c r="S82" s="80" t="str">
        <f ca="1">_xlfn.XLOOKUP(RIGHT(AA82,2),Размеры!D:D,Размеры!A:A,"ERR",0)</f>
        <v>60</v>
      </c>
      <c r="T82" s="80">
        <f ca="1">VALUE(_xlfn.XLOOKUP($AA82,Строчный!$S:$S,Строчный!U:U,"ERR",0))</f>
        <v>12</v>
      </c>
      <c r="U82" s="14" t="s">
        <v>265</v>
      </c>
      <c r="V82" s="101" t="str">
        <f t="shared" ca="1" si="6"/>
        <v>Кепка FREDRIKSON арт. 3125 (бежевый / коричневый)</v>
      </c>
      <c r="W82" s="100" t="str">
        <f t="shared" ca="1" si="7"/>
        <v>Кепка FREDRIKSON арт. 3125 (бежевый / коричневый) {667/57}</v>
      </c>
      <c r="X82" s="18" t="str">
        <f t="shared" ca="1" si="8"/>
        <v>бежевый</v>
      </c>
      <c r="Y82" s="18" t="str">
        <f t="shared" ca="1" si="9"/>
        <v>коричневый</v>
      </c>
      <c r="Z82" s="117" t="str">
        <f ca="1">_xlfn.LET(_xlpm.FormColors,_xlfn.XLOOKUP(A82,Строчный!A:A,Строчный!Q:Q,"",0),IF(_xlpm.FormColors=0,IFERROR(MID(I82,FIND("-",I82)+1,LEN(I82)),IFERROR(MID(I82,1,FIND("/",I82)-2),I82)),_xlpm.FormColors))</f>
        <v>бежевый</v>
      </c>
      <c r="AA82" s="73" t="str">
        <f ca="1"/>
        <v>95-010-73-60</v>
      </c>
      <c r="AB82" s="75" t="str">
        <f ca="1">VLOOKUP(C82,Группа!A:B,2,FALSE)</f>
        <v>Кепка</v>
      </c>
      <c r="AC82" s="97" t="str">
        <f ca="1">IFERROR(VLOOKUP(S82,Размеры!A:C,3,FALSE),"")</f>
        <v>60 L/XL</v>
      </c>
      <c r="AD82" s="97" t="str">
        <f ca="1">VLOOKUP(I82,ЦветПолный!A:B,2,FALSE)</f>
        <v>73</v>
      </c>
      <c r="AE82" s="97" t="str">
        <f ca="1">IFERROR(VLOOKUP(S82,Размеры!A:D,4,FALSE),"")</f>
        <v>60</v>
      </c>
      <c r="AF82" s="97">
        <f ca="1">IF(LEFT(IFERROR(VLOOKUP(LOOKUP(2,1/SEARCH(B82,Товары!A:A),Товары!A:A),Товары!A:B,2,0),""),6)=MID(AA82,1,6),1,0)</f>
        <v>0</v>
      </c>
      <c r="AH82" s="97">
        <f ca="1">SUMIF(Группа!A:A,C82,Группа!C:C)</f>
        <v>1</v>
      </c>
      <c r="AI82" s="97">
        <f ca="1">SUMIF(Группа!B:B,AB82,Группа!C:C)</f>
        <v>1</v>
      </c>
      <c r="AJ82" s="97">
        <f ca="1">SUMIF(Формы!A:A,D82,Формы!B:B)</f>
        <v>1</v>
      </c>
      <c r="AK82" s="97">
        <f ca="1">SUMIF(Материал!A:A,K82,Материал!B:B)</f>
        <v>1</v>
      </c>
      <c r="AL82" s="97">
        <f ca="1">SUMIF(Размеры!A:A,S82,Размеры!E:E)</f>
        <v>1</v>
      </c>
      <c r="AM82" s="97">
        <f ca="1">SUMIF(Сезон!A:A,F82,Сезон!B:B)</f>
        <v>1</v>
      </c>
      <c r="AN82" s="97">
        <f ca="1">SUMIF(Состав!A:A,J82,Состав!B:B)</f>
        <v>0</v>
      </c>
      <c r="AO82" s="97">
        <f ca="1">VLOOKUP(I82,ЦветПолный!A:C,3,0)</f>
        <v>1</v>
      </c>
      <c r="AP82" s="97">
        <f ca="1">SUMIF(Цвет!A:A,Z82,Цвет!B:B)</f>
        <v>1</v>
      </c>
      <c r="AQ82" s="97">
        <f ca="1">_xlfn.XLOOKUP(L82,Пол!A:A,Пол!B:B,0,0)</f>
        <v>1</v>
      </c>
      <c r="AR82" s="97">
        <f ca="1">SUMIF(Бренд!A:A,G82,Бренд!B:B)</f>
        <v>1</v>
      </c>
      <c r="AS82" s="97">
        <f ca="1">SUMIF(Страна!A:A,M82,Страна!B:B)</f>
        <v>1</v>
      </c>
      <c r="AT82" s="64" t="e">
        <f ca="1">IF(VLOOKUP(W82,Товары!A:B,2,FALSE)=A82,"Есть в 1С","ERR")</f>
        <v>#N/A</v>
      </c>
      <c r="AU82" s="65" t="e">
        <f ca="1">IF(VLOOKUP(A82,Товары!B:B,1,FALSE)=A82,"Есть в 1С","ERR")</f>
        <v>#N/A</v>
      </c>
      <c r="AV82" s="96" t="e">
        <f ca="1">VLOOKUP(W82,Товары!A:B,2,FALSE)</f>
        <v>#N/A</v>
      </c>
      <c r="AW82" s="94" t="e">
        <f ca="1">VLOOKUP(W82,Товары!A:B,1,FALSE)</f>
        <v>#N/A</v>
      </c>
    </row>
    <row r="83" spans="1:49" x14ac:dyDescent="0.25">
      <c r="A83" s="110" t="str">
        <f t="shared" ca="1" si="5"/>
        <v>95-010-73</v>
      </c>
      <c r="B83" s="107" t="str">
        <f ca="1">_xlfn.LET(_xlpm.CAPS,0,_xlpm.Style,TRIM(_xlfn.XLOOKUP($A83,Строчный!$A:$A,Строчный!B:B,"ERR",0)),IF(_xlpm.CAPS=0,_xlpm.Style,LOWER(_xlpm.Style)))</f>
        <v>3125</v>
      </c>
      <c r="C83" s="81" t="str">
        <f ca="1">TRIM(PROPER(_xlfn.XLOOKUP($A83,Строчный!$A:$A,Строчный!C:C,"ERR",0)))</f>
        <v>Кепки</v>
      </c>
      <c r="D83" s="81" t="str">
        <f ca="1">_xlfn.LET(_xlpm.DATA,TRIM(_xlfn.XLOOKUP($A83,Строчный!$A:$A,Строчный!D:D,"ERR",0)),UPPER(MID(_xlpm.DATA,1,1))&amp;LOWER(MID(_xlpm.DATA,2,LEN(_xlpm.DATA)-1)))</f>
        <v>Кепка плоская</v>
      </c>
      <c r="E83" s="81" t="str">
        <f ca="1">PROPER(TRIM(_xlfn.XLOOKUP($A83,Строчный!$A:$A,Строчный!E:E,"ERR",0)))</f>
        <v>Fredrikson</v>
      </c>
      <c r="F83" s="81" t="str">
        <f ca="1">LOWER(TRIM(_xlfn.XLOOKUP($A83,Строчный!$A:$A,Строчный!F:F,"ERR",0)))</f>
        <v>всесезон</v>
      </c>
      <c r="G83" s="81" t="str">
        <f ca="1">UPPER(TRIM(_xlfn.XLOOKUP($A83,Строчный!$A:$A,Строчный!G:G,"ERR",0)))</f>
        <v>FREDRIKSON</v>
      </c>
      <c r="H83" s="81" t="str">
        <f ca="1">LOWER(TRIM(_xlfn.XLOOKUP($A83,Строчный!$A:$A,Строчный!H:H,"ERR",0)))</f>
        <v>667/57</v>
      </c>
      <c r="I83" s="81" t="str">
        <f ca="1">LOWER(TRIM(_xlfn.XLOOKUP($A83,Строчный!$A:$A,Строчный!I:I,"ERR",0)))</f>
        <v>бежевый / коричневый</v>
      </c>
      <c r="J83" s="81" t="str">
        <f ca="1">SUBSTITUTE(LOWER(TRIM(_xlfn.XLOOKUP($A83,Строчный!$A:$A,Строчный!J:J,"ERR",0))),"подклад","Подклад")</f>
        <v>80% шерсть - 20% полиамид / Подклад: 100% вискоза</v>
      </c>
      <c r="K83" s="81" t="str">
        <f ca="1">LOWER(TRIM(_xlfn.XLOOKUP($A83,Строчный!$A:$A,Строчный!K:K,"ERR",0)))</f>
        <v>шерстяные</v>
      </c>
      <c r="L83" s="81" t="str">
        <f ca="1">PROPER(TRIM(_xlfn.XLOOKUP($A83,Строчный!$A:$A,Строчный!L:L,"ERR",0)))</f>
        <v>Унисекс</v>
      </c>
      <c r="M83" s="113" t="str">
        <f ca="1">PROPER(TRIM(_xlfn.XLOOKUP($A83,Строчный!$A:$A,Строчный!M:M,"ERR",0)))</f>
        <v>Россия</v>
      </c>
      <c r="N83" s="81" t="str">
        <f ca="1">UPPER(TRIM(_xlfn.XLOOKUP($A83,Строчный!$A:$A,Строчный!O:O,"ERR",0)))</f>
        <v/>
      </c>
      <c r="O83" s="102" t="str">
        <f ca="1">PROPER(TRIM(_xlfn.XLOOKUP($A83,Строчный!$A:$A,Строчный!P:P,"ERR",0)))</f>
        <v/>
      </c>
      <c r="P83" s="81" t="str">
        <f ca="1">PROPER(TRIM(_xlfn.XLOOKUP($A83,Строчный!$A:$A,Строчный!R:R,"ERR",0)))</f>
        <v/>
      </c>
      <c r="Q83" s="90">
        <f ca="1">VALUE(_xlfn.XLOOKUP($A83,Строчный!$A:$A,Строчный!N:N,"ERR",0))</f>
        <v>975.8</v>
      </c>
      <c r="R83" s="89" t="str">
        <f ca="1">_xlfn.XLOOKUP($G83,Фабрика!A:A,Фабрика!B:B,"ERR",0)</f>
        <v>ООО "ФРЭДРИКСОН" Россия 192029, С-Петербург, пр. Обуховской обороны, д.86, лит М</v>
      </c>
      <c r="S83" s="80" t="str">
        <f ca="1">_xlfn.XLOOKUP(RIGHT(AA83,2),Размеры!D:D,Размеры!A:A,"ERR",0)</f>
        <v>59</v>
      </c>
      <c r="T83" s="80">
        <f ca="1">VALUE(_xlfn.XLOOKUP($AA83,Строчный!$S:$S,Строчный!U:U,"ERR",0))</f>
        <v>16</v>
      </c>
      <c r="U83" s="14" t="s">
        <v>265</v>
      </c>
      <c r="V83" s="101" t="str">
        <f t="shared" ca="1" si="6"/>
        <v>Кепка FREDRIKSON арт. 3125 (бежевый / коричневый)</v>
      </c>
      <c r="W83" s="100" t="str">
        <f t="shared" ca="1" si="7"/>
        <v>Кепка FREDRIKSON арт. 3125 (бежевый / коричневый) {667/57}</v>
      </c>
      <c r="X83" s="18" t="str">
        <f t="shared" ca="1" si="8"/>
        <v>бежевый</v>
      </c>
      <c r="Y83" s="18" t="str">
        <f t="shared" ca="1" si="9"/>
        <v>коричневый</v>
      </c>
      <c r="Z83" s="117" t="str">
        <f ca="1">_xlfn.LET(_xlpm.FormColors,_xlfn.XLOOKUP(A83,Строчный!A:A,Строчный!Q:Q,"",0),IF(_xlpm.FormColors=0,IFERROR(MID(I83,FIND("-",I83)+1,LEN(I83)),IFERROR(MID(I83,1,FIND("/",I83)-2),I83)),_xlpm.FormColors))</f>
        <v>бежевый</v>
      </c>
      <c r="AA83" s="73" t="str">
        <f ca="1"/>
        <v>95-010-73-59</v>
      </c>
      <c r="AB83" s="75" t="str">
        <f ca="1">VLOOKUP(C83,Группа!A:B,2,FALSE)</f>
        <v>Кепка</v>
      </c>
      <c r="AC83" s="97" t="str">
        <f ca="1">IFERROR(VLOOKUP(S83,Размеры!A:C,3,FALSE),"")</f>
        <v>59 L</v>
      </c>
      <c r="AD83" s="97" t="str">
        <f ca="1">VLOOKUP(I83,ЦветПолный!A:B,2,FALSE)</f>
        <v>73</v>
      </c>
      <c r="AE83" s="97" t="str">
        <f ca="1">IFERROR(VLOOKUP(S83,Размеры!A:D,4,FALSE),"")</f>
        <v>59</v>
      </c>
      <c r="AF83" s="97">
        <f ca="1">IF(LEFT(IFERROR(VLOOKUP(LOOKUP(2,1/SEARCH(B83,Товары!A:A),Товары!A:A),Товары!A:B,2,0),""),6)=MID(AA83,1,6),1,0)</f>
        <v>0</v>
      </c>
      <c r="AH83" s="97">
        <f ca="1">SUMIF(Группа!A:A,C83,Группа!C:C)</f>
        <v>1</v>
      </c>
      <c r="AI83" s="97">
        <f ca="1">SUMIF(Группа!B:B,AB83,Группа!C:C)</f>
        <v>1</v>
      </c>
      <c r="AJ83" s="97">
        <f ca="1">SUMIF(Формы!A:A,D83,Формы!B:B)</f>
        <v>1</v>
      </c>
      <c r="AK83" s="97">
        <f ca="1">SUMIF(Материал!A:A,K83,Материал!B:B)</f>
        <v>1</v>
      </c>
      <c r="AL83" s="97">
        <f ca="1">SUMIF(Размеры!A:A,S83,Размеры!E:E)</f>
        <v>1</v>
      </c>
      <c r="AM83" s="97">
        <f ca="1">SUMIF(Сезон!A:A,F83,Сезон!B:B)</f>
        <v>1</v>
      </c>
      <c r="AN83" s="97">
        <f ca="1">SUMIF(Состав!A:A,J83,Состав!B:B)</f>
        <v>0</v>
      </c>
      <c r="AO83" s="97">
        <f ca="1">VLOOKUP(I83,ЦветПолный!A:C,3,0)</f>
        <v>1</v>
      </c>
      <c r="AP83" s="97">
        <f ca="1">SUMIF(Цвет!A:A,Z83,Цвет!B:B)</f>
        <v>1</v>
      </c>
      <c r="AQ83" s="97">
        <f ca="1">_xlfn.XLOOKUP(L83,Пол!A:A,Пол!B:B,0,0)</f>
        <v>1</v>
      </c>
      <c r="AR83" s="97">
        <f ca="1">SUMIF(Бренд!A:A,G83,Бренд!B:B)</f>
        <v>1</v>
      </c>
      <c r="AS83" s="97">
        <f ca="1">SUMIF(Страна!A:A,M83,Страна!B:B)</f>
        <v>1</v>
      </c>
      <c r="AT83" s="64" t="e">
        <f ca="1">IF(VLOOKUP(W83,Товары!A:B,2,FALSE)=A83,"Есть в 1С","ERR")</f>
        <v>#N/A</v>
      </c>
      <c r="AU83" s="65" t="e">
        <f ca="1">IF(VLOOKUP(A83,Товары!B:B,1,FALSE)=A83,"Есть в 1С","ERR")</f>
        <v>#N/A</v>
      </c>
      <c r="AV83" s="96" t="e">
        <f ca="1">VLOOKUP(W83,Товары!A:B,2,FALSE)</f>
        <v>#N/A</v>
      </c>
      <c r="AW83" s="94" t="e">
        <f ca="1">VLOOKUP(W83,Товары!A:B,1,FALSE)</f>
        <v>#N/A</v>
      </c>
    </row>
    <row r="84" spans="1:49" x14ac:dyDescent="0.25">
      <c r="A84" s="110" t="str">
        <f t="shared" ca="1" si="5"/>
        <v>95-010-73</v>
      </c>
      <c r="B84" s="107" t="str">
        <f ca="1">_xlfn.LET(_xlpm.CAPS,0,_xlpm.Style,TRIM(_xlfn.XLOOKUP($A84,Строчный!$A:$A,Строчный!B:B,"ERR",0)),IF(_xlpm.CAPS=0,_xlpm.Style,LOWER(_xlpm.Style)))</f>
        <v>3125</v>
      </c>
      <c r="C84" s="81" t="str">
        <f ca="1">TRIM(PROPER(_xlfn.XLOOKUP($A84,Строчный!$A:$A,Строчный!C:C,"ERR",0)))</f>
        <v>Кепки</v>
      </c>
      <c r="D84" s="81" t="str">
        <f ca="1">_xlfn.LET(_xlpm.DATA,TRIM(_xlfn.XLOOKUP($A84,Строчный!$A:$A,Строчный!D:D,"ERR",0)),UPPER(MID(_xlpm.DATA,1,1))&amp;LOWER(MID(_xlpm.DATA,2,LEN(_xlpm.DATA)-1)))</f>
        <v>Кепка плоская</v>
      </c>
      <c r="E84" s="81" t="str">
        <f ca="1">PROPER(TRIM(_xlfn.XLOOKUP($A84,Строчный!$A:$A,Строчный!E:E,"ERR",0)))</f>
        <v>Fredrikson</v>
      </c>
      <c r="F84" s="81" t="str">
        <f ca="1">LOWER(TRIM(_xlfn.XLOOKUP($A84,Строчный!$A:$A,Строчный!F:F,"ERR",0)))</f>
        <v>всесезон</v>
      </c>
      <c r="G84" s="81" t="str">
        <f ca="1">UPPER(TRIM(_xlfn.XLOOKUP($A84,Строчный!$A:$A,Строчный!G:G,"ERR",0)))</f>
        <v>FREDRIKSON</v>
      </c>
      <c r="H84" s="81" t="str">
        <f ca="1">LOWER(TRIM(_xlfn.XLOOKUP($A84,Строчный!$A:$A,Строчный!H:H,"ERR",0)))</f>
        <v>667/57</v>
      </c>
      <c r="I84" s="81" t="str">
        <f ca="1">LOWER(TRIM(_xlfn.XLOOKUP($A84,Строчный!$A:$A,Строчный!I:I,"ERR",0)))</f>
        <v>бежевый / коричневый</v>
      </c>
      <c r="J84" s="81" t="str">
        <f ca="1">SUBSTITUTE(LOWER(TRIM(_xlfn.XLOOKUP($A84,Строчный!$A:$A,Строчный!J:J,"ERR",0))),"подклад","Подклад")</f>
        <v>80% шерсть - 20% полиамид / Подклад: 100% вискоза</v>
      </c>
      <c r="K84" s="81" t="str">
        <f ca="1">LOWER(TRIM(_xlfn.XLOOKUP($A84,Строчный!$A:$A,Строчный!K:K,"ERR",0)))</f>
        <v>шерстяные</v>
      </c>
      <c r="L84" s="81" t="str">
        <f ca="1">PROPER(TRIM(_xlfn.XLOOKUP($A84,Строчный!$A:$A,Строчный!L:L,"ERR",0)))</f>
        <v>Унисекс</v>
      </c>
      <c r="M84" s="113" t="str">
        <f ca="1">PROPER(TRIM(_xlfn.XLOOKUP($A84,Строчный!$A:$A,Строчный!M:M,"ERR",0)))</f>
        <v>Россия</v>
      </c>
      <c r="N84" s="81" t="str">
        <f ca="1">UPPER(TRIM(_xlfn.XLOOKUP($A84,Строчный!$A:$A,Строчный!O:O,"ERR",0)))</f>
        <v/>
      </c>
      <c r="O84" s="102" t="str">
        <f ca="1">PROPER(TRIM(_xlfn.XLOOKUP($A84,Строчный!$A:$A,Строчный!P:P,"ERR",0)))</f>
        <v/>
      </c>
      <c r="P84" s="81" t="str">
        <f ca="1">PROPER(TRIM(_xlfn.XLOOKUP($A84,Строчный!$A:$A,Строчный!R:R,"ERR",0)))</f>
        <v/>
      </c>
      <c r="Q84" s="90">
        <f ca="1">VALUE(_xlfn.XLOOKUP($A84,Строчный!$A:$A,Строчный!N:N,"ERR",0))</f>
        <v>975.8</v>
      </c>
      <c r="R84" s="89" t="str">
        <f ca="1">_xlfn.XLOOKUP($G84,Фабрика!A:A,Фабрика!B:B,"ERR",0)</f>
        <v>ООО "ФРЭДРИКСОН" Россия 192029, С-Петербург, пр. Обуховской обороны, д.86, лит М</v>
      </c>
      <c r="S84" s="80" t="str">
        <f ca="1">_xlfn.XLOOKUP(RIGHT(AA84,2),Размеры!D:D,Размеры!A:A,"ERR",0)</f>
        <v>58</v>
      </c>
      <c r="T84" s="80">
        <f ca="1">VALUE(_xlfn.XLOOKUP($AA84,Строчный!$S:$S,Строчный!U:U,"ERR",0))</f>
        <v>12</v>
      </c>
      <c r="U84" s="14" t="s">
        <v>265</v>
      </c>
      <c r="V84" s="101" t="str">
        <f t="shared" ca="1" si="6"/>
        <v>Кепка FREDRIKSON арт. 3125 (бежевый / коричневый)</v>
      </c>
      <c r="W84" s="100" t="str">
        <f t="shared" ca="1" si="7"/>
        <v>Кепка FREDRIKSON арт. 3125 (бежевый / коричневый) {667/57}</v>
      </c>
      <c r="X84" s="18" t="str">
        <f t="shared" ca="1" si="8"/>
        <v>бежевый</v>
      </c>
      <c r="Y84" s="18" t="str">
        <f t="shared" ca="1" si="9"/>
        <v>коричневый</v>
      </c>
      <c r="Z84" s="117" t="str">
        <f ca="1">_xlfn.LET(_xlpm.FormColors,_xlfn.XLOOKUP(A84,Строчный!A:A,Строчный!Q:Q,"",0),IF(_xlpm.FormColors=0,IFERROR(MID(I84,FIND("-",I84)+1,LEN(I84)),IFERROR(MID(I84,1,FIND("/",I84)-2),I84)),_xlpm.FormColors))</f>
        <v>бежевый</v>
      </c>
      <c r="AA84" s="73" t="str">
        <f ca="1"/>
        <v>95-010-73-58</v>
      </c>
      <c r="AB84" s="75" t="str">
        <f ca="1">VLOOKUP(C84,Группа!A:B,2,FALSE)</f>
        <v>Кепка</v>
      </c>
      <c r="AC84" s="97" t="str">
        <f ca="1">IFERROR(VLOOKUP(S84,Размеры!A:C,3,FALSE),"")</f>
        <v>58 M/L</v>
      </c>
      <c r="AD84" s="97" t="str">
        <f ca="1">VLOOKUP(I84,ЦветПолный!A:B,2,FALSE)</f>
        <v>73</v>
      </c>
      <c r="AE84" s="97" t="str">
        <f ca="1">IFERROR(VLOOKUP(S84,Размеры!A:D,4,FALSE),"")</f>
        <v>58</v>
      </c>
      <c r="AF84" s="97">
        <f ca="1">IF(LEFT(IFERROR(VLOOKUP(LOOKUP(2,1/SEARCH(B84,Товары!A:A),Товары!A:A),Товары!A:B,2,0),""),6)=MID(AA84,1,6),1,0)</f>
        <v>0</v>
      </c>
      <c r="AH84" s="97">
        <f ca="1">SUMIF(Группа!A:A,C84,Группа!C:C)</f>
        <v>1</v>
      </c>
      <c r="AI84" s="97">
        <f ca="1">SUMIF(Группа!B:B,AB84,Группа!C:C)</f>
        <v>1</v>
      </c>
      <c r="AJ84" s="97">
        <f ca="1">SUMIF(Формы!A:A,D84,Формы!B:B)</f>
        <v>1</v>
      </c>
      <c r="AK84" s="97">
        <f ca="1">SUMIF(Материал!A:A,K84,Материал!B:B)</f>
        <v>1</v>
      </c>
      <c r="AL84" s="97">
        <f ca="1">SUMIF(Размеры!A:A,S84,Размеры!E:E)</f>
        <v>1</v>
      </c>
      <c r="AM84" s="97">
        <f ca="1">SUMIF(Сезон!A:A,F84,Сезон!B:B)</f>
        <v>1</v>
      </c>
      <c r="AN84" s="97">
        <f ca="1">SUMIF(Состав!A:A,J84,Состав!B:B)</f>
        <v>0</v>
      </c>
      <c r="AO84" s="97">
        <f ca="1">VLOOKUP(I84,ЦветПолный!A:C,3,0)</f>
        <v>1</v>
      </c>
      <c r="AP84" s="97">
        <f ca="1">SUMIF(Цвет!A:A,Z84,Цвет!B:B)</f>
        <v>1</v>
      </c>
      <c r="AQ84" s="97">
        <f ca="1">_xlfn.XLOOKUP(L84,Пол!A:A,Пол!B:B,0,0)</f>
        <v>1</v>
      </c>
      <c r="AR84" s="97">
        <f ca="1">SUMIF(Бренд!A:A,G84,Бренд!B:B)</f>
        <v>1</v>
      </c>
      <c r="AS84" s="97">
        <f ca="1">SUMIF(Страна!A:A,M84,Страна!B:B)</f>
        <v>1</v>
      </c>
      <c r="AT84" s="64" t="e">
        <f ca="1">IF(VLOOKUP(W84,Товары!A:B,2,FALSE)=A84,"Есть в 1С","ERR")</f>
        <v>#N/A</v>
      </c>
      <c r="AU84" s="65" t="e">
        <f ca="1">IF(VLOOKUP(A84,Товары!B:B,1,FALSE)=A84,"Есть в 1С","ERR")</f>
        <v>#N/A</v>
      </c>
      <c r="AV84" s="96" t="e">
        <f ca="1">VLOOKUP(W84,Товары!A:B,2,FALSE)</f>
        <v>#N/A</v>
      </c>
      <c r="AW84" s="94" t="e">
        <f ca="1">VLOOKUP(W84,Товары!A:B,1,FALSE)</f>
        <v>#N/A</v>
      </c>
    </row>
    <row r="85" spans="1:49" x14ac:dyDescent="0.25">
      <c r="A85" s="110" t="str">
        <f t="shared" ca="1" si="5"/>
        <v>95-010-73</v>
      </c>
      <c r="B85" s="107" t="str">
        <f ca="1">_xlfn.LET(_xlpm.CAPS,0,_xlpm.Style,TRIM(_xlfn.XLOOKUP($A85,Строчный!$A:$A,Строчный!B:B,"ERR",0)),IF(_xlpm.CAPS=0,_xlpm.Style,LOWER(_xlpm.Style)))</f>
        <v>3125</v>
      </c>
      <c r="C85" s="81" t="str">
        <f ca="1">TRIM(PROPER(_xlfn.XLOOKUP($A85,Строчный!$A:$A,Строчный!C:C,"ERR",0)))</f>
        <v>Кепки</v>
      </c>
      <c r="D85" s="81" t="str">
        <f ca="1">_xlfn.LET(_xlpm.DATA,TRIM(_xlfn.XLOOKUP($A85,Строчный!$A:$A,Строчный!D:D,"ERR",0)),UPPER(MID(_xlpm.DATA,1,1))&amp;LOWER(MID(_xlpm.DATA,2,LEN(_xlpm.DATA)-1)))</f>
        <v>Кепка плоская</v>
      </c>
      <c r="E85" s="81" t="str">
        <f ca="1">PROPER(TRIM(_xlfn.XLOOKUP($A85,Строчный!$A:$A,Строчный!E:E,"ERR",0)))</f>
        <v>Fredrikson</v>
      </c>
      <c r="F85" s="81" t="str">
        <f ca="1">LOWER(TRIM(_xlfn.XLOOKUP($A85,Строчный!$A:$A,Строчный!F:F,"ERR",0)))</f>
        <v>всесезон</v>
      </c>
      <c r="G85" s="81" t="str">
        <f ca="1">UPPER(TRIM(_xlfn.XLOOKUP($A85,Строчный!$A:$A,Строчный!G:G,"ERR",0)))</f>
        <v>FREDRIKSON</v>
      </c>
      <c r="H85" s="81" t="str">
        <f ca="1">LOWER(TRIM(_xlfn.XLOOKUP($A85,Строчный!$A:$A,Строчный!H:H,"ERR",0)))</f>
        <v>667/57</v>
      </c>
      <c r="I85" s="81" t="str">
        <f ca="1">LOWER(TRIM(_xlfn.XLOOKUP($A85,Строчный!$A:$A,Строчный!I:I,"ERR",0)))</f>
        <v>бежевый / коричневый</v>
      </c>
      <c r="J85" s="81" t="str">
        <f ca="1">SUBSTITUTE(LOWER(TRIM(_xlfn.XLOOKUP($A85,Строчный!$A:$A,Строчный!J:J,"ERR",0))),"подклад","Подклад")</f>
        <v>80% шерсть - 20% полиамид / Подклад: 100% вискоза</v>
      </c>
      <c r="K85" s="81" t="str">
        <f ca="1">LOWER(TRIM(_xlfn.XLOOKUP($A85,Строчный!$A:$A,Строчный!K:K,"ERR",0)))</f>
        <v>шерстяные</v>
      </c>
      <c r="L85" s="81" t="str">
        <f ca="1">PROPER(TRIM(_xlfn.XLOOKUP($A85,Строчный!$A:$A,Строчный!L:L,"ERR",0)))</f>
        <v>Унисекс</v>
      </c>
      <c r="M85" s="113" t="str">
        <f ca="1">PROPER(TRIM(_xlfn.XLOOKUP($A85,Строчный!$A:$A,Строчный!M:M,"ERR",0)))</f>
        <v>Россия</v>
      </c>
      <c r="N85" s="81" t="str">
        <f ca="1">UPPER(TRIM(_xlfn.XLOOKUP($A85,Строчный!$A:$A,Строчный!O:O,"ERR",0)))</f>
        <v/>
      </c>
      <c r="O85" s="102" t="str">
        <f ca="1">PROPER(TRIM(_xlfn.XLOOKUP($A85,Строчный!$A:$A,Строчный!P:P,"ERR",0)))</f>
        <v/>
      </c>
      <c r="P85" s="81" t="str">
        <f ca="1">PROPER(TRIM(_xlfn.XLOOKUP($A85,Строчный!$A:$A,Строчный!R:R,"ERR",0)))</f>
        <v/>
      </c>
      <c r="Q85" s="90">
        <f ca="1">VALUE(_xlfn.XLOOKUP($A85,Строчный!$A:$A,Строчный!N:N,"ERR",0))</f>
        <v>975.8</v>
      </c>
      <c r="R85" s="89" t="str">
        <f ca="1">_xlfn.XLOOKUP($G85,Фабрика!A:A,Фабрика!B:B,"ERR",0)</f>
        <v>ООО "ФРЭДРИКСОН" Россия 192029, С-Петербург, пр. Обуховской обороны, д.86, лит М</v>
      </c>
      <c r="S85" s="80" t="str">
        <f ca="1">_xlfn.XLOOKUP(RIGHT(AA85,2),Размеры!D:D,Размеры!A:A,"ERR",0)</f>
        <v>57</v>
      </c>
      <c r="T85" s="80">
        <f ca="1">VALUE(_xlfn.XLOOKUP($AA85,Строчный!$S:$S,Строчный!U:U,"ERR",0))</f>
        <v>8</v>
      </c>
      <c r="U85" s="14" t="s">
        <v>265</v>
      </c>
      <c r="V85" s="101" t="str">
        <f t="shared" ca="1" si="6"/>
        <v>Кепка FREDRIKSON арт. 3125 (бежевый / коричневый)</v>
      </c>
      <c r="W85" s="100" t="str">
        <f t="shared" ca="1" si="7"/>
        <v>Кепка FREDRIKSON арт. 3125 (бежевый / коричневый) {667/57}</v>
      </c>
      <c r="X85" s="18" t="str">
        <f t="shared" ca="1" si="8"/>
        <v>бежевый</v>
      </c>
      <c r="Y85" s="18" t="str">
        <f t="shared" ca="1" si="9"/>
        <v>коричневый</v>
      </c>
      <c r="Z85" s="117" t="str">
        <f ca="1">_xlfn.LET(_xlpm.FormColors,_xlfn.XLOOKUP(A85,Строчный!A:A,Строчный!Q:Q,"",0),IF(_xlpm.FormColors=0,IFERROR(MID(I85,FIND("-",I85)+1,LEN(I85)),IFERROR(MID(I85,1,FIND("/",I85)-2),I85)),_xlpm.FormColors))</f>
        <v>бежевый</v>
      </c>
      <c r="AA85" s="73" t="str">
        <f ca="1"/>
        <v>95-010-73-57</v>
      </c>
      <c r="AB85" s="75" t="str">
        <f ca="1">VLOOKUP(C85,Группа!A:B,2,FALSE)</f>
        <v>Кепка</v>
      </c>
      <c r="AC85" s="97" t="str">
        <f ca="1">IFERROR(VLOOKUP(S85,Размеры!A:C,3,FALSE),"")</f>
        <v>57 M</v>
      </c>
      <c r="AD85" s="97" t="str">
        <f ca="1">VLOOKUP(I85,ЦветПолный!A:B,2,FALSE)</f>
        <v>73</v>
      </c>
      <c r="AE85" s="97" t="str">
        <f ca="1">IFERROR(VLOOKUP(S85,Размеры!A:D,4,FALSE),"")</f>
        <v>57</v>
      </c>
      <c r="AF85" s="97">
        <f ca="1">IF(LEFT(IFERROR(VLOOKUP(LOOKUP(2,1/SEARCH(B85,Товары!A:A),Товары!A:A),Товары!A:B,2,0),""),6)=MID(AA85,1,6),1,0)</f>
        <v>0</v>
      </c>
      <c r="AH85" s="97">
        <f ca="1">SUMIF(Группа!A:A,C85,Группа!C:C)</f>
        <v>1</v>
      </c>
      <c r="AI85" s="97">
        <f ca="1">SUMIF(Группа!B:B,AB85,Группа!C:C)</f>
        <v>1</v>
      </c>
      <c r="AJ85" s="97">
        <f ca="1">SUMIF(Формы!A:A,D85,Формы!B:B)</f>
        <v>1</v>
      </c>
      <c r="AK85" s="97">
        <f ca="1">SUMIF(Материал!A:A,K85,Материал!B:B)</f>
        <v>1</v>
      </c>
      <c r="AL85" s="97">
        <f ca="1">SUMIF(Размеры!A:A,S85,Размеры!E:E)</f>
        <v>1</v>
      </c>
      <c r="AM85" s="97">
        <f ca="1">SUMIF(Сезон!A:A,F85,Сезон!B:B)</f>
        <v>1</v>
      </c>
      <c r="AN85" s="97">
        <f ca="1">SUMIF(Состав!A:A,J85,Состав!B:B)</f>
        <v>0</v>
      </c>
      <c r="AO85" s="97">
        <f ca="1">VLOOKUP(I85,ЦветПолный!A:C,3,0)</f>
        <v>1</v>
      </c>
      <c r="AP85" s="97">
        <f ca="1">SUMIF(Цвет!A:A,Z85,Цвет!B:B)</f>
        <v>1</v>
      </c>
      <c r="AQ85" s="97">
        <f ca="1">_xlfn.XLOOKUP(L85,Пол!A:A,Пол!B:B,0,0)</f>
        <v>1</v>
      </c>
      <c r="AR85" s="97">
        <f ca="1">SUMIF(Бренд!A:A,G85,Бренд!B:B)</f>
        <v>1</v>
      </c>
      <c r="AS85" s="97">
        <f ca="1">SUMIF(Страна!A:A,M85,Страна!B:B)</f>
        <v>1</v>
      </c>
      <c r="AT85" s="64" t="e">
        <f ca="1">IF(VLOOKUP(W85,Товары!A:B,2,FALSE)=A85,"Есть в 1С","ERR")</f>
        <v>#N/A</v>
      </c>
      <c r="AU85" s="65" t="e">
        <f ca="1">IF(VLOOKUP(A85,Товары!B:B,1,FALSE)=A85,"Есть в 1С","ERR")</f>
        <v>#N/A</v>
      </c>
      <c r="AV85" s="96" t="e">
        <f ca="1">VLOOKUP(W85,Товары!A:B,2,FALSE)</f>
        <v>#N/A</v>
      </c>
      <c r="AW85" s="94" t="e">
        <f ca="1">VLOOKUP(W85,Товары!A:B,1,FALSE)</f>
        <v>#N/A</v>
      </c>
    </row>
    <row r="86" spans="1:49" x14ac:dyDescent="0.25">
      <c r="A86" s="110" t="str">
        <f t="shared" ca="1" si="5"/>
        <v>95-010-73</v>
      </c>
      <c r="B86" s="107" t="str">
        <f ca="1">_xlfn.LET(_xlpm.CAPS,0,_xlpm.Style,TRIM(_xlfn.XLOOKUP($A86,Строчный!$A:$A,Строчный!B:B,"ERR",0)),IF(_xlpm.CAPS=0,_xlpm.Style,LOWER(_xlpm.Style)))</f>
        <v>3125</v>
      </c>
      <c r="C86" s="81" t="str">
        <f ca="1">TRIM(PROPER(_xlfn.XLOOKUP($A86,Строчный!$A:$A,Строчный!C:C,"ERR",0)))</f>
        <v>Кепки</v>
      </c>
      <c r="D86" s="81" t="str">
        <f ca="1">_xlfn.LET(_xlpm.DATA,TRIM(_xlfn.XLOOKUP($A86,Строчный!$A:$A,Строчный!D:D,"ERR",0)),UPPER(MID(_xlpm.DATA,1,1))&amp;LOWER(MID(_xlpm.DATA,2,LEN(_xlpm.DATA)-1)))</f>
        <v>Кепка плоская</v>
      </c>
      <c r="E86" s="81" t="str">
        <f ca="1">PROPER(TRIM(_xlfn.XLOOKUP($A86,Строчный!$A:$A,Строчный!E:E,"ERR",0)))</f>
        <v>Fredrikson</v>
      </c>
      <c r="F86" s="81" t="str">
        <f ca="1">LOWER(TRIM(_xlfn.XLOOKUP($A86,Строчный!$A:$A,Строчный!F:F,"ERR",0)))</f>
        <v>всесезон</v>
      </c>
      <c r="G86" s="81" t="str">
        <f ca="1">UPPER(TRIM(_xlfn.XLOOKUP($A86,Строчный!$A:$A,Строчный!G:G,"ERR",0)))</f>
        <v>FREDRIKSON</v>
      </c>
      <c r="H86" s="81" t="str">
        <f ca="1">LOWER(TRIM(_xlfn.XLOOKUP($A86,Строчный!$A:$A,Строчный!H:H,"ERR",0)))</f>
        <v>667/57</v>
      </c>
      <c r="I86" s="81" t="str">
        <f ca="1">LOWER(TRIM(_xlfn.XLOOKUP($A86,Строчный!$A:$A,Строчный!I:I,"ERR",0)))</f>
        <v>бежевый / коричневый</v>
      </c>
      <c r="J86" s="81" t="str">
        <f ca="1">SUBSTITUTE(LOWER(TRIM(_xlfn.XLOOKUP($A86,Строчный!$A:$A,Строчный!J:J,"ERR",0))),"подклад","Подклад")</f>
        <v>80% шерсть - 20% полиамид / Подклад: 100% вискоза</v>
      </c>
      <c r="K86" s="81" t="str">
        <f ca="1">LOWER(TRIM(_xlfn.XLOOKUP($A86,Строчный!$A:$A,Строчный!K:K,"ERR",0)))</f>
        <v>шерстяные</v>
      </c>
      <c r="L86" s="81" t="str">
        <f ca="1">PROPER(TRIM(_xlfn.XLOOKUP($A86,Строчный!$A:$A,Строчный!L:L,"ERR",0)))</f>
        <v>Унисекс</v>
      </c>
      <c r="M86" s="113" t="str">
        <f ca="1">PROPER(TRIM(_xlfn.XLOOKUP($A86,Строчный!$A:$A,Строчный!M:M,"ERR",0)))</f>
        <v>Россия</v>
      </c>
      <c r="N86" s="81" t="str">
        <f ca="1">UPPER(TRIM(_xlfn.XLOOKUP($A86,Строчный!$A:$A,Строчный!O:O,"ERR",0)))</f>
        <v/>
      </c>
      <c r="O86" s="102" t="str">
        <f ca="1">PROPER(TRIM(_xlfn.XLOOKUP($A86,Строчный!$A:$A,Строчный!P:P,"ERR",0)))</f>
        <v/>
      </c>
      <c r="P86" s="81" t="str">
        <f ca="1">PROPER(TRIM(_xlfn.XLOOKUP($A86,Строчный!$A:$A,Строчный!R:R,"ERR",0)))</f>
        <v/>
      </c>
      <c r="Q86" s="90">
        <f ca="1">VALUE(_xlfn.XLOOKUP($A86,Строчный!$A:$A,Строчный!N:N,"ERR",0))</f>
        <v>975.8</v>
      </c>
      <c r="R86" s="89" t="str">
        <f ca="1">_xlfn.XLOOKUP($G86,Фабрика!A:A,Фабрика!B:B,"ERR",0)</f>
        <v>ООО "ФРЭДРИКСОН" Россия 192029, С-Петербург, пр. Обуховской обороны, д.86, лит М</v>
      </c>
      <c r="S86" s="80" t="str">
        <f ca="1">_xlfn.XLOOKUP(RIGHT(AA86,2),Размеры!D:D,Размеры!A:A,"ERR",0)</f>
        <v>56</v>
      </c>
      <c r="T86" s="80">
        <f ca="1">VALUE(_xlfn.XLOOKUP($AA86,Строчный!$S:$S,Строчный!U:U,"ERR",0))</f>
        <v>1</v>
      </c>
      <c r="U86" s="14" t="s">
        <v>265</v>
      </c>
      <c r="V86" s="101" t="str">
        <f t="shared" ca="1" si="6"/>
        <v>Кепка FREDRIKSON арт. 3125 (бежевый / коричневый)</v>
      </c>
      <c r="W86" s="100" t="str">
        <f t="shared" ca="1" si="7"/>
        <v>Кепка FREDRIKSON арт. 3125 (бежевый / коричневый) {667/57}</v>
      </c>
      <c r="X86" s="18" t="str">
        <f t="shared" ca="1" si="8"/>
        <v>бежевый</v>
      </c>
      <c r="Y86" s="18" t="str">
        <f t="shared" ca="1" si="9"/>
        <v>коричневый</v>
      </c>
      <c r="Z86" s="117" t="str">
        <f ca="1">_xlfn.LET(_xlpm.FormColors,_xlfn.XLOOKUP(A86,Строчный!A:A,Строчный!Q:Q,"",0),IF(_xlpm.FormColors=0,IFERROR(MID(I86,FIND("-",I86)+1,LEN(I86)),IFERROR(MID(I86,1,FIND("/",I86)-2),I86)),_xlpm.FormColors))</f>
        <v>бежевый</v>
      </c>
      <c r="AA86" s="73" t="str">
        <f ca="1"/>
        <v>95-010-73-56</v>
      </c>
      <c r="AB86" s="75" t="str">
        <f ca="1">VLOOKUP(C86,Группа!A:B,2,FALSE)</f>
        <v>Кепка</v>
      </c>
      <c r="AC86" s="97" t="str">
        <f ca="1">IFERROR(VLOOKUP(S86,Размеры!A:C,3,FALSE),"")</f>
        <v>56 S/M</v>
      </c>
      <c r="AD86" s="97" t="str">
        <f ca="1">VLOOKUP(I86,ЦветПолный!A:B,2,FALSE)</f>
        <v>73</v>
      </c>
      <c r="AE86" s="97" t="str">
        <f ca="1">IFERROR(VLOOKUP(S86,Размеры!A:D,4,FALSE),"")</f>
        <v>56</v>
      </c>
      <c r="AF86" s="97">
        <f ca="1">IF(LEFT(IFERROR(VLOOKUP(LOOKUP(2,1/SEARCH(B86,Товары!A:A),Товары!A:A),Товары!A:B,2,0),""),6)=MID(AA86,1,6),1,0)</f>
        <v>0</v>
      </c>
      <c r="AH86" s="97">
        <f ca="1">SUMIF(Группа!A:A,C86,Группа!C:C)</f>
        <v>1</v>
      </c>
      <c r="AI86" s="97">
        <f ca="1">SUMIF(Группа!B:B,AB86,Группа!C:C)</f>
        <v>1</v>
      </c>
      <c r="AJ86" s="97">
        <f ca="1">SUMIF(Формы!A:A,D86,Формы!B:B)</f>
        <v>1</v>
      </c>
      <c r="AK86" s="97">
        <f ca="1">SUMIF(Материал!A:A,K86,Материал!B:B)</f>
        <v>1</v>
      </c>
      <c r="AL86" s="97">
        <f ca="1">SUMIF(Размеры!A:A,S86,Размеры!E:E)</f>
        <v>1</v>
      </c>
      <c r="AM86" s="97">
        <f ca="1">SUMIF(Сезон!A:A,F86,Сезон!B:B)</f>
        <v>1</v>
      </c>
      <c r="AN86" s="97">
        <f ca="1">SUMIF(Состав!A:A,J86,Состав!B:B)</f>
        <v>0</v>
      </c>
      <c r="AO86" s="97">
        <f ca="1">VLOOKUP(I86,ЦветПолный!A:C,3,0)</f>
        <v>1</v>
      </c>
      <c r="AP86" s="97">
        <f ca="1">SUMIF(Цвет!A:A,Z86,Цвет!B:B)</f>
        <v>1</v>
      </c>
      <c r="AQ86" s="97">
        <f ca="1">_xlfn.XLOOKUP(L86,Пол!A:A,Пол!B:B,0,0)</f>
        <v>1</v>
      </c>
      <c r="AR86" s="97">
        <f ca="1">SUMIF(Бренд!A:A,G86,Бренд!B:B)</f>
        <v>1</v>
      </c>
      <c r="AS86" s="97">
        <f ca="1">SUMIF(Страна!A:A,M86,Страна!B:B)</f>
        <v>1</v>
      </c>
      <c r="AT86" s="64" t="e">
        <f ca="1">IF(VLOOKUP(W86,Товары!A:B,2,FALSE)=A86,"Есть в 1С","ERR")</f>
        <v>#N/A</v>
      </c>
      <c r="AU86" s="65" t="e">
        <f ca="1">IF(VLOOKUP(A86,Товары!B:B,1,FALSE)=A86,"Есть в 1С","ERR")</f>
        <v>#N/A</v>
      </c>
      <c r="AV86" s="96" t="e">
        <f ca="1">VLOOKUP(W86,Товары!A:B,2,FALSE)</f>
        <v>#N/A</v>
      </c>
      <c r="AW86" s="94" t="e">
        <f ca="1">VLOOKUP(W86,Товары!A:B,1,FALSE)</f>
        <v>#N/A</v>
      </c>
    </row>
    <row r="87" spans="1:49" x14ac:dyDescent="0.25">
      <c r="A87" s="110" t="str">
        <f t="shared" ca="1" si="5"/>
        <v>95-010-71</v>
      </c>
      <c r="B87" s="107" t="str">
        <f ca="1">_xlfn.LET(_xlpm.CAPS,0,_xlpm.Style,TRIM(_xlfn.XLOOKUP($A87,Строчный!$A:$A,Строчный!B:B,"ERR",0)),IF(_xlpm.CAPS=0,_xlpm.Style,LOWER(_xlpm.Style)))</f>
        <v>3125</v>
      </c>
      <c r="C87" s="81" t="str">
        <f ca="1">TRIM(PROPER(_xlfn.XLOOKUP($A87,Строчный!$A:$A,Строчный!C:C,"ERR",0)))</f>
        <v>Кепки</v>
      </c>
      <c r="D87" s="81" t="str">
        <f ca="1">_xlfn.LET(_xlpm.DATA,TRIM(_xlfn.XLOOKUP($A87,Строчный!$A:$A,Строчный!D:D,"ERR",0)),UPPER(MID(_xlpm.DATA,1,1))&amp;LOWER(MID(_xlpm.DATA,2,LEN(_xlpm.DATA)-1)))</f>
        <v>Кепка плоская</v>
      </c>
      <c r="E87" s="81" t="str">
        <f ca="1">PROPER(TRIM(_xlfn.XLOOKUP($A87,Строчный!$A:$A,Строчный!E:E,"ERR",0)))</f>
        <v>Fredrikson</v>
      </c>
      <c r="F87" s="81" t="str">
        <f ca="1">LOWER(TRIM(_xlfn.XLOOKUP($A87,Строчный!$A:$A,Строчный!F:F,"ERR",0)))</f>
        <v>всесезон</v>
      </c>
      <c r="G87" s="81" t="str">
        <f ca="1">UPPER(TRIM(_xlfn.XLOOKUP($A87,Строчный!$A:$A,Строчный!G:G,"ERR",0)))</f>
        <v>FREDRIKSON</v>
      </c>
      <c r="H87" s="81" t="str">
        <f ca="1">LOWER(TRIM(_xlfn.XLOOKUP($A87,Строчный!$A:$A,Строчный!H:H,"ERR",0)))</f>
        <v>640/71</v>
      </c>
      <c r="I87" s="81" t="str">
        <f ca="1">LOWER(TRIM(_xlfn.XLOOKUP($A87,Строчный!$A:$A,Строчный!I:I,"ERR",0)))</f>
        <v>темно-серый / черный</v>
      </c>
      <c r="J87" s="81" t="str">
        <f ca="1">SUBSTITUTE(LOWER(TRIM(_xlfn.XLOOKUP($A87,Строчный!$A:$A,Строчный!J:J,"ERR",0))),"подклад","Подклад")</f>
        <v>80% шерсть - 20% полиамид / Подклад: 100% вискоза</v>
      </c>
      <c r="K87" s="81" t="str">
        <f ca="1">LOWER(TRIM(_xlfn.XLOOKUP($A87,Строчный!$A:$A,Строчный!K:K,"ERR",0)))</f>
        <v>шерстяные</v>
      </c>
      <c r="L87" s="81" t="str">
        <f ca="1">PROPER(TRIM(_xlfn.XLOOKUP($A87,Строчный!$A:$A,Строчный!L:L,"ERR",0)))</f>
        <v>Унисекс</v>
      </c>
      <c r="M87" s="113" t="str">
        <f ca="1">PROPER(TRIM(_xlfn.XLOOKUP($A87,Строчный!$A:$A,Строчный!M:M,"ERR",0)))</f>
        <v>Россия</v>
      </c>
      <c r="N87" s="81" t="str">
        <f ca="1">UPPER(TRIM(_xlfn.XLOOKUP($A87,Строчный!$A:$A,Строчный!O:O,"ERR",0)))</f>
        <v/>
      </c>
      <c r="O87" s="102" t="str">
        <f ca="1">PROPER(TRIM(_xlfn.XLOOKUP($A87,Строчный!$A:$A,Строчный!P:P,"ERR",0)))</f>
        <v/>
      </c>
      <c r="P87" s="81" t="str">
        <f ca="1">PROPER(TRIM(_xlfn.XLOOKUP($A87,Строчный!$A:$A,Строчный!R:R,"ERR",0)))</f>
        <v/>
      </c>
      <c r="Q87" s="90">
        <f ca="1">VALUE(_xlfn.XLOOKUP($A87,Строчный!$A:$A,Строчный!N:N,"ERR",0))</f>
        <v>975.8</v>
      </c>
      <c r="R87" s="89" t="str">
        <f ca="1">_xlfn.XLOOKUP($G87,Фабрика!A:A,Фабрика!B:B,"ERR",0)</f>
        <v>ООО "ФРЭДРИКСОН" Россия 192029, С-Петербург, пр. Обуховской обороны, д.86, лит М</v>
      </c>
      <c r="S87" s="80" t="str">
        <f ca="1">_xlfn.XLOOKUP(RIGHT(AA87,2),Размеры!D:D,Размеры!A:A,"ERR",0)</f>
        <v>62</v>
      </c>
      <c r="T87" s="80">
        <f ca="1">VALUE(_xlfn.XLOOKUP($AA87,Строчный!$S:$S,Строчный!U:U,"ERR",0))</f>
        <v>1</v>
      </c>
      <c r="U87" s="14" t="s">
        <v>265</v>
      </c>
      <c r="V87" s="101" t="str">
        <f t="shared" ca="1" si="6"/>
        <v>Кепка FREDRIKSON арт. 3125 (темно-серый / черный)</v>
      </c>
      <c r="W87" s="100" t="str">
        <f t="shared" ca="1" si="7"/>
        <v>Кепка FREDRIKSON арт. 3125 (темно-серый / черный) {640/71}</v>
      </c>
      <c r="X87" s="18" t="str">
        <f t="shared" ca="1" si="8"/>
        <v>серый / черный</v>
      </c>
      <c r="Y87" s="18" t="str">
        <f t="shared" ca="1" si="9"/>
        <v>серый / черный</v>
      </c>
      <c r="Z87" s="117" t="s">
        <v>28</v>
      </c>
      <c r="AA87" s="73" t="str">
        <f ca="1"/>
        <v>95-010-71-62</v>
      </c>
      <c r="AB87" s="75" t="str">
        <f ca="1">VLOOKUP(C87,Группа!A:B,2,FALSE)</f>
        <v>Кепка</v>
      </c>
      <c r="AC87" s="97" t="str">
        <f ca="1">IFERROR(VLOOKUP(S87,Размеры!A:C,3,FALSE),"")</f>
        <v>62 XL/XXL</v>
      </c>
      <c r="AD87" s="97" t="str">
        <f ca="1">VLOOKUP(I87,ЦветПолный!A:B,2,FALSE)</f>
        <v>71</v>
      </c>
      <c r="AE87" s="97" t="str">
        <f ca="1">IFERROR(VLOOKUP(S87,Размеры!A:D,4,FALSE),"")</f>
        <v>62</v>
      </c>
      <c r="AF87" s="97">
        <f ca="1">IF(LEFT(IFERROR(VLOOKUP(LOOKUP(2,1/SEARCH(B87,Товары!A:A),Товары!A:A),Товары!A:B,2,0),""),6)=MID(AA87,1,6),1,0)</f>
        <v>0</v>
      </c>
      <c r="AH87" s="97">
        <f ca="1">SUMIF(Группа!A:A,C87,Группа!C:C)</f>
        <v>1</v>
      </c>
      <c r="AI87" s="97">
        <f ca="1">SUMIF(Группа!B:B,AB87,Группа!C:C)</f>
        <v>1</v>
      </c>
      <c r="AJ87" s="97">
        <f ca="1">SUMIF(Формы!A:A,D87,Формы!B:B)</f>
        <v>1</v>
      </c>
      <c r="AK87" s="97">
        <f ca="1">SUMIF(Материал!A:A,K87,Материал!B:B)</f>
        <v>1</v>
      </c>
      <c r="AL87" s="97">
        <f ca="1">SUMIF(Размеры!A:A,S87,Размеры!E:E)</f>
        <v>1</v>
      </c>
      <c r="AM87" s="97">
        <f ca="1">SUMIF(Сезон!A:A,F87,Сезон!B:B)</f>
        <v>1</v>
      </c>
      <c r="AN87" s="97">
        <f ca="1">SUMIF(Состав!A:A,J87,Состав!B:B)</f>
        <v>0</v>
      </c>
      <c r="AO87" s="97">
        <f ca="1">VLOOKUP(I87,ЦветПолный!A:C,3,0)</f>
        <v>1</v>
      </c>
      <c r="AP87" s="97">
        <f>SUMIF(Цвет!A:A,Z87,Цвет!B:B)</f>
        <v>1</v>
      </c>
      <c r="AQ87" s="97">
        <f ca="1">_xlfn.XLOOKUP(L87,Пол!A:A,Пол!B:B,0,0)</f>
        <v>1</v>
      </c>
      <c r="AR87" s="97">
        <f ca="1">SUMIF(Бренд!A:A,G87,Бренд!B:B)</f>
        <v>1</v>
      </c>
      <c r="AS87" s="97">
        <f ca="1">SUMIF(Страна!A:A,M87,Страна!B:B)</f>
        <v>1</v>
      </c>
      <c r="AT87" s="64" t="e">
        <f ca="1">IF(VLOOKUP(W87,Товары!A:B,2,FALSE)=A87,"Есть в 1С","ERR")</f>
        <v>#N/A</v>
      </c>
      <c r="AU87" s="65" t="e">
        <f ca="1">IF(VLOOKUP(A87,Товары!B:B,1,FALSE)=A87,"Есть в 1С","ERR")</f>
        <v>#N/A</v>
      </c>
      <c r="AV87" s="96" t="e">
        <f ca="1">VLOOKUP(W87,Товары!A:B,2,FALSE)</f>
        <v>#N/A</v>
      </c>
      <c r="AW87" s="94" t="e">
        <f ca="1">VLOOKUP(W87,Товары!A:B,1,FALSE)</f>
        <v>#N/A</v>
      </c>
    </row>
    <row r="88" spans="1:49" x14ac:dyDescent="0.25">
      <c r="A88" s="110" t="str">
        <f t="shared" ca="1" si="5"/>
        <v>95-010-71</v>
      </c>
      <c r="B88" s="107" t="str">
        <f ca="1">_xlfn.LET(_xlpm.CAPS,0,_xlpm.Style,TRIM(_xlfn.XLOOKUP($A88,Строчный!$A:$A,Строчный!B:B,"ERR",0)),IF(_xlpm.CAPS=0,_xlpm.Style,LOWER(_xlpm.Style)))</f>
        <v>3125</v>
      </c>
      <c r="C88" s="81" t="str">
        <f ca="1">TRIM(PROPER(_xlfn.XLOOKUP($A88,Строчный!$A:$A,Строчный!C:C,"ERR",0)))</f>
        <v>Кепки</v>
      </c>
      <c r="D88" s="81" t="str">
        <f ca="1">_xlfn.LET(_xlpm.DATA,TRIM(_xlfn.XLOOKUP($A88,Строчный!$A:$A,Строчный!D:D,"ERR",0)),UPPER(MID(_xlpm.DATA,1,1))&amp;LOWER(MID(_xlpm.DATA,2,LEN(_xlpm.DATA)-1)))</f>
        <v>Кепка плоская</v>
      </c>
      <c r="E88" s="81" t="str">
        <f ca="1">PROPER(TRIM(_xlfn.XLOOKUP($A88,Строчный!$A:$A,Строчный!E:E,"ERR",0)))</f>
        <v>Fredrikson</v>
      </c>
      <c r="F88" s="81" t="str">
        <f ca="1">LOWER(TRIM(_xlfn.XLOOKUP($A88,Строчный!$A:$A,Строчный!F:F,"ERR",0)))</f>
        <v>всесезон</v>
      </c>
      <c r="G88" s="81" t="str">
        <f ca="1">UPPER(TRIM(_xlfn.XLOOKUP($A88,Строчный!$A:$A,Строчный!G:G,"ERR",0)))</f>
        <v>FREDRIKSON</v>
      </c>
      <c r="H88" s="81" t="str">
        <f ca="1">LOWER(TRIM(_xlfn.XLOOKUP($A88,Строчный!$A:$A,Строчный!H:H,"ERR",0)))</f>
        <v>640/71</v>
      </c>
      <c r="I88" s="81" t="str">
        <f ca="1">LOWER(TRIM(_xlfn.XLOOKUP($A88,Строчный!$A:$A,Строчный!I:I,"ERR",0)))</f>
        <v>темно-серый / черный</v>
      </c>
      <c r="J88" s="81" t="str">
        <f ca="1">SUBSTITUTE(LOWER(TRIM(_xlfn.XLOOKUP($A88,Строчный!$A:$A,Строчный!J:J,"ERR",0))),"подклад","Подклад")</f>
        <v>80% шерсть - 20% полиамид / Подклад: 100% вискоза</v>
      </c>
      <c r="K88" s="81" t="str">
        <f ca="1">LOWER(TRIM(_xlfn.XLOOKUP($A88,Строчный!$A:$A,Строчный!K:K,"ERR",0)))</f>
        <v>шерстяные</v>
      </c>
      <c r="L88" s="81" t="str">
        <f ca="1">PROPER(TRIM(_xlfn.XLOOKUP($A88,Строчный!$A:$A,Строчный!L:L,"ERR",0)))</f>
        <v>Унисекс</v>
      </c>
      <c r="M88" s="113" t="str">
        <f ca="1">PROPER(TRIM(_xlfn.XLOOKUP($A88,Строчный!$A:$A,Строчный!M:M,"ERR",0)))</f>
        <v>Россия</v>
      </c>
      <c r="N88" s="81" t="str">
        <f ca="1">UPPER(TRIM(_xlfn.XLOOKUP($A88,Строчный!$A:$A,Строчный!O:O,"ERR",0)))</f>
        <v/>
      </c>
      <c r="O88" s="102" t="str">
        <f ca="1">PROPER(TRIM(_xlfn.XLOOKUP($A88,Строчный!$A:$A,Строчный!P:P,"ERR",0)))</f>
        <v/>
      </c>
      <c r="P88" s="81" t="str">
        <f ca="1">PROPER(TRIM(_xlfn.XLOOKUP($A88,Строчный!$A:$A,Строчный!R:R,"ERR",0)))</f>
        <v/>
      </c>
      <c r="Q88" s="90">
        <f ca="1">VALUE(_xlfn.XLOOKUP($A88,Строчный!$A:$A,Строчный!N:N,"ERR",0))</f>
        <v>975.8</v>
      </c>
      <c r="R88" s="89" t="str">
        <f ca="1">_xlfn.XLOOKUP($G88,Фабрика!A:A,Фабрика!B:B,"ERR",0)</f>
        <v>ООО "ФРЭДРИКСОН" Россия 192029, С-Петербург, пр. Обуховской обороны, д.86, лит М</v>
      </c>
      <c r="S88" s="80" t="str">
        <f ca="1">_xlfn.XLOOKUP(RIGHT(AA88,2),Размеры!D:D,Размеры!A:A,"ERR",0)</f>
        <v>61</v>
      </c>
      <c r="T88" s="80">
        <f ca="1">VALUE(_xlfn.XLOOKUP($AA88,Строчный!$S:$S,Строчный!U:U,"ERR",0))</f>
        <v>1</v>
      </c>
      <c r="U88" s="14" t="s">
        <v>265</v>
      </c>
      <c r="V88" s="101" t="str">
        <f t="shared" ca="1" si="6"/>
        <v>Кепка FREDRIKSON арт. 3125 (темно-серый / черный)</v>
      </c>
      <c r="W88" s="100" t="str">
        <f t="shared" ca="1" si="7"/>
        <v>Кепка FREDRIKSON арт. 3125 (темно-серый / черный) {640/71}</v>
      </c>
      <c r="X88" s="18" t="str">
        <f t="shared" ca="1" si="8"/>
        <v>серый / черный</v>
      </c>
      <c r="Y88" s="18" t="str">
        <f t="shared" ca="1" si="9"/>
        <v>серый / черный</v>
      </c>
      <c r="Z88" s="117" t="s">
        <v>28</v>
      </c>
      <c r="AA88" s="73" t="str">
        <f ca="1"/>
        <v>95-010-71-61</v>
      </c>
      <c r="AB88" s="75" t="str">
        <f ca="1">VLOOKUP(C88,Группа!A:B,2,FALSE)</f>
        <v>Кепка</v>
      </c>
      <c r="AC88" s="97" t="str">
        <f ca="1">IFERROR(VLOOKUP(S88,Размеры!A:C,3,FALSE),"")</f>
        <v>61 XL</v>
      </c>
      <c r="AD88" s="97" t="str">
        <f ca="1">VLOOKUP(I88,ЦветПолный!A:B,2,FALSE)</f>
        <v>71</v>
      </c>
      <c r="AE88" s="97" t="str">
        <f ca="1">IFERROR(VLOOKUP(S88,Размеры!A:D,4,FALSE),"")</f>
        <v>61</v>
      </c>
      <c r="AF88" s="97">
        <f ca="1">IF(LEFT(IFERROR(VLOOKUP(LOOKUP(2,1/SEARCH(B88,Товары!A:A),Товары!A:A),Товары!A:B,2,0),""),6)=MID(AA88,1,6),1,0)</f>
        <v>0</v>
      </c>
      <c r="AH88" s="97">
        <f ca="1">SUMIF(Группа!A:A,C88,Группа!C:C)</f>
        <v>1</v>
      </c>
      <c r="AI88" s="97">
        <f ca="1">SUMIF(Группа!B:B,AB88,Группа!C:C)</f>
        <v>1</v>
      </c>
      <c r="AJ88" s="97">
        <f ca="1">SUMIF(Формы!A:A,D88,Формы!B:B)</f>
        <v>1</v>
      </c>
      <c r="AK88" s="97">
        <f ca="1">SUMIF(Материал!A:A,K88,Материал!B:B)</f>
        <v>1</v>
      </c>
      <c r="AL88" s="97">
        <f ca="1">SUMIF(Размеры!A:A,S88,Размеры!E:E)</f>
        <v>1</v>
      </c>
      <c r="AM88" s="97">
        <f ca="1">SUMIF(Сезон!A:A,F88,Сезон!B:B)</f>
        <v>1</v>
      </c>
      <c r="AN88" s="97">
        <f ca="1">SUMIF(Состав!A:A,J88,Состав!B:B)</f>
        <v>0</v>
      </c>
      <c r="AO88" s="97">
        <f ca="1">VLOOKUP(I88,ЦветПолный!A:C,3,0)</f>
        <v>1</v>
      </c>
      <c r="AP88" s="97">
        <f>SUMIF(Цвет!A:A,Z88,Цвет!B:B)</f>
        <v>1</v>
      </c>
      <c r="AQ88" s="97">
        <f ca="1">_xlfn.XLOOKUP(L88,Пол!A:A,Пол!B:B,0,0)</f>
        <v>1</v>
      </c>
      <c r="AR88" s="97">
        <f ca="1">SUMIF(Бренд!A:A,G88,Бренд!B:B)</f>
        <v>1</v>
      </c>
      <c r="AS88" s="97">
        <f ca="1">SUMIF(Страна!A:A,M88,Страна!B:B)</f>
        <v>1</v>
      </c>
      <c r="AT88" s="64" t="e">
        <f ca="1">IF(VLOOKUP(W88,Товары!A:B,2,FALSE)=A88,"Есть в 1С","ERR")</f>
        <v>#N/A</v>
      </c>
      <c r="AU88" s="65" t="e">
        <f ca="1">IF(VLOOKUP(A88,Товары!B:B,1,FALSE)=A88,"Есть в 1С","ERR")</f>
        <v>#N/A</v>
      </c>
      <c r="AV88" s="96" t="e">
        <f ca="1">VLOOKUP(W88,Товары!A:B,2,FALSE)</f>
        <v>#N/A</v>
      </c>
      <c r="AW88" s="94" t="e">
        <f ca="1">VLOOKUP(W88,Товары!A:B,1,FALSE)</f>
        <v>#N/A</v>
      </c>
    </row>
    <row r="89" spans="1:49" x14ac:dyDescent="0.25">
      <c r="A89" s="110" t="str">
        <f t="shared" ca="1" si="5"/>
        <v>95-010-71</v>
      </c>
      <c r="B89" s="107" t="str">
        <f ca="1">_xlfn.LET(_xlpm.CAPS,0,_xlpm.Style,TRIM(_xlfn.XLOOKUP($A89,Строчный!$A:$A,Строчный!B:B,"ERR",0)),IF(_xlpm.CAPS=0,_xlpm.Style,LOWER(_xlpm.Style)))</f>
        <v>3125</v>
      </c>
      <c r="C89" s="81" t="str">
        <f ca="1">TRIM(PROPER(_xlfn.XLOOKUP($A89,Строчный!$A:$A,Строчный!C:C,"ERR",0)))</f>
        <v>Кепки</v>
      </c>
      <c r="D89" s="81" t="str">
        <f ca="1">_xlfn.LET(_xlpm.DATA,TRIM(_xlfn.XLOOKUP($A89,Строчный!$A:$A,Строчный!D:D,"ERR",0)),UPPER(MID(_xlpm.DATA,1,1))&amp;LOWER(MID(_xlpm.DATA,2,LEN(_xlpm.DATA)-1)))</f>
        <v>Кепка плоская</v>
      </c>
      <c r="E89" s="81" t="str">
        <f ca="1">PROPER(TRIM(_xlfn.XLOOKUP($A89,Строчный!$A:$A,Строчный!E:E,"ERR",0)))</f>
        <v>Fredrikson</v>
      </c>
      <c r="F89" s="81" t="str">
        <f ca="1">LOWER(TRIM(_xlfn.XLOOKUP($A89,Строчный!$A:$A,Строчный!F:F,"ERR",0)))</f>
        <v>всесезон</v>
      </c>
      <c r="G89" s="81" t="str">
        <f ca="1">UPPER(TRIM(_xlfn.XLOOKUP($A89,Строчный!$A:$A,Строчный!G:G,"ERR",0)))</f>
        <v>FREDRIKSON</v>
      </c>
      <c r="H89" s="81" t="str">
        <f ca="1">LOWER(TRIM(_xlfn.XLOOKUP($A89,Строчный!$A:$A,Строчный!H:H,"ERR",0)))</f>
        <v>640/71</v>
      </c>
      <c r="I89" s="81" t="str">
        <f ca="1">LOWER(TRIM(_xlfn.XLOOKUP($A89,Строчный!$A:$A,Строчный!I:I,"ERR",0)))</f>
        <v>темно-серый / черный</v>
      </c>
      <c r="J89" s="81" t="str">
        <f ca="1">SUBSTITUTE(LOWER(TRIM(_xlfn.XLOOKUP($A89,Строчный!$A:$A,Строчный!J:J,"ERR",0))),"подклад","Подклад")</f>
        <v>80% шерсть - 20% полиамид / Подклад: 100% вискоза</v>
      </c>
      <c r="K89" s="81" t="str">
        <f ca="1">LOWER(TRIM(_xlfn.XLOOKUP($A89,Строчный!$A:$A,Строчный!K:K,"ERR",0)))</f>
        <v>шерстяные</v>
      </c>
      <c r="L89" s="81" t="str">
        <f ca="1">PROPER(TRIM(_xlfn.XLOOKUP($A89,Строчный!$A:$A,Строчный!L:L,"ERR",0)))</f>
        <v>Унисекс</v>
      </c>
      <c r="M89" s="113" t="str">
        <f ca="1">PROPER(TRIM(_xlfn.XLOOKUP($A89,Строчный!$A:$A,Строчный!M:M,"ERR",0)))</f>
        <v>Россия</v>
      </c>
      <c r="N89" s="81" t="str">
        <f ca="1">UPPER(TRIM(_xlfn.XLOOKUP($A89,Строчный!$A:$A,Строчный!O:O,"ERR",0)))</f>
        <v/>
      </c>
      <c r="O89" s="102" t="str">
        <f ca="1">PROPER(TRIM(_xlfn.XLOOKUP($A89,Строчный!$A:$A,Строчный!P:P,"ERR",0)))</f>
        <v/>
      </c>
      <c r="P89" s="81" t="str">
        <f ca="1">PROPER(TRIM(_xlfn.XLOOKUP($A89,Строчный!$A:$A,Строчный!R:R,"ERR",0)))</f>
        <v/>
      </c>
      <c r="Q89" s="90">
        <f ca="1">VALUE(_xlfn.XLOOKUP($A89,Строчный!$A:$A,Строчный!N:N,"ERR",0))</f>
        <v>975.8</v>
      </c>
      <c r="R89" s="89" t="str">
        <f ca="1">_xlfn.XLOOKUP($G89,Фабрика!A:A,Фабрика!B:B,"ERR",0)</f>
        <v>ООО "ФРЭДРИКСОН" Россия 192029, С-Петербург, пр. Обуховской обороны, д.86, лит М</v>
      </c>
      <c r="S89" s="80" t="str">
        <f ca="1">_xlfn.XLOOKUP(RIGHT(AA89,2),Размеры!D:D,Размеры!A:A,"ERR",0)</f>
        <v>60</v>
      </c>
      <c r="T89" s="80">
        <f ca="1">VALUE(_xlfn.XLOOKUP($AA89,Строчный!$S:$S,Строчный!U:U,"ERR",0))</f>
        <v>2</v>
      </c>
      <c r="U89" s="14" t="s">
        <v>265</v>
      </c>
      <c r="V89" s="101" t="str">
        <f t="shared" ca="1" si="6"/>
        <v>Кепка FREDRIKSON арт. 3125 (темно-серый / черный)</v>
      </c>
      <c r="W89" s="100" t="str">
        <f t="shared" ca="1" si="7"/>
        <v>Кепка FREDRIKSON арт. 3125 (темно-серый / черный) {640/71}</v>
      </c>
      <c r="X89" s="18" t="str">
        <f t="shared" ca="1" si="8"/>
        <v>серый / черный</v>
      </c>
      <c r="Y89" s="18" t="str">
        <f t="shared" ca="1" si="9"/>
        <v>серый / черный</v>
      </c>
      <c r="Z89" s="117" t="s">
        <v>28</v>
      </c>
      <c r="AA89" s="73" t="str">
        <f ca="1"/>
        <v>95-010-71-60</v>
      </c>
      <c r="AB89" s="75" t="str">
        <f ca="1">VLOOKUP(C89,Группа!A:B,2,FALSE)</f>
        <v>Кепка</v>
      </c>
      <c r="AC89" s="97" t="str">
        <f ca="1">IFERROR(VLOOKUP(S89,Размеры!A:C,3,FALSE),"")</f>
        <v>60 L/XL</v>
      </c>
      <c r="AD89" s="97" t="str">
        <f ca="1">VLOOKUP(I89,ЦветПолный!A:B,2,FALSE)</f>
        <v>71</v>
      </c>
      <c r="AE89" s="97" t="str">
        <f ca="1">IFERROR(VLOOKUP(S89,Размеры!A:D,4,FALSE),"")</f>
        <v>60</v>
      </c>
      <c r="AF89" s="97">
        <f ca="1">IF(LEFT(IFERROR(VLOOKUP(LOOKUP(2,1/SEARCH(B89,Товары!A:A),Товары!A:A),Товары!A:B,2,0),""),6)=MID(AA89,1,6),1,0)</f>
        <v>0</v>
      </c>
      <c r="AH89" s="97">
        <f ca="1">SUMIF(Группа!A:A,C89,Группа!C:C)</f>
        <v>1</v>
      </c>
      <c r="AI89" s="97">
        <f ca="1">SUMIF(Группа!B:B,AB89,Группа!C:C)</f>
        <v>1</v>
      </c>
      <c r="AJ89" s="97">
        <f ca="1">SUMIF(Формы!A:A,D89,Формы!B:B)</f>
        <v>1</v>
      </c>
      <c r="AK89" s="97">
        <f ca="1">SUMIF(Материал!A:A,K89,Материал!B:B)</f>
        <v>1</v>
      </c>
      <c r="AL89" s="97">
        <f ca="1">SUMIF(Размеры!A:A,S89,Размеры!E:E)</f>
        <v>1</v>
      </c>
      <c r="AM89" s="97">
        <f ca="1">SUMIF(Сезон!A:A,F89,Сезон!B:B)</f>
        <v>1</v>
      </c>
      <c r="AN89" s="97">
        <f ca="1">SUMIF(Состав!A:A,J89,Состав!B:B)</f>
        <v>0</v>
      </c>
      <c r="AO89" s="97">
        <f ca="1">VLOOKUP(I89,ЦветПолный!A:C,3,0)</f>
        <v>1</v>
      </c>
      <c r="AP89" s="97">
        <f>SUMIF(Цвет!A:A,Z89,Цвет!B:B)</f>
        <v>1</v>
      </c>
      <c r="AQ89" s="97">
        <f ca="1">_xlfn.XLOOKUP(L89,Пол!A:A,Пол!B:B,0,0)</f>
        <v>1</v>
      </c>
      <c r="AR89" s="97">
        <f ca="1">SUMIF(Бренд!A:A,G89,Бренд!B:B)</f>
        <v>1</v>
      </c>
      <c r="AS89" s="97">
        <f ca="1">SUMIF(Страна!A:A,M89,Страна!B:B)</f>
        <v>1</v>
      </c>
      <c r="AT89" s="64" t="e">
        <f ca="1">IF(VLOOKUP(W89,Товары!A:B,2,FALSE)=A89,"Есть в 1С","ERR")</f>
        <v>#N/A</v>
      </c>
      <c r="AU89" s="65" t="e">
        <f ca="1">IF(VLOOKUP(A89,Товары!B:B,1,FALSE)=A89,"Есть в 1С","ERR")</f>
        <v>#N/A</v>
      </c>
      <c r="AV89" s="96" t="e">
        <f ca="1">VLOOKUP(W89,Товары!A:B,2,FALSE)</f>
        <v>#N/A</v>
      </c>
      <c r="AW89" s="94" t="e">
        <f ca="1">VLOOKUP(W89,Товары!A:B,1,FALSE)</f>
        <v>#N/A</v>
      </c>
    </row>
    <row r="90" spans="1:49" x14ac:dyDescent="0.25">
      <c r="A90" s="110" t="str">
        <f t="shared" ca="1" si="5"/>
        <v>95-010-71</v>
      </c>
      <c r="B90" s="107" t="str">
        <f ca="1">_xlfn.LET(_xlpm.CAPS,0,_xlpm.Style,TRIM(_xlfn.XLOOKUP($A90,Строчный!$A:$A,Строчный!B:B,"ERR",0)),IF(_xlpm.CAPS=0,_xlpm.Style,LOWER(_xlpm.Style)))</f>
        <v>3125</v>
      </c>
      <c r="C90" s="81" t="str">
        <f ca="1">TRIM(PROPER(_xlfn.XLOOKUP($A90,Строчный!$A:$A,Строчный!C:C,"ERR",0)))</f>
        <v>Кепки</v>
      </c>
      <c r="D90" s="81" t="str">
        <f ca="1">_xlfn.LET(_xlpm.DATA,TRIM(_xlfn.XLOOKUP($A90,Строчный!$A:$A,Строчный!D:D,"ERR",0)),UPPER(MID(_xlpm.DATA,1,1))&amp;LOWER(MID(_xlpm.DATA,2,LEN(_xlpm.DATA)-1)))</f>
        <v>Кепка плоская</v>
      </c>
      <c r="E90" s="81" t="str">
        <f ca="1">PROPER(TRIM(_xlfn.XLOOKUP($A90,Строчный!$A:$A,Строчный!E:E,"ERR",0)))</f>
        <v>Fredrikson</v>
      </c>
      <c r="F90" s="81" t="str">
        <f ca="1">LOWER(TRIM(_xlfn.XLOOKUP($A90,Строчный!$A:$A,Строчный!F:F,"ERR",0)))</f>
        <v>всесезон</v>
      </c>
      <c r="G90" s="81" t="str">
        <f ca="1">UPPER(TRIM(_xlfn.XLOOKUP($A90,Строчный!$A:$A,Строчный!G:G,"ERR",0)))</f>
        <v>FREDRIKSON</v>
      </c>
      <c r="H90" s="81" t="str">
        <f ca="1">LOWER(TRIM(_xlfn.XLOOKUP($A90,Строчный!$A:$A,Строчный!H:H,"ERR",0)))</f>
        <v>640/71</v>
      </c>
      <c r="I90" s="81" t="str">
        <f ca="1">LOWER(TRIM(_xlfn.XLOOKUP($A90,Строчный!$A:$A,Строчный!I:I,"ERR",0)))</f>
        <v>темно-серый / черный</v>
      </c>
      <c r="J90" s="81" t="str">
        <f ca="1">SUBSTITUTE(LOWER(TRIM(_xlfn.XLOOKUP($A90,Строчный!$A:$A,Строчный!J:J,"ERR",0))),"подклад","Подклад")</f>
        <v>80% шерсть - 20% полиамид / Подклад: 100% вискоза</v>
      </c>
      <c r="K90" s="81" t="str">
        <f ca="1">LOWER(TRIM(_xlfn.XLOOKUP($A90,Строчный!$A:$A,Строчный!K:K,"ERR",0)))</f>
        <v>шерстяные</v>
      </c>
      <c r="L90" s="81" t="str">
        <f ca="1">PROPER(TRIM(_xlfn.XLOOKUP($A90,Строчный!$A:$A,Строчный!L:L,"ERR",0)))</f>
        <v>Унисекс</v>
      </c>
      <c r="M90" s="113" t="str">
        <f ca="1">PROPER(TRIM(_xlfn.XLOOKUP($A90,Строчный!$A:$A,Строчный!M:M,"ERR",0)))</f>
        <v>Россия</v>
      </c>
      <c r="N90" s="81" t="str">
        <f ca="1">UPPER(TRIM(_xlfn.XLOOKUP($A90,Строчный!$A:$A,Строчный!O:O,"ERR",0)))</f>
        <v/>
      </c>
      <c r="O90" s="102" t="str">
        <f ca="1">PROPER(TRIM(_xlfn.XLOOKUP($A90,Строчный!$A:$A,Строчный!P:P,"ERR",0)))</f>
        <v/>
      </c>
      <c r="P90" s="81" t="str">
        <f ca="1">PROPER(TRIM(_xlfn.XLOOKUP($A90,Строчный!$A:$A,Строчный!R:R,"ERR",0)))</f>
        <v/>
      </c>
      <c r="Q90" s="90">
        <f ca="1">VALUE(_xlfn.XLOOKUP($A90,Строчный!$A:$A,Строчный!N:N,"ERR",0))</f>
        <v>975.8</v>
      </c>
      <c r="R90" s="89" t="str">
        <f ca="1">_xlfn.XLOOKUP($G90,Фабрика!A:A,Фабрика!B:B,"ERR",0)</f>
        <v>ООО "ФРЭДРИКСОН" Россия 192029, С-Петербург, пр. Обуховской обороны, д.86, лит М</v>
      </c>
      <c r="S90" s="80" t="str">
        <f ca="1">_xlfn.XLOOKUP(RIGHT(AA90,2),Размеры!D:D,Размеры!A:A,"ERR",0)</f>
        <v>59</v>
      </c>
      <c r="T90" s="80">
        <f ca="1">VALUE(_xlfn.XLOOKUP($AA90,Строчный!$S:$S,Строчный!U:U,"ERR",0))</f>
        <v>3</v>
      </c>
      <c r="U90" s="14" t="s">
        <v>265</v>
      </c>
      <c r="V90" s="101" t="str">
        <f t="shared" ca="1" si="6"/>
        <v>Кепка FREDRIKSON арт. 3125 (темно-серый / черный)</v>
      </c>
      <c r="W90" s="100" t="str">
        <f t="shared" ca="1" si="7"/>
        <v>Кепка FREDRIKSON арт. 3125 (темно-серый / черный) {640/71}</v>
      </c>
      <c r="X90" s="18" t="str">
        <f t="shared" ca="1" si="8"/>
        <v>серый / черный</v>
      </c>
      <c r="Y90" s="18" t="str">
        <f t="shared" ca="1" si="9"/>
        <v>серый / черный</v>
      </c>
      <c r="Z90" s="117" t="s">
        <v>28</v>
      </c>
      <c r="AA90" s="73" t="str">
        <f ca="1"/>
        <v>95-010-71-59</v>
      </c>
      <c r="AB90" s="75" t="str">
        <f ca="1">VLOOKUP(C90,Группа!A:B,2,FALSE)</f>
        <v>Кепка</v>
      </c>
      <c r="AC90" s="97" t="str">
        <f ca="1">IFERROR(VLOOKUP(S90,Размеры!A:C,3,FALSE),"")</f>
        <v>59 L</v>
      </c>
      <c r="AD90" s="97" t="str">
        <f ca="1">VLOOKUP(I90,ЦветПолный!A:B,2,FALSE)</f>
        <v>71</v>
      </c>
      <c r="AE90" s="97" t="str">
        <f ca="1">IFERROR(VLOOKUP(S90,Размеры!A:D,4,FALSE),"")</f>
        <v>59</v>
      </c>
      <c r="AF90" s="97">
        <f ca="1">IF(LEFT(IFERROR(VLOOKUP(LOOKUP(2,1/SEARCH(B90,Товары!A:A),Товары!A:A),Товары!A:B,2,0),""),6)=MID(AA90,1,6),1,0)</f>
        <v>0</v>
      </c>
      <c r="AH90" s="97">
        <f ca="1">SUMIF(Группа!A:A,C90,Группа!C:C)</f>
        <v>1</v>
      </c>
      <c r="AI90" s="97">
        <f ca="1">SUMIF(Группа!B:B,AB90,Группа!C:C)</f>
        <v>1</v>
      </c>
      <c r="AJ90" s="97">
        <f ca="1">SUMIF(Формы!A:A,D90,Формы!B:B)</f>
        <v>1</v>
      </c>
      <c r="AK90" s="97">
        <f ca="1">SUMIF(Материал!A:A,K90,Материал!B:B)</f>
        <v>1</v>
      </c>
      <c r="AL90" s="97">
        <f ca="1">SUMIF(Размеры!A:A,S90,Размеры!E:E)</f>
        <v>1</v>
      </c>
      <c r="AM90" s="97">
        <f ca="1">SUMIF(Сезон!A:A,F90,Сезон!B:B)</f>
        <v>1</v>
      </c>
      <c r="AN90" s="97">
        <f ca="1">SUMIF(Состав!A:A,J90,Состав!B:B)</f>
        <v>0</v>
      </c>
      <c r="AO90" s="97">
        <f ca="1">VLOOKUP(I90,ЦветПолный!A:C,3,0)</f>
        <v>1</v>
      </c>
      <c r="AP90" s="97">
        <f>SUMIF(Цвет!A:A,Z90,Цвет!B:B)</f>
        <v>1</v>
      </c>
      <c r="AQ90" s="97">
        <f ca="1">_xlfn.XLOOKUP(L90,Пол!A:A,Пол!B:B,0,0)</f>
        <v>1</v>
      </c>
      <c r="AR90" s="97">
        <f ca="1">SUMIF(Бренд!A:A,G90,Бренд!B:B)</f>
        <v>1</v>
      </c>
      <c r="AS90" s="97">
        <f ca="1">SUMIF(Страна!A:A,M90,Страна!B:B)</f>
        <v>1</v>
      </c>
      <c r="AT90" s="64" t="e">
        <f ca="1">IF(VLOOKUP(W90,Товары!A:B,2,FALSE)=A90,"Есть в 1С","ERR")</f>
        <v>#N/A</v>
      </c>
      <c r="AU90" s="65" t="e">
        <f ca="1">IF(VLOOKUP(A90,Товары!B:B,1,FALSE)=A90,"Есть в 1С","ERR")</f>
        <v>#N/A</v>
      </c>
      <c r="AV90" s="96" t="e">
        <f ca="1">VLOOKUP(W90,Товары!A:B,2,FALSE)</f>
        <v>#N/A</v>
      </c>
      <c r="AW90" s="94" t="e">
        <f ca="1">VLOOKUP(W90,Товары!A:B,1,FALSE)</f>
        <v>#N/A</v>
      </c>
    </row>
    <row r="91" spans="1:49" x14ac:dyDescent="0.25">
      <c r="A91" s="110" t="str">
        <f t="shared" ca="1" si="5"/>
        <v>95-010-71</v>
      </c>
      <c r="B91" s="107" t="str">
        <f ca="1">_xlfn.LET(_xlpm.CAPS,0,_xlpm.Style,TRIM(_xlfn.XLOOKUP($A91,Строчный!$A:$A,Строчный!B:B,"ERR",0)),IF(_xlpm.CAPS=0,_xlpm.Style,LOWER(_xlpm.Style)))</f>
        <v>3125</v>
      </c>
      <c r="C91" s="81" t="str">
        <f ca="1">TRIM(PROPER(_xlfn.XLOOKUP($A91,Строчный!$A:$A,Строчный!C:C,"ERR",0)))</f>
        <v>Кепки</v>
      </c>
      <c r="D91" s="81" t="str">
        <f ca="1">_xlfn.LET(_xlpm.DATA,TRIM(_xlfn.XLOOKUP($A91,Строчный!$A:$A,Строчный!D:D,"ERR",0)),UPPER(MID(_xlpm.DATA,1,1))&amp;LOWER(MID(_xlpm.DATA,2,LEN(_xlpm.DATA)-1)))</f>
        <v>Кепка плоская</v>
      </c>
      <c r="E91" s="81" t="str">
        <f ca="1">PROPER(TRIM(_xlfn.XLOOKUP($A91,Строчный!$A:$A,Строчный!E:E,"ERR",0)))</f>
        <v>Fredrikson</v>
      </c>
      <c r="F91" s="81" t="str">
        <f ca="1">LOWER(TRIM(_xlfn.XLOOKUP($A91,Строчный!$A:$A,Строчный!F:F,"ERR",0)))</f>
        <v>всесезон</v>
      </c>
      <c r="G91" s="81" t="str">
        <f ca="1">UPPER(TRIM(_xlfn.XLOOKUP($A91,Строчный!$A:$A,Строчный!G:G,"ERR",0)))</f>
        <v>FREDRIKSON</v>
      </c>
      <c r="H91" s="81" t="str">
        <f ca="1">LOWER(TRIM(_xlfn.XLOOKUP($A91,Строчный!$A:$A,Строчный!H:H,"ERR",0)))</f>
        <v>640/71</v>
      </c>
      <c r="I91" s="81" t="str">
        <f ca="1">LOWER(TRIM(_xlfn.XLOOKUP($A91,Строчный!$A:$A,Строчный!I:I,"ERR",0)))</f>
        <v>темно-серый / черный</v>
      </c>
      <c r="J91" s="81" t="str">
        <f ca="1">SUBSTITUTE(LOWER(TRIM(_xlfn.XLOOKUP($A91,Строчный!$A:$A,Строчный!J:J,"ERR",0))),"подклад","Подклад")</f>
        <v>80% шерсть - 20% полиамид / Подклад: 100% вискоза</v>
      </c>
      <c r="K91" s="81" t="str">
        <f ca="1">LOWER(TRIM(_xlfn.XLOOKUP($A91,Строчный!$A:$A,Строчный!K:K,"ERR",0)))</f>
        <v>шерстяные</v>
      </c>
      <c r="L91" s="81" t="str">
        <f ca="1">PROPER(TRIM(_xlfn.XLOOKUP($A91,Строчный!$A:$A,Строчный!L:L,"ERR",0)))</f>
        <v>Унисекс</v>
      </c>
      <c r="M91" s="113" t="str">
        <f ca="1">PROPER(TRIM(_xlfn.XLOOKUP($A91,Строчный!$A:$A,Строчный!M:M,"ERR",0)))</f>
        <v>Россия</v>
      </c>
      <c r="N91" s="81" t="str">
        <f ca="1">UPPER(TRIM(_xlfn.XLOOKUP($A91,Строчный!$A:$A,Строчный!O:O,"ERR",0)))</f>
        <v/>
      </c>
      <c r="O91" s="102" t="str">
        <f ca="1">PROPER(TRIM(_xlfn.XLOOKUP($A91,Строчный!$A:$A,Строчный!P:P,"ERR",0)))</f>
        <v/>
      </c>
      <c r="P91" s="81" t="str">
        <f ca="1">PROPER(TRIM(_xlfn.XLOOKUP($A91,Строчный!$A:$A,Строчный!R:R,"ERR",0)))</f>
        <v/>
      </c>
      <c r="Q91" s="90">
        <f ca="1">VALUE(_xlfn.XLOOKUP($A91,Строчный!$A:$A,Строчный!N:N,"ERR",0))</f>
        <v>975.8</v>
      </c>
      <c r="R91" s="89" t="str">
        <f ca="1">_xlfn.XLOOKUP($G91,Фабрика!A:A,Фабрика!B:B,"ERR",0)</f>
        <v>ООО "ФРЭДРИКСОН" Россия 192029, С-Петербург, пр. Обуховской обороны, д.86, лит М</v>
      </c>
      <c r="S91" s="80" t="str">
        <f ca="1">_xlfn.XLOOKUP(RIGHT(AA91,2),Размеры!D:D,Размеры!A:A,"ERR",0)</f>
        <v>58</v>
      </c>
      <c r="T91" s="80">
        <f ca="1">VALUE(_xlfn.XLOOKUP($AA91,Строчный!$S:$S,Строчный!U:U,"ERR",0))</f>
        <v>2</v>
      </c>
      <c r="U91" s="14" t="s">
        <v>265</v>
      </c>
      <c r="V91" s="101" t="str">
        <f t="shared" ca="1" si="6"/>
        <v>Кепка FREDRIKSON арт. 3125 (темно-серый / черный)</v>
      </c>
      <c r="W91" s="100" t="str">
        <f t="shared" ca="1" si="7"/>
        <v>Кепка FREDRIKSON арт. 3125 (темно-серый / черный) {640/71}</v>
      </c>
      <c r="X91" s="18" t="str">
        <f t="shared" ca="1" si="8"/>
        <v>серый / черный</v>
      </c>
      <c r="Y91" s="18" t="str">
        <f t="shared" ca="1" si="9"/>
        <v>серый / черный</v>
      </c>
      <c r="Z91" s="117" t="s">
        <v>28</v>
      </c>
      <c r="AA91" s="73" t="str">
        <f ca="1"/>
        <v>95-010-71-58</v>
      </c>
      <c r="AB91" s="75" t="str">
        <f ca="1">VLOOKUP(C91,Группа!A:B,2,FALSE)</f>
        <v>Кепка</v>
      </c>
      <c r="AC91" s="97" t="str">
        <f ca="1">IFERROR(VLOOKUP(S91,Размеры!A:C,3,FALSE),"")</f>
        <v>58 M/L</v>
      </c>
      <c r="AD91" s="97" t="str">
        <f ca="1">VLOOKUP(I91,ЦветПолный!A:B,2,FALSE)</f>
        <v>71</v>
      </c>
      <c r="AE91" s="97" t="str">
        <f ca="1">IFERROR(VLOOKUP(S91,Размеры!A:D,4,FALSE),"")</f>
        <v>58</v>
      </c>
      <c r="AF91" s="97">
        <f ca="1">IF(LEFT(IFERROR(VLOOKUP(LOOKUP(2,1/SEARCH(B91,Товары!A:A),Товары!A:A),Товары!A:B,2,0),""),6)=MID(AA91,1,6),1,0)</f>
        <v>0</v>
      </c>
      <c r="AH91" s="97">
        <f ca="1">SUMIF(Группа!A:A,C91,Группа!C:C)</f>
        <v>1</v>
      </c>
      <c r="AI91" s="97">
        <f ca="1">SUMIF(Группа!B:B,AB91,Группа!C:C)</f>
        <v>1</v>
      </c>
      <c r="AJ91" s="97">
        <f ca="1">SUMIF(Формы!A:A,D91,Формы!B:B)</f>
        <v>1</v>
      </c>
      <c r="AK91" s="97">
        <f ca="1">SUMIF(Материал!A:A,K91,Материал!B:B)</f>
        <v>1</v>
      </c>
      <c r="AL91" s="97">
        <f ca="1">SUMIF(Размеры!A:A,S91,Размеры!E:E)</f>
        <v>1</v>
      </c>
      <c r="AM91" s="97">
        <f ca="1">SUMIF(Сезон!A:A,F91,Сезон!B:B)</f>
        <v>1</v>
      </c>
      <c r="AN91" s="97">
        <f ca="1">SUMIF(Состав!A:A,J91,Состав!B:B)</f>
        <v>0</v>
      </c>
      <c r="AO91" s="97">
        <f ca="1">VLOOKUP(I91,ЦветПолный!A:C,3,0)</f>
        <v>1</v>
      </c>
      <c r="AP91" s="97">
        <f>SUMIF(Цвет!A:A,Z91,Цвет!B:B)</f>
        <v>1</v>
      </c>
      <c r="AQ91" s="97">
        <f ca="1">_xlfn.XLOOKUP(L91,Пол!A:A,Пол!B:B,0,0)</f>
        <v>1</v>
      </c>
      <c r="AR91" s="97">
        <f ca="1">SUMIF(Бренд!A:A,G91,Бренд!B:B)</f>
        <v>1</v>
      </c>
      <c r="AS91" s="97">
        <f ca="1">SUMIF(Страна!A:A,M91,Страна!B:B)</f>
        <v>1</v>
      </c>
      <c r="AT91" s="64" t="e">
        <f ca="1">IF(VLOOKUP(W91,Товары!A:B,2,FALSE)=A91,"Есть в 1С","ERR")</f>
        <v>#N/A</v>
      </c>
      <c r="AU91" s="65" t="e">
        <f ca="1">IF(VLOOKUP(A91,Товары!B:B,1,FALSE)=A91,"Есть в 1С","ERR")</f>
        <v>#N/A</v>
      </c>
      <c r="AV91" s="96" t="e">
        <f ca="1">VLOOKUP(W91,Товары!A:B,2,FALSE)</f>
        <v>#N/A</v>
      </c>
      <c r="AW91" s="94" t="e">
        <f ca="1">VLOOKUP(W91,Товары!A:B,1,FALSE)</f>
        <v>#N/A</v>
      </c>
    </row>
    <row r="92" spans="1:49" x14ac:dyDescent="0.25">
      <c r="A92" s="110" t="str">
        <f t="shared" ca="1" si="5"/>
        <v>95-010-71</v>
      </c>
      <c r="B92" s="107" t="str">
        <f ca="1">_xlfn.LET(_xlpm.CAPS,0,_xlpm.Style,TRIM(_xlfn.XLOOKUP($A92,Строчный!$A:$A,Строчный!B:B,"ERR",0)),IF(_xlpm.CAPS=0,_xlpm.Style,LOWER(_xlpm.Style)))</f>
        <v>3125</v>
      </c>
      <c r="C92" s="81" t="str">
        <f ca="1">TRIM(PROPER(_xlfn.XLOOKUP($A92,Строчный!$A:$A,Строчный!C:C,"ERR",0)))</f>
        <v>Кепки</v>
      </c>
      <c r="D92" s="81" t="str">
        <f ca="1">_xlfn.LET(_xlpm.DATA,TRIM(_xlfn.XLOOKUP($A92,Строчный!$A:$A,Строчный!D:D,"ERR",0)),UPPER(MID(_xlpm.DATA,1,1))&amp;LOWER(MID(_xlpm.DATA,2,LEN(_xlpm.DATA)-1)))</f>
        <v>Кепка плоская</v>
      </c>
      <c r="E92" s="81" t="str">
        <f ca="1">PROPER(TRIM(_xlfn.XLOOKUP($A92,Строчный!$A:$A,Строчный!E:E,"ERR",0)))</f>
        <v>Fredrikson</v>
      </c>
      <c r="F92" s="81" t="str">
        <f ca="1">LOWER(TRIM(_xlfn.XLOOKUP($A92,Строчный!$A:$A,Строчный!F:F,"ERR",0)))</f>
        <v>всесезон</v>
      </c>
      <c r="G92" s="81" t="str">
        <f ca="1">UPPER(TRIM(_xlfn.XLOOKUP($A92,Строчный!$A:$A,Строчный!G:G,"ERR",0)))</f>
        <v>FREDRIKSON</v>
      </c>
      <c r="H92" s="81" t="str">
        <f ca="1">LOWER(TRIM(_xlfn.XLOOKUP($A92,Строчный!$A:$A,Строчный!H:H,"ERR",0)))</f>
        <v>640/71</v>
      </c>
      <c r="I92" s="81" t="str">
        <f ca="1">LOWER(TRIM(_xlfn.XLOOKUP($A92,Строчный!$A:$A,Строчный!I:I,"ERR",0)))</f>
        <v>темно-серый / черный</v>
      </c>
      <c r="J92" s="81" t="str">
        <f ca="1">SUBSTITUTE(LOWER(TRIM(_xlfn.XLOOKUP($A92,Строчный!$A:$A,Строчный!J:J,"ERR",0))),"подклад","Подклад")</f>
        <v>80% шерсть - 20% полиамид / Подклад: 100% вискоза</v>
      </c>
      <c r="K92" s="81" t="str">
        <f ca="1">LOWER(TRIM(_xlfn.XLOOKUP($A92,Строчный!$A:$A,Строчный!K:K,"ERR",0)))</f>
        <v>шерстяные</v>
      </c>
      <c r="L92" s="81" t="str">
        <f ca="1">PROPER(TRIM(_xlfn.XLOOKUP($A92,Строчный!$A:$A,Строчный!L:L,"ERR",0)))</f>
        <v>Унисекс</v>
      </c>
      <c r="M92" s="113" t="str">
        <f ca="1">PROPER(TRIM(_xlfn.XLOOKUP($A92,Строчный!$A:$A,Строчный!M:M,"ERR",0)))</f>
        <v>Россия</v>
      </c>
      <c r="N92" s="81" t="str">
        <f ca="1">UPPER(TRIM(_xlfn.XLOOKUP($A92,Строчный!$A:$A,Строчный!O:O,"ERR",0)))</f>
        <v/>
      </c>
      <c r="O92" s="102" t="str">
        <f ca="1">PROPER(TRIM(_xlfn.XLOOKUP($A92,Строчный!$A:$A,Строчный!P:P,"ERR",0)))</f>
        <v/>
      </c>
      <c r="P92" s="81" t="str">
        <f ca="1">PROPER(TRIM(_xlfn.XLOOKUP($A92,Строчный!$A:$A,Строчный!R:R,"ERR",0)))</f>
        <v/>
      </c>
      <c r="Q92" s="90">
        <f ca="1">VALUE(_xlfn.XLOOKUP($A92,Строчный!$A:$A,Строчный!N:N,"ERR",0))</f>
        <v>975.8</v>
      </c>
      <c r="R92" s="89" t="str">
        <f ca="1">_xlfn.XLOOKUP($G92,Фабрика!A:A,Фабрика!B:B,"ERR",0)</f>
        <v>ООО "ФРЭДРИКСОН" Россия 192029, С-Петербург, пр. Обуховской обороны, д.86, лит М</v>
      </c>
      <c r="S92" s="80" t="str">
        <f ca="1">_xlfn.XLOOKUP(RIGHT(AA92,2),Размеры!D:D,Размеры!A:A,"ERR",0)</f>
        <v>57</v>
      </c>
      <c r="T92" s="80">
        <f ca="1">VALUE(_xlfn.XLOOKUP($AA92,Строчный!$S:$S,Строчный!U:U,"ERR",0))</f>
        <v>1</v>
      </c>
      <c r="U92" s="14" t="s">
        <v>265</v>
      </c>
      <c r="V92" s="101" t="str">
        <f t="shared" ca="1" si="6"/>
        <v>Кепка FREDRIKSON арт. 3125 (темно-серый / черный)</v>
      </c>
      <c r="W92" s="100" t="str">
        <f t="shared" ca="1" si="7"/>
        <v>Кепка FREDRIKSON арт. 3125 (темно-серый / черный) {640/71}</v>
      </c>
      <c r="X92" s="18" t="str">
        <f t="shared" ca="1" si="8"/>
        <v>серый / черный</v>
      </c>
      <c r="Y92" s="18" t="str">
        <f t="shared" ca="1" si="9"/>
        <v>серый / черный</v>
      </c>
      <c r="Z92" s="117" t="s">
        <v>28</v>
      </c>
      <c r="AA92" s="73" t="str">
        <f ca="1"/>
        <v>95-010-71-57</v>
      </c>
      <c r="AB92" s="75" t="str">
        <f ca="1">VLOOKUP(C92,Группа!A:B,2,FALSE)</f>
        <v>Кепка</v>
      </c>
      <c r="AC92" s="97" t="str">
        <f ca="1">IFERROR(VLOOKUP(S92,Размеры!A:C,3,FALSE),"")</f>
        <v>57 M</v>
      </c>
      <c r="AD92" s="97" t="str">
        <f ca="1">VLOOKUP(I92,ЦветПолный!A:B,2,FALSE)</f>
        <v>71</v>
      </c>
      <c r="AE92" s="97" t="str">
        <f ca="1">IFERROR(VLOOKUP(S92,Размеры!A:D,4,FALSE),"")</f>
        <v>57</v>
      </c>
      <c r="AF92" s="97">
        <f ca="1">IF(LEFT(IFERROR(VLOOKUP(LOOKUP(2,1/SEARCH(B92,Товары!A:A),Товары!A:A),Товары!A:B,2,0),""),6)=MID(AA92,1,6),1,0)</f>
        <v>0</v>
      </c>
      <c r="AH92" s="97">
        <f ca="1">SUMIF(Группа!A:A,C92,Группа!C:C)</f>
        <v>1</v>
      </c>
      <c r="AI92" s="97">
        <f ca="1">SUMIF(Группа!B:B,AB92,Группа!C:C)</f>
        <v>1</v>
      </c>
      <c r="AJ92" s="97">
        <f ca="1">SUMIF(Формы!A:A,D92,Формы!B:B)</f>
        <v>1</v>
      </c>
      <c r="AK92" s="97">
        <f ca="1">SUMIF(Материал!A:A,K92,Материал!B:B)</f>
        <v>1</v>
      </c>
      <c r="AL92" s="97">
        <f ca="1">SUMIF(Размеры!A:A,S92,Размеры!E:E)</f>
        <v>1</v>
      </c>
      <c r="AM92" s="97">
        <f ca="1">SUMIF(Сезон!A:A,F92,Сезон!B:B)</f>
        <v>1</v>
      </c>
      <c r="AN92" s="97">
        <f ca="1">SUMIF(Состав!A:A,J92,Состав!B:B)</f>
        <v>0</v>
      </c>
      <c r="AO92" s="97">
        <f ca="1">VLOOKUP(I92,ЦветПолный!A:C,3,0)</f>
        <v>1</v>
      </c>
      <c r="AP92" s="97">
        <f>SUMIF(Цвет!A:A,Z92,Цвет!B:B)</f>
        <v>1</v>
      </c>
      <c r="AQ92" s="97">
        <f ca="1">_xlfn.XLOOKUP(L92,Пол!A:A,Пол!B:B,0,0)</f>
        <v>1</v>
      </c>
      <c r="AR92" s="97">
        <f ca="1">SUMIF(Бренд!A:A,G92,Бренд!B:B)</f>
        <v>1</v>
      </c>
      <c r="AS92" s="97">
        <f ca="1">SUMIF(Страна!A:A,M92,Страна!B:B)</f>
        <v>1</v>
      </c>
      <c r="AT92" s="64" t="e">
        <f ca="1">IF(VLOOKUP(W92,Товары!A:B,2,FALSE)=A92,"Есть в 1С","ERR")</f>
        <v>#N/A</v>
      </c>
      <c r="AU92" s="65" t="e">
        <f ca="1">IF(VLOOKUP(A92,Товары!B:B,1,FALSE)=A92,"Есть в 1С","ERR")</f>
        <v>#N/A</v>
      </c>
      <c r="AV92" s="96" t="e">
        <f ca="1">VLOOKUP(W92,Товары!A:B,2,FALSE)</f>
        <v>#N/A</v>
      </c>
      <c r="AW92" s="94" t="e">
        <f ca="1">VLOOKUP(W92,Товары!A:B,1,FALSE)</f>
        <v>#N/A</v>
      </c>
    </row>
    <row r="93" spans="1:49" x14ac:dyDescent="0.25">
      <c r="A93" s="110" t="str">
        <f t="shared" ca="1" si="5"/>
        <v>95-010-70</v>
      </c>
      <c r="B93" s="107" t="str">
        <f ca="1">_xlfn.LET(_xlpm.CAPS,0,_xlpm.Style,TRIM(_xlfn.XLOOKUP($A93,Строчный!$A:$A,Строчный!B:B,"ERR",0)),IF(_xlpm.CAPS=0,_xlpm.Style,LOWER(_xlpm.Style)))</f>
        <v>3125</v>
      </c>
      <c r="C93" s="81" t="str">
        <f ca="1">TRIM(PROPER(_xlfn.XLOOKUP($A93,Строчный!$A:$A,Строчный!C:C,"ERR",0)))</f>
        <v>Кепки</v>
      </c>
      <c r="D93" s="81" t="str">
        <f ca="1">_xlfn.LET(_xlpm.DATA,TRIM(_xlfn.XLOOKUP($A93,Строчный!$A:$A,Строчный!D:D,"ERR",0)),UPPER(MID(_xlpm.DATA,1,1))&amp;LOWER(MID(_xlpm.DATA,2,LEN(_xlpm.DATA)-1)))</f>
        <v>Кепка плоская</v>
      </c>
      <c r="E93" s="81" t="str">
        <f ca="1">PROPER(TRIM(_xlfn.XLOOKUP($A93,Строчный!$A:$A,Строчный!E:E,"ERR",0)))</f>
        <v>Fredrikson</v>
      </c>
      <c r="F93" s="81" t="str">
        <f ca="1">LOWER(TRIM(_xlfn.XLOOKUP($A93,Строчный!$A:$A,Строчный!F:F,"ERR",0)))</f>
        <v>всесезон</v>
      </c>
      <c r="G93" s="81" t="str">
        <f ca="1">UPPER(TRIM(_xlfn.XLOOKUP($A93,Строчный!$A:$A,Строчный!G:G,"ERR",0)))</f>
        <v>FREDRIKSON</v>
      </c>
      <c r="H93" s="81" t="str">
        <f ca="1">LOWER(TRIM(_xlfn.XLOOKUP($A93,Строчный!$A:$A,Строчный!H:H,"ERR",0)))</f>
        <v>657/27</v>
      </c>
      <c r="I93" s="81" t="str">
        <f ca="1">LOWER(TRIM(_xlfn.XLOOKUP($A93,Строчный!$A:$A,Строчный!I:I,"ERR",0)))</f>
        <v>темно-синий / темно-серый</v>
      </c>
      <c r="J93" s="81" t="str">
        <f ca="1">SUBSTITUTE(LOWER(TRIM(_xlfn.XLOOKUP($A93,Строчный!$A:$A,Строчный!J:J,"ERR",0))),"подклад","Подклад")</f>
        <v>80% шерсть - 20% полиамид / Подклад: 100% вискоза</v>
      </c>
      <c r="K93" s="81" t="str">
        <f ca="1">LOWER(TRIM(_xlfn.XLOOKUP($A93,Строчный!$A:$A,Строчный!K:K,"ERR",0)))</f>
        <v>шерстяные</v>
      </c>
      <c r="L93" s="81" t="str">
        <f ca="1">PROPER(TRIM(_xlfn.XLOOKUP($A93,Строчный!$A:$A,Строчный!L:L,"ERR",0)))</f>
        <v>Унисекс</v>
      </c>
      <c r="M93" s="113" t="str">
        <f ca="1">PROPER(TRIM(_xlfn.XLOOKUP($A93,Строчный!$A:$A,Строчный!M:M,"ERR",0)))</f>
        <v>Россия</v>
      </c>
      <c r="N93" s="81" t="str">
        <f ca="1">UPPER(TRIM(_xlfn.XLOOKUP($A93,Строчный!$A:$A,Строчный!O:O,"ERR",0)))</f>
        <v/>
      </c>
      <c r="O93" s="102" t="str">
        <f ca="1">PROPER(TRIM(_xlfn.XLOOKUP($A93,Строчный!$A:$A,Строчный!P:P,"ERR",0)))</f>
        <v/>
      </c>
      <c r="P93" s="81" t="str">
        <f ca="1">PROPER(TRIM(_xlfn.XLOOKUP($A93,Строчный!$A:$A,Строчный!R:R,"ERR",0)))</f>
        <v/>
      </c>
      <c r="Q93" s="90">
        <f ca="1">VALUE(_xlfn.XLOOKUP($A93,Строчный!$A:$A,Строчный!N:N,"ERR",0))</f>
        <v>975.8</v>
      </c>
      <c r="R93" s="89" t="str">
        <f ca="1">_xlfn.XLOOKUP($G93,Фабрика!A:A,Фабрика!B:B,"ERR",0)</f>
        <v>ООО "ФРЭДРИКСОН" Россия 192029, С-Петербург, пр. Обуховской обороны, д.86, лит М</v>
      </c>
      <c r="S93" s="80" t="str">
        <f ca="1">_xlfn.XLOOKUP(RIGHT(AA93,2),Размеры!D:D,Размеры!A:A,"ERR",0)</f>
        <v>62</v>
      </c>
      <c r="T93" s="80">
        <f ca="1">VALUE(_xlfn.XLOOKUP($AA93,Строчный!$S:$S,Строчный!U:U,"ERR",0))</f>
        <v>1</v>
      </c>
      <c r="U93" s="14" t="s">
        <v>265</v>
      </c>
      <c r="V93" s="101" t="str">
        <f t="shared" ca="1" si="6"/>
        <v>Кепка FREDRIKSON арт. 3125 (темно-синий / темно-серый)</v>
      </c>
      <c r="W93" s="100" t="str">
        <f t="shared" ca="1" si="7"/>
        <v>Кепка FREDRIKSON арт. 3125 (темно-синий / темно-серый) {657/27}</v>
      </c>
      <c r="X93" s="18" t="str">
        <f t="shared" ca="1" si="8"/>
        <v>синий / темно-серый</v>
      </c>
      <c r="Y93" s="18" t="str">
        <f t="shared" ca="1" si="9"/>
        <v>синий / темно-серый</v>
      </c>
      <c r="Z93" s="117" t="s">
        <v>27</v>
      </c>
      <c r="AA93" s="73" t="str">
        <f ca="1"/>
        <v>95-010-70-62</v>
      </c>
      <c r="AB93" s="75" t="str">
        <f ca="1">VLOOKUP(C93,Группа!A:B,2,FALSE)</f>
        <v>Кепка</v>
      </c>
      <c r="AC93" s="97" t="str">
        <f ca="1">IFERROR(VLOOKUP(S93,Размеры!A:C,3,FALSE),"")</f>
        <v>62 XL/XXL</v>
      </c>
      <c r="AD93" s="97" t="str">
        <f ca="1">VLOOKUP(I93,ЦветПолный!A:B,2,FALSE)</f>
        <v>70</v>
      </c>
      <c r="AE93" s="97" t="str">
        <f ca="1">IFERROR(VLOOKUP(S93,Размеры!A:D,4,FALSE),"")</f>
        <v>62</v>
      </c>
      <c r="AF93" s="97">
        <f ca="1">IF(LEFT(IFERROR(VLOOKUP(LOOKUP(2,1/SEARCH(B93,Товары!A:A),Товары!A:A),Товары!A:B,2,0),""),6)=MID(AA93,1,6),1,0)</f>
        <v>0</v>
      </c>
      <c r="AH93" s="97">
        <f ca="1">SUMIF(Группа!A:A,C93,Группа!C:C)</f>
        <v>1</v>
      </c>
      <c r="AI93" s="97">
        <f ca="1">SUMIF(Группа!B:B,AB93,Группа!C:C)</f>
        <v>1</v>
      </c>
      <c r="AJ93" s="97">
        <f ca="1">SUMIF(Формы!A:A,D93,Формы!B:B)</f>
        <v>1</v>
      </c>
      <c r="AK93" s="97">
        <f ca="1">SUMIF(Материал!A:A,K93,Материал!B:B)</f>
        <v>1</v>
      </c>
      <c r="AL93" s="97">
        <f ca="1">SUMIF(Размеры!A:A,S93,Размеры!E:E)</f>
        <v>1</v>
      </c>
      <c r="AM93" s="97">
        <f ca="1">SUMIF(Сезон!A:A,F93,Сезон!B:B)</f>
        <v>1</v>
      </c>
      <c r="AN93" s="97">
        <f ca="1">SUMIF(Состав!A:A,J93,Состав!B:B)</f>
        <v>0</v>
      </c>
      <c r="AO93" s="97">
        <f ca="1">VLOOKUP(I93,ЦветПолный!A:C,3,0)</f>
        <v>1</v>
      </c>
      <c r="AP93" s="97">
        <f>SUMIF(Цвет!A:A,Z93,Цвет!B:B)</f>
        <v>1</v>
      </c>
      <c r="AQ93" s="97">
        <f ca="1">_xlfn.XLOOKUP(L93,Пол!A:A,Пол!B:B,0,0)</f>
        <v>1</v>
      </c>
      <c r="AR93" s="97">
        <f ca="1">SUMIF(Бренд!A:A,G93,Бренд!B:B)</f>
        <v>1</v>
      </c>
      <c r="AS93" s="97">
        <f ca="1">SUMIF(Страна!A:A,M93,Страна!B:B)</f>
        <v>1</v>
      </c>
      <c r="AT93" s="64" t="e">
        <f ca="1">IF(VLOOKUP(W93,Товары!A:B,2,FALSE)=A93,"Есть в 1С","ERR")</f>
        <v>#N/A</v>
      </c>
      <c r="AU93" s="65" t="e">
        <f ca="1">IF(VLOOKUP(A93,Товары!B:B,1,FALSE)=A93,"Есть в 1С","ERR")</f>
        <v>#N/A</v>
      </c>
      <c r="AV93" s="96" t="e">
        <f ca="1">VLOOKUP(W93,Товары!A:B,2,FALSE)</f>
        <v>#N/A</v>
      </c>
      <c r="AW93" s="94" t="e">
        <f ca="1">VLOOKUP(W93,Товары!A:B,1,FALSE)</f>
        <v>#N/A</v>
      </c>
    </row>
    <row r="94" spans="1:49" x14ac:dyDescent="0.25">
      <c r="A94" s="110" t="str">
        <f t="shared" ref="A94:A157" ca="1" si="10">LEFT(AA94,9)</f>
        <v>95-010-70</v>
      </c>
      <c r="B94" s="107" t="str">
        <f ca="1">_xlfn.LET(_xlpm.CAPS,0,_xlpm.Style,TRIM(_xlfn.XLOOKUP($A94,Строчный!$A:$A,Строчный!B:B,"ERR",0)),IF(_xlpm.CAPS=0,_xlpm.Style,LOWER(_xlpm.Style)))</f>
        <v>3125</v>
      </c>
      <c r="C94" s="81" t="str">
        <f ca="1">TRIM(PROPER(_xlfn.XLOOKUP($A94,Строчный!$A:$A,Строчный!C:C,"ERR",0)))</f>
        <v>Кепки</v>
      </c>
      <c r="D94" s="81" t="str">
        <f ca="1">_xlfn.LET(_xlpm.DATA,TRIM(_xlfn.XLOOKUP($A94,Строчный!$A:$A,Строчный!D:D,"ERR",0)),UPPER(MID(_xlpm.DATA,1,1))&amp;LOWER(MID(_xlpm.DATA,2,LEN(_xlpm.DATA)-1)))</f>
        <v>Кепка плоская</v>
      </c>
      <c r="E94" s="81" t="str">
        <f ca="1">PROPER(TRIM(_xlfn.XLOOKUP($A94,Строчный!$A:$A,Строчный!E:E,"ERR",0)))</f>
        <v>Fredrikson</v>
      </c>
      <c r="F94" s="81" t="str">
        <f ca="1">LOWER(TRIM(_xlfn.XLOOKUP($A94,Строчный!$A:$A,Строчный!F:F,"ERR",0)))</f>
        <v>всесезон</v>
      </c>
      <c r="G94" s="81" t="str">
        <f ca="1">UPPER(TRIM(_xlfn.XLOOKUP($A94,Строчный!$A:$A,Строчный!G:G,"ERR",0)))</f>
        <v>FREDRIKSON</v>
      </c>
      <c r="H94" s="81" t="str">
        <f ca="1">LOWER(TRIM(_xlfn.XLOOKUP($A94,Строчный!$A:$A,Строчный!H:H,"ERR",0)))</f>
        <v>657/27</v>
      </c>
      <c r="I94" s="81" t="str">
        <f ca="1">LOWER(TRIM(_xlfn.XLOOKUP($A94,Строчный!$A:$A,Строчный!I:I,"ERR",0)))</f>
        <v>темно-синий / темно-серый</v>
      </c>
      <c r="J94" s="81" t="str">
        <f ca="1">SUBSTITUTE(LOWER(TRIM(_xlfn.XLOOKUP($A94,Строчный!$A:$A,Строчный!J:J,"ERR",0))),"подклад","Подклад")</f>
        <v>80% шерсть - 20% полиамид / Подклад: 100% вискоза</v>
      </c>
      <c r="K94" s="81" t="str">
        <f ca="1">LOWER(TRIM(_xlfn.XLOOKUP($A94,Строчный!$A:$A,Строчный!K:K,"ERR",0)))</f>
        <v>шерстяные</v>
      </c>
      <c r="L94" s="81" t="str">
        <f ca="1">PROPER(TRIM(_xlfn.XLOOKUP($A94,Строчный!$A:$A,Строчный!L:L,"ERR",0)))</f>
        <v>Унисекс</v>
      </c>
      <c r="M94" s="113" t="str">
        <f ca="1">PROPER(TRIM(_xlfn.XLOOKUP($A94,Строчный!$A:$A,Строчный!M:M,"ERR",0)))</f>
        <v>Россия</v>
      </c>
      <c r="N94" s="81" t="str">
        <f ca="1">UPPER(TRIM(_xlfn.XLOOKUP($A94,Строчный!$A:$A,Строчный!O:O,"ERR",0)))</f>
        <v/>
      </c>
      <c r="O94" s="102" t="str">
        <f ca="1">PROPER(TRIM(_xlfn.XLOOKUP($A94,Строчный!$A:$A,Строчный!P:P,"ERR",0)))</f>
        <v/>
      </c>
      <c r="P94" s="81" t="str">
        <f ca="1">PROPER(TRIM(_xlfn.XLOOKUP($A94,Строчный!$A:$A,Строчный!R:R,"ERR",0)))</f>
        <v/>
      </c>
      <c r="Q94" s="90">
        <f ca="1">VALUE(_xlfn.XLOOKUP($A94,Строчный!$A:$A,Строчный!N:N,"ERR",0))</f>
        <v>975.8</v>
      </c>
      <c r="R94" s="89" t="str">
        <f ca="1">_xlfn.XLOOKUP($G94,Фабрика!A:A,Фабрика!B:B,"ERR",0)</f>
        <v>ООО "ФРЭДРИКСОН" Россия 192029, С-Петербург, пр. Обуховской обороны, д.86, лит М</v>
      </c>
      <c r="S94" s="80" t="str">
        <f ca="1">_xlfn.XLOOKUP(RIGHT(AA94,2),Размеры!D:D,Размеры!A:A,"ERR",0)</f>
        <v>61</v>
      </c>
      <c r="T94" s="80">
        <f ca="1">VALUE(_xlfn.XLOOKUP($AA94,Строчный!$S:$S,Строчный!U:U,"ERR",0))</f>
        <v>1</v>
      </c>
      <c r="U94" s="14" t="s">
        <v>265</v>
      </c>
      <c r="V94" s="101" t="str">
        <f t="shared" ref="V94:V157" ca="1" si="11">TRIM(CONCATENATE(AB94," ",G94," арт. ",B94," (",I94,")"))</f>
        <v>Кепка FREDRIKSON арт. 3125 (темно-синий / темно-серый)</v>
      </c>
      <c r="W94" s="100" t="str">
        <f t="shared" ref="W94:W157" ca="1" si="12">TRIM(CONCATENATE(AB94," ",G94," арт. ",B94," (",I94,") {",H94,"}"))</f>
        <v>Кепка FREDRIKSON арт. 3125 (темно-синий / темно-серый) {657/27}</v>
      </c>
      <c r="X94" s="18" t="str">
        <f t="shared" ref="X94:X157" ca="1" si="13">IFERROR(MID(I94,FIND("-",I94)+1,LEN(I94)),IFERROR(MID(I94,1,FIND("/",I94)-2),I94))</f>
        <v>синий / темно-серый</v>
      </c>
      <c r="Y94" s="18" t="str">
        <f t="shared" ref="Y94:Y157" ca="1" si="14">IFERROR(MID(I94,FIND("-",I94)+1,LEN(I94)),IFERROR(MID(I94,FIND("/",I94)+2,LEN(I94)),I94))</f>
        <v>синий / темно-серый</v>
      </c>
      <c r="Z94" s="117" t="s">
        <v>27</v>
      </c>
      <c r="AA94" s="73" t="str">
        <f ca="1"/>
        <v>95-010-70-61</v>
      </c>
      <c r="AB94" s="75" t="str">
        <f ca="1">VLOOKUP(C94,Группа!A:B,2,FALSE)</f>
        <v>Кепка</v>
      </c>
      <c r="AC94" s="97" t="str">
        <f ca="1">IFERROR(VLOOKUP(S94,Размеры!A:C,3,FALSE),"")</f>
        <v>61 XL</v>
      </c>
      <c r="AD94" s="97" t="str">
        <f ca="1">VLOOKUP(I94,ЦветПолный!A:B,2,FALSE)</f>
        <v>70</v>
      </c>
      <c r="AE94" s="97" t="str">
        <f ca="1">IFERROR(VLOOKUP(S94,Размеры!A:D,4,FALSE),"")</f>
        <v>61</v>
      </c>
      <c r="AF94" s="97">
        <f ca="1">IF(LEFT(IFERROR(VLOOKUP(LOOKUP(2,1/SEARCH(B94,Товары!A:A),Товары!A:A),Товары!A:B,2,0),""),6)=MID(AA94,1,6),1,0)</f>
        <v>0</v>
      </c>
      <c r="AH94" s="97">
        <f ca="1">SUMIF(Группа!A:A,C94,Группа!C:C)</f>
        <v>1</v>
      </c>
      <c r="AI94" s="97">
        <f ca="1">SUMIF(Группа!B:B,AB94,Группа!C:C)</f>
        <v>1</v>
      </c>
      <c r="AJ94" s="97">
        <f ca="1">SUMIF(Формы!A:A,D94,Формы!B:B)</f>
        <v>1</v>
      </c>
      <c r="AK94" s="97">
        <f ca="1">SUMIF(Материал!A:A,K94,Материал!B:B)</f>
        <v>1</v>
      </c>
      <c r="AL94" s="97">
        <f ca="1">SUMIF(Размеры!A:A,S94,Размеры!E:E)</f>
        <v>1</v>
      </c>
      <c r="AM94" s="97">
        <f ca="1">SUMIF(Сезон!A:A,F94,Сезон!B:B)</f>
        <v>1</v>
      </c>
      <c r="AN94" s="97">
        <f ca="1">SUMIF(Состав!A:A,J94,Состав!B:B)</f>
        <v>0</v>
      </c>
      <c r="AO94" s="97">
        <f ca="1">VLOOKUP(I94,ЦветПолный!A:C,3,0)</f>
        <v>1</v>
      </c>
      <c r="AP94" s="97">
        <f>SUMIF(Цвет!A:A,Z94,Цвет!B:B)</f>
        <v>1</v>
      </c>
      <c r="AQ94" s="97">
        <f ca="1">_xlfn.XLOOKUP(L94,Пол!A:A,Пол!B:B,0,0)</f>
        <v>1</v>
      </c>
      <c r="AR94" s="97">
        <f ca="1">SUMIF(Бренд!A:A,G94,Бренд!B:B)</f>
        <v>1</v>
      </c>
      <c r="AS94" s="97">
        <f ca="1">SUMIF(Страна!A:A,M94,Страна!B:B)</f>
        <v>1</v>
      </c>
      <c r="AT94" s="64" t="e">
        <f ca="1">IF(VLOOKUP(W94,Товары!A:B,2,FALSE)=A94,"Есть в 1С","ERR")</f>
        <v>#N/A</v>
      </c>
      <c r="AU94" s="65" t="e">
        <f ca="1">IF(VLOOKUP(A94,Товары!B:B,1,FALSE)=A94,"Есть в 1С","ERR")</f>
        <v>#N/A</v>
      </c>
      <c r="AV94" s="96" t="e">
        <f ca="1">VLOOKUP(W94,Товары!A:B,2,FALSE)</f>
        <v>#N/A</v>
      </c>
      <c r="AW94" s="94" t="e">
        <f ca="1">VLOOKUP(W94,Товары!A:B,1,FALSE)</f>
        <v>#N/A</v>
      </c>
    </row>
    <row r="95" spans="1:49" x14ac:dyDescent="0.25">
      <c r="A95" s="110" t="str">
        <f t="shared" ca="1" si="10"/>
        <v>95-010-70</v>
      </c>
      <c r="B95" s="107" t="str">
        <f ca="1">_xlfn.LET(_xlpm.CAPS,0,_xlpm.Style,TRIM(_xlfn.XLOOKUP($A95,Строчный!$A:$A,Строчный!B:B,"ERR",0)),IF(_xlpm.CAPS=0,_xlpm.Style,LOWER(_xlpm.Style)))</f>
        <v>3125</v>
      </c>
      <c r="C95" s="81" t="str">
        <f ca="1">TRIM(PROPER(_xlfn.XLOOKUP($A95,Строчный!$A:$A,Строчный!C:C,"ERR",0)))</f>
        <v>Кепки</v>
      </c>
      <c r="D95" s="81" t="str">
        <f ca="1">_xlfn.LET(_xlpm.DATA,TRIM(_xlfn.XLOOKUP($A95,Строчный!$A:$A,Строчный!D:D,"ERR",0)),UPPER(MID(_xlpm.DATA,1,1))&amp;LOWER(MID(_xlpm.DATA,2,LEN(_xlpm.DATA)-1)))</f>
        <v>Кепка плоская</v>
      </c>
      <c r="E95" s="81" t="str">
        <f ca="1">PROPER(TRIM(_xlfn.XLOOKUP($A95,Строчный!$A:$A,Строчный!E:E,"ERR",0)))</f>
        <v>Fredrikson</v>
      </c>
      <c r="F95" s="81" t="str">
        <f ca="1">LOWER(TRIM(_xlfn.XLOOKUP($A95,Строчный!$A:$A,Строчный!F:F,"ERR",0)))</f>
        <v>всесезон</v>
      </c>
      <c r="G95" s="81" t="str">
        <f ca="1">UPPER(TRIM(_xlfn.XLOOKUP($A95,Строчный!$A:$A,Строчный!G:G,"ERR",0)))</f>
        <v>FREDRIKSON</v>
      </c>
      <c r="H95" s="81" t="str">
        <f ca="1">LOWER(TRIM(_xlfn.XLOOKUP($A95,Строчный!$A:$A,Строчный!H:H,"ERR",0)))</f>
        <v>657/27</v>
      </c>
      <c r="I95" s="81" t="str">
        <f ca="1">LOWER(TRIM(_xlfn.XLOOKUP($A95,Строчный!$A:$A,Строчный!I:I,"ERR",0)))</f>
        <v>темно-синий / темно-серый</v>
      </c>
      <c r="J95" s="81" t="str">
        <f ca="1">SUBSTITUTE(LOWER(TRIM(_xlfn.XLOOKUP($A95,Строчный!$A:$A,Строчный!J:J,"ERR",0))),"подклад","Подклад")</f>
        <v>80% шерсть - 20% полиамид / Подклад: 100% вискоза</v>
      </c>
      <c r="K95" s="81" t="str">
        <f ca="1">LOWER(TRIM(_xlfn.XLOOKUP($A95,Строчный!$A:$A,Строчный!K:K,"ERR",0)))</f>
        <v>шерстяные</v>
      </c>
      <c r="L95" s="81" t="str">
        <f ca="1">PROPER(TRIM(_xlfn.XLOOKUP($A95,Строчный!$A:$A,Строчный!L:L,"ERR",0)))</f>
        <v>Унисекс</v>
      </c>
      <c r="M95" s="113" t="str">
        <f ca="1">PROPER(TRIM(_xlfn.XLOOKUP($A95,Строчный!$A:$A,Строчный!M:M,"ERR",0)))</f>
        <v>Россия</v>
      </c>
      <c r="N95" s="81" t="str">
        <f ca="1">UPPER(TRIM(_xlfn.XLOOKUP($A95,Строчный!$A:$A,Строчный!O:O,"ERR",0)))</f>
        <v/>
      </c>
      <c r="O95" s="102" t="str">
        <f ca="1">PROPER(TRIM(_xlfn.XLOOKUP($A95,Строчный!$A:$A,Строчный!P:P,"ERR",0)))</f>
        <v/>
      </c>
      <c r="P95" s="81" t="str">
        <f ca="1">PROPER(TRIM(_xlfn.XLOOKUP($A95,Строчный!$A:$A,Строчный!R:R,"ERR",0)))</f>
        <v/>
      </c>
      <c r="Q95" s="90">
        <f ca="1">VALUE(_xlfn.XLOOKUP($A95,Строчный!$A:$A,Строчный!N:N,"ERR",0))</f>
        <v>975.8</v>
      </c>
      <c r="R95" s="89" t="str">
        <f ca="1">_xlfn.XLOOKUP($G95,Фабрика!A:A,Фабрика!B:B,"ERR",0)</f>
        <v>ООО "ФРЭДРИКСОН" Россия 192029, С-Петербург, пр. Обуховской обороны, д.86, лит М</v>
      </c>
      <c r="S95" s="80" t="str">
        <f ca="1">_xlfn.XLOOKUP(RIGHT(AA95,2),Размеры!D:D,Размеры!A:A,"ERR",0)</f>
        <v>60</v>
      </c>
      <c r="T95" s="80">
        <f ca="1">VALUE(_xlfn.XLOOKUP($AA95,Строчный!$S:$S,Строчный!U:U,"ERR",0))</f>
        <v>2</v>
      </c>
      <c r="U95" s="14" t="s">
        <v>265</v>
      </c>
      <c r="V95" s="101" t="str">
        <f t="shared" ca="1" si="11"/>
        <v>Кепка FREDRIKSON арт. 3125 (темно-синий / темно-серый)</v>
      </c>
      <c r="W95" s="100" t="str">
        <f t="shared" ca="1" si="12"/>
        <v>Кепка FREDRIKSON арт. 3125 (темно-синий / темно-серый) {657/27}</v>
      </c>
      <c r="X95" s="18" t="str">
        <f t="shared" ca="1" si="13"/>
        <v>синий / темно-серый</v>
      </c>
      <c r="Y95" s="18" t="str">
        <f t="shared" ca="1" si="14"/>
        <v>синий / темно-серый</v>
      </c>
      <c r="Z95" s="117" t="s">
        <v>27</v>
      </c>
      <c r="AA95" s="73" t="str">
        <f ca="1"/>
        <v>95-010-70-60</v>
      </c>
      <c r="AB95" s="75" t="str">
        <f ca="1">VLOOKUP(C95,Группа!A:B,2,FALSE)</f>
        <v>Кепка</v>
      </c>
      <c r="AC95" s="97" t="str">
        <f ca="1">IFERROR(VLOOKUP(S95,Размеры!A:C,3,FALSE),"")</f>
        <v>60 L/XL</v>
      </c>
      <c r="AD95" s="97" t="str">
        <f ca="1">VLOOKUP(I95,ЦветПолный!A:B,2,FALSE)</f>
        <v>70</v>
      </c>
      <c r="AE95" s="97" t="str">
        <f ca="1">IFERROR(VLOOKUP(S95,Размеры!A:D,4,FALSE),"")</f>
        <v>60</v>
      </c>
      <c r="AF95" s="97">
        <f ca="1">IF(LEFT(IFERROR(VLOOKUP(LOOKUP(2,1/SEARCH(B95,Товары!A:A),Товары!A:A),Товары!A:B,2,0),""),6)=MID(AA95,1,6),1,0)</f>
        <v>0</v>
      </c>
      <c r="AH95" s="97">
        <f ca="1">SUMIF(Группа!A:A,C95,Группа!C:C)</f>
        <v>1</v>
      </c>
      <c r="AI95" s="97">
        <f ca="1">SUMIF(Группа!B:B,AB95,Группа!C:C)</f>
        <v>1</v>
      </c>
      <c r="AJ95" s="97">
        <f ca="1">SUMIF(Формы!A:A,D95,Формы!B:B)</f>
        <v>1</v>
      </c>
      <c r="AK95" s="97">
        <f ca="1">SUMIF(Материал!A:A,K95,Материал!B:B)</f>
        <v>1</v>
      </c>
      <c r="AL95" s="97">
        <f ca="1">SUMIF(Размеры!A:A,S95,Размеры!E:E)</f>
        <v>1</v>
      </c>
      <c r="AM95" s="97">
        <f ca="1">SUMIF(Сезон!A:A,F95,Сезон!B:B)</f>
        <v>1</v>
      </c>
      <c r="AN95" s="97">
        <f ca="1">SUMIF(Состав!A:A,J95,Состав!B:B)</f>
        <v>0</v>
      </c>
      <c r="AO95" s="97">
        <f ca="1">VLOOKUP(I95,ЦветПолный!A:C,3,0)</f>
        <v>1</v>
      </c>
      <c r="AP95" s="97">
        <f>SUMIF(Цвет!A:A,Z95,Цвет!B:B)</f>
        <v>1</v>
      </c>
      <c r="AQ95" s="97">
        <f ca="1">_xlfn.XLOOKUP(L95,Пол!A:A,Пол!B:B,0,0)</f>
        <v>1</v>
      </c>
      <c r="AR95" s="97">
        <f ca="1">SUMIF(Бренд!A:A,G95,Бренд!B:B)</f>
        <v>1</v>
      </c>
      <c r="AS95" s="97">
        <f ca="1">SUMIF(Страна!A:A,M95,Страна!B:B)</f>
        <v>1</v>
      </c>
      <c r="AT95" s="64" t="e">
        <f ca="1">IF(VLOOKUP(W95,Товары!A:B,2,FALSE)=A95,"Есть в 1С","ERR")</f>
        <v>#N/A</v>
      </c>
      <c r="AU95" s="65" t="e">
        <f ca="1">IF(VLOOKUP(A95,Товары!B:B,1,FALSE)=A95,"Есть в 1С","ERR")</f>
        <v>#N/A</v>
      </c>
      <c r="AV95" s="96" t="e">
        <f ca="1">VLOOKUP(W95,Товары!A:B,2,FALSE)</f>
        <v>#N/A</v>
      </c>
      <c r="AW95" s="94" t="e">
        <f ca="1">VLOOKUP(W95,Товары!A:B,1,FALSE)</f>
        <v>#N/A</v>
      </c>
    </row>
    <row r="96" spans="1:49" x14ac:dyDescent="0.25">
      <c r="A96" s="110" t="str">
        <f t="shared" ca="1" si="10"/>
        <v>95-010-70</v>
      </c>
      <c r="B96" s="107" t="str">
        <f ca="1">_xlfn.LET(_xlpm.CAPS,0,_xlpm.Style,TRIM(_xlfn.XLOOKUP($A96,Строчный!$A:$A,Строчный!B:B,"ERR",0)),IF(_xlpm.CAPS=0,_xlpm.Style,LOWER(_xlpm.Style)))</f>
        <v>3125</v>
      </c>
      <c r="C96" s="81" t="str">
        <f ca="1">TRIM(PROPER(_xlfn.XLOOKUP($A96,Строчный!$A:$A,Строчный!C:C,"ERR",0)))</f>
        <v>Кепки</v>
      </c>
      <c r="D96" s="81" t="str">
        <f ca="1">_xlfn.LET(_xlpm.DATA,TRIM(_xlfn.XLOOKUP($A96,Строчный!$A:$A,Строчный!D:D,"ERR",0)),UPPER(MID(_xlpm.DATA,1,1))&amp;LOWER(MID(_xlpm.DATA,2,LEN(_xlpm.DATA)-1)))</f>
        <v>Кепка плоская</v>
      </c>
      <c r="E96" s="81" t="str">
        <f ca="1">PROPER(TRIM(_xlfn.XLOOKUP($A96,Строчный!$A:$A,Строчный!E:E,"ERR",0)))</f>
        <v>Fredrikson</v>
      </c>
      <c r="F96" s="81" t="str">
        <f ca="1">LOWER(TRIM(_xlfn.XLOOKUP($A96,Строчный!$A:$A,Строчный!F:F,"ERR",0)))</f>
        <v>всесезон</v>
      </c>
      <c r="G96" s="81" t="str">
        <f ca="1">UPPER(TRIM(_xlfn.XLOOKUP($A96,Строчный!$A:$A,Строчный!G:G,"ERR",0)))</f>
        <v>FREDRIKSON</v>
      </c>
      <c r="H96" s="81" t="str">
        <f ca="1">LOWER(TRIM(_xlfn.XLOOKUP($A96,Строчный!$A:$A,Строчный!H:H,"ERR",0)))</f>
        <v>657/27</v>
      </c>
      <c r="I96" s="81" t="str">
        <f ca="1">LOWER(TRIM(_xlfn.XLOOKUP($A96,Строчный!$A:$A,Строчный!I:I,"ERR",0)))</f>
        <v>темно-синий / темно-серый</v>
      </c>
      <c r="J96" s="81" t="str">
        <f ca="1">SUBSTITUTE(LOWER(TRIM(_xlfn.XLOOKUP($A96,Строчный!$A:$A,Строчный!J:J,"ERR",0))),"подклад","Подклад")</f>
        <v>80% шерсть - 20% полиамид / Подклад: 100% вискоза</v>
      </c>
      <c r="K96" s="81" t="str">
        <f ca="1">LOWER(TRIM(_xlfn.XLOOKUP($A96,Строчный!$A:$A,Строчный!K:K,"ERR",0)))</f>
        <v>шерстяные</v>
      </c>
      <c r="L96" s="81" t="str">
        <f ca="1">PROPER(TRIM(_xlfn.XLOOKUP($A96,Строчный!$A:$A,Строчный!L:L,"ERR",0)))</f>
        <v>Унисекс</v>
      </c>
      <c r="M96" s="113" t="str">
        <f ca="1">PROPER(TRIM(_xlfn.XLOOKUP($A96,Строчный!$A:$A,Строчный!M:M,"ERR",0)))</f>
        <v>Россия</v>
      </c>
      <c r="N96" s="81" t="str">
        <f ca="1">UPPER(TRIM(_xlfn.XLOOKUP($A96,Строчный!$A:$A,Строчный!O:O,"ERR",0)))</f>
        <v/>
      </c>
      <c r="O96" s="102" t="str">
        <f ca="1">PROPER(TRIM(_xlfn.XLOOKUP($A96,Строчный!$A:$A,Строчный!P:P,"ERR",0)))</f>
        <v/>
      </c>
      <c r="P96" s="81" t="str">
        <f ca="1">PROPER(TRIM(_xlfn.XLOOKUP($A96,Строчный!$A:$A,Строчный!R:R,"ERR",0)))</f>
        <v/>
      </c>
      <c r="Q96" s="90">
        <f ca="1">VALUE(_xlfn.XLOOKUP($A96,Строчный!$A:$A,Строчный!N:N,"ERR",0))</f>
        <v>975.8</v>
      </c>
      <c r="R96" s="89" t="str">
        <f ca="1">_xlfn.XLOOKUP($G96,Фабрика!A:A,Фабрика!B:B,"ERR",0)</f>
        <v>ООО "ФРЭДРИКСОН" Россия 192029, С-Петербург, пр. Обуховской обороны, д.86, лит М</v>
      </c>
      <c r="S96" s="80" t="str">
        <f ca="1">_xlfn.XLOOKUP(RIGHT(AA96,2),Размеры!D:D,Размеры!A:A,"ERR",0)</f>
        <v>59</v>
      </c>
      <c r="T96" s="80">
        <f ca="1">VALUE(_xlfn.XLOOKUP($AA96,Строчный!$S:$S,Строчный!U:U,"ERR",0))</f>
        <v>3</v>
      </c>
      <c r="U96" s="14" t="s">
        <v>265</v>
      </c>
      <c r="V96" s="101" t="str">
        <f t="shared" ca="1" si="11"/>
        <v>Кепка FREDRIKSON арт. 3125 (темно-синий / темно-серый)</v>
      </c>
      <c r="W96" s="100" t="str">
        <f t="shared" ca="1" si="12"/>
        <v>Кепка FREDRIKSON арт. 3125 (темно-синий / темно-серый) {657/27}</v>
      </c>
      <c r="X96" s="18" t="str">
        <f t="shared" ca="1" si="13"/>
        <v>синий / темно-серый</v>
      </c>
      <c r="Y96" s="18" t="str">
        <f t="shared" ca="1" si="14"/>
        <v>синий / темно-серый</v>
      </c>
      <c r="Z96" s="117" t="s">
        <v>27</v>
      </c>
      <c r="AA96" s="73" t="str">
        <f ca="1"/>
        <v>95-010-70-59</v>
      </c>
      <c r="AB96" s="75" t="str">
        <f ca="1">VLOOKUP(C96,Группа!A:B,2,FALSE)</f>
        <v>Кепка</v>
      </c>
      <c r="AC96" s="97" t="str">
        <f ca="1">IFERROR(VLOOKUP(S96,Размеры!A:C,3,FALSE),"")</f>
        <v>59 L</v>
      </c>
      <c r="AD96" s="97" t="str">
        <f ca="1">VLOOKUP(I96,ЦветПолный!A:B,2,FALSE)</f>
        <v>70</v>
      </c>
      <c r="AE96" s="97" t="str">
        <f ca="1">IFERROR(VLOOKUP(S96,Размеры!A:D,4,FALSE),"")</f>
        <v>59</v>
      </c>
      <c r="AF96" s="97">
        <f ca="1">IF(LEFT(IFERROR(VLOOKUP(LOOKUP(2,1/SEARCH(B96,Товары!A:A),Товары!A:A),Товары!A:B,2,0),""),6)=MID(AA96,1,6),1,0)</f>
        <v>0</v>
      </c>
      <c r="AH96" s="97">
        <f ca="1">SUMIF(Группа!A:A,C96,Группа!C:C)</f>
        <v>1</v>
      </c>
      <c r="AI96" s="97">
        <f ca="1">SUMIF(Группа!B:B,AB96,Группа!C:C)</f>
        <v>1</v>
      </c>
      <c r="AJ96" s="97">
        <f ca="1">SUMIF(Формы!A:A,D96,Формы!B:B)</f>
        <v>1</v>
      </c>
      <c r="AK96" s="97">
        <f ca="1">SUMIF(Материал!A:A,K96,Материал!B:B)</f>
        <v>1</v>
      </c>
      <c r="AL96" s="97">
        <f ca="1">SUMIF(Размеры!A:A,S96,Размеры!E:E)</f>
        <v>1</v>
      </c>
      <c r="AM96" s="97">
        <f ca="1">SUMIF(Сезон!A:A,F96,Сезон!B:B)</f>
        <v>1</v>
      </c>
      <c r="AN96" s="97">
        <f ca="1">SUMIF(Состав!A:A,J96,Состав!B:B)</f>
        <v>0</v>
      </c>
      <c r="AO96" s="97">
        <f ca="1">VLOOKUP(I96,ЦветПолный!A:C,3,0)</f>
        <v>1</v>
      </c>
      <c r="AP96" s="97">
        <f>SUMIF(Цвет!A:A,Z96,Цвет!B:B)</f>
        <v>1</v>
      </c>
      <c r="AQ96" s="97">
        <f ca="1">_xlfn.XLOOKUP(L96,Пол!A:A,Пол!B:B,0,0)</f>
        <v>1</v>
      </c>
      <c r="AR96" s="97">
        <f ca="1">SUMIF(Бренд!A:A,G96,Бренд!B:B)</f>
        <v>1</v>
      </c>
      <c r="AS96" s="97">
        <f ca="1">SUMIF(Страна!A:A,M96,Страна!B:B)</f>
        <v>1</v>
      </c>
      <c r="AT96" s="64" t="e">
        <f ca="1">IF(VLOOKUP(W96,Товары!A:B,2,FALSE)=A96,"Есть в 1С","ERR")</f>
        <v>#N/A</v>
      </c>
      <c r="AU96" s="65" t="e">
        <f ca="1">IF(VLOOKUP(A96,Товары!B:B,1,FALSE)=A96,"Есть в 1С","ERR")</f>
        <v>#N/A</v>
      </c>
      <c r="AV96" s="96" t="e">
        <f ca="1">VLOOKUP(W96,Товары!A:B,2,FALSE)</f>
        <v>#N/A</v>
      </c>
      <c r="AW96" s="94" t="e">
        <f ca="1">VLOOKUP(W96,Товары!A:B,1,FALSE)</f>
        <v>#N/A</v>
      </c>
    </row>
    <row r="97" spans="1:49" x14ac:dyDescent="0.25">
      <c r="A97" s="110" t="str">
        <f t="shared" ca="1" si="10"/>
        <v>95-010-70</v>
      </c>
      <c r="B97" s="107" t="str">
        <f ca="1">_xlfn.LET(_xlpm.CAPS,0,_xlpm.Style,TRIM(_xlfn.XLOOKUP($A97,Строчный!$A:$A,Строчный!B:B,"ERR",0)),IF(_xlpm.CAPS=0,_xlpm.Style,LOWER(_xlpm.Style)))</f>
        <v>3125</v>
      </c>
      <c r="C97" s="81" t="str">
        <f ca="1">TRIM(PROPER(_xlfn.XLOOKUP($A97,Строчный!$A:$A,Строчный!C:C,"ERR",0)))</f>
        <v>Кепки</v>
      </c>
      <c r="D97" s="81" t="str">
        <f ca="1">_xlfn.LET(_xlpm.DATA,TRIM(_xlfn.XLOOKUP($A97,Строчный!$A:$A,Строчный!D:D,"ERR",0)),UPPER(MID(_xlpm.DATA,1,1))&amp;LOWER(MID(_xlpm.DATA,2,LEN(_xlpm.DATA)-1)))</f>
        <v>Кепка плоская</v>
      </c>
      <c r="E97" s="81" t="str">
        <f ca="1">PROPER(TRIM(_xlfn.XLOOKUP($A97,Строчный!$A:$A,Строчный!E:E,"ERR",0)))</f>
        <v>Fredrikson</v>
      </c>
      <c r="F97" s="81" t="str">
        <f ca="1">LOWER(TRIM(_xlfn.XLOOKUP($A97,Строчный!$A:$A,Строчный!F:F,"ERR",0)))</f>
        <v>всесезон</v>
      </c>
      <c r="G97" s="81" t="str">
        <f ca="1">UPPER(TRIM(_xlfn.XLOOKUP($A97,Строчный!$A:$A,Строчный!G:G,"ERR",0)))</f>
        <v>FREDRIKSON</v>
      </c>
      <c r="H97" s="81" t="str">
        <f ca="1">LOWER(TRIM(_xlfn.XLOOKUP($A97,Строчный!$A:$A,Строчный!H:H,"ERR",0)))</f>
        <v>657/27</v>
      </c>
      <c r="I97" s="81" t="str">
        <f ca="1">LOWER(TRIM(_xlfn.XLOOKUP($A97,Строчный!$A:$A,Строчный!I:I,"ERR",0)))</f>
        <v>темно-синий / темно-серый</v>
      </c>
      <c r="J97" s="81" t="str">
        <f ca="1">SUBSTITUTE(LOWER(TRIM(_xlfn.XLOOKUP($A97,Строчный!$A:$A,Строчный!J:J,"ERR",0))),"подклад","Подклад")</f>
        <v>80% шерсть - 20% полиамид / Подклад: 100% вискоза</v>
      </c>
      <c r="K97" s="81" t="str">
        <f ca="1">LOWER(TRIM(_xlfn.XLOOKUP($A97,Строчный!$A:$A,Строчный!K:K,"ERR",0)))</f>
        <v>шерстяные</v>
      </c>
      <c r="L97" s="81" t="str">
        <f ca="1">PROPER(TRIM(_xlfn.XLOOKUP($A97,Строчный!$A:$A,Строчный!L:L,"ERR",0)))</f>
        <v>Унисекс</v>
      </c>
      <c r="M97" s="113" t="str">
        <f ca="1">PROPER(TRIM(_xlfn.XLOOKUP($A97,Строчный!$A:$A,Строчный!M:M,"ERR",0)))</f>
        <v>Россия</v>
      </c>
      <c r="N97" s="81" t="str">
        <f ca="1">UPPER(TRIM(_xlfn.XLOOKUP($A97,Строчный!$A:$A,Строчный!O:O,"ERR",0)))</f>
        <v/>
      </c>
      <c r="O97" s="102" t="str">
        <f ca="1">PROPER(TRIM(_xlfn.XLOOKUP($A97,Строчный!$A:$A,Строчный!P:P,"ERR",0)))</f>
        <v/>
      </c>
      <c r="P97" s="81" t="str">
        <f ca="1">PROPER(TRIM(_xlfn.XLOOKUP($A97,Строчный!$A:$A,Строчный!R:R,"ERR",0)))</f>
        <v/>
      </c>
      <c r="Q97" s="90">
        <f ca="1">VALUE(_xlfn.XLOOKUP($A97,Строчный!$A:$A,Строчный!N:N,"ERR",0))</f>
        <v>975.8</v>
      </c>
      <c r="R97" s="89" t="str">
        <f ca="1">_xlfn.XLOOKUP($G97,Фабрика!A:A,Фабрика!B:B,"ERR",0)</f>
        <v>ООО "ФРЭДРИКСОН" Россия 192029, С-Петербург, пр. Обуховской обороны, д.86, лит М</v>
      </c>
      <c r="S97" s="80" t="str">
        <f ca="1">_xlfn.XLOOKUP(RIGHT(AA97,2),Размеры!D:D,Размеры!A:A,"ERR",0)</f>
        <v>58</v>
      </c>
      <c r="T97" s="80">
        <f ca="1">VALUE(_xlfn.XLOOKUP($AA97,Строчный!$S:$S,Строчный!U:U,"ERR",0))</f>
        <v>2</v>
      </c>
      <c r="U97" s="14" t="s">
        <v>265</v>
      </c>
      <c r="V97" s="101" t="str">
        <f t="shared" ca="1" si="11"/>
        <v>Кепка FREDRIKSON арт. 3125 (темно-синий / темно-серый)</v>
      </c>
      <c r="W97" s="100" t="str">
        <f t="shared" ca="1" si="12"/>
        <v>Кепка FREDRIKSON арт. 3125 (темно-синий / темно-серый) {657/27}</v>
      </c>
      <c r="X97" s="18" t="str">
        <f t="shared" ca="1" si="13"/>
        <v>синий / темно-серый</v>
      </c>
      <c r="Y97" s="18" t="str">
        <f t="shared" ca="1" si="14"/>
        <v>синий / темно-серый</v>
      </c>
      <c r="Z97" s="117" t="s">
        <v>27</v>
      </c>
      <c r="AA97" s="73" t="str">
        <f ca="1"/>
        <v>95-010-70-58</v>
      </c>
      <c r="AB97" s="75" t="str">
        <f ca="1">VLOOKUP(C97,Группа!A:B,2,FALSE)</f>
        <v>Кепка</v>
      </c>
      <c r="AC97" s="97" t="str">
        <f ca="1">IFERROR(VLOOKUP(S97,Размеры!A:C,3,FALSE),"")</f>
        <v>58 M/L</v>
      </c>
      <c r="AD97" s="97" t="str">
        <f ca="1">VLOOKUP(I97,ЦветПолный!A:B,2,FALSE)</f>
        <v>70</v>
      </c>
      <c r="AE97" s="97" t="str">
        <f ca="1">IFERROR(VLOOKUP(S97,Размеры!A:D,4,FALSE),"")</f>
        <v>58</v>
      </c>
      <c r="AF97" s="97">
        <f ca="1">IF(LEFT(IFERROR(VLOOKUP(LOOKUP(2,1/SEARCH(B97,Товары!A:A),Товары!A:A),Товары!A:B,2,0),""),6)=MID(AA97,1,6),1,0)</f>
        <v>0</v>
      </c>
      <c r="AH97" s="97">
        <f ca="1">SUMIF(Группа!A:A,C97,Группа!C:C)</f>
        <v>1</v>
      </c>
      <c r="AI97" s="97">
        <f ca="1">SUMIF(Группа!B:B,AB97,Группа!C:C)</f>
        <v>1</v>
      </c>
      <c r="AJ97" s="97">
        <f ca="1">SUMIF(Формы!A:A,D97,Формы!B:B)</f>
        <v>1</v>
      </c>
      <c r="AK97" s="97">
        <f ca="1">SUMIF(Материал!A:A,K97,Материал!B:B)</f>
        <v>1</v>
      </c>
      <c r="AL97" s="97">
        <f ca="1">SUMIF(Размеры!A:A,S97,Размеры!E:E)</f>
        <v>1</v>
      </c>
      <c r="AM97" s="97">
        <f ca="1">SUMIF(Сезон!A:A,F97,Сезон!B:B)</f>
        <v>1</v>
      </c>
      <c r="AN97" s="97">
        <f ca="1">SUMIF(Состав!A:A,J97,Состав!B:B)</f>
        <v>0</v>
      </c>
      <c r="AO97" s="97">
        <f ca="1">VLOOKUP(I97,ЦветПолный!A:C,3,0)</f>
        <v>1</v>
      </c>
      <c r="AP97" s="97">
        <f>SUMIF(Цвет!A:A,Z97,Цвет!B:B)</f>
        <v>1</v>
      </c>
      <c r="AQ97" s="97">
        <f ca="1">_xlfn.XLOOKUP(L97,Пол!A:A,Пол!B:B,0,0)</f>
        <v>1</v>
      </c>
      <c r="AR97" s="97">
        <f ca="1">SUMIF(Бренд!A:A,G97,Бренд!B:B)</f>
        <v>1</v>
      </c>
      <c r="AS97" s="97">
        <f ca="1">SUMIF(Страна!A:A,M97,Страна!B:B)</f>
        <v>1</v>
      </c>
      <c r="AT97" s="64" t="e">
        <f ca="1">IF(VLOOKUP(W97,Товары!A:B,2,FALSE)=A97,"Есть в 1С","ERR")</f>
        <v>#N/A</v>
      </c>
      <c r="AU97" s="65" t="e">
        <f ca="1">IF(VLOOKUP(A97,Товары!B:B,1,FALSE)=A97,"Есть в 1С","ERR")</f>
        <v>#N/A</v>
      </c>
      <c r="AV97" s="96" t="e">
        <f ca="1">VLOOKUP(W97,Товары!A:B,2,FALSE)</f>
        <v>#N/A</v>
      </c>
      <c r="AW97" s="94" t="e">
        <f ca="1">VLOOKUP(W97,Товары!A:B,1,FALSE)</f>
        <v>#N/A</v>
      </c>
    </row>
    <row r="98" spans="1:49" x14ac:dyDescent="0.25">
      <c r="A98" s="110" t="str">
        <f t="shared" ca="1" si="10"/>
        <v>95-010-70</v>
      </c>
      <c r="B98" s="107" t="str">
        <f ca="1">_xlfn.LET(_xlpm.CAPS,0,_xlpm.Style,TRIM(_xlfn.XLOOKUP($A98,Строчный!$A:$A,Строчный!B:B,"ERR",0)),IF(_xlpm.CAPS=0,_xlpm.Style,LOWER(_xlpm.Style)))</f>
        <v>3125</v>
      </c>
      <c r="C98" s="81" t="str">
        <f ca="1">TRIM(PROPER(_xlfn.XLOOKUP($A98,Строчный!$A:$A,Строчный!C:C,"ERR",0)))</f>
        <v>Кепки</v>
      </c>
      <c r="D98" s="81" t="str">
        <f ca="1">_xlfn.LET(_xlpm.DATA,TRIM(_xlfn.XLOOKUP($A98,Строчный!$A:$A,Строчный!D:D,"ERR",0)),UPPER(MID(_xlpm.DATA,1,1))&amp;LOWER(MID(_xlpm.DATA,2,LEN(_xlpm.DATA)-1)))</f>
        <v>Кепка плоская</v>
      </c>
      <c r="E98" s="81" t="str">
        <f ca="1">PROPER(TRIM(_xlfn.XLOOKUP($A98,Строчный!$A:$A,Строчный!E:E,"ERR",0)))</f>
        <v>Fredrikson</v>
      </c>
      <c r="F98" s="81" t="str">
        <f ca="1">LOWER(TRIM(_xlfn.XLOOKUP($A98,Строчный!$A:$A,Строчный!F:F,"ERR",0)))</f>
        <v>всесезон</v>
      </c>
      <c r="G98" s="81" t="str">
        <f ca="1">UPPER(TRIM(_xlfn.XLOOKUP($A98,Строчный!$A:$A,Строчный!G:G,"ERR",0)))</f>
        <v>FREDRIKSON</v>
      </c>
      <c r="H98" s="81" t="str">
        <f ca="1">LOWER(TRIM(_xlfn.XLOOKUP($A98,Строчный!$A:$A,Строчный!H:H,"ERR",0)))</f>
        <v>657/27</v>
      </c>
      <c r="I98" s="81" t="str">
        <f ca="1">LOWER(TRIM(_xlfn.XLOOKUP($A98,Строчный!$A:$A,Строчный!I:I,"ERR",0)))</f>
        <v>темно-синий / темно-серый</v>
      </c>
      <c r="J98" s="81" t="str">
        <f ca="1">SUBSTITUTE(LOWER(TRIM(_xlfn.XLOOKUP($A98,Строчный!$A:$A,Строчный!J:J,"ERR",0))),"подклад","Подклад")</f>
        <v>80% шерсть - 20% полиамид / Подклад: 100% вискоза</v>
      </c>
      <c r="K98" s="81" t="str">
        <f ca="1">LOWER(TRIM(_xlfn.XLOOKUP($A98,Строчный!$A:$A,Строчный!K:K,"ERR",0)))</f>
        <v>шерстяные</v>
      </c>
      <c r="L98" s="81" t="str">
        <f ca="1">PROPER(TRIM(_xlfn.XLOOKUP($A98,Строчный!$A:$A,Строчный!L:L,"ERR",0)))</f>
        <v>Унисекс</v>
      </c>
      <c r="M98" s="113" t="str">
        <f ca="1">PROPER(TRIM(_xlfn.XLOOKUP($A98,Строчный!$A:$A,Строчный!M:M,"ERR",0)))</f>
        <v>Россия</v>
      </c>
      <c r="N98" s="81" t="str">
        <f ca="1">UPPER(TRIM(_xlfn.XLOOKUP($A98,Строчный!$A:$A,Строчный!O:O,"ERR",0)))</f>
        <v/>
      </c>
      <c r="O98" s="102" t="str">
        <f ca="1">PROPER(TRIM(_xlfn.XLOOKUP($A98,Строчный!$A:$A,Строчный!P:P,"ERR",0)))</f>
        <v/>
      </c>
      <c r="P98" s="81" t="str">
        <f ca="1">PROPER(TRIM(_xlfn.XLOOKUP($A98,Строчный!$A:$A,Строчный!R:R,"ERR",0)))</f>
        <v/>
      </c>
      <c r="Q98" s="90">
        <f ca="1">VALUE(_xlfn.XLOOKUP($A98,Строчный!$A:$A,Строчный!N:N,"ERR",0))</f>
        <v>975.8</v>
      </c>
      <c r="R98" s="89" t="str">
        <f ca="1">_xlfn.XLOOKUP($G98,Фабрика!A:A,Фабрика!B:B,"ERR",0)</f>
        <v>ООО "ФРЭДРИКСОН" Россия 192029, С-Петербург, пр. Обуховской обороны, д.86, лит М</v>
      </c>
      <c r="S98" s="80" t="str">
        <f ca="1">_xlfn.XLOOKUP(RIGHT(AA98,2),Размеры!D:D,Размеры!A:A,"ERR",0)</f>
        <v>57</v>
      </c>
      <c r="T98" s="80">
        <f ca="1">VALUE(_xlfn.XLOOKUP($AA98,Строчный!$S:$S,Строчный!U:U,"ERR",0))</f>
        <v>1</v>
      </c>
      <c r="U98" s="14" t="s">
        <v>265</v>
      </c>
      <c r="V98" s="101" t="str">
        <f t="shared" ca="1" si="11"/>
        <v>Кепка FREDRIKSON арт. 3125 (темно-синий / темно-серый)</v>
      </c>
      <c r="W98" s="100" t="str">
        <f t="shared" ca="1" si="12"/>
        <v>Кепка FREDRIKSON арт. 3125 (темно-синий / темно-серый) {657/27}</v>
      </c>
      <c r="X98" s="18" t="str">
        <f t="shared" ca="1" si="13"/>
        <v>синий / темно-серый</v>
      </c>
      <c r="Y98" s="18" t="str">
        <f t="shared" ca="1" si="14"/>
        <v>синий / темно-серый</v>
      </c>
      <c r="Z98" s="117" t="s">
        <v>27</v>
      </c>
      <c r="AA98" s="73" t="str">
        <f ca="1"/>
        <v>95-010-70-57</v>
      </c>
      <c r="AB98" s="75" t="str">
        <f ca="1">VLOOKUP(C98,Группа!A:B,2,FALSE)</f>
        <v>Кепка</v>
      </c>
      <c r="AC98" s="97" t="str">
        <f ca="1">IFERROR(VLOOKUP(S98,Размеры!A:C,3,FALSE),"")</f>
        <v>57 M</v>
      </c>
      <c r="AD98" s="97" t="str">
        <f ca="1">VLOOKUP(I98,ЦветПолный!A:B,2,FALSE)</f>
        <v>70</v>
      </c>
      <c r="AE98" s="97" t="str">
        <f ca="1">IFERROR(VLOOKUP(S98,Размеры!A:D,4,FALSE),"")</f>
        <v>57</v>
      </c>
      <c r="AF98" s="97">
        <f ca="1">IF(LEFT(IFERROR(VLOOKUP(LOOKUP(2,1/SEARCH(B98,Товары!A:A),Товары!A:A),Товары!A:B,2,0),""),6)=MID(AA98,1,6),1,0)</f>
        <v>0</v>
      </c>
      <c r="AH98" s="97">
        <f ca="1">SUMIF(Группа!A:A,C98,Группа!C:C)</f>
        <v>1</v>
      </c>
      <c r="AI98" s="97">
        <f ca="1">SUMIF(Группа!B:B,AB98,Группа!C:C)</f>
        <v>1</v>
      </c>
      <c r="AJ98" s="97">
        <f ca="1">SUMIF(Формы!A:A,D98,Формы!B:B)</f>
        <v>1</v>
      </c>
      <c r="AK98" s="97">
        <f ca="1">SUMIF(Материал!A:A,K98,Материал!B:B)</f>
        <v>1</v>
      </c>
      <c r="AL98" s="97">
        <f ca="1">SUMIF(Размеры!A:A,S98,Размеры!E:E)</f>
        <v>1</v>
      </c>
      <c r="AM98" s="97">
        <f ca="1">SUMIF(Сезон!A:A,F98,Сезон!B:B)</f>
        <v>1</v>
      </c>
      <c r="AN98" s="97">
        <f ca="1">SUMIF(Состав!A:A,J98,Состав!B:B)</f>
        <v>0</v>
      </c>
      <c r="AO98" s="97">
        <f ca="1">VLOOKUP(I98,ЦветПолный!A:C,3,0)</f>
        <v>1</v>
      </c>
      <c r="AP98" s="97">
        <f>SUMIF(Цвет!A:A,Z98,Цвет!B:B)</f>
        <v>1</v>
      </c>
      <c r="AQ98" s="97">
        <f ca="1">_xlfn.XLOOKUP(L98,Пол!A:A,Пол!B:B,0,0)</f>
        <v>1</v>
      </c>
      <c r="AR98" s="97">
        <f ca="1">SUMIF(Бренд!A:A,G98,Бренд!B:B)</f>
        <v>1</v>
      </c>
      <c r="AS98" s="97">
        <f ca="1">SUMIF(Страна!A:A,M98,Страна!B:B)</f>
        <v>1</v>
      </c>
      <c r="AT98" s="64" t="e">
        <f ca="1">IF(VLOOKUP(W98,Товары!A:B,2,FALSE)=A98,"Есть в 1С","ERR")</f>
        <v>#N/A</v>
      </c>
      <c r="AU98" s="65" t="e">
        <f ca="1">IF(VLOOKUP(A98,Товары!B:B,1,FALSE)=A98,"Есть в 1С","ERR")</f>
        <v>#N/A</v>
      </c>
      <c r="AV98" s="96" t="e">
        <f ca="1">VLOOKUP(W98,Товары!A:B,2,FALSE)</f>
        <v>#N/A</v>
      </c>
      <c r="AW98" s="94" t="e">
        <f ca="1">VLOOKUP(W98,Товары!A:B,1,FALSE)</f>
        <v>#N/A</v>
      </c>
    </row>
    <row r="99" spans="1:49" x14ac:dyDescent="0.25">
      <c r="A99" s="110" t="str">
        <f t="shared" ca="1" si="10"/>
        <v>95-010-69</v>
      </c>
      <c r="B99" s="107" t="str">
        <f ca="1">_xlfn.LET(_xlpm.CAPS,0,_xlpm.Style,TRIM(_xlfn.XLOOKUP($A99,Строчный!$A:$A,Строчный!B:B,"ERR",0)),IF(_xlpm.CAPS=0,_xlpm.Style,LOWER(_xlpm.Style)))</f>
        <v>3125</v>
      </c>
      <c r="C99" s="81" t="str">
        <f ca="1">TRIM(PROPER(_xlfn.XLOOKUP($A99,Строчный!$A:$A,Строчный!C:C,"ERR",0)))</f>
        <v>Кепки</v>
      </c>
      <c r="D99" s="81" t="str">
        <f ca="1">_xlfn.LET(_xlpm.DATA,TRIM(_xlfn.XLOOKUP($A99,Строчный!$A:$A,Строчный!D:D,"ERR",0)),UPPER(MID(_xlpm.DATA,1,1))&amp;LOWER(MID(_xlpm.DATA,2,LEN(_xlpm.DATA)-1)))</f>
        <v>Кепка плоская</v>
      </c>
      <c r="E99" s="81" t="str">
        <f ca="1">PROPER(TRIM(_xlfn.XLOOKUP($A99,Строчный!$A:$A,Строчный!E:E,"ERR",0)))</f>
        <v>Fredrikson</v>
      </c>
      <c r="F99" s="81" t="str">
        <f ca="1">LOWER(TRIM(_xlfn.XLOOKUP($A99,Строчный!$A:$A,Строчный!F:F,"ERR",0)))</f>
        <v>всесезон</v>
      </c>
      <c r="G99" s="81" t="str">
        <f ca="1">UPPER(TRIM(_xlfn.XLOOKUP($A99,Строчный!$A:$A,Строчный!G:G,"ERR",0)))</f>
        <v>FREDRIKSON</v>
      </c>
      <c r="H99" s="81" t="str">
        <f ca="1">LOWER(TRIM(_xlfn.XLOOKUP($A99,Строчный!$A:$A,Строчный!H:H,"ERR",0)))</f>
        <v>630/77</v>
      </c>
      <c r="I99" s="81" t="str">
        <f ca="1">LOWER(TRIM(_xlfn.XLOOKUP($A99,Строчный!$A:$A,Строчный!I:I,"ERR",0)))</f>
        <v>серый / темно-серый</v>
      </c>
      <c r="J99" s="81" t="str">
        <f ca="1">SUBSTITUTE(LOWER(TRIM(_xlfn.XLOOKUP($A99,Строчный!$A:$A,Строчный!J:J,"ERR",0))),"подклад","Подклад")</f>
        <v>80% шерсть - 20% полиамид / Подклад: 100% вискоза</v>
      </c>
      <c r="K99" s="81" t="str">
        <f ca="1">LOWER(TRIM(_xlfn.XLOOKUP($A99,Строчный!$A:$A,Строчный!K:K,"ERR",0)))</f>
        <v>шерстяные</v>
      </c>
      <c r="L99" s="81" t="str">
        <f ca="1">PROPER(TRIM(_xlfn.XLOOKUP($A99,Строчный!$A:$A,Строчный!L:L,"ERR",0)))</f>
        <v>Унисекс</v>
      </c>
      <c r="M99" s="113" t="str">
        <f ca="1">PROPER(TRIM(_xlfn.XLOOKUP($A99,Строчный!$A:$A,Строчный!M:M,"ERR",0)))</f>
        <v>Россия</v>
      </c>
      <c r="N99" s="81" t="str">
        <f ca="1">UPPER(TRIM(_xlfn.XLOOKUP($A99,Строчный!$A:$A,Строчный!O:O,"ERR",0)))</f>
        <v/>
      </c>
      <c r="O99" s="102" t="str">
        <f ca="1">PROPER(TRIM(_xlfn.XLOOKUP($A99,Строчный!$A:$A,Строчный!P:P,"ERR",0)))</f>
        <v/>
      </c>
      <c r="P99" s="81" t="str">
        <f ca="1">PROPER(TRIM(_xlfn.XLOOKUP($A99,Строчный!$A:$A,Строчный!R:R,"ERR",0)))</f>
        <v/>
      </c>
      <c r="Q99" s="90">
        <f ca="1">VALUE(_xlfn.XLOOKUP($A99,Строчный!$A:$A,Строчный!N:N,"ERR",0))</f>
        <v>975.8</v>
      </c>
      <c r="R99" s="89" t="str">
        <f ca="1">_xlfn.XLOOKUP($G99,Фабрика!A:A,Фабрика!B:B,"ERR",0)</f>
        <v>ООО "ФРЭДРИКСОН" Россия 192029, С-Петербург, пр. Обуховской обороны, д.86, лит М</v>
      </c>
      <c r="S99" s="80" t="str">
        <f ca="1">_xlfn.XLOOKUP(RIGHT(AA99,2),Размеры!D:D,Размеры!A:A,"ERR",0)</f>
        <v>62</v>
      </c>
      <c r="T99" s="80">
        <f ca="1">VALUE(_xlfn.XLOOKUP($AA99,Строчный!$S:$S,Строчный!U:U,"ERR",0))</f>
        <v>1</v>
      </c>
      <c r="U99" s="14" t="s">
        <v>265</v>
      </c>
      <c r="V99" s="101" t="str">
        <f t="shared" ca="1" si="11"/>
        <v>Кепка FREDRIKSON арт. 3125 (серый / темно-серый)</v>
      </c>
      <c r="W99" s="100" t="str">
        <f t="shared" ca="1" si="12"/>
        <v>Кепка FREDRIKSON арт. 3125 (серый / темно-серый) {630/77}</v>
      </c>
      <c r="X99" s="18" t="str">
        <f t="shared" ca="1" si="13"/>
        <v>серый</v>
      </c>
      <c r="Y99" s="18" t="str">
        <f t="shared" ca="1" si="14"/>
        <v>серый</v>
      </c>
      <c r="Z99" s="117" t="s">
        <v>27</v>
      </c>
      <c r="AA99" s="73" t="str">
        <f ca="1"/>
        <v>95-010-69-62</v>
      </c>
      <c r="AB99" s="75" t="str">
        <f ca="1">VLOOKUP(C99,Группа!A:B,2,FALSE)</f>
        <v>Кепка</v>
      </c>
      <c r="AC99" s="97" t="str">
        <f ca="1">IFERROR(VLOOKUP(S99,Размеры!A:C,3,FALSE),"")</f>
        <v>62 XL/XXL</v>
      </c>
      <c r="AD99" s="97" t="str">
        <f ca="1">VLOOKUP(I99,ЦветПолный!A:B,2,FALSE)</f>
        <v>69</v>
      </c>
      <c r="AE99" s="97" t="str">
        <f ca="1">IFERROR(VLOOKUP(S99,Размеры!A:D,4,FALSE),"")</f>
        <v>62</v>
      </c>
      <c r="AF99" s="97">
        <f ca="1">IF(LEFT(IFERROR(VLOOKUP(LOOKUP(2,1/SEARCH(B99,Товары!A:A),Товары!A:A),Товары!A:B,2,0),""),6)=MID(AA99,1,6),1,0)</f>
        <v>0</v>
      </c>
      <c r="AH99" s="97">
        <f ca="1">SUMIF(Группа!A:A,C99,Группа!C:C)</f>
        <v>1</v>
      </c>
      <c r="AI99" s="97">
        <f ca="1">SUMIF(Группа!B:B,AB99,Группа!C:C)</f>
        <v>1</v>
      </c>
      <c r="AJ99" s="97">
        <f ca="1">SUMIF(Формы!A:A,D99,Формы!B:B)</f>
        <v>1</v>
      </c>
      <c r="AK99" s="97">
        <f ca="1">SUMIF(Материал!A:A,K99,Материал!B:B)</f>
        <v>1</v>
      </c>
      <c r="AL99" s="97">
        <f ca="1">SUMIF(Размеры!A:A,S99,Размеры!E:E)</f>
        <v>1</v>
      </c>
      <c r="AM99" s="97">
        <f ca="1">SUMIF(Сезон!A:A,F99,Сезон!B:B)</f>
        <v>1</v>
      </c>
      <c r="AN99" s="97">
        <f ca="1">SUMIF(Состав!A:A,J99,Состав!B:B)</f>
        <v>0</v>
      </c>
      <c r="AO99" s="97">
        <f ca="1">VLOOKUP(I99,ЦветПолный!A:C,3,0)</f>
        <v>1</v>
      </c>
      <c r="AP99" s="97">
        <f>SUMIF(Цвет!A:A,Z99,Цвет!B:B)</f>
        <v>1</v>
      </c>
      <c r="AQ99" s="97">
        <f ca="1">_xlfn.XLOOKUP(L99,Пол!A:A,Пол!B:B,0,0)</f>
        <v>1</v>
      </c>
      <c r="AR99" s="97">
        <f ca="1">SUMIF(Бренд!A:A,G99,Бренд!B:B)</f>
        <v>1</v>
      </c>
      <c r="AS99" s="97">
        <f ca="1">SUMIF(Страна!A:A,M99,Страна!B:B)</f>
        <v>1</v>
      </c>
      <c r="AT99" s="64" t="e">
        <f ca="1">IF(VLOOKUP(W99,Товары!A:B,2,FALSE)=A99,"Есть в 1С","ERR")</f>
        <v>#N/A</v>
      </c>
      <c r="AU99" s="65" t="e">
        <f ca="1">IF(VLOOKUP(A99,Товары!B:B,1,FALSE)=A99,"Есть в 1С","ERR")</f>
        <v>#N/A</v>
      </c>
      <c r="AV99" s="96" t="e">
        <f ca="1">VLOOKUP(W99,Товары!A:B,2,FALSE)</f>
        <v>#N/A</v>
      </c>
      <c r="AW99" s="94" t="e">
        <f ca="1">VLOOKUP(W99,Товары!A:B,1,FALSE)</f>
        <v>#N/A</v>
      </c>
    </row>
    <row r="100" spans="1:49" x14ac:dyDescent="0.25">
      <c r="A100" s="110" t="str">
        <f t="shared" ca="1" si="10"/>
        <v>95-010-69</v>
      </c>
      <c r="B100" s="107" t="str">
        <f ca="1">_xlfn.LET(_xlpm.CAPS,0,_xlpm.Style,TRIM(_xlfn.XLOOKUP($A100,Строчный!$A:$A,Строчный!B:B,"ERR",0)),IF(_xlpm.CAPS=0,_xlpm.Style,LOWER(_xlpm.Style)))</f>
        <v>3125</v>
      </c>
      <c r="C100" s="81" t="str">
        <f ca="1">TRIM(PROPER(_xlfn.XLOOKUP($A100,Строчный!$A:$A,Строчный!C:C,"ERR",0)))</f>
        <v>Кепки</v>
      </c>
      <c r="D100" s="81" t="str">
        <f ca="1">_xlfn.LET(_xlpm.DATA,TRIM(_xlfn.XLOOKUP($A100,Строчный!$A:$A,Строчный!D:D,"ERR",0)),UPPER(MID(_xlpm.DATA,1,1))&amp;LOWER(MID(_xlpm.DATA,2,LEN(_xlpm.DATA)-1)))</f>
        <v>Кепка плоская</v>
      </c>
      <c r="E100" s="81" t="str">
        <f ca="1">PROPER(TRIM(_xlfn.XLOOKUP($A100,Строчный!$A:$A,Строчный!E:E,"ERR",0)))</f>
        <v>Fredrikson</v>
      </c>
      <c r="F100" s="81" t="str">
        <f ca="1">LOWER(TRIM(_xlfn.XLOOKUP($A100,Строчный!$A:$A,Строчный!F:F,"ERR",0)))</f>
        <v>всесезон</v>
      </c>
      <c r="G100" s="81" t="str">
        <f ca="1">UPPER(TRIM(_xlfn.XLOOKUP($A100,Строчный!$A:$A,Строчный!G:G,"ERR",0)))</f>
        <v>FREDRIKSON</v>
      </c>
      <c r="H100" s="81" t="str">
        <f ca="1">LOWER(TRIM(_xlfn.XLOOKUP($A100,Строчный!$A:$A,Строчный!H:H,"ERR",0)))</f>
        <v>630/77</v>
      </c>
      <c r="I100" s="81" t="str">
        <f ca="1">LOWER(TRIM(_xlfn.XLOOKUP($A100,Строчный!$A:$A,Строчный!I:I,"ERR",0)))</f>
        <v>серый / темно-серый</v>
      </c>
      <c r="J100" s="81" t="str">
        <f ca="1">SUBSTITUTE(LOWER(TRIM(_xlfn.XLOOKUP($A100,Строчный!$A:$A,Строчный!J:J,"ERR",0))),"подклад","Подклад")</f>
        <v>80% шерсть - 20% полиамид / Подклад: 100% вискоза</v>
      </c>
      <c r="K100" s="81" t="str">
        <f ca="1">LOWER(TRIM(_xlfn.XLOOKUP($A100,Строчный!$A:$A,Строчный!K:K,"ERR",0)))</f>
        <v>шерстяные</v>
      </c>
      <c r="L100" s="81" t="str">
        <f ca="1">PROPER(TRIM(_xlfn.XLOOKUP($A100,Строчный!$A:$A,Строчный!L:L,"ERR",0)))</f>
        <v>Унисекс</v>
      </c>
      <c r="M100" s="113" t="str">
        <f ca="1">PROPER(TRIM(_xlfn.XLOOKUP($A100,Строчный!$A:$A,Строчный!M:M,"ERR",0)))</f>
        <v>Россия</v>
      </c>
      <c r="N100" s="81" t="str">
        <f ca="1">UPPER(TRIM(_xlfn.XLOOKUP($A100,Строчный!$A:$A,Строчный!O:O,"ERR",0)))</f>
        <v/>
      </c>
      <c r="O100" s="102" t="str">
        <f ca="1">PROPER(TRIM(_xlfn.XLOOKUP($A100,Строчный!$A:$A,Строчный!P:P,"ERR",0)))</f>
        <v/>
      </c>
      <c r="P100" s="81" t="str">
        <f ca="1">PROPER(TRIM(_xlfn.XLOOKUP($A100,Строчный!$A:$A,Строчный!R:R,"ERR",0)))</f>
        <v/>
      </c>
      <c r="Q100" s="90">
        <f ca="1">VALUE(_xlfn.XLOOKUP($A100,Строчный!$A:$A,Строчный!N:N,"ERR",0))</f>
        <v>975.8</v>
      </c>
      <c r="R100" s="89" t="str">
        <f ca="1">_xlfn.XLOOKUP($G100,Фабрика!A:A,Фабрика!B:B,"ERR",0)</f>
        <v>ООО "ФРЭДРИКСОН" Россия 192029, С-Петербург, пр. Обуховской обороны, д.86, лит М</v>
      </c>
      <c r="S100" s="80" t="str">
        <f ca="1">_xlfn.XLOOKUP(RIGHT(AA100,2),Размеры!D:D,Размеры!A:A,"ERR",0)</f>
        <v>61</v>
      </c>
      <c r="T100" s="80">
        <f ca="1">VALUE(_xlfn.XLOOKUP($AA100,Строчный!$S:$S,Строчный!U:U,"ERR",0))</f>
        <v>1</v>
      </c>
      <c r="U100" s="14" t="s">
        <v>265</v>
      </c>
      <c r="V100" s="101" t="str">
        <f t="shared" ca="1" si="11"/>
        <v>Кепка FREDRIKSON арт. 3125 (серый / темно-серый)</v>
      </c>
      <c r="W100" s="100" t="str">
        <f t="shared" ca="1" si="12"/>
        <v>Кепка FREDRIKSON арт. 3125 (серый / темно-серый) {630/77}</v>
      </c>
      <c r="X100" s="18" t="str">
        <f t="shared" ca="1" si="13"/>
        <v>серый</v>
      </c>
      <c r="Y100" s="18" t="str">
        <f t="shared" ca="1" si="14"/>
        <v>серый</v>
      </c>
      <c r="Z100" s="117" t="s">
        <v>27</v>
      </c>
      <c r="AA100" s="73" t="str">
        <f ca="1"/>
        <v>95-010-69-61</v>
      </c>
      <c r="AB100" s="75" t="str">
        <f ca="1">VLOOKUP(C100,Группа!A:B,2,FALSE)</f>
        <v>Кепка</v>
      </c>
      <c r="AC100" s="97" t="str">
        <f ca="1">IFERROR(VLOOKUP(S100,Размеры!A:C,3,FALSE),"")</f>
        <v>61 XL</v>
      </c>
      <c r="AD100" s="97" t="str">
        <f ca="1">VLOOKUP(I100,ЦветПолный!A:B,2,FALSE)</f>
        <v>69</v>
      </c>
      <c r="AE100" s="97" t="str">
        <f ca="1">IFERROR(VLOOKUP(S100,Размеры!A:D,4,FALSE),"")</f>
        <v>61</v>
      </c>
      <c r="AF100" s="97">
        <f ca="1">IF(LEFT(IFERROR(VLOOKUP(LOOKUP(2,1/SEARCH(B100,Товары!A:A),Товары!A:A),Товары!A:B,2,0),""),6)=MID(AA100,1,6),1,0)</f>
        <v>0</v>
      </c>
      <c r="AH100" s="97">
        <f ca="1">SUMIF(Группа!A:A,C100,Группа!C:C)</f>
        <v>1</v>
      </c>
      <c r="AI100" s="97">
        <f ca="1">SUMIF(Группа!B:B,AB100,Группа!C:C)</f>
        <v>1</v>
      </c>
      <c r="AJ100" s="97">
        <f ca="1">SUMIF(Формы!A:A,D100,Формы!B:B)</f>
        <v>1</v>
      </c>
      <c r="AK100" s="97">
        <f ca="1">SUMIF(Материал!A:A,K100,Материал!B:B)</f>
        <v>1</v>
      </c>
      <c r="AL100" s="97">
        <f ca="1">SUMIF(Размеры!A:A,S100,Размеры!E:E)</f>
        <v>1</v>
      </c>
      <c r="AM100" s="97">
        <f ca="1">SUMIF(Сезон!A:A,F100,Сезон!B:B)</f>
        <v>1</v>
      </c>
      <c r="AN100" s="97">
        <f ca="1">SUMIF(Состав!A:A,J100,Состав!B:B)</f>
        <v>0</v>
      </c>
      <c r="AO100" s="97">
        <f ca="1">VLOOKUP(I100,ЦветПолный!A:C,3,0)</f>
        <v>1</v>
      </c>
      <c r="AP100" s="97">
        <f>SUMIF(Цвет!A:A,Z100,Цвет!B:B)</f>
        <v>1</v>
      </c>
      <c r="AQ100" s="97">
        <f ca="1">_xlfn.XLOOKUP(L100,Пол!A:A,Пол!B:B,0,0)</f>
        <v>1</v>
      </c>
      <c r="AR100" s="97">
        <f ca="1">SUMIF(Бренд!A:A,G100,Бренд!B:B)</f>
        <v>1</v>
      </c>
      <c r="AS100" s="97">
        <f ca="1">SUMIF(Страна!A:A,M100,Страна!B:B)</f>
        <v>1</v>
      </c>
      <c r="AT100" s="64" t="e">
        <f ca="1">IF(VLOOKUP(W100,Товары!A:B,2,FALSE)=A100,"Есть в 1С","ERR")</f>
        <v>#N/A</v>
      </c>
      <c r="AU100" s="65" t="e">
        <f ca="1">IF(VLOOKUP(A100,Товары!B:B,1,FALSE)=A100,"Есть в 1С","ERR")</f>
        <v>#N/A</v>
      </c>
      <c r="AV100" s="96" t="e">
        <f ca="1">VLOOKUP(W100,Товары!A:B,2,FALSE)</f>
        <v>#N/A</v>
      </c>
      <c r="AW100" s="94" t="e">
        <f ca="1">VLOOKUP(W100,Товары!A:B,1,FALSE)</f>
        <v>#N/A</v>
      </c>
    </row>
    <row r="101" spans="1:49" x14ac:dyDescent="0.25">
      <c r="A101" s="110" t="str">
        <f t="shared" ca="1" si="10"/>
        <v>95-010-69</v>
      </c>
      <c r="B101" s="107" t="str">
        <f ca="1">_xlfn.LET(_xlpm.CAPS,0,_xlpm.Style,TRIM(_xlfn.XLOOKUP($A101,Строчный!$A:$A,Строчный!B:B,"ERR",0)),IF(_xlpm.CAPS=0,_xlpm.Style,LOWER(_xlpm.Style)))</f>
        <v>3125</v>
      </c>
      <c r="C101" s="81" t="str">
        <f ca="1">TRIM(PROPER(_xlfn.XLOOKUP($A101,Строчный!$A:$A,Строчный!C:C,"ERR",0)))</f>
        <v>Кепки</v>
      </c>
      <c r="D101" s="81" t="str">
        <f ca="1">_xlfn.LET(_xlpm.DATA,TRIM(_xlfn.XLOOKUP($A101,Строчный!$A:$A,Строчный!D:D,"ERR",0)),UPPER(MID(_xlpm.DATA,1,1))&amp;LOWER(MID(_xlpm.DATA,2,LEN(_xlpm.DATA)-1)))</f>
        <v>Кепка плоская</v>
      </c>
      <c r="E101" s="81" t="str">
        <f ca="1">PROPER(TRIM(_xlfn.XLOOKUP($A101,Строчный!$A:$A,Строчный!E:E,"ERR",0)))</f>
        <v>Fredrikson</v>
      </c>
      <c r="F101" s="81" t="str">
        <f ca="1">LOWER(TRIM(_xlfn.XLOOKUP($A101,Строчный!$A:$A,Строчный!F:F,"ERR",0)))</f>
        <v>всесезон</v>
      </c>
      <c r="G101" s="81" t="str">
        <f ca="1">UPPER(TRIM(_xlfn.XLOOKUP($A101,Строчный!$A:$A,Строчный!G:G,"ERR",0)))</f>
        <v>FREDRIKSON</v>
      </c>
      <c r="H101" s="81" t="str">
        <f ca="1">LOWER(TRIM(_xlfn.XLOOKUP($A101,Строчный!$A:$A,Строчный!H:H,"ERR",0)))</f>
        <v>630/77</v>
      </c>
      <c r="I101" s="81" t="str">
        <f ca="1">LOWER(TRIM(_xlfn.XLOOKUP($A101,Строчный!$A:$A,Строчный!I:I,"ERR",0)))</f>
        <v>серый / темно-серый</v>
      </c>
      <c r="J101" s="81" t="str">
        <f ca="1">SUBSTITUTE(LOWER(TRIM(_xlfn.XLOOKUP($A101,Строчный!$A:$A,Строчный!J:J,"ERR",0))),"подклад","Подклад")</f>
        <v>80% шерсть - 20% полиамид / Подклад: 100% вискоза</v>
      </c>
      <c r="K101" s="81" t="str">
        <f ca="1">LOWER(TRIM(_xlfn.XLOOKUP($A101,Строчный!$A:$A,Строчный!K:K,"ERR",0)))</f>
        <v>шерстяные</v>
      </c>
      <c r="L101" s="81" t="str">
        <f ca="1">PROPER(TRIM(_xlfn.XLOOKUP($A101,Строчный!$A:$A,Строчный!L:L,"ERR",0)))</f>
        <v>Унисекс</v>
      </c>
      <c r="M101" s="113" t="str">
        <f ca="1">PROPER(TRIM(_xlfn.XLOOKUP($A101,Строчный!$A:$A,Строчный!M:M,"ERR",0)))</f>
        <v>Россия</v>
      </c>
      <c r="N101" s="81" t="str">
        <f ca="1">UPPER(TRIM(_xlfn.XLOOKUP($A101,Строчный!$A:$A,Строчный!O:O,"ERR",0)))</f>
        <v/>
      </c>
      <c r="O101" s="102" t="str">
        <f ca="1">PROPER(TRIM(_xlfn.XLOOKUP($A101,Строчный!$A:$A,Строчный!P:P,"ERR",0)))</f>
        <v/>
      </c>
      <c r="P101" s="81" t="str">
        <f ca="1">PROPER(TRIM(_xlfn.XLOOKUP($A101,Строчный!$A:$A,Строчный!R:R,"ERR",0)))</f>
        <v/>
      </c>
      <c r="Q101" s="90">
        <f ca="1">VALUE(_xlfn.XLOOKUP($A101,Строчный!$A:$A,Строчный!N:N,"ERR",0))</f>
        <v>975.8</v>
      </c>
      <c r="R101" s="89" t="str">
        <f ca="1">_xlfn.XLOOKUP($G101,Фабрика!A:A,Фабрика!B:B,"ERR",0)</f>
        <v>ООО "ФРЭДРИКСОН" Россия 192029, С-Петербург, пр. Обуховской обороны, д.86, лит М</v>
      </c>
      <c r="S101" s="80" t="str">
        <f ca="1">_xlfn.XLOOKUP(RIGHT(AA101,2),Размеры!D:D,Размеры!A:A,"ERR",0)</f>
        <v>60</v>
      </c>
      <c r="T101" s="80">
        <f ca="1">VALUE(_xlfn.XLOOKUP($AA101,Строчный!$S:$S,Строчный!U:U,"ERR",0))</f>
        <v>1</v>
      </c>
      <c r="U101" s="14" t="s">
        <v>265</v>
      </c>
      <c r="V101" s="101" t="str">
        <f t="shared" ca="1" si="11"/>
        <v>Кепка FREDRIKSON арт. 3125 (серый / темно-серый)</v>
      </c>
      <c r="W101" s="100" t="str">
        <f t="shared" ca="1" si="12"/>
        <v>Кепка FREDRIKSON арт. 3125 (серый / темно-серый) {630/77}</v>
      </c>
      <c r="X101" s="18" t="str">
        <f t="shared" ca="1" si="13"/>
        <v>серый</v>
      </c>
      <c r="Y101" s="18" t="str">
        <f t="shared" ca="1" si="14"/>
        <v>серый</v>
      </c>
      <c r="Z101" s="117" t="s">
        <v>27</v>
      </c>
      <c r="AA101" s="73" t="str">
        <f ca="1"/>
        <v>95-010-69-60</v>
      </c>
      <c r="AB101" s="75" t="str">
        <f ca="1">VLOOKUP(C101,Группа!A:B,2,FALSE)</f>
        <v>Кепка</v>
      </c>
      <c r="AC101" s="97" t="str">
        <f ca="1">IFERROR(VLOOKUP(S101,Размеры!A:C,3,FALSE),"")</f>
        <v>60 L/XL</v>
      </c>
      <c r="AD101" s="97" t="str">
        <f ca="1">VLOOKUP(I101,ЦветПолный!A:B,2,FALSE)</f>
        <v>69</v>
      </c>
      <c r="AE101" s="97" t="str">
        <f ca="1">IFERROR(VLOOKUP(S101,Размеры!A:D,4,FALSE),"")</f>
        <v>60</v>
      </c>
      <c r="AF101" s="97">
        <f ca="1">IF(LEFT(IFERROR(VLOOKUP(LOOKUP(2,1/SEARCH(B101,Товары!A:A),Товары!A:A),Товары!A:B,2,0),""),6)=MID(AA101,1,6),1,0)</f>
        <v>0</v>
      </c>
      <c r="AH101" s="97">
        <f ca="1">SUMIF(Группа!A:A,C101,Группа!C:C)</f>
        <v>1</v>
      </c>
      <c r="AI101" s="97">
        <f ca="1">SUMIF(Группа!B:B,AB101,Группа!C:C)</f>
        <v>1</v>
      </c>
      <c r="AJ101" s="97">
        <f ca="1">SUMIF(Формы!A:A,D101,Формы!B:B)</f>
        <v>1</v>
      </c>
      <c r="AK101" s="97">
        <f ca="1">SUMIF(Материал!A:A,K101,Материал!B:B)</f>
        <v>1</v>
      </c>
      <c r="AL101" s="97">
        <f ca="1">SUMIF(Размеры!A:A,S101,Размеры!E:E)</f>
        <v>1</v>
      </c>
      <c r="AM101" s="97">
        <f ca="1">SUMIF(Сезон!A:A,F101,Сезон!B:B)</f>
        <v>1</v>
      </c>
      <c r="AN101" s="97">
        <f ca="1">SUMIF(Состав!A:A,J101,Состав!B:B)</f>
        <v>0</v>
      </c>
      <c r="AO101" s="97">
        <f ca="1">VLOOKUP(I101,ЦветПолный!A:C,3,0)</f>
        <v>1</v>
      </c>
      <c r="AP101" s="97">
        <f>SUMIF(Цвет!A:A,Z101,Цвет!B:B)</f>
        <v>1</v>
      </c>
      <c r="AQ101" s="97">
        <f ca="1">_xlfn.XLOOKUP(L101,Пол!A:A,Пол!B:B,0,0)</f>
        <v>1</v>
      </c>
      <c r="AR101" s="97">
        <f ca="1">SUMIF(Бренд!A:A,G101,Бренд!B:B)</f>
        <v>1</v>
      </c>
      <c r="AS101" s="97">
        <f ca="1">SUMIF(Страна!A:A,M101,Страна!B:B)</f>
        <v>1</v>
      </c>
      <c r="AT101" s="64" t="e">
        <f ca="1">IF(VLOOKUP(W101,Товары!A:B,2,FALSE)=A101,"Есть в 1С","ERR")</f>
        <v>#N/A</v>
      </c>
      <c r="AU101" s="65" t="e">
        <f ca="1">IF(VLOOKUP(A101,Товары!B:B,1,FALSE)=A101,"Есть в 1С","ERR")</f>
        <v>#N/A</v>
      </c>
      <c r="AV101" s="96" t="e">
        <f ca="1">VLOOKUP(W101,Товары!A:B,2,FALSE)</f>
        <v>#N/A</v>
      </c>
      <c r="AW101" s="94" t="e">
        <f ca="1">VLOOKUP(W101,Товары!A:B,1,FALSE)</f>
        <v>#N/A</v>
      </c>
    </row>
    <row r="102" spans="1:49" x14ac:dyDescent="0.25">
      <c r="A102" s="110" t="str">
        <f t="shared" ca="1" si="10"/>
        <v>95-010-69</v>
      </c>
      <c r="B102" s="107" t="str">
        <f ca="1">_xlfn.LET(_xlpm.CAPS,0,_xlpm.Style,TRIM(_xlfn.XLOOKUP($A102,Строчный!$A:$A,Строчный!B:B,"ERR",0)),IF(_xlpm.CAPS=0,_xlpm.Style,LOWER(_xlpm.Style)))</f>
        <v>3125</v>
      </c>
      <c r="C102" s="81" t="str">
        <f ca="1">TRIM(PROPER(_xlfn.XLOOKUP($A102,Строчный!$A:$A,Строчный!C:C,"ERR",0)))</f>
        <v>Кепки</v>
      </c>
      <c r="D102" s="81" t="str">
        <f ca="1">_xlfn.LET(_xlpm.DATA,TRIM(_xlfn.XLOOKUP($A102,Строчный!$A:$A,Строчный!D:D,"ERR",0)),UPPER(MID(_xlpm.DATA,1,1))&amp;LOWER(MID(_xlpm.DATA,2,LEN(_xlpm.DATA)-1)))</f>
        <v>Кепка плоская</v>
      </c>
      <c r="E102" s="81" t="str">
        <f ca="1">PROPER(TRIM(_xlfn.XLOOKUP($A102,Строчный!$A:$A,Строчный!E:E,"ERR",0)))</f>
        <v>Fredrikson</v>
      </c>
      <c r="F102" s="81" t="str">
        <f ca="1">LOWER(TRIM(_xlfn.XLOOKUP($A102,Строчный!$A:$A,Строчный!F:F,"ERR",0)))</f>
        <v>всесезон</v>
      </c>
      <c r="G102" s="81" t="str">
        <f ca="1">UPPER(TRIM(_xlfn.XLOOKUP($A102,Строчный!$A:$A,Строчный!G:G,"ERR",0)))</f>
        <v>FREDRIKSON</v>
      </c>
      <c r="H102" s="81" t="str">
        <f ca="1">LOWER(TRIM(_xlfn.XLOOKUP($A102,Строчный!$A:$A,Строчный!H:H,"ERR",0)))</f>
        <v>630/77</v>
      </c>
      <c r="I102" s="81" t="str">
        <f ca="1">LOWER(TRIM(_xlfn.XLOOKUP($A102,Строчный!$A:$A,Строчный!I:I,"ERR",0)))</f>
        <v>серый / темно-серый</v>
      </c>
      <c r="J102" s="81" t="str">
        <f ca="1">SUBSTITUTE(LOWER(TRIM(_xlfn.XLOOKUP($A102,Строчный!$A:$A,Строчный!J:J,"ERR",0))),"подклад","Подклад")</f>
        <v>80% шерсть - 20% полиамид / Подклад: 100% вискоза</v>
      </c>
      <c r="K102" s="81" t="str">
        <f ca="1">LOWER(TRIM(_xlfn.XLOOKUP($A102,Строчный!$A:$A,Строчный!K:K,"ERR",0)))</f>
        <v>шерстяные</v>
      </c>
      <c r="L102" s="81" t="str">
        <f ca="1">PROPER(TRIM(_xlfn.XLOOKUP($A102,Строчный!$A:$A,Строчный!L:L,"ERR",0)))</f>
        <v>Унисекс</v>
      </c>
      <c r="M102" s="113" t="str">
        <f ca="1">PROPER(TRIM(_xlfn.XLOOKUP($A102,Строчный!$A:$A,Строчный!M:M,"ERR",0)))</f>
        <v>Россия</v>
      </c>
      <c r="N102" s="81" t="str">
        <f ca="1">UPPER(TRIM(_xlfn.XLOOKUP($A102,Строчный!$A:$A,Строчный!O:O,"ERR",0)))</f>
        <v/>
      </c>
      <c r="O102" s="102" t="str">
        <f ca="1">PROPER(TRIM(_xlfn.XLOOKUP($A102,Строчный!$A:$A,Строчный!P:P,"ERR",0)))</f>
        <v/>
      </c>
      <c r="P102" s="81" t="str">
        <f ca="1">PROPER(TRIM(_xlfn.XLOOKUP($A102,Строчный!$A:$A,Строчный!R:R,"ERR",0)))</f>
        <v/>
      </c>
      <c r="Q102" s="90">
        <f ca="1">VALUE(_xlfn.XLOOKUP($A102,Строчный!$A:$A,Строчный!N:N,"ERR",0))</f>
        <v>975.8</v>
      </c>
      <c r="R102" s="89" t="str">
        <f ca="1">_xlfn.XLOOKUP($G102,Фабрика!A:A,Фабрика!B:B,"ERR",0)</f>
        <v>ООО "ФРЭДРИКСОН" Россия 192029, С-Петербург, пр. Обуховской обороны, д.86, лит М</v>
      </c>
      <c r="S102" s="80" t="str">
        <f ca="1">_xlfn.XLOOKUP(RIGHT(AA102,2),Размеры!D:D,Размеры!A:A,"ERR",0)</f>
        <v>59</v>
      </c>
      <c r="T102" s="80">
        <f ca="1">VALUE(_xlfn.XLOOKUP($AA102,Строчный!$S:$S,Строчный!U:U,"ERR",0))</f>
        <v>2</v>
      </c>
      <c r="U102" s="14" t="s">
        <v>265</v>
      </c>
      <c r="V102" s="101" t="str">
        <f t="shared" ca="1" si="11"/>
        <v>Кепка FREDRIKSON арт. 3125 (серый / темно-серый)</v>
      </c>
      <c r="W102" s="100" t="str">
        <f t="shared" ca="1" si="12"/>
        <v>Кепка FREDRIKSON арт. 3125 (серый / темно-серый) {630/77}</v>
      </c>
      <c r="X102" s="18" t="str">
        <f t="shared" ca="1" si="13"/>
        <v>серый</v>
      </c>
      <c r="Y102" s="18" t="str">
        <f t="shared" ca="1" si="14"/>
        <v>серый</v>
      </c>
      <c r="Z102" s="117" t="s">
        <v>27</v>
      </c>
      <c r="AA102" s="73" t="str">
        <f ca="1"/>
        <v>95-010-69-59</v>
      </c>
      <c r="AB102" s="75" t="str">
        <f ca="1">VLOOKUP(C102,Группа!A:B,2,FALSE)</f>
        <v>Кепка</v>
      </c>
      <c r="AC102" s="97" t="str">
        <f ca="1">IFERROR(VLOOKUP(S102,Размеры!A:C,3,FALSE),"")</f>
        <v>59 L</v>
      </c>
      <c r="AD102" s="97" t="str">
        <f ca="1">VLOOKUP(I102,ЦветПолный!A:B,2,FALSE)</f>
        <v>69</v>
      </c>
      <c r="AE102" s="97" t="str">
        <f ca="1">IFERROR(VLOOKUP(S102,Размеры!A:D,4,FALSE),"")</f>
        <v>59</v>
      </c>
      <c r="AF102" s="97">
        <f ca="1">IF(LEFT(IFERROR(VLOOKUP(LOOKUP(2,1/SEARCH(B102,Товары!A:A),Товары!A:A),Товары!A:B,2,0),""),6)=MID(AA102,1,6),1,0)</f>
        <v>0</v>
      </c>
      <c r="AH102" s="97">
        <f ca="1">SUMIF(Группа!A:A,C102,Группа!C:C)</f>
        <v>1</v>
      </c>
      <c r="AI102" s="97">
        <f ca="1">SUMIF(Группа!B:B,AB102,Группа!C:C)</f>
        <v>1</v>
      </c>
      <c r="AJ102" s="97">
        <f ca="1">SUMIF(Формы!A:A,D102,Формы!B:B)</f>
        <v>1</v>
      </c>
      <c r="AK102" s="97">
        <f ca="1">SUMIF(Материал!A:A,K102,Материал!B:B)</f>
        <v>1</v>
      </c>
      <c r="AL102" s="97">
        <f ca="1">SUMIF(Размеры!A:A,S102,Размеры!E:E)</f>
        <v>1</v>
      </c>
      <c r="AM102" s="97">
        <f ca="1">SUMIF(Сезон!A:A,F102,Сезон!B:B)</f>
        <v>1</v>
      </c>
      <c r="AN102" s="97">
        <f ca="1">SUMIF(Состав!A:A,J102,Состав!B:B)</f>
        <v>0</v>
      </c>
      <c r="AO102" s="97">
        <f ca="1">VLOOKUP(I102,ЦветПолный!A:C,3,0)</f>
        <v>1</v>
      </c>
      <c r="AP102" s="97">
        <f>SUMIF(Цвет!A:A,Z102,Цвет!B:B)</f>
        <v>1</v>
      </c>
      <c r="AQ102" s="97">
        <f ca="1">_xlfn.XLOOKUP(L102,Пол!A:A,Пол!B:B,0,0)</f>
        <v>1</v>
      </c>
      <c r="AR102" s="97">
        <f ca="1">SUMIF(Бренд!A:A,G102,Бренд!B:B)</f>
        <v>1</v>
      </c>
      <c r="AS102" s="97">
        <f ca="1">SUMIF(Страна!A:A,M102,Страна!B:B)</f>
        <v>1</v>
      </c>
      <c r="AT102" s="64" t="e">
        <f ca="1">IF(VLOOKUP(W102,Товары!A:B,2,FALSE)=A102,"Есть в 1С","ERR")</f>
        <v>#N/A</v>
      </c>
      <c r="AU102" s="65" t="e">
        <f ca="1">IF(VLOOKUP(A102,Товары!B:B,1,FALSE)=A102,"Есть в 1С","ERR")</f>
        <v>#N/A</v>
      </c>
      <c r="AV102" s="96" t="e">
        <f ca="1">VLOOKUP(W102,Товары!A:B,2,FALSE)</f>
        <v>#N/A</v>
      </c>
      <c r="AW102" s="94" t="e">
        <f ca="1">VLOOKUP(W102,Товары!A:B,1,FALSE)</f>
        <v>#N/A</v>
      </c>
    </row>
    <row r="103" spans="1:49" x14ac:dyDescent="0.25">
      <c r="A103" s="110" t="str">
        <f t="shared" ca="1" si="10"/>
        <v>95-010-69</v>
      </c>
      <c r="B103" s="107" t="str">
        <f ca="1">_xlfn.LET(_xlpm.CAPS,0,_xlpm.Style,TRIM(_xlfn.XLOOKUP($A103,Строчный!$A:$A,Строчный!B:B,"ERR",0)),IF(_xlpm.CAPS=0,_xlpm.Style,LOWER(_xlpm.Style)))</f>
        <v>3125</v>
      </c>
      <c r="C103" s="81" t="str">
        <f ca="1">TRIM(PROPER(_xlfn.XLOOKUP($A103,Строчный!$A:$A,Строчный!C:C,"ERR",0)))</f>
        <v>Кепки</v>
      </c>
      <c r="D103" s="81" t="str">
        <f ca="1">_xlfn.LET(_xlpm.DATA,TRIM(_xlfn.XLOOKUP($A103,Строчный!$A:$A,Строчный!D:D,"ERR",0)),UPPER(MID(_xlpm.DATA,1,1))&amp;LOWER(MID(_xlpm.DATA,2,LEN(_xlpm.DATA)-1)))</f>
        <v>Кепка плоская</v>
      </c>
      <c r="E103" s="81" t="str">
        <f ca="1">PROPER(TRIM(_xlfn.XLOOKUP($A103,Строчный!$A:$A,Строчный!E:E,"ERR",0)))</f>
        <v>Fredrikson</v>
      </c>
      <c r="F103" s="81" t="str">
        <f ca="1">LOWER(TRIM(_xlfn.XLOOKUP($A103,Строчный!$A:$A,Строчный!F:F,"ERR",0)))</f>
        <v>всесезон</v>
      </c>
      <c r="G103" s="81" t="str">
        <f ca="1">UPPER(TRIM(_xlfn.XLOOKUP($A103,Строчный!$A:$A,Строчный!G:G,"ERR",0)))</f>
        <v>FREDRIKSON</v>
      </c>
      <c r="H103" s="81" t="str">
        <f ca="1">LOWER(TRIM(_xlfn.XLOOKUP($A103,Строчный!$A:$A,Строчный!H:H,"ERR",0)))</f>
        <v>630/77</v>
      </c>
      <c r="I103" s="81" t="str">
        <f ca="1">LOWER(TRIM(_xlfn.XLOOKUP($A103,Строчный!$A:$A,Строчный!I:I,"ERR",0)))</f>
        <v>серый / темно-серый</v>
      </c>
      <c r="J103" s="81" t="str">
        <f ca="1">SUBSTITUTE(LOWER(TRIM(_xlfn.XLOOKUP($A103,Строчный!$A:$A,Строчный!J:J,"ERR",0))),"подклад","Подклад")</f>
        <v>80% шерсть - 20% полиамид / Подклад: 100% вискоза</v>
      </c>
      <c r="K103" s="81" t="str">
        <f ca="1">LOWER(TRIM(_xlfn.XLOOKUP($A103,Строчный!$A:$A,Строчный!K:K,"ERR",0)))</f>
        <v>шерстяные</v>
      </c>
      <c r="L103" s="81" t="str">
        <f ca="1">PROPER(TRIM(_xlfn.XLOOKUP($A103,Строчный!$A:$A,Строчный!L:L,"ERR",0)))</f>
        <v>Унисекс</v>
      </c>
      <c r="M103" s="113" t="str">
        <f ca="1">PROPER(TRIM(_xlfn.XLOOKUP($A103,Строчный!$A:$A,Строчный!M:M,"ERR",0)))</f>
        <v>Россия</v>
      </c>
      <c r="N103" s="81" t="str">
        <f ca="1">UPPER(TRIM(_xlfn.XLOOKUP($A103,Строчный!$A:$A,Строчный!O:O,"ERR",0)))</f>
        <v/>
      </c>
      <c r="O103" s="102" t="str">
        <f ca="1">PROPER(TRIM(_xlfn.XLOOKUP($A103,Строчный!$A:$A,Строчный!P:P,"ERR",0)))</f>
        <v/>
      </c>
      <c r="P103" s="81" t="str">
        <f ca="1">PROPER(TRIM(_xlfn.XLOOKUP($A103,Строчный!$A:$A,Строчный!R:R,"ERR",0)))</f>
        <v/>
      </c>
      <c r="Q103" s="90">
        <f ca="1">VALUE(_xlfn.XLOOKUP($A103,Строчный!$A:$A,Строчный!N:N,"ERR",0))</f>
        <v>975.8</v>
      </c>
      <c r="R103" s="89" t="str">
        <f ca="1">_xlfn.XLOOKUP($G103,Фабрика!A:A,Фабрика!B:B,"ERR",0)</f>
        <v>ООО "ФРЭДРИКСОН" Россия 192029, С-Петербург, пр. Обуховской обороны, д.86, лит М</v>
      </c>
      <c r="S103" s="80" t="str">
        <f ca="1">_xlfn.XLOOKUP(RIGHT(AA103,2),Размеры!D:D,Размеры!A:A,"ERR",0)</f>
        <v>58</v>
      </c>
      <c r="T103" s="80">
        <f ca="1">VALUE(_xlfn.XLOOKUP($AA103,Строчный!$S:$S,Строчный!U:U,"ERR",0))</f>
        <v>1</v>
      </c>
      <c r="U103" s="14" t="s">
        <v>265</v>
      </c>
      <c r="V103" s="101" t="str">
        <f t="shared" ca="1" si="11"/>
        <v>Кепка FREDRIKSON арт. 3125 (серый / темно-серый)</v>
      </c>
      <c r="W103" s="100" t="str">
        <f t="shared" ca="1" si="12"/>
        <v>Кепка FREDRIKSON арт. 3125 (серый / темно-серый) {630/77}</v>
      </c>
      <c r="X103" s="18" t="str">
        <f t="shared" ca="1" si="13"/>
        <v>серый</v>
      </c>
      <c r="Y103" s="18" t="str">
        <f t="shared" ca="1" si="14"/>
        <v>серый</v>
      </c>
      <c r="Z103" s="117" t="s">
        <v>27</v>
      </c>
      <c r="AA103" s="73" t="str">
        <f ca="1"/>
        <v>95-010-69-58</v>
      </c>
      <c r="AB103" s="75" t="str">
        <f ca="1">VLOOKUP(C103,Группа!A:B,2,FALSE)</f>
        <v>Кепка</v>
      </c>
      <c r="AC103" s="97" t="str">
        <f ca="1">IFERROR(VLOOKUP(S103,Размеры!A:C,3,FALSE),"")</f>
        <v>58 M/L</v>
      </c>
      <c r="AD103" s="97" t="str">
        <f ca="1">VLOOKUP(I103,ЦветПолный!A:B,2,FALSE)</f>
        <v>69</v>
      </c>
      <c r="AE103" s="97" t="str">
        <f ca="1">IFERROR(VLOOKUP(S103,Размеры!A:D,4,FALSE),"")</f>
        <v>58</v>
      </c>
      <c r="AF103" s="97">
        <f ca="1">IF(LEFT(IFERROR(VLOOKUP(LOOKUP(2,1/SEARCH(B103,Товары!A:A),Товары!A:A),Товары!A:B,2,0),""),6)=MID(AA103,1,6),1,0)</f>
        <v>0</v>
      </c>
      <c r="AH103" s="97">
        <f ca="1">SUMIF(Группа!A:A,C103,Группа!C:C)</f>
        <v>1</v>
      </c>
      <c r="AI103" s="97">
        <f ca="1">SUMIF(Группа!B:B,AB103,Группа!C:C)</f>
        <v>1</v>
      </c>
      <c r="AJ103" s="97">
        <f ca="1">SUMIF(Формы!A:A,D103,Формы!B:B)</f>
        <v>1</v>
      </c>
      <c r="AK103" s="97">
        <f ca="1">SUMIF(Материал!A:A,K103,Материал!B:B)</f>
        <v>1</v>
      </c>
      <c r="AL103" s="97">
        <f ca="1">SUMIF(Размеры!A:A,S103,Размеры!E:E)</f>
        <v>1</v>
      </c>
      <c r="AM103" s="97">
        <f ca="1">SUMIF(Сезон!A:A,F103,Сезон!B:B)</f>
        <v>1</v>
      </c>
      <c r="AN103" s="97">
        <f ca="1">SUMIF(Состав!A:A,J103,Состав!B:B)</f>
        <v>0</v>
      </c>
      <c r="AO103" s="97">
        <f ca="1">VLOOKUP(I103,ЦветПолный!A:C,3,0)</f>
        <v>1</v>
      </c>
      <c r="AP103" s="97">
        <f>SUMIF(Цвет!A:A,Z103,Цвет!B:B)</f>
        <v>1</v>
      </c>
      <c r="AQ103" s="97">
        <f ca="1">_xlfn.XLOOKUP(L103,Пол!A:A,Пол!B:B,0,0)</f>
        <v>1</v>
      </c>
      <c r="AR103" s="97">
        <f ca="1">SUMIF(Бренд!A:A,G103,Бренд!B:B)</f>
        <v>1</v>
      </c>
      <c r="AS103" s="97">
        <f ca="1">SUMIF(Страна!A:A,M103,Страна!B:B)</f>
        <v>1</v>
      </c>
      <c r="AT103" s="64" t="e">
        <f ca="1">IF(VLOOKUP(W103,Товары!A:B,2,FALSE)=A103,"Есть в 1С","ERR")</f>
        <v>#N/A</v>
      </c>
      <c r="AU103" s="65" t="e">
        <f ca="1">IF(VLOOKUP(A103,Товары!B:B,1,FALSE)=A103,"Есть в 1С","ERR")</f>
        <v>#N/A</v>
      </c>
      <c r="AV103" s="96" t="e">
        <f ca="1">VLOOKUP(W103,Товары!A:B,2,FALSE)</f>
        <v>#N/A</v>
      </c>
      <c r="AW103" s="94" t="e">
        <f ca="1">VLOOKUP(W103,Товары!A:B,1,FALSE)</f>
        <v>#N/A</v>
      </c>
    </row>
    <row r="104" spans="1:49" x14ac:dyDescent="0.25">
      <c r="A104" s="110" t="str">
        <f t="shared" ca="1" si="10"/>
        <v>95-010-69</v>
      </c>
      <c r="B104" s="107" t="str">
        <f ca="1">_xlfn.LET(_xlpm.CAPS,0,_xlpm.Style,TRIM(_xlfn.XLOOKUP($A104,Строчный!$A:$A,Строчный!B:B,"ERR",0)),IF(_xlpm.CAPS=0,_xlpm.Style,LOWER(_xlpm.Style)))</f>
        <v>3125</v>
      </c>
      <c r="C104" s="81" t="str">
        <f ca="1">TRIM(PROPER(_xlfn.XLOOKUP($A104,Строчный!$A:$A,Строчный!C:C,"ERR",0)))</f>
        <v>Кепки</v>
      </c>
      <c r="D104" s="81" t="str">
        <f ca="1">_xlfn.LET(_xlpm.DATA,TRIM(_xlfn.XLOOKUP($A104,Строчный!$A:$A,Строчный!D:D,"ERR",0)),UPPER(MID(_xlpm.DATA,1,1))&amp;LOWER(MID(_xlpm.DATA,2,LEN(_xlpm.DATA)-1)))</f>
        <v>Кепка плоская</v>
      </c>
      <c r="E104" s="81" t="str">
        <f ca="1">PROPER(TRIM(_xlfn.XLOOKUP($A104,Строчный!$A:$A,Строчный!E:E,"ERR",0)))</f>
        <v>Fredrikson</v>
      </c>
      <c r="F104" s="81" t="str">
        <f ca="1">LOWER(TRIM(_xlfn.XLOOKUP($A104,Строчный!$A:$A,Строчный!F:F,"ERR",0)))</f>
        <v>всесезон</v>
      </c>
      <c r="G104" s="81" t="str">
        <f ca="1">UPPER(TRIM(_xlfn.XLOOKUP($A104,Строчный!$A:$A,Строчный!G:G,"ERR",0)))</f>
        <v>FREDRIKSON</v>
      </c>
      <c r="H104" s="81" t="str">
        <f ca="1">LOWER(TRIM(_xlfn.XLOOKUP($A104,Строчный!$A:$A,Строчный!H:H,"ERR",0)))</f>
        <v>630/77</v>
      </c>
      <c r="I104" s="81" t="str">
        <f ca="1">LOWER(TRIM(_xlfn.XLOOKUP($A104,Строчный!$A:$A,Строчный!I:I,"ERR",0)))</f>
        <v>серый / темно-серый</v>
      </c>
      <c r="J104" s="81" t="str">
        <f ca="1">SUBSTITUTE(LOWER(TRIM(_xlfn.XLOOKUP($A104,Строчный!$A:$A,Строчный!J:J,"ERR",0))),"подклад","Подклад")</f>
        <v>80% шерсть - 20% полиамид / Подклад: 100% вискоза</v>
      </c>
      <c r="K104" s="81" t="str">
        <f ca="1">LOWER(TRIM(_xlfn.XLOOKUP($A104,Строчный!$A:$A,Строчный!K:K,"ERR",0)))</f>
        <v>шерстяные</v>
      </c>
      <c r="L104" s="81" t="str">
        <f ca="1">PROPER(TRIM(_xlfn.XLOOKUP($A104,Строчный!$A:$A,Строчный!L:L,"ERR",0)))</f>
        <v>Унисекс</v>
      </c>
      <c r="M104" s="113" t="str">
        <f ca="1">PROPER(TRIM(_xlfn.XLOOKUP($A104,Строчный!$A:$A,Строчный!M:M,"ERR",0)))</f>
        <v>Россия</v>
      </c>
      <c r="N104" s="81" t="str">
        <f ca="1">UPPER(TRIM(_xlfn.XLOOKUP($A104,Строчный!$A:$A,Строчный!O:O,"ERR",0)))</f>
        <v/>
      </c>
      <c r="O104" s="102" t="str">
        <f ca="1">PROPER(TRIM(_xlfn.XLOOKUP($A104,Строчный!$A:$A,Строчный!P:P,"ERR",0)))</f>
        <v/>
      </c>
      <c r="P104" s="81" t="str">
        <f ca="1">PROPER(TRIM(_xlfn.XLOOKUP($A104,Строчный!$A:$A,Строчный!R:R,"ERR",0)))</f>
        <v/>
      </c>
      <c r="Q104" s="90">
        <f ca="1">VALUE(_xlfn.XLOOKUP($A104,Строчный!$A:$A,Строчный!N:N,"ERR",0))</f>
        <v>975.8</v>
      </c>
      <c r="R104" s="89" t="str">
        <f ca="1">_xlfn.XLOOKUP($G104,Фабрика!A:A,Фабрика!B:B,"ERR",0)</f>
        <v>ООО "ФРЭДРИКСОН" Россия 192029, С-Петербург, пр. Обуховской обороны, д.86, лит М</v>
      </c>
      <c r="S104" s="80" t="str">
        <f ca="1">_xlfn.XLOOKUP(RIGHT(AA104,2),Размеры!D:D,Размеры!A:A,"ERR",0)</f>
        <v>57</v>
      </c>
      <c r="T104" s="80">
        <f ca="1">VALUE(_xlfn.XLOOKUP($AA104,Строчный!$S:$S,Строчный!U:U,"ERR",0))</f>
        <v>1</v>
      </c>
      <c r="U104" s="14" t="s">
        <v>265</v>
      </c>
      <c r="V104" s="101" t="str">
        <f t="shared" ca="1" si="11"/>
        <v>Кепка FREDRIKSON арт. 3125 (серый / темно-серый)</v>
      </c>
      <c r="W104" s="100" t="str">
        <f t="shared" ca="1" si="12"/>
        <v>Кепка FREDRIKSON арт. 3125 (серый / темно-серый) {630/77}</v>
      </c>
      <c r="X104" s="18" t="str">
        <f t="shared" ca="1" si="13"/>
        <v>серый</v>
      </c>
      <c r="Y104" s="18" t="str">
        <f t="shared" ca="1" si="14"/>
        <v>серый</v>
      </c>
      <c r="Z104" s="117" t="s">
        <v>27</v>
      </c>
      <c r="AA104" s="73" t="str">
        <f ca="1"/>
        <v>95-010-69-57</v>
      </c>
      <c r="AB104" s="75" t="str">
        <f ca="1">VLOOKUP(C104,Группа!A:B,2,FALSE)</f>
        <v>Кепка</v>
      </c>
      <c r="AC104" s="97" t="str">
        <f ca="1">IFERROR(VLOOKUP(S104,Размеры!A:C,3,FALSE),"")</f>
        <v>57 M</v>
      </c>
      <c r="AD104" s="97" t="str">
        <f ca="1">VLOOKUP(I104,ЦветПолный!A:B,2,FALSE)</f>
        <v>69</v>
      </c>
      <c r="AE104" s="97" t="str">
        <f ca="1">IFERROR(VLOOKUP(S104,Размеры!A:D,4,FALSE),"")</f>
        <v>57</v>
      </c>
      <c r="AF104" s="97">
        <f ca="1">IF(LEFT(IFERROR(VLOOKUP(LOOKUP(2,1/SEARCH(B104,Товары!A:A),Товары!A:A),Товары!A:B,2,0),""),6)=MID(AA104,1,6),1,0)</f>
        <v>0</v>
      </c>
      <c r="AH104" s="97">
        <f ca="1">SUMIF(Группа!A:A,C104,Группа!C:C)</f>
        <v>1</v>
      </c>
      <c r="AI104" s="97">
        <f ca="1">SUMIF(Группа!B:B,AB104,Группа!C:C)</f>
        <v>1</v>
      </c>
      <c r="AJ104" s="97">
        <f ca="1">SUMIF(Формы!A:A,D104,Формы!B:B)</f>
        <v>1</v>
      </c>
      <c r="AK104" s="97">
        <f ca="1">SUMIF(Материал!A:A,K104,Материал!B:B)</f>
        <v>1</v>
      </c>
      <c r="AL104" s="97">
        <f ca="1">SUMIF(Размеры!A:A,S104,Размеры!E:E)</f>
        <v>1</v>
      </c>
      <c r="AM104" s="97">
        <f ca="1">SUMIF(Сезон!A:A,F104,Сезон!B:B)</f>
        <v>1</v>
      </c>
      <c r="AN104" s="97">
        <f ca="1">SUMIF(Состав!A:A,J104,Состав!B:B)</f>
        <v>0</v>
      </c>
      <c r="AO104" s="97">
        <f ca="1">VLOOKUP(I104,ЦветПолный!A:C,3,0)</f>
        <v>1</v>
      </c>
      <c r="AP104" s="97">
        <f>SUMIF(Цвет!A:A,Z104,Цвет!B:B)</f>
        <v>1</v>
      </c>
      <c r="AQ104" s="97">
        <f ca="1">_xlfn.XLOOKUP(L104,Пол!A:A,Пол!B:B,0,0)</f>
        <v>1</v>
      </c>
      <c r="AR104" s="97">
        <f ca="1">SUMIF(Бренд!A:A,G104,Бренд!B:B)</f>
        <v>1</v>
      </c>
      <c r="AS104" s="97">
        <f ca="1">SUMIF(Страна!A:A,M104,Страна!B:B)</f>
        <v>1</v>
      </c>
      <c r="AT104" s="64" t="e">
        <f ca="1">IF(VLOOKUP(W104,Товары!A:B,2,FALSE)=A104,"Есть в 1С","ERR")</f>
        <v>#N/A</v>
      </c>
      <c r="AU104" s="65" t="e">
        <f ca="1">IF(VLOOKUP(A104,Товары!B:B,1,FALSE)=A104,"Есть в 1С","ERR")</f>
        <v>#N/A</v>
      </c>
      <c r="AV104" s="96" t="e">
        <f ca="1">VLOOKUP(W104,Товары!A:B,2,FALSE)</f>
        <v>#N/A</v>
      </c>
      <c r="AW104" s="94" t="e">
        <f ca="1">VLOOKUP(W104,Товары!A:B,1,FALSE)</f>
        <v>#N/A</v>
      </c>
    </row>
    <row r="105" spans="1:49" x14ac:dyDescent="0.25">
      <c r="A105" s="110" t="str">
        <f t="shared" ca="1" si="10"/>
        <v>95-010-67</v>
      </c>
      <c r="B105" s="107" t="str">
        <f ca="1">_xlfn.LET(_xlpm.CAPS,0,_xlpm.Style,TRIM(_xlfn.XLOOKUP($A105,Строчный!$A:$A,Строчный!B:B,"ERR",0)),IF(_xlpm.CAPS=0,_xlpm.Style,LOWER(_xlpm.Style)))</f>
        <v>3125</v>
      </c>
      <c r="C105" s="81" t="str">
        <f ca="1">TRIM(PROPER(_xlfn.XLOOKUP($A105,Строчный!$A:$A,Строчный!C:C,"ERR",0)))</f>
        <v>Кепки</v>
      </c>
      <c r="D105" s="81" t="str">
        <f ca="1">_xlfn.LET(_xlpm.DATA,TRIM(_xlfn.XLOOKUP($A105,Строчный!$A:$A,Строчный!D:D,"ERR",0)),UPPER(MID(_xlpm.DATA,1,1))&amp;LOWER(MID(_xlpm.DATA,2,LEN(_xlpm.DATA)-1)))</f>
        <v>Кепка плоская</v>
      </c>
      <c r="E105" s="81" t="str">
        <f ca="1">PROPER(TRIM(_xlfn.XLOOKUP($A105,Строчный!$A:$A,Строчный!E:E,"ERR",0)))</f>
        <v>Fredrikson</v>
      </c>
      <c r="F105" s="81" t="str">
        <f ca="1">LOWER(TRIM(_xlfn.XLOOKUP($A105,Строчный!$A:$A,Строчный!F:F,"ERR",0)))</f>
        <v>всесезон</v>
      </c>
      <c r="G105" s="81" t="str">
        <f ca="1">UPPER(TRIM(_xlfn.XLOOKUP($A105,Строчный!$A:$A,Строчный!G:G,"ERR",0)))</f>
        <v>FREDRIKSON</v>
      </c>
      <c r="H105" s="81" t="str">
        <f ca="1">LOWER(TRIM(_xlfn.XLOOKUP($A105,Строчный!$A:$A,Строчный!H:H,"ERR",0)))</f>
        <v>619/23</v>
      </c>
      <c r="I105" s="81" t="str">
        <f ca="1">LOWER(TRIM(_xlfn.XLOOKUP($A105,Строчный!$A:$A,Строчный!I:I,"ERR",0)))</f>
        <v>темно-синий / темно-синий</v>
      </c>
      <c r="J105" s="81" t="str">
        <f ca="1">SUBSTITUTE(LOWER(TRIM(_xlfn.XLOOKUP($A105,Строчный!$A:$A,Строчный!J:J,"ERR",0))),"подклад","Подклад")</f>
        <v>80% шерсть - 20% полиамид / Подклад: 100% вискоза</v>
      </c>
      <c r="K105" s="81" t="str">
        <f ca="1">LOWER(TRIM(_xlfn.XLOOKUP($A105,Строчный!$A:$A,Строчный!K:K,"ERR",0)))</f>
        <v>шерстяные</v>
      </c>
      <c r="L105" s="81" t="str">
        <f ca="1">PROPER(TRIM(_xlfn.XLOOKUP($A105,Строчный!$A:$A,Строчный!L:L,"ERR",0)))</f>
        <v>Унисекс</v>
      </c>
      <c r="M105" s="113" t="str">
        <f ca="1">PROPER(TRIM(_xlfn.XLOOKUP($A105,Строчный!$A:$A,Строчный!M:M,"ERR",0)))</f>
        <v>Россия</v>
      </c>
      <c r="N105" s="81" t="str">
        <f ca="1">UPPER(TRIM(_xlfn.XLOOKUP($A105,Строчный!$A:$A,Строчный!O:O,"ERR",0)))</f>
        <v/>
      </c>
      <c r="O105" s="102" t="str">
        <f ca="1">PROPER(TRIM(_xlfn.XLOOKUP($A105,Строчный!$A:$A,Строчный!P:P,"ERR",0)))</f>
        <v/>
      </c>
      <c r="P105" s="81" t="str">
        <f ca="1">PROPER(TRIM(_xlfn.XLOOKUP($A105,Строчный!$A:$A,Строчный!R:R,"ERR",0)))</f>
        <v/>
      </c>
      <c r="Q105" s="90">
        <f ca="1">VALUE(_xlfn.XLOOKUP($A105,Строчный!$A:$A,Строчный!N:N,"ERR",0))</f>
        <v>975.8</v>
      </c>
      <c r="R105" s="89" t="str">
        <f ca="1">_xlfn.XLOOKUP($G105,Фабрика!A:A,Фабрика!B:B,"ERR",0)</f>
        <v>ООО "ФРЭДРИКСОН" Россия 192029, С-Петербург, пр. Обуховской обороны, д.86, лит М</v>
      </c>
      <c r="S105" s="80" t="str">
        <f ca="1">_xlfn.XLOOKUP(RIGHT(AA105,2),Размеры!D:D,Размеры!A:A,"ERR",0)</f>
        <v>62</v>
      </c>
      <c r="T105" s="80">
        <f ca="1">VALUE(_xlfn.XLOOKUP($AA105,Строчный!$S:$S,Строчный!U:U,"ERR",0))</f>
        <v>1</v>
      </c>
      <c r="U105" s="14" t="s">
        <v>265</v>
      </c>
      <c r="V105" s="101" t="str">
        <f t="shared" ca="1" si="11"/>
        <v>Кепка FREDRIKSON арт. 3125 (темно-синий / темно-синий)</v>
      </c>
      <c r="W105" s="100" t="str">
        <f t="shared" ca="1" si="12"/>
        <v>Кепка FREDRIKSON арт. 3125 (темно-синий / темно-синий) {619/23}</v>
      </c>
      <c r="X105" s="18" t="str">
        <f t="shared" ca="1" si="13"/>
        <v>синий / темно-синий</v>
      </c>
      <c r="Y105" s="18" t="str">
        <f t="shared" ca="1" si="14"/>
        <v>синий / темно-синий</v>
      </c>
      <c r="Z105" s="117" t="s">
        <v>27</v>
      </c>
      <c r="AA105" s="73" t="str">
        <f ca="1"/>
        <v>95-010-67-62</v>
      </c>
      <c r="AB105" s="75" t="str">
        <f ca="1">VLOOKUP(C105,Группа!A:B,2,FALSE)</f>
        <v>Кепка</v>
      </c>
      <c r="AC105" s="97" t="str">
        <f ca="1">IFERROR(VLOOKUP(S105,Размеры!A:C,3,FALSE),"")</f>
        <v>62 XL/XXL</v>
      </c>
      <c r="AD105" s="97" t="str">
        <f ca="1">VLOOKUP(I105,ЦветПолный!A:B,2,FALSE)</f>
        <v>67</v>
      </c>
      <c r="AE105" s="97" t="str">
        <f ca="1">IFERROR(VLOOKUP(S105,Размеры!A:D,4,FALSE),"")</f>
        <v>62</v>
      </c>
      <c r="AF105" s="97">
        <f ca="1">IF(LEFT(IFERROR(VLOOKUP(LOOKUP(2,1/SEARCH(B105,Товары!A:A),Товары!A:A),Товары!A:B,2,0),""),6)=MID(AA105,1,6),1,0)</f>
        <v>0</v>
      </c>
      <c r="AH105" s="97">
        <f ca="1">SUMIF(Группа!A:A,C105,Группа!C:C)</f>
        <v>1</v>
      </c>
      <c r="AI105" s="97">
        <f ca="1">SUMIF(Группа!B:B,AB105,Группа!C:C)</f>
        <v>1</v>
      </c>
      <c r="AJ105" s="97">
        <f ca="1">SUMIF(Формы!A:A,D105,Формы!B:B)</f>
        <v>1</v>
      </c>
      <c r="AK105" s="97">
        <f ca="1">SUMIF(Материал!A:A,K105,Материал!B:B)</f>
        <v>1</v>
      </c>
      <c r="AL105" s="97">
        <f ca="1">SUMIF(Размеры!A:A,S105,Размеры!E:E)</f>
        <v>1</v>
      </c>
      <c r="AM105" s="97">
        <f ca="1">SUMIF(Сезон!A:A,F105,Сезон!B:B)</f>
        <v>1</v>
      </c>
      <c r="AN105" s="97">
        <f ca="1">SUMIF(Состав!A:A,J105,Состав!B:B)</f>
        <v>0</v>
      </c>
      <c r="AO105" s="97">
        <f ca="1">VLOOKUP(I105,ЦветПолный!A:C,3,0)</f>
        <v>1</v>
      </c>
      <c r="AP105" s="97">
        <f>SUMIF(Цвет!A:A,Z105,Цвет!B:B)</f>
        <v>1</v>
      </c>
      <c r="AQ105" s="97">
        <f ca="1">_xlfn.XLOOKUP(L105,Пол!A:A,Пол!B:B,0,0)</f>
        <v>1</v>
      </c>
      <c r="AR105" s="97">
        <f ca="1">SUMIF(Бренд!A:A,G105,Бренд!B:B)</f>
        <v>1</v>
      </c>
      <c r="AS105" s="97">
        <f ca="1">SUMIF(Страна!A:A,M105,Страна!B:B)</f>
        <v>1</v>
      </c>
      <c r="AT105" s="64" t="e">
        <f ca="1">IF(VLOOKUP(W105,Товары!A:B,2,FALSE)=A105,"Есть в 1С","ERR")</f>
        <v>#N/A</v>
      </c>
      <c r="AU105" s="65" t="e">
        <f ca="1">IF(VLOOKUP(A105,Товары!B:B,1,FALSE)=A105,"Есть в 1С","ERR")</f>
        <v>#N/A</v>
      </c>
      <c r="AV105" s="96" t="e">
        <f ca="1">VLOOKUP(W105,Товары!A:B,2,FALSE)</f>
        <v>#N/A</v>
      </c>
      <c r="AW105" s="94" t="e">
        <f ca="1">VLOOKUP(W105,Товары!A:B,1,FALSE)</f>
        <v>#N/A</v>
      </c>
    </row>
    <row r="106" spans="1:49" x14ac:dyDescent="0.25">
      <c r="A106" s="110" t="str">
        <f t="shared" ca="1" si="10"/>
        <v>95-010-67</v>
      </c>
      <c r="B106" s="107" t="str">
        <f ca="1">_xlfn.LET(_xlpm.CAPS,0,_xlpm.Style,TRIM(_xlfn.XLOOKUP($A106,Строчный!$A:$A,Строчный!B:B,"ERR",0)),IF(_xlpm.CAPS=0,_xlpm.Style,LOWER(_xlpm.Style)))</f>
        <v>3125</v>
      </c>
      <c r="C106" s="81" t="str">
        <f ca="1">TRIM(PROPER(_xlfn.XLOOKUP($A106,Строчный!$A:$A,Строчный!C:C,"ERR",0)))</f>
        <v>Кепки</v>
      </c>
      <c r="D106" s="81" t="str">
        <f ca="1">_xlfn.LET(_xlpm.DATA,TRIM(_xlfn.XLOOKUP($A106,Строчный!$A:$A,Строчный!D:D,"ERR",0)),UPPER(MID(_xlpm.DATA,1,1))&amp;LOWER(MID(_xlpm.DATA,2,LEN(_xlpm.DATA)-1)))</f>
        <v>Кепка плоская</v>
      </c>
      <c r="E106" s="81" t="str">
        <f ca="1">PROPER(TRIM(_xlfn.XLOOKUP($A106,Строчный!$A:$A,Строчный!E:E,"ERR",0)))</f>
        <v>Fredrikson</v>
      </c>
      <c r="F106" s="81" t="str">
        <f ca="1">LOWER(TRIM(_xlfn.XLOOKUP($A106,Строчный!$A:$A,Строчный!F:F,"ERR",0)))</f>
        <v>всесезон</v>
      </c>
      <c r="G106" s="81" t="str">
        <f ca="1">UPPER(TRIM(_xlfn.XLOOKUP($A106,Строчный!$A:$A,Строчный!G:G,"ERR",0)))</f>
        <v>FREDRIKSON</v>
      </c>
      <c r="H106" s="81" t="str">
        <f ca="1">LOWER(TRIM(_xlfn.XLOOKUP($A106,Строчный!$A:$A,Строчный!H:H,"ERR",0)))</f>
        <v>619/23</v>
      </c>
      <c r="I106" s="81" t="str">
        <f ca="1">LOWER(TRIM(_xlfn.XLOOKUP($A106,Строчный!$A:$A,Строчный!I:I,"ERR",0)))</f>
        <v>темно-синий / темно-синий</v>
      </c>
      <c r="J106" s="81" t="str">
        <f ca="1">SUBSTITUTE(LOWER(TRIM(_xlfn.XLOOKUP($A106,Строчный!$A:$A,Строчный!J:J,"ERR",0))),"подклад","Подклад")</f>
        <v>80% шерсть - 20% полиамид / Подклад: 100% вискоза</v>
      </c>
      <c r="K106" s="81" t="str">
        <f ca="1">LOWER(TRIM(_xlfn.XLOOKUP($A106,Строчный!$A:$A,Строчный!K:K,"ERR",0)))</f>
        <v>шерстяные</v>
      </c>
      <c r="L106" s="81" t="str">
        <f ca="1">PROPER(TRIM(_xlfn.XLOOKUP($A106,Строчный!$A:$A,Строчный!L:L,"ERR",0)))</f>
        <v>Унисекс</v>
      </c>
      <c r="M106" s="113" t="str">
        <f ca="1">PROPER(TRIM(_xlfn.XLOOKUP($A106,Строчный!$A:$A,Строчный!M:M,"ERR",0)))</f>
        <v>Россия</v>
      </c>
      <c r="N106" s="81" t="str">
        <f ca="1">UPPER(TRIM(_xlfn.XLOOKUP($A106,Строчный!$A:$A,Строчный!O:O,"ERR",0)))</f>
        <v/>
      </c>
      <c r="O106" s="102" t="str">
        <f ca="1">PROPER(TRIM(_xlfn.XLOOKUP($A106,Строчный!$A:$A,Строчный!P:P,"ERR",0)))</f>
        <v/>
      </c>
      <c r="P106" s="81" t="str">
        <f ca="1">PROPER(TRIM(_xlfn.XLOOKUP($A106,Строчный!$A:$A,Строчный!R:R,"ERR",0)))</f>
        <v/>
      </c>
      <c r="Q106" s="90">
        <f ca="1">VALUE(_xlfn.XLOOKUP($A106,Строчный!$A:$A,Строчный!N:N,"ERR",0))</f>
        <v>975.8</v>
      </c>
      <c r="R106" s="89" t="str">
        <f ca="1">_xlfn.XLOOKUP($G106,Фабрика!A:A,Фабрика!B:B,"ERR",0)</f>
        <v>ООО "ФРЭДРИКСОН" Россия 192029, С-Петербург, пр. Обуховской обороны, д.86, лит М</v>
      </c>
      <c r="S106" s="80" t="str">
        <f ca="1">_xlfn.XLOOKUP(RIGHT(AA106,2),Размеры!D:D,Размеры!A:A,"ERR",0)</f>
        <v>61</v>
      </c>
      <c r="T106" s="80">
        <f ca="1">VALUE(_xlfn.XLOOKUP($AA106,Строчный!$S:$S,Строчный!U:U,"ERR",0))</f>
        <v>1</v>
      </c>
      <c r="U106" s="14" t="s">
        <v>265</v>
      </c>
      <c r="V106" s="101" t="str">
        <f t="shared" ca="1" si="11"/>
        <v>Кепка FREDRIKSON арт. 3125 (темно-синий / темно-синий)</v>
      </c>
      <c r="W106" s="100" t="str">
        <f t="shared" ca="1" si="12"/>
        <v>Кепка FREDRIKSON арт. 3125 (темно-синий / темно-синий) {619/23}</v>
      </c>
      <c r="X106" s="18" t="str">
        <f t="shared" ca="1" si="13"/>
        <v>синий / темно-синий</v>
      </c>
      <c r="Y106" s="18" t="str">
        <f t="shared" ca="1" si="14"/>
        <v>синий / темно-синий</v>
      </c>
      <c r="Z106" s="117" t="s">
        <v>27</v>
      </c>
      <c r="AA106" s="73" t="str">
        <f ca="1"/>
        <v>95-010-67-61</v>
      </c>
      <c r="AB106" s="75" t="str">
        <f ca="1">VLOOKUP(C106,Группа!A:B,2,FALSE)</f>
        <v>Кепка</v>
      </c>
      <c r="AC106" s="97" t="str">
        <f ca="1">IFERROR(VLOOKUP(S106,Размеры!A:C,3,FALSE),"")</f>
        <v>61 XL</v>
      </c>
      <c r="AD106" s="97" t="str">
        <f ca="1">VLOOKUP(I106,ЦветПолный!A:B,2,FALSE)</f>
        <v>67</v>
      </c>
      <c r="AE106" s="97" t="str">
        <f ca="1">IFERROR(VLOOKUP(S106,Размеры!A:D,4,FALSE),"")</f>
        <v>61</v>
      </c>
      <c r="AF106" s="97">
        <f ca="1">IF(LEFT(IFERROR(VLOOKUP(LOOKUP(2,1/SEARCH(B106,Товары!A:A),Товары!A:A),Товары!A:B,2,0),""),6)=MID(AA106,1,6),1,0)</f>
        <v>0</v>
      </c>
      <c r="AH106" s="97">
        <f ca="1">SUMIF(Группа!A:A,C106,Группа!C:C)</f>
        <v>1</v>
      </c>
      <c r="AI106" s="97">
        <f ca="1">SUMIF(Группа!B:B,AB106,Группа!C:C)</f>
        <v>1</v>
      </c>
      <c r="AJ106" s="97">
        <f ca="1">SUMIF(Формы!A:A,D106,Формы!B:B)</f>
        <v>1</v>
      </c>
      <c r="AK106" s="97">
        <f ca="1">SUMIF(Материал!A:A,K106,Материал!B:B)</f>
        <v>1</v>
      </c>
      <c r="AL106" s="97">
        <f ca="1">SUMIF(Размеры!A:A,S106,Размеры!E:E)</f>
        <v>1</v>
      </c>
      <c r="AM106" s="97">
        <f ca="1">SUMIF(Сезон!A:A,F106,Сезон!B:B)</f>
        <v>1</v>
      </c>
      <c r="AN106" s="97">
        <f ca="1">SUMIF(Состав!A:A,J106,Состав!B:B)</f>
        <v>0</v>
      </c>
      <c r="AO106" s="97">
        <f ca="1">VLOOKUP(I106,ЦветПолный!A:C,3,0)</f>
        <v>1</v>
      </c>
      <c r="AP106" s="97">
        <f>SUMIF(Цвет!A:A,Z106,Цвет!B:B)</f>
        <v>1</v>
      </c>
      <c r="AQ106" s="97">
        <f ca="1">_xlfn.XLOOKUP(L106,Пол!A:A,Пол!B:B,0,0)</f>
        <v>1</v>
      </c>
      <c r="AR106" s="97">
        <f ca="1">SUMIF(Бренд!A:A,G106,Бренд!B:B)</f>
        <v>1</v>
      </c>
      <c r="AS106" s="97">
        <f ca="1">SUMIF(Страна!A:A,M106,Страна!B:B)</f>
        <v>1</v>
      </c>
      <c r="AT106" s="64" t="e">
        <f ca="1">IF(VLOOKUP(W106,Товары!A:B,2,FALSE)=A106,"Есть в 1С","ERR")</f>
        <v>#N/A</v>
      </c>
      <c r="AU106" s="65" t="e">
        <f ca="1">IF(VLOOKUP(A106,Товары!B:B,1,FALSE)=A106,"Есть в 1С","ERR")</f>
        <v>#N/A</v>
      </c>
      <c r="AV106" s="96" t="e">
        <f ca="1">VLOOKUP(W106,Товары!A:B,2,FALSE)</f>
        <v>#N/A</v>
      </c>
      <c r="AW106" s="94" t="e">
        <f ca="1">VLOOKUP(W106,Товары!A:B,1,FALSE)</f>
        <v>#N/A</v>
      </c>
    </row>
    <row r="107" spans="1:49" x14ac:dyDescent="0.25">
      <c r="A107" s="110" t="str">
        <f t="shared" ca="1" si="10"/>
        <v>95-010-67</v>
      </c>
      <c r="B107" s="107" t="str">
        <f ca="1">_xlfn.LET(_xlpm.CAPS,0,_xlpm.Style,TRIM(_xlfn.XLOOKUP($A107,Строчный!$A:$A,Строчный!B:B,"ERR",0)),IF(_xlpm.CAPS=0,_xlpm.Style,LOWER(_xlpm.Style)))</f>
        <v>3125</v>
      </c>
      <c r="C107" s="81" t="str">
        <f ca="1">TRIM(PROPER(_xlfn.XLOOKUP($A107,Строчный!$A:$A,Строчный!C:C,"ERR",0)))</f>
        <v>Кепки</v>
      </c>
      <c r="D107" s="81" t="str">
        <f ca="1">_xlfn.LET(_xlpm.DATA,TRIM(_xlfn.XLOOKUP($A107,Строчный!$A:$A,Строчный!D:D,"ERR",0)),UPPER(MID(_xlpm.DATA,1,1))&amp;LOWER(MID(_xlpm.DATA,2,LEN(_xlpm.DATA)-1)))</f>
        <v>Кепка плоская</v>
      </c>
      <c r="E107" s="81" t="str">
        <f ca="1">PROPER(TRIM(_xlfn.XLOOKUP($A107,Строчный!$A:$A,Строчный!E:E,"ERR",0)))</f>
        <v>Fredrikson</v>
      </c>
      <c r="F107" s="81" t="str">
        <f ca="1">LOWER(TRIM(_xlfn.XLOOKUP($A107,Строчный!$A:$A,Строчный!F:F,"ERR",0)))</f>
        <v>всесезон</v>
      </c>
      <c r="G107" s="81" t="str">
        <f ca="1">UPPER(TRIM(_xlfn.XLOOKUP($A107,Строчный!$A:$A,Строчный!G:G,"ERR",0)))</f>
        <v>FREDRIKSON</v>
      </c>
      <c r="H107" s="81" t="str">
        <f ca="1">LOWER(TRIM(_xlfn.XLOOKUP($A107,Строчный!$A:$A,Строчный!H:H,"ERR",0)))</f>
        <v>619/23</v>
      </c>
      <c r="I107" s="81" t="str">
        <f ca="1">LOWER(TRIM(_xlfn.XLOOKUP($A107,Строчный!$A:$A,Строчный!I:I,"ERR",0)))</f>
        <v>темно-синий / темно-синий</v>
      </c>
      <c r="J107" s="81" t="str">
        <f ca="1">SUBSTITUTE(LOWER(TRIM(_xlfn.XLOOKUP($A107,Строчный!$A:$A,Строчный!J:J,"ERR",0))),"подклад","Подклад")</f>
        <v>80% шерсть - 20% полиамид / Подклад: 100% вискоза</v>
      </c>
      <c r="K107" s="81" t="str">
        <f ca="1">LOWER(TRIM(_xlfn.XLOOKUP($A107,Строчный!$A:$A,Строчный!K:K,"ERR",0)))</f>
        <v>шерстяные</v>
      </c>
      <c r="L107" s="81" t="str">
        <f ca="1">PROPER(TRIM(_xlfn.XLOOKUP($A107,Строчный!$A:$A,Строчный!L:L,"ERR",0)))</f>
        <v>Унисекс</v>
      </c>
      <c r="M107" s="113" t="str">
        <f ca="1">PROPER(TRIM(_xlfn.XLOOKUP($A107,Строчный!$A:$A,Строчный!M:M,"ERR",0)))</f>
        <v>Россия</v>
      </c>
      <c r="N107" s="81" t="str">
        <f ca="1">UPPER(TRIM(_xlfn.XLOOKUP($A107,Строчный!$A:$A,Строчный!O:O,"ERR",0)))</f>
        <v/>
      </c>
      <c r="O107" s="102" t="str">
        <f ca="1">PROPER(TRIM(_xlfn.XLOOKUP($A107,Строчный!$A:$A,Строчный!P:P,"ERR",0)))</f>
        <v/>
      </c>
      <c r="P107" s="81" t="str">
        <f ca="1">PROPER(TRIM(_xlfn.XLOOKUP($A107,Строчный!$A:$A,Строчный!R:R,"ERR",0)))</f>
        <v/>
      </c>
      <c r="Q107" s="90">
        <f ca="1">VALUE(_xlfn.XLOOKUP($A107,Строчный!$A:$A,Строчный!N:N,"ERR",0))</f>
        <v>975.8</v>
      </c>
      <c r="R107" s="89" t="str">
        <f ca="1">_xlfn.XLOOKUP($G107,Фабрика!A:A,Фабрика!B:B,"ERR",0)</f>
        <v>ООО "ФРЭДРИКСОН" Россия 192029, С-Петербург, пр. Обуховской обороны, д.86, лит М</v>
      </c>
      <c r="S107" s="80" t="str">
        <f ca="1">_xlfn.XLOOKUP(RIGHT(AA107,2),Размеры!D:D,Размеры!A:A,"ERR",0)</f>
        <v>60</v>
      </c>
      <c r="T107" s="80">
        <f ca="1">VALUE(_xlfn.XLOOKUP($AA107,Строчный!$S:$S,Строчный!U:U,"ERR",0))</f>
        <v>2</v>
      </c>
      <c r="U107" s="14" t="s">
        <v>265</v>
      </c>
      <c r="V107" s="101" t="str">
        <f t="shared" ca="1" si="11"/>
        <v>Кепка FREDRIKSON арт. 3125 (темно-синий / темно-синий)</v>
      </c>
      <c r="W107" s="100" t="str">
        <f t="shared" ca="1" si="12"/>
        <v>Кепка FREDRIKSON арт. 3125 (темно-синий / темно-синий) {619/23}</v>
      </c>
      <c r="X107" s="18" t="str">
        <f t="shared" ca="1" si="13"/>
        <v>синий / темно-синий</v>
      </c>
      <c r="Y107" s="18" t="str">
        <f t="shared" ca="1" si="14"/>
        <v>синий / темно-синий</v>
      </c>
      <c r="Z107" s="117" t="s">
        <v>27</v>
      </c>
      <c r="AA107" s="73" t="str">
        <f ca="1"/>
        <v>95-010-67-60</v>
      </c>
      <c r="AB107" s="75" t="str">
        <f ca="1">VLOOKUP(C107,Группа!A:B,2,FALSE)</f>
        <v>Кепка</v>
      </c>
      <c r="AC107" s="97" t="str">
        <f ca="1">IFERROR(VLOOKUP(S107,Размеры!A:C,3,FALSE),"")</f>
        <v>60 L/XL</v>
      </c>
      <c r="AD107" s="97" t="str">
        <f ca="1">VLOOKUP(I107,ЦветПолный!A:B,2,FALSE)</f>
        <v>67</v>
      </c>
      <c r="AE107" s="97" t="str">
        <f ca="1">IFERROR(VLOOKUP(S107,Размеры!A:D,4,FALSE),"")</f>
        <v>60</v>
      </c>
      <c r="AF107" s="97">
        <f ca="1">IF(LEFT(IFERROR(VLOOKUP(LOOKUP(2,1/SEARCH(B107,Товары!A:A),Товары!A:A),Товары!A:B,2,0),""),6)=MID(AA107,1,6),1,0)</f>
        <v>0</v>
      </c>
      <c r="AH107" s="97">
        <f ca="1">SUMIF(Группа!A:A,C107,Группа!C:C)</f>
        <v>1</v>
      </c>
      <c r="AI107" s="97">
        <f ca="1">SUMIF(Группа!B:B,AB107,Группа!C:C)</f>
        <v>1</v>
      </c>
      <c r="AJ107" s="97">
        <f ca="1">SUMIF(Формы!A:A,D107,Формы!B:B)</f>
        <v>1</v>
      </c>
      <c r="AK107" s="97">
        <f ca="1">SUMIF(Материал!A:A,K107,Материал!B:B)</f>
        <v>1</v>
      </c>
      <c r="AL107" s="97">
        <f ca="1">SUMIF(Размеры!A:A,S107,Размеры!E:E)</f>
        <v>1</v>
      </c>
      <c r="AM107" s="97">
        <f ca="1">SUMIF(Сезон!A:A,F107,Сезон!B:B)</f>
        <v>1</v>
      </c>
      <c r="AN107" s="97">
        <f ca="1">SUMIF(Состав!A:A,J107,Состав!B:B)</f>
        <v>0</v>
      </c>
      <c r="AO107" s="97">
        <f ca="1">VLOOKUP(I107,ЦветПолный!A:C,3,0)</f>
        <v>1</v>
      </c>
      <c r="AP107" s="97">
        <f>SUMIF(Цвет!A:A,Z107,Цвет!B:B)</f>
        <v>1</v>
      </c>
      <c r="AQ107" s="97">
        <f ca="1">_xlfn.XLOOKUP(L107,Пол!A:A,Пол!B:B,0,0)</f>
        <v>1</v>
      </c>
      <c r="AR107" s="97">
        <f ca="1">SUMIF(Бренд!A:A,G107,Бренд!B:B)</f>
        <v>1</v>
      </c>
      <c r="AS107" s="97">
        <f ca="1">SUMIF(Страна!A:A,M107,Страна!B:B)</f>
        <v>1</v>
      </c>
      <c r="AT107" s="64" t="e">
        <f ca="1">IF(VLOOKUP(W107,Товары!A:B,2,FALSE)=A107,"Есть в 1С","ERR")</f>
        <v>#N/A</v>
      </c>
      <c r="AU107" s="65" t="e">
        <f ca="1">IF(VLOOKUP(A107,Товары!B:B,1,FALSE)=A107,"Есть в 1С","ERR")</f>
        <v>#N/A</v>
      </c>
      <c r="AV107" s="96" t="e">
        <f ca="1">VLOOKUP(W107,Товары!A:B,2,FALSE)</f>
        <v>#N/A</v>
      </c>
      <c r="AW107" s="94" t="e">
        <f ca="1">VLOOKUP(W107,Товары!A:B,1,FALSE)</f>
        <v>#N/A</v>
      </c>
    </row>
    <row r="108" spans="1:49" x14ac:dyDescent="0.25">
      <c r="A108" s="110" t="str">
        <f t="shared" ca="1" si="10"/>
        <v>95-010-67</v>
      </c>
      <c r="B108" s="107" t="str">
        <f ca="1">_xlfn.LET(_xlpm.CAPS,0,_xlpm.Style,TRIM(_xlfn.XLOOKUP($A108,Строчный!$A:$A,Строчный!B:B,"ERR",0)),IF(_xlpm.CAPS=0,_xlpm.Style,LOWER(_xlpm.Style)))</f>
        <v>3125</v>
      </c>
      <c r="C108" s="81" t="str">
        <f ca="1">TRIM(PROPER(_xlfn.XLOOKUP($A108,Строчный!$A:$A,Строчный!C:C,"ERR",0)))</f>
        <v>Кепки</v>
      </c>
      <c r="D108" s="81" t="str">
        <f ca="1">_xlfn.LET(_xlpm.DATA,TRIM(_xlfn.XLOOKUP($A108,Строчный!$A:$A,Строчный!D:D,"ERR",0)),UPPER(MID(_xlpm.DATA,1,1))&amp;LOWER(MID(_xlpm.DATA,2,LEN(_xlpm.DATA)-1)))</f>
        <v>Кепка плоская</v>
      </c>
      <c r="E108" s="81" t="str">
        <f ca="1">PROPER(TRIM(_xlfn.XLOOKUP($A108,Строчный!$A:$A,Строчный!E:E,"ERR",0)))</f>
        <v>Fredrikson</v>
      </c>
      <c r="F108" s="81" t="str">
        <f ca="1">LOWER(TRIM(_xlfn.XLOOKUP($A108,Строчный!$A:$A,Строчный!F:F,"ERR",0)))</f>
        <v>всесезон</v>
      </c>
      <c r="G108" s="81" t="str">
        <f ca="1">UPPER(TRIM(_xlfn.XLOOKUP($A108,Строчный!$A:$A,Строчный!G:G,"ERR",0)))</f>
        <v>FREDRIKSON</v>
      </c>
      <c r="H108" s="81" t="str">
        <f ca="1">LOWER(TRIM(_xlfn.XLOOKUP($A108,Строчный!$A:$A,Строчный!H:H,"ERR",0)))</f>
        <v>619/23</v>
      </c>
      <c r="I108" s="81" t="str">
        <f ca="1">LOWER(TRIM(_xlfn.XLOOKUP($A108,Строчный!$A:$A,Строчный!I:I,"ERR",0)))</f>
        <v>темно-синий / темно-синий</v>
      </c>
      <c r="J108" s="81" t="str">
        <f ca="1">SUBSTITUTE(LOWER(TRIM(_xlfn.XLOOKUP($A108,Строчный!$A:$A,Строчный!J:J,"ERR",0))),"подклад","Подклад")</f>
        <v>80% шерсть - 20% полиамид / Подклад: 100% вискоза</v>
      </c>
      <c r="K108" s="81" t="str">
        <f ca="1">LOWER(TRIM(_xlfn.XLOOKUP($A108,Строчный!$A:$A,Строчный!K:K,"ERR",0)))</f>
        <v>шерстяные</v>
      </c>
      <c r="L108" s="81" t="str">
        <f ca="1">PROPER(TRIM(_xlfn.XLOOKUP($A108,Строчный!$A:$A,Строчный!L:L,"ERR",0)))</f>
        <v>Унисекс</v>
      </c>
      <c r="M108" s="113" t="str">
        <f ca="1">PROPER(TRIM(_xlfn.XLOOKUP($A108,Строчный!$A:$A,Строчный!M:M,"ERR",0)))</f>
        <v>Россия</v>
      </c>
      <c r="N108" s="81" t="str">
        <f ca="1">UPPER(TRIM(_xlfn.XLOOKUP($A108,Строчный!$A:$A,Строчный!O:O,"ERR",0)))</f>
        <v/>
      </c>
      <c r="O108" s="102" t="str">
        <f ca="1">PROPER(TRIM(_xlfn.XLOOKUP($A108,Строчный!$A:$A,Строчный!P:P,"ERR",0)))</f>
        <v/>
      </c>
      <c r="P108" s="81" t="str">
        <f ca="1">PROPER(TRIM(_xlfn.XLOOKUP($A108,Строчный!$A:$A,Строчный!R:R,"ERR",0)))</f>
        <v/>
      </c>
      <c r="Q108" s="90">
        <f ca="1">VALUE(_xlfn.XLOOKUP($A108,Строчный!$A:$A,Строчный!N:N,"ERR",0))</f>
        <v>975.8</v>
      </c>
      <c r="R108" s="89" t="str">
        <f ca="1">_xlfn.XLOOKUP($G108,Фабрика!A:A,Фабрика!B:B,"ERR",0)</f>
        <v>ООО "ФРЭДРИКСОН" Россия 192029, С-Петербург, пр. Обуховской обороны, д.86, лит М</v>
      </c>
      <c r="S108" s="80" t="str">
        <f ca="1">_xlfn.XLOOKUP(RIGHT(AA108,2),Размеры!D:D,Размеры!A:A,"ERR",0)</f>
        <v>59</v>
      </c>
      <c r="T108" s="80">
        <f ca="1">VALUE(_xlfn.XLOOKUP($AA108,Строчный!$S:$S,Строчный!U:U,"ERR",0))</f>
        <v>3</v>
      </c>
      <c r="U108" s="14" t="s">
        <v>265</v>
      </c>
      <c r="V108" s="101" t="str">
        <f t="shared" ca="1" si="11"/>
        <v>Кепка FREDRIKSON арт. 3125 (темно-синий / темно-синий)</v>
      </c>
      <c r="W108" s="100" t="str">
        <f t="shared" ca="1" si="12"/>
        <v>Кепка FREDRIKSON арт. 3125 (темно-синий / темно-синий) {619/23}</v>
      </c>
      <c r="X108" s="18" t="str">
        <f t="shared" ca="1" si="13"/>
        <v>синий / темно-синий</v>
      </c>
      <c r="Y108" s="18" t="str">
        <f t="shared" ca="1" si="14"/>
        <v>синий / темно-синий</v>
      </c>
      <c r="Z108" s="117" t="s">
        <v>27</v>
      </c>
      <c r="AA108" s="73" t="str">
        <f ca="1"/>
        <v>95-010-67-59</v>
      </c>
      <c r="AB108" s="75" t="str">
        <f ca="1">VLOOKUP(C108,Группа!A:B,2,FALSE)</f>
        <v>Кепка</v>
      </c>
      <c r="AC108" s="97" t="str">
        <f ca="1">IFERROR(VLOOKUP(S108,Размеры!A:C,3,FALSE),"")</f>
        <v>59 L</v>
      </c>
      <c r="AD108" s="97" t="str">
        <f ca="1">VLOOKUP(I108,ЦветПолный!A:B,2,FALSE)</f>
        <v>67</v>
      </c>
      <c r="AE108" s="97" t="str">
        <f ca="1">IFERROR(VLOOKUP(S108,Размеры!A:D,4,FALSE),"")</f>
        <v>59</v>
      </c>
      <c r="AF108" s="97">
        <f ca="1">IF(LEFT(IFERROR(VLOOKUP(LOOKUP(2,1/SEARCH(B108,Товары!A:A),Товары!A:A),Товары!A:B,2,0),""),6)=MID(AA108,1,6),1,0)</f>
        <v>0</v>
      </c>
      <c r="AH108" s="97">
        <f ca="1">SUMIF(Группа!A:A,C108,Группа!C:C)</f>
        <v>1</v>
      </c>
      <c r="AI108" s="97">
        <f ca="1">SUMIF(Группа!B:B,AB108,Группа!C:C)</f>
        <v>1</v>
      </c>
      <c r="AJ108" s="97">
        <f ca="1">SUMIF(Формы!A:A,D108,Формы!B:B)</f>
        <v>1</v>
      </c>
      <c r="AK108" s="97">
        <f ca="1">SUMIF(Материал!A:A,K108,Материал!B:B)</f>
        <v>1</v>
      </c>
      <c r="AL108" s="97">
        <f ca="1">SUMIF(Размеры!A:A,S108,Размеры!E:E)</f>
        <v>1</v>
      </c>
      <c r="AM108" s="97">
        <f ca="1">SUMIF(Сезон!A:A,F108,Сезон!B:B)</f>
        <v>1</v>
      </c>
      <c r="AN108" s="97">
        <f ca="1">SUMIF(Состав!A:A,J108,Состав!B:B)</f>
        <v>0</v>
      </c>
      <c r="AO108" s="97">
        <f ca="1">VLOOKUP(I108,ЦветПолный!A:C,3,0)</f>
        <v>1</v>
      </c>
      <c r="AP108" s="97">
        <f>SUMIF(Цвет!A:A,Z108,Цвет!B:B)</f>
        <v>1</v>
      </c>
      <c r="AQ108" s="97">
        <f ca="1">_xlfn.XLOOKUP(L108,Пол!A:A,Пол!B:B,0,0)</f>
        <v>1</v>
      </c>
      <c r="AR108" s="97">
        <f ca="1">SUMIF(Бренд!A:A,G108,Бренд!B:B)</f>
        <v>1</v>
      </c>
      <c r="AS108" s="97">
        <f ca="1">SUMIF(Страна!A:A,M108,Страна!B:B)</f>
        <v>1</v>
      </c>
      <c r="AT108" s="64" t="e">
        <f ca="1">IF(VLOOKUP(W108,Товары!A:B,2,FALSE)=A108,"Есть в 1С","ERR")</f>
        <v>#N/A</v>
      </c>
      <c r="AU108" s="65" t="e">
        <f ca="1">IF(VLOOKUP(A108,Товары!B:B,1,FALSE)=A108,"Есть в 1С","ERR")</f>
        <v>#N/A</v>
      </c>
      <c r="AV108" s="96" t="e">
        <f ca="1">VLOOKUP(W108,Товары!A:B,2,FALSE)</f>
        <v>#N/A</v>
      </c>
      <c r="AW108" s="94" t="e">
        <f ca="1">VLOOKUP(W108,Товары!A:B,1,FALSE)</f>
        <v>#N/A</v>
      </c>
    </row>
    <row r="109" spans="1:49" x14ac:dyDescent="0.25">
      <c r="A109" s="110" t="str">
        <f t="shared" ca="1" si="10"/>
        <v>95-010-67</v>
      </c>
      <c r="B109" s="107" t="str">
        <f ca="1">_xlfn.LET(_xlpm.CAPS,0,_xlpm.Style,TRIM(_xlfn.XLOOKUP($A109,Строчный!$A:$A,Строчный!B:B,"ERR",0)),IF(_xlpm.CAPS=0,_xlpm.Style,LOWER(_xlpm.Style)))</f>
        <v>3125</v>
      </c>
      <c r="C109" s="81" t="str">
        <f ca="1">TRIM(PROPER(_xlfn.XLOOKUP($A109,Строчный!$A:$A,Строчный!C:C,"ERR",0)))</f>
        <v>Кепки</v>
      </c>
      <c r="D109" s="81" t="str">
        <f ca="1">_xlfn.LET(_xlpm.DATA,TRIM(_xlfn.XLOOKUP($A109,Строчный!$A:$A,Строчный!D:D,"ERR",0)),UPPER(MID(_xlpm.DATA,1,1))&amp;LOWER(MID(_xlpm.DATA,2,LEN(_xlpm.DATA)-1)))</f>
        <v>Кепка плоская</v>
      </c>
      <c r="E109" s="81" t="str">
        <f ca="1">PROPER(TRIM(_xlfn.XLOOKUP($A109,Строчный!$A:$A,Строчный!E:E,"ERR",0)))</f>
        <v>Fredrikson</v>
      </c>
      <c r="F109" s="81" t="str">
        <f ca="1">LOWER(TRIM(_xlfn.XLOOKUP($A109,Строчный!$A:$A,Строчный!F:F,"ERR",0)))</f>
        <v>всесезон</v>
      </c>
      <c r="G109" s="81" t="str">
        <f ca="1">UPPER(TRIM(_xlfn.XLOOKUP($A109,Строчный!$A:$A,Строчный!G:G,"ERR",0)))</f>
        <v>FREDRIKSON</v>
      </c>
      <c r="H109" s="81" t="str">
        <f ca="1">LOWER(TRIM(_xlfn.XLOOKUP($A109,Строчный!$A:$A,Строчный!H:H,"ERR",0)))</f>
        <v>619/23</v>
      </c>
      <c r="I109" s="81" t="str">
        <f ca="1">LOWER(TRIM(_xlfn.XLOOKUP($A109,Строчный!$A:$A,Строчный!I:I,"ERR",0)))</f>
        <v>темно-синий / темно-синий</v>
      </c>
      <c r="J109" s="81" t="str">
        <f ca="1">SUBSTITUTE(LOWER(TRIM(_xlfn.XLOOKUP($A109,Строчный!$A:$A,Строчный!J:J,"ERR",0))),"подклад","Подклад")</f>
        <v>80% шерсть - 20% полиамид / Подклад: 100% вискоза</v>
      </c>
      <c r="K109" s="81" t="str">
        <f ca="1">LOWER(TRIM(_xlfn.XLOOKUP($A109,Строчный!$A:$A,Строчный!K:K,"ERR",0)))</f>
        <v>шерстяные</v>
      </c>
      <c r="L109" s="81" t="str">
        <f ca="1">PROPER(TRIM(_xlfn.XLOOKUP($A109,Строчный!$A:$A,Строчный!L:L,"ERR",0)))</f>
        <v>Унисекс</v>
      </c>
      <c r="M109" s="113" t="str">
        <f ca="1">PROPER(TRIM(_xlfn.XLOOKUP($A109,Строчный!$A:$A,Строчный!M:M,"ERR",0)))</f>
        <v>Россия</v>
      </c>
      <c r="N109" s="81" t="str">
        <f ca="1">UPPER(TRIM(_xlfn.XLOOKUP($A109,Строчный!$A:$A,Строчный!O:O,"ERR",0)))</f>
        <v/>
      </c>
      <c r="O109" s="102" t="str">
        <f ca="1">PROPER(TRIM(_xlfn.XLOOKUP($A109,Строчный!$A:$A,Строчный!P:P,"ERR",0)))</f>
        <v/>
      </c>
      <c r="P109" s="81" t="str">
        <f ca="1">PROPER(TRIM(_xlfn.XLOOKUP($A109,Строчный!$A:$A,Строчный!R:R,"ERR",0)))</f>
        <v/>
      </c>
      <c r="Q109" s="90">
        <f ca="1">VALUE(_xlfn.XLOOKUP($A109,Строчный!$A:$A,Строчный!N:N,"ERR",0))</f>
        <v>975.8</v>
      </c>
      <c r="R109" s="89" t="str">
        <f ca="1">_xlfn.XLOOKUP($G109,Фабрика!A:A,Фабрика!B:B,"ERR",0)</f>
        <v>ООО "ФРЭДРИКСОН" Россия 192029, С-Петербург, пр. Обуховской обороны, д.86, лит М</v>
      </c>
      <c r="S109" s="80" t="str">
        <f ca="1">_xlfn.XLOOKUP(RIGHT(AA109,2),Размеры!D:D,Размеры!A:A,"ERR",0)</f>
        <v>58</v>
      </c>
      <c r="T109" s="80">
        <f ca="1">VALUE(_xlfn.XLOOKUP($AA109,Строчный!$S:$S,Строчный!U:U,"ERR",0))</f>
        <v>2</v>
      </c>
      <c r="U109" s="14" t="s">
        <v>265</v>
      </c>
      <c r="V109" s="101" t="str">
        <f t="shared" ca="1" si="11"/>
        <v>Кепка FREDRIKSON арт. 3125 (темно-синий / темно-синий)</v>
      </c>
      <c r="W109" s="100" t="str">
        <f t="shared" ca="1" si="12"/>
        <v>Кепка FREDRIKSON арт. 3125 (темно-синий / темно-синий) {619/23}</v>
      </c>
      <c r="X109" s="18" t="str">
        <f t="shared" ca="1" si="13"/>
        <v>синий / темно-синий</v>
      </c>
      <c r="Y109" s="18" t="str">
        <f t="shared" ca="1" si="14"/>
        <v>синий / темно-синий</v>
      </c>
      <c r="Z109" s="117" t="s">
        <v>27</v>
      </c>
      <c r="AA109" s="73" t="str">
        <f ca="1"/>
        <v>95-010-67-58</v>
      </c>
      <c r="AB109" s="75" t="str">
        <f ca="1">VLOOKUP(C109,Группа!A:B,2,FALSE)</f>
        <v>Кепка</v>
      </c>
      <c r="AC109" s="97" t="str">
        <f ca="1">IFERROR(VLOOKUP(S109,Размеры!A:C,3,FALSE),"")</f>
        <v>58 M/L</v>
      </c>
      <c r="AD109" s="97" t="str">
        <f ca="1">VLOOKUP(I109,ЦветПолный!A:B,2,FALSE)</f>
        <v>67</v>
      </c>
      <c r="AE109" s="97" t="str">
        <f ca="1">IFERROR(VLOOKUP(S109,Размеры!A:D,4,FALSE),"")</f>
        <v>58</v>
      </c>
      <c r="AF109" s="97">
        <f ca="1">IF(LEFT(IFERROR(VLOOKUP(LOOKUP(2,1/SEARCH(B109,Товары!A:A),Товары!A:A),Товары!A:B,2,0),""),6)=MID(AA109,1,6),1,0)</f>
        <v>0</v>
      </c>
      <c r="AH109" s="97">
        <f ca="1">SUMIF(Группа!A:A,C109,Группа!C:C)</f>
        <v>1</v>
      </c>
      <c r="AI109" s="97">
        <f ca="1">SUMIF(Группа!B:B,AB109,Группа!C:C)</f>
        <v>1</v>
      </c>
      <c r="AJ109" s="97">
        <f ca="1">SUMIF(Формы!A:A,D109,Формы!B:B)</f>
        <v>1</v>
      </c>
      <c r="AK109" s="97">
        <f ca="1">SUMIF(Материал!A:A,K109,Материал!B:B)</f>
        <v>1</v>
      </c>
      <c r="AL109" s="97">
        <f ca="1">SUMIF(Размеры!A:A,S109,Размеры!E:E)</f>
        <v>1</v>
      </c>
      <c r="AM109" s="97">
        <f ca="1">SUMIF(Сезон!A:A,F109,Сезон!B:B)</f>
        <v>1</v>
      </c>
      <c r="AN109" s="97">
        <f ca="1">SUMIF(Состав!A:A,J109,Состав!B:B)</f>
        <v>0</v>
      </c>
      <c r="AO109" s="97">
        <f ca="1">VLOOKUP(I109,ЦветПолный!A:C,3,0)</f>
        <v>1</v>
      </c>
      <c r="AP109" s="97">
        <f>SUMIF(Цвет!A:A,Z109,Цвет!B:B)</f>
        <v>1</v>
      </c>
      <c r="AQ109" s="97">
        <f ca="1">_xlfn.XLOOKUP(L109,Пол!A:A,Пол!B:B,0,0)</f>
        <v>1</v>
      </c>
      <c r="AR109" s="97">
        <f ca="1">SUMIF(Бренд!A:A,G109,Бренд!B:B)</f>
        <v>1</v>
      </c>
      <c r="AS109" s="97">
        <f ca="1">SUMIF(Страна!A:A,M109,Страна!B:B)</f>
        <v>1</v>
      </c>
      <c r="AT109" s="64" t="e">
        <f ca="1">IF(VLOOKUP(W109,Товары!A:B,2,FALSE)=A109,"Есть в 1С","ERR")</f>
        <v>#N/A</v>
      </c>
      <c r="AU109" s="65" t="e">
        <f ca="1">IF(VLOOKUP(A109,Товары!B:B,1,FALSE)=A109,"Есть в 1С","ERR")</f>
        <v>#N/A</v>
      </c>
      <c r="AV109" s="96" t="e">
        <f ca="1">VLOOKUP(W109,Товары!A:B,2,FALSE)</f>
        <v>#N/A</v>
      </c>
      <c r="AW109" s="94" t="e">
        <f ca="1">VLOOKUP(W109,Товары!A:B,1,FALSE)</f>
        <v>#N/A</v>
      </c>
    </row>
    <row r="110" spans="1:49" x14ac:dyDescent="0.25">
      <c r="A110" s="110" t="str">
        <f t="shared" ca="1" si="10"/>
        <v>95-010-67</v>
      </c>
      <c r="B110" s="107" t="str">
        <f ca="1">_xlfn.LET(_xlpm.CAPS,0,_xlpm.Style,TRIM(_xlfn.XLOOKUP($A110,Строчный!$A:$A,Строчный!B:B,"ERR",0)),IF(_xlpm.CAPS=0,_xlpm.Style,LOWER(_xlpm.Style)))</f>
        <v>3125</v>
      </c>
      <c r="C110" s="81" t="str">
        <f ca="1">TRIM(PROPER(_xlfn.XLOOKUP($A110,Строчный!$A:$A,Строчный!C:C,"ERR",0)))</f>
        <v>Кепки</v>
      </c>
      <c r="D110" s="81" t="str">
        <f ca="1">_xlfn.LET(_xlpm.DATA,TRIM(_xlfn.XLOOKUP($A110,Строчный!$A:$A,Строчный!D:D,"ERR",0)),UPPER(MID(_xlpm.DATA,1,1))&amp;LOWER(MID(_xlpm.DATA,2,LEN(_xlpm.DATA)-1)))</f>
        <v>Кепка плоская</v>
      </c>
      <c r="E110" s="81" t="str">
        <f ca="1">PROPER(TRIM(_xlfn.XLOOKUP($A110,Строчный!$A:$A,Строчный!E:E,"ERR",0)))</f>
        <v>Fredrikson</v>
      </c>
      <c r="F110" s="81" t="str">
        <f ca="1">LOWER(TRIM(_xlfn.XLOOKUP($A110,Строчный!$A:$A,Строчный!F:F,"ERR",0)))</f>
        <v>всесезон</v>
      </c>
      <c r="G110" s="81" t="str">
        <f ca="1">UPPER(TRIM(_xlfn.XLOOKUP($A110,Строчный!$A:$A,Строчный!G:G,"ERR",0)))</f>
        <v>FREDRIKSON</v>
      </c>
      <c r="H110" s="81" t="str">
        <f ca="1">LOWER(TRIM(_xlfn.XLOOKUP($A110,Строчный!$A:$A,Строчный!H:H,"ERR",0)))</f>
        <v>619/23</v>
      </c>
      <c r="I110" s="81" t="str">
        <f ca="1">LOWER(TRIM(_xlfn.XLOOKUP($A110,Строчный!$A:$A,Строчный!I:I,"ERR",0)))</f>
        <v>темно-синий / темно-синий</v>
      </c>
      <c r="J110" s="81" t="str">
        <f ca="1">SUBSTITUTE(LOWER(TRIM(_xlfn.XLOOKUP($A110,Строчный!$A:$A,Строчный!J:J,"ERR",0))),"подклад","Подклад")</f>
        <v>80% шерсть - 20% полиамид / Подклад: 100% вискоза</v>
      </c>
      <c r="K110" s="81" t="str">
        <f ca="1">LOWER(TRIM(_xlfn.XLOOKUP($A110,Строчный!$A:$A,Строчный!K:K,"ERR",0)))</f>
        <v>шерстяные</v>
      </c>
      <c r="L110" s="81" t="str">
        <f ca="1">PROPER(TRIM(_xlfn.XLOOKUP($A110,Строчный!$A:$A,Строчный!L:L,"ERR",0)))</f>
        <v>Унисекс</v>
      </c>
      <c r="M110" s="113" t="str">
        <f ca="1">PROPER(TRIM(_xlfn.XLOOKUP($A110,Строчный!$A:$A,Строчный!M:M,"ERR",0)))</f>
        <v>Россия</v>
      </c>
      <c r="N110" s="81" t="str">
        <f ca="1">UPPER(TRIM(_xlfn.XLOOKUP($A110,Строчный!$A:$A,Строчный!O:O,"ERR",0)))</f>
        <v/>
      </c>
      <c r="O110" s="102" t="str">
        <f ca="1">PROPER(TRIM(_xlfn.XLOOKUP($A110,Строчный!$A:$A,Строчный!P:P,"ERR",0)))</f>
        <v/>
      </c>
      <c r="P110" s="81" t="str">
        <f ca="1">PROPER(TRIM(_xlfn.XLOOKUP($A110,Строчный!$A:$A,Строчный!R:R,"ERR",0)))</f>
        <v/>
      </c>
      <c r="Q110" s="90">
        <f ca="1">VALUE(_xlfn.XLOOKUP($A110,Строчный!$A:$A,Строчный!N:N,"ERR",0))</f>
        <v>975.8</v>
      </c>
      <c r="R110" s="89" t="str">
        <f ca="1">_xlfn.XLOOKUP($G110,Фабрика!A:A,Фабрика!B:B,"ERR",0)</f>
        <v>ООО "ФРЭДРИКСОН" Россия 192029, С-Петербург, пр. Обуховской обороны, д.86, лит М</v>
      </c>
      <c r="S110" s="80" t="str">
        <f ca="1">_xlfn.XLOOKUP(RIGHT(AA110,2),Размеры!D:D,Размеры!A:A,"ERR",0)</f>
        <v>57</v>
      </c>
      <c r="T110" s="80">
        <f ca="1">VALUE(_xlfn.XLOOKUP($AA110,Строчный!$S:$S,Строчный!U:U,"ERR",0))</f>
        <v>1</v>
      </c>
      <c r="U110" s="14" t="s">
        <v>265</v>
      </c>
      <c r="V110" s="101" t="str">
        <f t="shared" ca="1" si="11"/>
        <v>Кепка FREDRIKSON арт. 3125 (темно-синий / темно-синий)</v>
      </c>
      <c r="W110" s="100" t="str">
        <f t="shared" ca="1" si="12"/>
        <v>Кепка FREDRIKSON арт. 3125 (темно-синий / темно-синий) {619/23}</v>
      </c>
      <c r="X110" s="18" t="str">
        <f t="shared" ca="1" si="13"/>
        <v>синий / темно-синий</v>
      </c>
      <c r="Y110" s="18" t="str">
        <f t="shared" ca="1" si="14"/>
        <v>синий / темно-синий</v>
      </c>
      <c r="Z110" s="117" t="s">
        <v>27</v>
      </c>
      <c r="AA110" s="73" t="str">
        <f ca="1"/>
        <v>95-010-67-57</v>
      </c>
      <c r="AB110" s="75" t="str">
        <f ca="1">VLOOKUP(C110,Группа!A:B,2,FALSE)</f>
        <v>Кепка</v>
      </c>
      <c r="AC110" s="97" t="str">
        <f ca="1">IFERROR(VLOOKUP(S110,Размеры!A:C,3,FALSE),"")</f>
        <v>57 M</v>
      </c>
      <c r="AD110" s="97" t="str">
        <f ca="1">VLOOKUP(I110,ЦветПолный!A:B,2,FALSE)</f>
        <v>67</v>
      </c>
      <c r="AE110" s="97" t="str">
        <f ca="1">IFERROR(VLOOKUP(S110,Размеры!A:D,4,FALSE),"")</f>
        <v>57</v>
      </c>
      <c r="AF110" s="97">
        <f ca="1">IF(LEFT(IFERROR(VLOOKUP(LOOKUP(2,1/SEARCH(B110,Товары!A:A),Товары!A:A),Товары!A:B,2,0),""),6)=MID(AA110,1,6),1,0)</f>
        <v>0</v>
      </c>
      <c r="AH110" s="97">
        <f ca="1">SUMIF(Группа!A:A,C110,Группа!C:C)</f>
        <v>1</v>
      </c>
      <c r="AI110" s="97">
        <f ca="1">SUMIF(Группа!B:B,AB110,Группа!C:C)</f>
        <v>1</v>
      </c>
      <c r="AJ110" s="97">
        <f ca="1">SUMIF(Формы!A:A,D110,Формы!B:B)</f>
        <v>1</v>
      </c>
      <c r="AK110" s="97">
        <f ca="1">SUMIF(Материал!A:A,K110,Материал!B:B)</f>
        <v>1</v>
      </c>
      <c r="AL110" s="97">
        <f ca="1">SUMIF(Размеры!A:A,S110,Размеры!E:E)</f>
        <v>1</v>
      </c>
      <c r="AM110" s="97">
        <f ca="1">SUMIF(Сезон!A:A,F110,Сезон!B:B)</f>
        <v>1</v>
      </c>
      <c r="AN110" s="97">
        <f ca="1">SUMIF(Состав!A:A,J110,Состав!B:B)</f>
        <v>0</v>
      </c>
      <c r="AO110" s="97">
        <f ca="1">VLOOKUP(I110,ЦветПолный!A:C,3,0)</f>
        <v>1</v>
      </c>
      <c r="AP110" s="97">
        <f>SUMIF(Цвет!A:A,Z110,Цвет!B:B)</f>
        <v>1</v>
      </c>
      <c r="AQ110" s="97">
        <f ca="1">_xlfn.XLOOKUP(L110,Пол!A:A,Пол!B:B,0,0)</f>
        <v>1</v>
      </c>
      <c r="AR110" s="97">
        <f ca="1">SUMIF(Бренд!A:A,G110,Бренд!B:B)</f>
        <v>1</v>
      </c>
      <c r="AS110" s="97">
        <f ca="1">SUMIF(Страна!A:A,M110,Страна!B:B)</f>
        <v>1</v>
      </c>
      <c r="AT110" s="64" t="e">
        <f ca="1">IF(VLOOKUP(W110,Товары!A:B,2,FALSE)=A110,"Есть в 1С","ERR")</f>
        <v>#N/A</v>
      </c>
      <c r="AU110" s="65" t="e">
        <f ca="1">IF(VLOOKUP(A110,Товары!B:B,1,FALSE)=A110,"Есть в 1С","ERR")</f>
        <v>#N/A</v>
      </c>
      <c r="AV110" s="96" t="e">
        <f ca="1">VLOOKUP(W110,Товары!A:B,2,FALSE)</f>
        <v>#N/A</v>
      </c>
      <c r="AW110" s="94" t="e">
        <f ca="1">VLOOKUP(W110,Товары!A:B,1,FALSE)</f>
        <v>#N/A</v>
      </c>
    </row>
    <row r="111" spans="1:49" x14ac:dyDescent="0.25">
      <c r="A111" s="110" t="str">
        <f t="shared" ca="1" si="10"/>
        <v>95-010-63</v>
      </c>
      <c r="B111" s="107" t="str">
        <f ca="1">_xlfn.LET(_xlpm.CAPS,0,_xlpm.Style,TRIM(_xlfn.XLOOKUP($A111,Строчный!$A:$A,Строчный!B:B,"ERR",0)),IF(_xlpm.CAPS=0,_xlpm.Style,LOWER(_xlpm.Style)))</f>
        <v>3125</v>
      </c>
      <c r="C111" s="81" t="str">
        <f ca="1">TRIM(PROPER(_xlfn.XLOOKUP($A111,Строчный!$A:$A,Строчный!C:C,"ERR",0)))</f>
        <v>Кепки</v>
      </c>
      <c r="D111" s="81" t="str">
        <f ca="1">_xlfn.LET(_xlpm.DATA,TRIM(_xlfn.XLOOKUP($A111,Строчный!$A:$A,Строчный!D:D,"ERR",0)),UPPER(MID(_xlpm.DATA,1,1))&amp;LOWER(MID(_xlpm.DATA,2,LEN(_xlpm.DATA)-1)))</f>
        <v>Кепка плоская</v>
      </c>
      <c r="E111" s="81" t="str">
        <f ca="1">PROPER(TRIM(_xlfn.XLOOKUP($A111,Строчный!$A:$A,Строчный!E:E,"ERR",0)))</f>
        <v>Fredrikson</v>
      </c>
      <c r="F111" s="81" t="str">
        <f ca="1">LOWER(TRIM(_xlfn.XLOOKUP($A111,Строчный!$A:$A,Строчный!F:F,"ERR",0)))</f>
        <v>всесезон</v>
      </c>
      <c r="G111" s="81" t="str">
        <f ca="1">UPPER(TRIM(_xlfn.XLOOKUP($A111,Строчный!$A:$A,Строчный!G:G,"ERR",0)))</f>
        <v>FREDRIKSON</v>
      </c>
      <c r="H111" s="81" t="str">
        <f ca="1">LOWER(TRIM(_xlfn.XLOOKUP($A111,Строчный!$A:$A,Строчный!H:H,"ERR",0)))</f>
        <v>637/70</v>
      </c>
      <c r="I111" s="81" t="str">
        <f ca="1">LOWER(TRIM(_xlfn.XLOOKUP($A111,Строчный!$A:$A,Строчный!I:I,"ERR",0)))</f>
        <v>темно-серый / темно-синий</v>
      </c>
      <c r="J111" s="81" t="str">
        <f ca="1">SUBSTITUTE(LOWER(TRIM(_xlfn.XLOOKUP($A111,Строчный!$A:$A,Строчный!J:J,"ERR",0))),"подклад","Подклад")</f>
        <v>80% шерсть - 20% полиамид / Подклад: 100% вискоза</v>
      </c>
      <c r="K111" s="81" t="str">
        <f ca="1">LOWER(TRIM(_xlfn.XLOOKUP($A111,Строчный!$A:$A,Строчный!K:K,"ERR",0)))</f>
        <v>шерстяные</v>
      </c>
      <c r="L111" s="81" t="str">
        <f ca="1">PROPER(TRIM(_xlfn.XLOOKUP($A111,Строчный!$A:$A,Строчный!L:L,"ERR",0)))</f>
        <v>Унисекс</v>
      </c>
      <c r="M111" s="113" t="str">
        <f ca="1">PROPER(TRIM(_xlfn.XLOOKUP($A111,Строчный!$A:$A,Строчный!M:M,"ERR",0)))</f>
        <v>Россия</v>
      </c>
      <c r="N111" s="81" t="str">
        <f ca="1">UPPER(TRIM(_xlfn.XLOOKUP($A111,Строчный!$A:$A,Строчный!O:O,"ERR",0)))</f>
        <v/>
      </c>
      <c r="O111" s="102" t="str">
        <f ca="1">PROPER(TRIM(_xlfn.XLOOKUP($A111,Строчный!$A:$A,Строчный!P:P,"ERR",0)))</f>
        <v/>
      </c>
      <c r="P111" s="81" t="str">
        <f ca="1">PROPER(TRIM(_xlfn.XLOOKUP($A111,Строчный!$A:$A,Строчный!R:R,"ERR",0)))</f>
        <v/>
      </c>
      <c r="Q111" s="90">
        <f ca="1">VALUE(_xlfn.XLOOKUP($A111,Строчный!$A:$A,Строчный!N:N,"ERR",0))</f>
        <v>975.8</v>
      </c>
      <c r="R111" s="89" t="str">
        <f ca="1">_xlfn.XLOOKUP($G111,Фабрика!A:A,Фабрика!B:B,"ERR",0)</f>
        <v>ООО "ФРЭДРИКСОН" Россия 192029, С-Петербург, пр. Обуховской обороны, д.86, лит М</v>
      </c>
      <c r="S111" s="80" t="str">
        <f ca="1">_xlfn.XLOOKUP(RIGHT(AA111,2),Размеры!D:D,Размеры!A:A,"ERR",0)</f>
        <v>62</v>
      </c>
      <c r="T111" s="80">
        <f ca="1">VALUE(_xlfn.XLOOKUP($AA111,Строчный!$S:$S,Строчный!U:U,"ERR",0))</f>
        <v>4</v>
      </c>
      <c r="U111" s="14" t="s">
        <v>265</v>
      </c>
      <c r="V111" s="101" t="str">
        <f t="shared" ca="1" si="11"/>
        <v>Кепка FREDRIKSON арт. 3125 (темно-серый / темно-синий)</v>
      </c>
      <c r="W111" s="100" t="str">
        <f t="shared" ca="1" si="12"/>
        <v>Кепка FREDRIKSON арт. 3125 (темно-серый / темно-синий) {637/70}</v>
      </c>
      <c r="X111" s="18" t="str">
        <f t="shared" ca="1" si="13"/>
        <v>серый / темно-синий</v>
      </c>
      <c r="Y111" s="18" t="str">
        <f t="shared" ca="1" si="14"/>
        <v>серый / темно-синий</v>
      </c>
      <c r="Z111" s="117" t="s">
        <v>28</v>
      </c>
      <c r="AA111" s="73" t="str">
        <f ca="1"/>
        <v>95-010-63-62</v>
      </c>
      <c r="AB111" s="75" t="str">
        <f ca="1">VLOOKUP(C111,Группа!A:B,2,FALSE)</f>
        <v>Кепка</v>
      </c>
      <c r="AC111" s="97" t="str">
        <f ca="1">IFERROR(VLOOKUP(S111,Размеры!A:C,3,FALSE),"")</f>
        <v>62 XL/XXL</v>
      </c>
      <c r="AD111" s="97" t="str">
        <f ca="1">VLOOKUP(I111,ЦветПолный!A:B,2,FALSE)</f>
        <v>63</v>
      </c>
      <c r="AE111" s="97" t="str">
        <f ca="1">IFERROR(VLOOKUP(S111,Размеры!A:D,4,FALSE),"")</f>
        <v>62</v>
      </c>
      <c r="AF111" s="97">
        <f ca="1">IF(LEFT(IFERROR(VLOOKUP(LOOKUP(2,1/SEARCH(B111,Товары!A:A),Товары!A:A),Товары!A:B,2,0),""),6)=MID(AA111,1,6),1,0)</f>
        <v>0</v>
      </c>
      <c r="AH111" s="97">
        <f ca="1">SUMIF(Группа!A:A,C111,Группа!C:C)</f>
        <v>1</v>
      </c>
      <c r="AI111" s="97">
        <f ca="1">SUMIF(Группа!B:B,AB111,Группа!C:C)</f>
        <v>1</v>
      </c>
      <c r="AJ111" s="97">
        <f ca="1">SUMIF(Формы!A:A,D111,Формы!B:B)</f>
        <v>1</v>
      </c>
      <c r="AK111" s="97">
        <f ca="1">SUMIF(Материал!A:A,K111,Материал!B:B)</f>
        <v>1</v>
      </c>
      <c r="AL111" s="97">
        <f ca="1">SUMIF(Размеры!A:A,S111,Размеры!E:E)</f>
        <v>1</v>
      </c>
      <c r="AM111" s="97">
        <f ca="1">SUMIF(Сезон!A:A,F111,Сезон!B:B)</f>
        <v>1</v>
      </c>
      <c r="AN111" s="97">
        <f ca="1">SUMIF(Состав!A:A,J111,Состав!B:B)</f>
        <v>0</v>
      </c>
      <c r="AO111" s="97">
        <f ca="1">VLOOKUP(I111,ЦветПолный!A:C,3,0)</f>
        <v>1</v>
      </c>
      <c r="AP111" s="97">
        <f>SUMIF(Цвет!A:A,Z111,Цвет!B:B)</f>
        <v>1</v>
      </c>
      <c r="AQ111" s="97">
        <f ca="1">_xlfn.XLOOKUP(L111,Пол!A:A,Пол!B:B,0,0)</f>
        <v>1</v>
      </c>
      <c r="AR111" s="97">
        <f ca="1">SUMIF(Бренд!A:A,G111,Бренд!B:B)</f>
        <v>1</v>
      </c>
      <c r="AS111" s="97">
        <f ca="1">SUMIF(Страна!A:A,M111,Страна!B:B)</f>
        <v>1</v>
      </c>
      <c r="AT111" s="64" t="e">
        <f ca="1">IF(VLOOKUP(W111,Товары!A:B,2,FALSE)=A111,"Есть в 1С","ERR")</f>
        <v>#N/A</v>
      </c>
      <c r="AU111" s="65" t="e">
        <f ca="1">IF(VLOOKUP(A111,Товары!B:B,1,FALSE)=A111,"Есть в 1С","ERR")</f>
        <v>#N/A</v>
      </c>
      <c r="AV111" s="96" t="e">
        <f ca="1">VLOOKUP(W111,Товары!A:B,2,FALSE)</f>
        <v>#N/A</v>
      </c>
      <c r="AW111" s="94" t="e">
        <f ca="1">VLOOKUP(W111,Товары!A:B,1,FALSE)</f>
        <v>#N/A</v>
      </c>
    </row>
    <row r="112" spans="1:49" x14ac:dyDescent="0.25">
      <c r="A112" s="110" t="str">
        <f t="shared" ca="1" si="10"/>
        <v>95-010-63</v>
      </c>
      <c r="B112" s="107" t="str">
        <f ca="1">_xlfn.LET(_xlpm.CAPS,0,_xlpm.Style,TRIM(_xlfn.XLOOKUP($A112,Строчный!$A:$A,Строчный!B:B,"ERR",0)),IF(_xlpm.CAPS=0,_xlpm.Style,LOWER(_xlpm.Style)))</f>
        <v>3125</v>
      </c>
      <c r="C112" s="81" t="str">
        <f ca="1">TRIM(PROPER(_xlfn.XLOOKUP($A112,Строчный!$A:$A,Строчный!C:C,"ERR",0)))</f>
        <v>Кепки</v>
      </c>
      <c r="D112" s="81" t="str">
        <f ca="1">_xlfn.LET(_xlpm.DATA,TRIM(_xlfn.XLOOKUP($A112,Строчный!$A:$A,Строчный!D:D,"ERR",0)),UPPER(MID(_xlpm.DATA,1,1))&amp;LOWER(MID(_xlpm.DATA,2,LEN(_xlpm.DATA)-1)))</f>
        <v>Кепка плоская</v>
      </c>
      <c r="E112" s="81" t="str">
        <f ca="1">PROPER(TRIM(_xlfn.XLOOKUP($A112,Строчный!$A:$A,Строчный!E:E,"ERR",0)))</f>
        <v>Fredrikson</v>
      </c>
      <c r="F112" s="81" t="str">
        <f ca="1">LOWER(TRIM(_xlfn.XLOOKUP($A112,Строчный!$A:$A,Строчный!F:F,"ERR",0)))</f>
        <v>всесезон</v>
      </c>
      <c r="G112" s="81" t="str">
        <f ca="1">UPPER(TRIM(_xlfn.XLOOKUP($A112,Строчный!$A:$A,Строчный!G:G,"ERR",0)))</f>
        <v>FREDRIKSON</v>
      </c>
      <c r="H112" s="81" t="str">
        <f ca="1">LOWER(TRIM(_xlfn.XLOOKUP($A112,Строчный!$A:$A,Строчный!H:H,"ERR",0)))</f>
        <v>637/70</v>
      </c>
      <c r="I112" s="81" t="str">
        <f ca="1">LOWER(TRIM(_xlfn.XLOOKUP($A112,Строчный!$A:$A,Строчный!I:I,"ERR",0)))</f>
        <v>темно-серый / темно-синий</v>
      </c>
      <c r="J112" s="81" t="str">
        <f ca="1">SUBSTITUTE(LOWER(TRIM(_xlfn.XLOOKUP($A112,Строчный!$A:$A,Строчный!J:J,"ERR",0))),"подклад","Подклад")</f>
        <v>80% шерсть - 20% полиамид / Подклад: 100% вискоза</v>
      </c>
      <c r="K112" s="81" t="str">
        <f ca="1">LOWER(TRIM(_xlfn.XLOOKUP($A112,Строчный!$A:$A,Строчный!K:K,"ERR",0)))</f>
        <v>шерстяные</v>
      </c>
      <c r="L112" s="81" t="str">
        <f ca="1">PROPER(TRIM(_xlfn.XLOOKUP($A112,Строчный!$A:$A,Строчный!L:L,"ERR",0)))</f>
        <v>Унисекс</v>
      </c>
      <c r="M112" s="113" t="str">
        <f ca="1">PROPER(TRIM(_xlfn.XLOOKUP($A112,Строчный!$A:$A,Строчный!M:M,"ERR",0)))</f>
        <v>Россия</v>
      </c>
      <c r="N112" s="81" t="str">
        <f ca="1">UPPER(TRIM(_xlfn.XLOOKUP($A112,Строчный!$A:$A,Строчный!O:O,"ERR",0)))</f>
        <v/>
      </c>
      <c r="O112" s="102" t="str">
        <f ca="1">PROPER(TRIM(_xlfn.XLOOKUP($A112,Строчный!$A:$A,Строчный!P:P,"ERR",0)))</f>
        <v/>
      </c>
      <c r="P112" s="81" t="str">
        <f ca="1">PROPER(TRIM(_xlfn.XLOOKUP($A112,Строчный!$A:$A,Строчный!R:R,"ERR",0)))</f>
        <v/>
      </c>
      <c r="Q112" s="90">
        <f ca="1">VALUE(_xlfn.XLOOKUP($A112,Строчный!$A:$A,Строчный!N:N,"ERR",0))</f>
        <v>975.8</v>
      </c>
      <c r="R112" s="89" t="str">
        <f ca="1">_xlfn.XLOOKUP($G112,Фабрика!A:A,Фабрика!B:B,"ERR",0)</f>
        <v>ООО "ФРЭДРИКСОН" Россия 192029, С-Петербург, пр. Обуховской обороны, д.86, лит М</v>
      </c>
      <c r="S112" s="80" t="str">
        <f ca="1">_xlfn.XLOOKUP(RIGHT(AA112,2),Размеры!D:D,Размеры!A:A,"ERR",0)</f>
        <v>61</v>
      </c>
      <c r="T112" s="80">
        <f ca="1">VALUE(_xlfn.XLOOKUP($AA112,Строчный!$S:$S,Строчный!U:U,"ERR",0))</f>
        <v>8</v>
      </c>
      <c r="U112" s="14" t="s">
        <v>265</v>
      </c>
      <c r="V112" s="101" t="str">
        <f t="shared" ca="1" si="11"/>
        <v>Кепка FREDRIKSON арт. 3125 (темно-серый / темно-синий)</v>
      </c>
      <c r="W112" s="100" t="str">
        <f t="shared" ca="1" si="12"/>
        <v>Кепка FREDRIKSON арт. 3125 (темно-серый / темно-синий) {637/70}</v>
      </c>
      <c r="X112" s="18" t="str">
        <f t="shared" ca="1" si="13"/>
        <v>серый / темно-синий</v>
      </c>
      <c r="Y112" s="18" t="str">
        <f t="shared" ca="1" si="14"/>
        <v>серый / темно-синий</v>
      </c>
      <c r="Z112" s="117" t="s">
        <v>28</v>
      </c>
      <c r="AA112" s="73" t="str">
        <f ca="1"/>
        <v>95-010-63-61</v>
      </c>
      <c r="AB112" s="75" t="str">
        <f ca="1">VLOOKUP(C112,Группа!A:B,2,FALSE)</f>
        <v>Кепка</v>
      </c>
      <c r="AC112" s="97" t="str">
        <f ca="1">IFERROR(VLOOKUP(S112,Размеры!A:C,3,FALSE),"")</f>
        <v>61 XL</v>
      </c>
      <c r="AD112" s="97" t="str">
        <f ca="1">VLOOKUP(I112,ЦветПолный!A:B,2,FALSE)</f>
        <v>63</v>
      </c>
      <c r="AE112" s="97" t="str">
        <f ca="1">IFERROR(VLOOKUP(S112,Размеры!A:D,4,FALSE),"")</f>
        <v>61</v>
      </c>
      <c r="AF112" s="97">
        <f ca="1">IF(LEFT(IFERROR(VLOOKUP(LOOKUP(2,1/SEARCH(B112,Товары!A:A),Товары!A:A),Товары!A:B,2,0),""),6)=MID(AA112,1,6),1,0)</f>
        <v>0</v>
      </c>
      <c r="AH112" s="97">
        <f ca="1">SUMIF(Группа!A:A,C112,Группа!C:C)</f>
        <v>1</v>
      </c>
      <c r="AI112" s="97">
        <f ca="1">SUMIF(Группа!B:B,AB112,Группа!C:C)</f>
        <v>1</v>
      </c>
      <c r="AJ112" s="97">
        <f ca="1">SUMIF(Формы!A:A,D112,Формы!B:B)</f>
        <v>1</v>
      </c>
      <c r="AK112" s="97">
        <f ca="1">SUMIF(Материал!A:A,K112,Материал!B:B)</f>
        <v>1</v>
      </c>
      <c r="AL112" s="97">
        <f ca="1">SUMIF(Размеры!A:A,S112,Размеры!E:E)</f>
        <v>1</v>
      </c>
      <c r="AM112" s="97">
        <f ca="1">SUMIF(Сезон!A:A,F112,Сезон!B:B)</f>
        <v>1</v>
      </c>
      <c r="AN112" s="97">
        <f ca="1">SUMIF(Состав!A:A,J112,Состав!B:B)</f>
        <v>0</v>
      </c>
      <c r="AO112" s="97">
        <f ca="1">VLOOKUP(I112,ЦветПолный!A:C,3,0)</f>
        <v>1</v>
      </c>
      <c r="AP112" s="97">
        <f>SUMIF(Цвет!A:A,Z112,Цвет!B:B)</f>
        <v>1</v>
      </c>
      <c r="AQ112" s="97">
        <f ca="1">_xlfn.XLOOKUP(L112,Пол!A:A,Пол!B:B,0,0)</f>
        <v>1</v>
      </c>
      <c r="AR112" s="97">
        <f ca="1">SUMIF(Бренд!A:A,G112,Бренд!B:B)</f>
        <v>1</v>
      </c>
      <c r="AS112" s="97">
        <f ca="1">SUMIF(Страна!A:A,M112,Страна!B:B)</f>
        <v>1</v>
      </c>
      <c r="AT112" s="64" t="e">
        <f ca="1">IF(VLOOKUP(W112,Товары!A:B,2,FALSE)=A112,"Есть в 1С","ERR")</f>
        <v>#N/A</v>
      </c>
      <c r="AU112" s="65" t="e">
        <f ca="1">IF(VLOOKUP(A112,Товары!B:B,1,FALSE)=A112,"Есть в 1С","ERR")</f>
        <v>#N/A</v>
      </c>
      <c r="AV112" s="96" t="e">
        <f ca="1">VLOOKUP(W112,Товары!A:B,2,FALSE)</f>
        <v>#N/A</v>
      </c>
      <c r="AW112" s="94" t="e">
        <f ca="1">VLOOKUP(W112,Товары!A:B,1,FALSE)</f>
        <v>#N/A</v>
      </c>
    </row>
    <row r="113" spans="1:49" x14ac:dyDescent="0.25">
      <c r="A113" s="110" t="str">
        <f t="shared" ca="1" si="10"/>
        <v>95-010-63</v>
      </c>
      <c r="B113" s="107" t="str">
        <f ca="1">_xlfn.LET(_xlpm.CAPS,0,_xlpm.Style,TRIM(_xlfn.XLOOKUP($A113,Строчный!$A:$A,Строчный!B:B,"ERR",0)),IF(_xlpm.CAPS=0,_xlpm.Style,LOWER(_xlpm.Style)))</f>
        <v>3125</v>
      </c>
      <c r="C113" s="81" t="str">
        <f ca="1">TRIM(PROPER(_xlfn.XLOOKUP($A113,Строчный!$A:$A,Строчный!C:C,"ERR",0)))</f>
        <v>Кепки</v>
      </c>
      <c r="D113" s="81" t="str">
        <f ca="1">_xlfn.LET(_xlpm.DATA,TRIM(_xlfn.XLOOKUP($A113,Строчный!$A:$A,Строчный!D:D,"ERR",0)),UPPER(MID(_xlpm.DATA,1,1))&amp;LOWER(MID(_xlpm.DATA,2,LEN(_xlpm.DATA)-1)))</f>
        <v>Кепка плоская</v>
      </c>
      <c r="E113" s="81" t="str">
        <f ca="1">PROPER(TRIM(_xlfn.XLOOKUP($A113,Строчный!$A:$A,Строчный!E:E,"ERR",0)))</f>
        <v>Fredrikson</v>
      </c>
      <c r="F113" s="81" t="str">
        <f ca="1">LOWER(TRIM(_xlfn.XLOOKUP($A113,Строчный!$A:$A,Строчный!F:F,"ERR",0)))</f>
        <v>всесезон</v>
      </c>
      <c r="G113" s="81" t="str">
        <f ca="1">UPPER(TRIM(_xlfn.XLOOKUP($A113,Строчный!$A:$A,Строчный!G:G,"ERR",0)))</f>
        <v>FREDRIKSON</v>
      </c>
      <c r="H113" s="81" t="str">
        <f ca="1">LOWER(TRIM(_xlfn.XLOOKUP($A113,Строчный!$A:$A,Строчный!H:H,"ERR",0)))</f>
        <v>637/70</v>
      </c>
      <c r="I113" s="81" t="str">
        <f ca="1">LOWER(TRIM(_xlfn.XLOOKUP($A113,Строчный!$A:$A,Строчный!I:I,"ERR",0)))</f>
        <v>темно-серый / темно-синий</v>
      </c>
      <c r="J113" s="81" t="str">
        <f ca="1">SUBSTITUTE(LOWER(TRIM(_xlfn.XLOOKUP($A113,Строчный!$A:$A,Строчный!J:J,"ERR",0))),"подклад","Подклад")</f>
        <v>80% шерсть - 20% полиамид / Подклад: 100% вискоза</v>
      </c>
      <c r="K113" s="81" t="str">
        <f ca="1">LOWER(TRIM(_xlfn.XLOOKUP($A113,Строчный!$A:$A,Строчный!K:K,"ERR",0)))</f>
        <v>шерстяные</v>
      </c>
      <c r="L113" s="81" t="str">
        <f ca="1">PROPER(TRIM(_xlfn.XLOOKUP($A113,Строчный!$A:$A,Строчный!L:L,"ERR",0)))</f>
        <v>Унисекс</v>
      </c>
      <c r="M113" s="113" t="str">
        <f ca="1">PROPER(TRIM(_xlfn.XLOOKUP($A113,Строчный!$A:$A,Строчный!M:M,"ERR",0)))</f>
        <v>Россия</v>
      </c>
      <c r="N113" s="81" t="str">
        <f ca="1">UPPER(TRIM(_xlfn.XLOOKUP($A113,Строчный!$A:$A,Строчный!O:O,"ERR",0)))</f>
        <v/>
      </c>
      <c r="O113" s="102" t="str">
        <f ca="1">PROPER(TRIM(_xlfn.XLOOKUP($A113,Строчный!$A:$A,Строчный!P:P,"ERR",0)))</f>
        <v/>
      </c>
      <c r="P113" s="81" t="str">
        <f ca="1">PROPER(TRIM(_xlfn.XLOOKUP($A113,Строчный!$A:$A,Строчный!R:R,"ERR",0)))</f>
        <v/>
      </c>
      <c r="Q113" s="90">
        <f ca="1">VALUE(_xlfn.XLOOKUP($A113,Строчный!$A:$A,Строчный!N:N,"ERR",0))</f>
        <v>975.8</v>
      </c>
      <c r="R113" s="89" t="str">
        <f ca="1">_xlfn.XLOOKUP($G113,Фабрика!A:A,Фабрика!B:B,"ERR",0)</f>
        <v>ООО "ФРЭДРИКСОН" Россия 192029, С-Петербург, пр. Обуховской обороны, д.86, лит М</v>
      </c>
      <c r="S113" s="80" t="str">
        <f ca="1">_xlfn.XLOOKUP(RIGHT(AA113,2),Размеры!D:D,Размеры!A:A,"ERR",0)</f>
        <v>60</v>
      </c>
      <c r="T113" s="80">
        <f ca="1">VALUE(_xlfn.XLOOKUP($AA113,Строчный!$S:$S,Строчный!U:U,"ERR",0))</f>
        <v>12</v>
      </c>
      <c r="U113" s="14" t="s">
        <v>265</v>
      </c>
      <c r="V113" s="101" t="str">
        <f t="shared" ca="1" si="11"/>
        <v>Кепка FREDRIKSON арт. 3125 (темно-серый / темно-синий)</v>
      </c>
      <c r="W113" s="100" t="str">
        <f t="shared" ca="1" si="12"/>
        <v>Кепка FREDRIKSON арт. 3125 (темно-серый / темно-синий) {637/70}</v>
      </c>
      <c r="X113" s="18" t="str">
        <f t="shared" ca="1" si="13"/>
        <v>серый / темно-синий</v>
      </c>
      <c r="Y113" s="18" t="str">
        <f t="shared" ca="1" si="14"/>
        <v>серый / темно-синий</v>
      </c>
      <c r="Z113" s="117" t="s">
        <v>28</v>
      </c>
      <c r="AA113" s="73" t="str">
        <f ca="1"/>
        <v>95-010-63-60</v>
      </c>
      <c r="AB113" s="75" t="str">
        <f ca="1">VLOOKUP(C113,Группа!A:B,2,FALSE)</f>
        <v>Кепка</v>
      </c>
      <c r="AC113" s="97" t="str">
        <f ca="1">IFERROR(VLOOKUP(S113,Размеры!A:C,3,FALSE),"")</f>
        <v>60 L/XL</v>
      </c>
      <c r="AD113" s="97" t="str">
        <f ca="1">VLOOKUP(I113,ЦветПолный!A:B,2,FALSE)</f>
        <v>63</v>
      </c>
      <c r="AE113" s="97" t="str">
        <f ca="1">IFERROR(VLOOKUP(S113,Размеры!A:D,4,FALSE),"")</f>
        <v>60</v>
      </c>
      <c r="AF113" s="97">
        <f ca="1">IF(LEFT(IFERROR(VLOOKUP(LOOKUP(2,1/SEARCH(B113,Товары!A:A),Товары!A:A),Товары!A:B,2,0),""),6)=MID(AA113,1,6),1,0)</f>
        <v>0</v>
      </c>
      <c r="AH113" s="97">
        <f ca="1">SUMIF(Группа!A:A,C113,Группа!C:C)</f>
        <v>1</v>
      </c>
      <c r="AI113" s="97">
        <f ca="1">SUMIF(Группа!B:B,AB113,Группа!C:C)</f>
        <v>1</v>
      </c>
      <c r="AJ113" s="97">
        <f ca="1">SUMIF(Формы!A:A,D113,Формы!B:B)</f>
        <v>1</v>
      </c>
      <c r="AK113" s="97">
        <f ca="1">SUMIF(Материал!A:A,K113,Материал!B:B)</f>
        <v>1</v>
      </c>
      <c r="AL113" s="97">
        <f ca="1">SUMIF(Размеры!A:A,S113,Размеры!E:E)</f>
        <v>1</v>
      </c>
      <c r="AM113" s="97">
        <f ca="1">SUMIF(Сезон!A:A,F113,Сезон!B:B)</f>
        <v>1</v>
      </c>
      <c r="AN113" s="97">
        <f ca="1">SUMIF(Состав!A:A,J113,Состав!B:B)</f>
        <v>0</v>
      </c>
      <c r="AO113" s="97">
        <f ca="1">VLOOKUP(I113,ЦветПолный!A:C,3,0)</f>
        <v>1</v>
      </c>
      <c r="AP113" s="97">
        <f>SUMIF(Цвет!A:A,Z113,Цвет!B:B)</f>
        <v>1</v>
      </c>
      <c r="AQ113" s="97">
        <f ca="1">_xlfn.XLOOKUP(L113,Пол!A:A,Пол!B:B,0,0)</f>
        <v>1</v>
      </c>
      <c r="AR113" s="97">
        <f ca="1">SUMIF(Бренд!A:A,G113,Бренд!B:B)</f>
        <v>1</v>
      </c>
      <c r="AS113" s="97">
        <f ca="1">SUMIF(Страна!A:A,M113,Страна!B:B)</f>
        <v>1</v>
      </c>
      <c r="AT113" s="64" t="e">
        <f ca="1">IF(VLOOKUP(W113,Товары!A:B,2,FALSE)=A113,"Есть в 1С","ERR")</f>
        <v>#N/A</v>
      </c>
      <c r="AU113" s="65" t="e">
        <f ca="1">IF(VLOOKUP(A113,Товары!B:B,1,FALSE)=A113,"Есть в 1С","ERR")</f>
        <v>#N/A</v>
      </c>
      <c r="AV113" s="96" t="e">
        <f ca="1">VLOOKUP(W113,Товары!A:B,2,FALSE)</f>
        <v>#N/A</v>
      </c>
      <c r="AW113" s="94" t="e">
        <f ca="1">VLOOKUP(W113,Товары!A:B,1,FALSE)</f>
        <v>#N/A</v>
      </c>
    </row>
    <row r="114" spans="1:49" x14ac:dyDescent="0.25">
      <c r="A114" s="110" t="str">
        <f t="shared" ca="1" si="10"/>
        <v>95-010-63</v>
      </c>
      <c r="B114" s="107" t="str">
        <f ca="1">_xlfn.LET(_xlpm.CAPS,0,_xlpm.Style,TRIM(_xlfn.XLOOKUP($A114,Строчный!$A:$A,Строчный!B:B,"ERR",0)),IF(_xlpm.CAPS=0,_xlpm.Style,LOWER(_xlpm.Style)))</f>
        <v>3125</v>
      </c>
      <c r="C114" s="81" t="str">
        <f ca="1">TRIM(PROPER(_xlfn.XLOOKUP($A114,Строчный!$A:$A,Строчный!C:C,"ERR",0)))</f>
        <v>Кепки</v>
      </c>
      <c r="D114" s="81" t="str">
        <f ca="1">_xlfn.LET(_xlpm.DATA,TRIM(_xlfn.XLOOKUP($A114,Строчный!$A:$A,Строчный!D:D,"ERR",0)),UPPER(MID(_xlpm.DATA,1,1))&amp;LOWER(MID(_xlpm.DATA,2,LEN(_xlpm.DATA)-1)))</f>
        <v>Кепка плоская</v>
      </c>
      <c r="E114" s="81" t="str">
        <f ca="1">PROPER(TRIM(_xlfn.XLOOKUP($A114,Строчный!$A:$A,Строчный!E:E,"ERR",0)))</f>
        <v>Fredrikson</v>
      </c>
      <c r="F114" s="81" t="str">
        <f ca="1">LOWER(TRIM(_xlfn.XLOOKUP($A114,Строчный!$A:$A,Строчный!F:F,"ERR",0)))</f>
        <v>всесезон</v>
      </c>
      <c r="G114" s="81" t="str">
        <f ca="1">UPPER(TRIM(_xlfn.XLOOKUP($A114,Строчный!$A:$A,Строчный!G:G,"ERR",0)))</f>
        <v>FREDRIKSON</v>
      </c>
      <c r="H114" s="81" t="str">
        <f ca="1">LOWER(TRIM(_xlfn.XLOOKUP($A114,Строчный!$A:$A,Строчный!H:H,"ERR",0)))</f>
        <v>637/70</v>
      </c>
      <c r="I114" s="81" t="str">
        <f ca="1">LOWER(TRIM(_xlfn.XLOOKUP($A114,Строчный!$A:$A,Строчный!I:I,"ERR",0)))</f>
        <v>темно-серый / темно-синий</v>
      </c>
      <c r="J114" s="81" t="str">
        <f ca="1">SUBSTITUTE(LOWER(TRIM(_xlfn.XLOOKUP($A114,Строчный!$A:$A,Строчный!J:J,"ERR",0))),"подклад","Подклад")</f>
        <v>80% шерсть - 20% полиамид / Подклад: 100% вискоза</v>
      </c>
      <c r="K114" s="81" t="str">
        <f ca="1">LOWER(TRIM(_xlfn.XLOOKUP($A114,Строчный!$A:$A,Строчный!K:K,"ERR",0)))</f>
        <v>шерстяные</v>
      </c>
      <c r="L114" s="81" t="str">
        <f ca="1">PROPER(TRIM(_xlfn.XLOOKUP($A114,Строчный!$A:$A,Строчный!L:L,"ERR",0)))</f>
        <v>Унисекс</v>
      </c>
      <c r="M114" s="113" t="str">
        <f ca="1">PROPER(TRIM(_xlfn.XLOOKUP($A114,Строчный!$A:$A,Строчный!M:M,"ERR",0)))</f>
        <v>Россия</v>
      </c>
      <c r="N114" s="81" t="str">
        <f ca="1">UPPER(TRIM(_xlfn.XLOOKUP($A114,Строчный!$A:$A,Строчный!O:O,"ERR",0)))</f>
        <v/>
      </c>
      <c r="O114" s="102" t="str">
        <f ca="1">PROPER(TRIM(_xlfn.XLOOKUP($A114,Строчный!$A:$A,Строчный!P:P,"ERR",0)))</f>
        <v/>
      </c>
      <c r="P114" s="81" t="str">
        <f ca="1">PROPER(TRIM(_xlfn.XLOOKUP($A114,Строчный!$A:$A,Строчный!R:R,"ERR",0)))</f>
        <v/>
      </c>
      <c r="Q114" s="90">
        <f ca="1">VALUE(_xlfn.XLOOKUP($A114,Строчный!$A:$A,Строчный!N:N,"ERR",0))</f>
        <v>975.8</v>
      </c>
      <c r="R114" s="89" t="str">
        <f ca="1">_xlfn.XLOOKUP($G114,Фабрика!A:A,Фабрика!B:B,"ERR",0)</f>
        <v>ООО "ФРЭДРИКСОН" Россия 192029, С-Петербург, пр. Обуховской обороны, д.86, лит М</v>
      </c>
      <c r="S114" s="80" t="str">
        <f ca="1">_xlfn.XLOOKUP(RIGHT(AA114,2),Размеры!D:D,Размеры!A:A,"ERR",0)</f>
        <v>59</v>
      </c>
      <c r="T114" s="80">
        <f ca="1">VALUE(_xlfn.XLOOKUP($AA114,Строчный!$S:$S,Строчный!U:U,"ERR",0))</f>
        <v>16</v>
      </c>
      <c r="U114" s="14" t="s">
        <v>265</v>
      </c>
      <c r="V114" s="101" t="str">
        <f t="shared" ca="1" si="11"/>
        <v>Кепка FREDRIKSON арт. 3125 (темно-серый / темно-синий)</v>
      </c>
      <c r="W114" s="100" t="str">
        <f t="shared" ca="1" si="12"/>
        <v>Кепка FREDRIKSON арт. 3125 (темно-серый / темно-синий) {637/70}</v>
      </c>
      <c r="X114" s="18" t="str">
        <f t="shared" ca="1" si="13"/>
        <v>серый / темно-синий</v>
      </c>
      <c r="Y114" s="18" t="str">
        <f t="shared" ca="1" si="14"/>
        <v>серый / темно-синий</v>
      </c>
      <c r="Z114" s="117" t="s">
        <v>28</v>
      </c>
      <c r="AA114" s="73" t="str">
        <f ca="1"/>
        <v>95-010-63-59</v>
      </c>
      <c r="AB114" s="75" t="str">
        <f ca="1">VLOOKUP(C114,Группа!A:B,2,FALSE)</f>
        <v>Кепка</v>
      </c>
      <c r="AC114" s="97" t="str">
        <f ca="1">IFERROR(VLOOKUP(S114,Размеры!A:C,3,FALSE),"")</f>
        <v>59 L</v>
      </c>
      <c r="AD114" s="97" t="str">
        <f ca="1">VLOOKUP(I114,ЦветПолный!A:B,2,FALSE)</f>
        <v>63</v>
      </c>
      <c r="AE114" s="97" t="str">
        <f ca="1">IFERROR(VLOOKUP(S114,Размеры!A:D,4,FALSE),"")</f>
        <v>59</v>
      </c>
      <c r="AF114" s="97">
        <f ca="1">IF(LEFT(IFERROR(VLOOKUP(LOOKUP(2,1/SEARCH(B114,Товары!A:A),Товары!A:A),Товары!A:B,2,0),""),6)=MID(AA114,1,6),1,0)</f>
        <v>0</v>
      </c>
      <c r="AH114" s="97">
        <f ca="1">SUMIF(Группа!A:A,C114,Группа!C:C)</f>
        <v>1</v>
      </c>
      <c r="AI114" s="97">
        <f ca="1">SUMIF(Группа!B:B,AB114,Группа!C:C)</f>
        <v>1</v>
      </c>
      <c r="AJ114" s="97">
        <f ca="1">SUMIF(Формы!A:A,D114,Формы!B:B)</f>
        <v>1</v>
      </c>
      <c r="AK114" s="97">
        <f ca="1">SUMIF(Материал!A:A,K114,Материал!B:B)</f>
        <v>1</v>
      </c>
      <c r="AL114" s="97">
        <f ca="1">SUMIF(Размеры!A:A,S114,Размеры!E:E)</f>
        <v>1</v>
      </c>
      <c r="AM114" s="97">
        <f ca="1">SUMIF(Сезон!A:A,F114,Сезон!B:B)</f>
        <v>1</v>
      </c>
      <c r="AN114" s="97">
        <f ca="1">SUMIF(Состав!A:A,J114,Состав!B:B)</f>
        <v>0</v>
      </c>
      <c r="AO114" s="97">
        <f ca="1">VLOOKUP(I114,ЦветПолный!A:C,3,0)</f>
        <v>1</v>
      </c>
      <c r="AP114" s="97">
        <f>SUMIF(Цвет!A:A,Z114,Цвет!B:B)</f>
        <v>1</v>
      </c>
      <c r="AQ114" s="97">
        <f ca="1">_xlfn.XLOOKUP(L114,Пол!A:A,Пол!B:B,0,0)</f>
        <v>1</v>
      </c>
      <c r="AR114" s="97">
        <f ca="1">SUMIF(Бренд!A:A,G114,Бренд!B:B)</f>
        <v>1</v>
      </c>
      <c r="AS114" s="97">
        <f ca="1">SUMIF(Страна!A:A,M114,Страна!B:B)</f>
        <v>1</v>
      </c>
      <c r="AT114" s="64" t="e">
        <f ca="1">IF(VLOOKUP(W114,Товары!A:B,2,FALSE)=A114,"Есть в 1С","ERR")</f>
        <v>#N/A</v>
      </c>
      <c r="AU114" s="65" t="e">
        <f ca="1">IF(VLOOKUP(A114,Товары!B:B,1,FALSE)=A114,"Есть в 1С","ERR")</f>
        <v>#N/A</v>
      </c>
      <c r="AV114" s="96" t="e">
        <f ca="1">VLOOKUP(W114,Товары!A:B,2,FALSE)</f>
        <v>#N/A</v>
      </c>
      <c r="AW114" s="94" t="e">
        <f ca="1">VLOOKUP(W114,Товары!A:B,1,FALSE)</f>
        <v>#N/A</v>
      </c>
    </row>
    <row r="115" spans="1:49" x14ac:dyDescent="0.25">
      <c r="A115" s="110" t="str">
        <f t="shared" ca="1" si="10"/>
        <v>95-010-63</v>
      </c>
      <c r="B115" s="107" t="str">
        <f ca="1">_xlfn.LET(_xlpm.CAPS,0,_xlpm.Style,TRIM(_xlfn.XLOOKUP($A115,Строчный!$A:$A,Строчный!B:B,"ERR",0)),IF(_xlpm.CAPS=0,_xlpm.Style,LOWER(_xlpm.Style)))</f>
        <v>3125</v>
      </c>
      <c r="C115" s="81" t="str">
        <f ca="1">TRIM(PROPER(_xlfn.XLOOKUP($A115,Строчный!$A:$A,Строчный!C:C,"ERR",0)))</f>
        <v>Кепки</v>
      </c>
      <c r="D115" s="81" t="str">
        <f ca="1">_xlfn.LET(_xlpm.DATA,TRIM(_xlfn.XLOOKUP($A115,Строчный!$A:$A,Строчный!D:D,"ERR",0)),UPPER(MID(_xlpm.DATA,1,1))&amp;LOWER(MID(_xlpm.DATA,2,LEN(_xlpm.DATA)-1)))</f>
        <v>Кепка плоская</v>
      </c>
      <c r="E115" s="81" t="str">
        <f ca="1">PROPER(TRIM(_xlfn.XLOOKUP($A115,Строчный!$A:$A,Строчный!E:E,"ERR",0)))</f>
        <v>Fredrikson</v>
      </c>
      <c r="F115" s="81" t="str">
        <f ca="1">LOWER(TRIM(_xlfn.XLOOKUP($A115,Строчный!$A:$A,Строчный!F:F,"ERR",0)))</f>
        <v>всесезон</v>
      </c>
      <c r="G115" s="81" t="str">
        <f ca="1">UPPER(TRIM(_xlfn.XLOOKUP($A115,Строчный!$A:$A,Строчный!G:G,"ERR",0)))</f>
        <v>FREDRIKSON</v>
      </c>
      <c r="H115" s="81" t="str">
        <f ca="1">LOWER(TRIM(_xlfn.XLOOKUP($A115,Строчный!$A:$A,Строчный!H:H,"ERR",0)))</f>
        <v>637/70</v>
      </c>
      <c r="I115" s="81" t="str">
        <f ca="1">LOWER(TRIM(_xlfn.XLOOKUP($A115,Строчный!$A:$A,Строчный!I:I,"ERR",0)))</f>
        <v>темно-серый / темно-синий</v>
      </c>
      <c r="J115" s="81" t="str">
        <f ca="1">SUBSTITUTE(LOWER(TRIM(_xlfn.XLOOKUP($A115,Строчный!$A:$A,Строчный!J:J,"ERR",0))),"подклад","Подклад")</f>
        <v>80% шерсть - 20% полиамид / Подклад: 100% вискоза</v>
      </c>
      <c r="K115" s="81" t="str">
        <f ca="1">LOWER(TRIM(_xlfn.XLOOKUP($A115,Строчный!$A:$A,Строчный!K:K,"ERR",0)))</f>
        <v>шерстяные</v>
      </c>
      <c r="L115" s="81" t="str">
        <f ca="1">PROPER(TRIM(_xlfn.XLOOKUP($A115,Строчный!$A:$A,Строчный!L:L,"ERR",0)))</f>
        <v>Унисекс</v>
      </c>
      <c r="M115" s="113" t="str">
        <f ca="1">PROPER(TRIM(_xlfn.XLOOKUP($A115,Строчный!$A:$A,Строчный!M:M,"ERR",0)))</f>
        <v>Россия</v>
      </c>
      <c r="N115" s="81" t="str">
        <f ca="1">UPPER(TRIM(_xlfn.XLOOKUP($A115,Строчный!$A:$A,Строчный!O:O,"ERR",0)))</f>
        <v/>
      </c>
      <c r="O115" s="102" t="str">
        <f ca="1">PROPER(TRIM(_xlfn.XLOOKUP($A115,Строчный!$A:$A,Строчный!P:P,"ERR",0)))</f>
        <v/>
      </c>
      <c r="P115" s="81" t="str">
        <f ca="1">PROPER(TRIM(_xlfn.XLOOKUP($A115,Строчный!$A:$A,Строчный!R:R,"ERR",0)))</f>
        <v/>
      </c>
      <c r="Q115" s="90">
        <f ca="1">VALUE(_xlfn.XLOOKUP($A115,Строчный!$A:$A,Строчный!N:N,"ERR",0))</f>
        <v>975.8</v>
      </c>
      <c r="R115" s="89" t="str">
        <f ca="1">_xlfn.XLOOKUP($G115,Фабрика!A:A,Фабрика!B:B,"ERR",0)</f>
        <v>ООО "ФРЭДРИКСОН" Россия 192029, С-Петербург, пр. Обуховской обороны, д.86, лит М</v>
      </c>
      <c r="S115" s="80" t="str">
        <f ca="1">_xlfn.XLOOKUP(RIGHT(AA115,2),Размеры!D:D,Размеры!A:A,"ERR",0)</f>
        <v>58</v>
      </c>
      <c r="T115" s="80">
        <f ca="1">VALUE(_xlfn.XLOOKUP($AA115,Строчный!$S:$S,Строчный!U:U,"ERR",0))</f>
        <v>12</v>
      </c>
      <c r="U115" s="14" t="s">
        <v>265</v>
      </c>
      <c r="V115" s="101" t="str">
        <f t="shared" ca="1" si="11"/>
        <v>Кепка FREDRIKSON арт. 3125 (темно-серый / темно-синий)</v>
      </c>
      <c r="W115" s="100" t="str">
        <f t="shared" ca="1" si="12"/>
        <v>Кепка FREDRIKSON арт. 3125 (темно-серый / темно-синий) {637/70}</v>
      </c>
      <c r="X115" s="18" t="str">
        <f t="shared" ca="1" si="13"/>
        <v>серый / темно-синий</v>
      </c>
      <c r="Y115" s="18" t="str">
        <f t="shared" ca="1" si="14"/>
        <v>серый / темно-синий</v>
      </c>
      <c r="Z115" s="117" t="s">
        <v>28</v>
      </c>
      <c r="AA115" s="73" t="str">
        <f ca="1"/>
        <v>95-010-63-58</v>
      </c>
      <c r="AB115" s="75" t="str">
        <f ca="1">VLOOKUP(C115,Группа!A:B,2,FALSE)</f>
        <v>Кепка</v>
      </c>
      <c r="AC115" s="97" t="str">
        <f ca="1">IFERROR(VLOOKUP(S115,Размеры!A:C,3,FALSE),"")</f>
        <v>58 M/L</v>
      </c>
      <c r="AD115" s="97" t="str">
        <f ca="1">VLOOKUP(I115,ЦветПолный!A:B,2,FALSE)</f>
        <v>63</v>
      </c>
      <c r="AE115" s="97" t="str">
        <f ca="1">IFERROR(VLOOKUP(S115,Размеры!A:D,4,FALSE),"")</f>
        <v>58</v>
      </c>
      <c r="AF115" s="97">
        <f ca="1">IF(LEFT(IFERROR(VLOOKUP(LOOKUP(2,1/SEARCH(B115,Товары!A:A),Товары!A:A),Товары!A:B,2,0),""),6)=MID(AA115,1,6),1,0)</f>
        <v>0</v>
      </c>
      <c r="AH115" s="97">
        <f ca="1">SUMIF(Группа!A:A,C115,Группа!C:C)</f>
        <v>1</v>
      </c>
      <c r="AI115" s="97">
        <f ca="1">SUMIF(Группа!B:B,AB115,Группа!C:C)</f>
        <v>1</v>
      </c>
      <c r="AJ115" s="97">
        <f ca="1">SUMIF(Формы!A:A,D115,Формы!B:B)</f>
        <v>1</v>
      </c>
      <c r="AK115" s="97">
        <f ca="1">SUMIF(Материал!A:A,K115,Материал!B:B)</f>
        <v>1</v>
      </c>
      <c r="AL115" s="97">
        <f ca="1">SUMIF(Размеры!A:A,S115,Размеры!E:E)</f>
        <v>1</v>
      </c>
      <c r="AM115" s="97">
        <f ca="1">SUMIF(Сезон!A:A,F115,Сезон!B:B)</f>
        <v>1</v>
      </c>
      <c r="AN115" s="97">
        <f ca="1">SUMIF(Состав!A:A,J115,Состав!B:B)</f>
        <v>0</v>
      </c>
      <c r="AO115" s="97">
        <f ca="1">VLOOKUP(I115,ЦветПолный!A:C,3,0)</f>
        <v>1</v>
      </c>
      <c r="AP115" s="97">
        <f>SUMIF(Цвет!A:A,Z115,Цвет!B:B)</f>
        <v>1</v>
      </c>
      <c r="AQ115" s="97">
        <f ca="1">_xlfn.XLOOKUP(L115,Пол!A:A,Пол!B:B,0,0)</f>
        <v>1</v>
      </c>
      <c r="AR115" s="97">
        <f ca="1">SUMIF(Бренд!A:A,G115,Бренд!B:B)</f>
        <v>1</v>
      </c>
      <c r="AS115" s="97">
        <f ca="1">SUMIF(Страна!A:A,M115,Страна!B:B)</f>
        <v>1</v>
      </c>
      <c r="AT115" s="64" t="e">
        <f ca="1">IF(VLOOKUP(W115,Товары!A:B,2,FALSE)=A115,"Есть в 1С","ERR")</f>
        <v>#N/A</v>
      </c>
      <c r="AU115" s="65" t="e">
        <f ca="1">IF(VLOOKUP(A115,Товары!B:B,1,FALSE)=A115,"Есть в 1С","ERR")</f>
        <v>#N/A</v>
      </c>
      <c r="AV115" s="96" t="e">
        <f ca="1">VLOOKUP(W115,Товары!A:B,2,FALSE)</f>
        <v>#N/A</v>
      </c>
      <c r="AW115" s="94" t="e">
        <f ca="1">VLOOKUP(W115,Товары!A:B,1,FALSE)</f>
        <v>#N/A</v>
      </c>
    </row>
    <row r="116" spans="1:49" x14ac:dyDescent="0.25">
      <c r="A116" s="110" t="str">
        <f t="shared" ca="1" si="10"/>
        <v>95-010-63</v>
      </c>
      <c r="B116" s="107" t="str">
        <f ca="1">_xlfn.LET(_xlpm.CAPS,0,_xlpm.Style,TRIM(_xlfn.XLOOKUP($A116,Строчный!$A:$A,Строчный!B:B,"ERR",0)),IF(_xlpm.CAPS=0,_xlpm.Style,LOWER(_xlpm.Style)))</f>
        <v>3125</v>
      </c>
      <c r="C116" s="81" t="str">
        <f ca="1">TRIM(PROPER(_xlfn.XLOOKUP($A116,Строчный!$A:$A,Строчный!C:C,"ERR",0)))</f>
        <v>Кепки</v>
      </c>
      <c r="D116" s="81" t="str">
        <f ca="1">_xlfn.LET(_xlpm.DATA,TRIM(_xlfn.XLOOKUP($A116,Строчный!$A:$A,Строчный!D:D,"ERR",0)),UPPER(MID(_xlpm.DATA,1,1))&amp;LOWER(MID(_xlpm.DATA,2,LEN(_xlpm.DATA)-1)))</f>
        <v>Кепка плоская</v>
      </c>
      <c r="E116" s="81" t="str">
        <f ca="1">PROPER(TRIM(_xlfn.XLOOKUP($A116,Строчный!$A:$A,Строчный!E:E,"ERR",0)))</f>
        <v>Fredrikson</v>
      </c>
      <c r="F116" s="81" t="str">
        <f ca="1">LOWER(TRIM(_xlfn.XLOOKUP($A116,Строчный!$A:$A,Строчный!F:F,"ERR",0)))</f>
        <v>всесезон</v>
      </c>
      <c r="G116" s="81" t="str">
        <f ca="1">UPPER(TRIM(_xlfn.XLOOKUP($A116,Строчный!$A:$A,Строчный!G:G,"ERR",0)))</f>
        <v>FREDRIKSON</v>
      </c>
      <c r="H116" s="81" t="str">
        <f ca="1">LOWER(TRIM(_xlfn.XLOOKUP($A116,Строчный!$A:$A,Строчный!H:H,"ERR",0)))</f>
        <v>637/70</v>
      </c>
      <c r="I116" s="81" t="str">
        <f ca="1">LOWER(TRIM(_xlfn.XLOOKUP($A116,Строчный!$A:$A,Строчный!I:I,"ERR",0)))</f>
        <v>темно-серый / темно-синий</v>
      </c>
      <c r="J116" s="81" t="str">
        <f ca="1">SUBSTITUTE(LOWER(TRIM(_xlfn.XLOOKUP($A116,Строчный!$A:$A,Строчный!J:J,"ERR",0))),"подклад","Подклад")</f>
        <v>80% шерсть - 20% полиамид / Подклад: 100% вискоза</v>
      </c>
      <c r="K116" s="81" t="str">
        <f ca="1">LOWER(TRIM(_xlfn.XLOOKUP($A116,Строчный!$A:$A,Строчный!K:K,"ERR",0)))</f>
        <v>шерстяные</v>
      </c>
      <c r="L116" s="81" t="str">
        <f ca="1">PROPER(TRIM(_xlfn.XLOOKUP($A116,Строчный!$A:$A,Строчный!L:L,"ERR",0)))</f>
        <v>Унисекс</v>
      </c>
      <c r="M116" s="113" t="str">
        <f ca="1">PROPER(TRIM(_xlfn.XLOOKUP($A116,Строчный!$A:$A,Строчный!M:M,"ERR",0)))</f>
        <v>Россия</v>
      </c>
      <c r="N116" s="81" t="str">
        <f ca="1">UPPER(TRIM(_xlfn.XLOOKUP($A116,Строчный!$A:$A,Строчный!O:O,"ERR",0)))</f>
        <v/>
      </c>
      <c r="O116" s="102" t="str">
        <f ca="1">PROPER(TRIM(_xlfn.XLOOKUP($A116,Строчный!$A:$A,Строчный!P:P,"ERR",0)))</f>
        <v/>
      </c>
      <c r="P116" s="81" t="str">
        <f ca="1">PROPER(TRIM(_xlfn.XLOOKUP($A116,Строчный!$A:$A,Строчный!R:R,"ERR",0)))</f>
        <v/>
      </c>
      <c r="Q116" s="90">
        <f ca="1">VALUE(_xlfn.XLOOKUP($A116,Строчный!$A:$A,Строчный!N:N,"ERR",0))</f>
        <v>975.8</v>
      </c>
      <c r="R116" s="89" t="str">
        <f ca="1">_xlfn.XLOOKUP($G116,Фабрика!A:A,Фабрика!B:B,"ERR",0)</f>
        <v>ООО "ФРЭДРИКСОН" Россия 192029, С-Петербург, пр. Обуховской обороны, д.86, лит М</v>
      </c>
      <c r="S116" s="80" t="str">
        <f ca="1">_xlfn.XLOOKUP(RIGHT(AA116,2),Размеры!D:D,Размеры!A:A,"ERR",0)</f>
        <v>57</v>
      </c>
      <c r="T116" s="80">
        <f ca="1">VALUE(_xlfn.XLOOKUP($AA116,Строчный!$S:$S,Строчный!U:U,"ERR",0))</f>
        <v>8</v>
      </c>
      <c r="U116" s="14" t="s">
        <v>265</v>
      </c>
      <c r="V116" s="101" t="str">
        <f t="shared" ca="1" si="11"/>
        <v>Кепка FREDRIKSON арт. 3125 (темно-серый / темно-синий)</v>
      </c>
      <c r="W116" s="100" t="str">
        <f t="shared" ca="1" si="12"/>
        <v>Кепка FREDRIKSON арт. 3125 (темно-серый / темно-синий) {637/70}</v>
      </c>
      <c r="X116" s="18" t="str">
        <f t="shared" ca="1" si="13"/>
        <v>серый / темно-синий</v>
      </c>
      <c r="Y116" s="18" t="str">
        <f t="shared" ca="1" si="14"/>
        <v>серый / темно-синий</v>
      </c>
      <c r="Z116" s="117" t="s">
        <v>28</v>
      </c>
      <c r="AA116" s="73" t="str">
        <f ca="1"/>
        <v>95-010-63-57</v>
      </c>
      <c r="AB116" s="75" t="str">
        <f ca="1">VLOOKUP(C116,Группа!A:B,2,FALSE)</f>
        <v>Кепка</v>
      </c>
      <c r="AC116" s="97" t="str">
        <f ca="1">IFERROR(VLOOKUP(S116,Размеры!A:C,3,FALSE),"")</f>
        <v>57 M</v>
      </c>
      <c r="AD116" s="97" t="str">
        <f ca="1">VLOOKUP(I116,ЦветПолный!A:B,2,FALSE)</f>
        <v>63</v>
      </c>
      <c r="AE116" s="97" t="str">
        <f ca="1">IFERROR(VLOOKUP(S116,Размеры!A:D,4,FALSE),"")</f>
        <v>57</v>
      </c>
      <c r="AF116" s="97">
        <f ca="1">IF(LEFT(IFERROR(VLOOKUP(LOOKUP(2,1/SEARCH(B116,Товары!A:A),Товары!A:A),Товары!A:B,2,0),""),6)=MID(AA116,1,6),1,0)</f>
        <v>0</v>
      </c>
      <c r="AH116" s="97">
        <f ca="1">SUMIF(Группа!A:A,C116,Группа!C:C)</f>
        <v>1</v>
      </c>
      <c r="AI116" s="97">
        <f ca="1">SUMIF(Группа!B:B,AB116,Группа!C:C)</f>
        <v>1</v>
      </c>
      <c r="AJ116" s="97">
        <f ca="1">SUMIF(Формы!A:A,D116,Формы!B:B)</f>
        <v>1</v>
      </c>
      <c r="AK116" s="97">
        <f ca="1">SUMIF(Материал!A:A,K116,Материал!B:B)</f>
        <v>1</v>
      </c>
      <c r="AL116" s="97">
        <f ca="1">SUMIF(Размеры!A:A,S116,Размеры!E:E)</f>
        <v>1</v>
      </c>
      <c r="AM116" s="97">
        <f ca="1">SUMIF(Сезон!A:A,F116,Сезон!B:B)</f>
        <v>1</v>
      </c>
      <c r="AN116" s="97">
        <f ca="1">SUMIF(Состав!A:A,J116,Состав!B:B)</f>
        <v>0</v>
      </c>
      <c r="AO116" s="97">
        <f ca="1">VLOOKUP(I116,ЦветПолный!A:C,3,0)</f>
        <v>1</v>
      </c>
      <c r="AP116" s="97">
        <f>SUMIF(Цвет!A:A,Z116,Цвет!B:B)</f>
        <v>1</v>
      </c>
      <c r="AQ116" s="97">
        <f ca="1">_xlfn.XLOOKUP(L116,Пол!A:A,Пол!B:B,0,0)</f>
        <v>1</v>
      </c>
      <c r="AR116" s="97">
        <f ca="1">SUMIF(Бренд!A:A,G116,Бренд!B:B)</f>
        <v>1</v>
      </c>
      <c r="AS116" s="97">
        <f ca="1">SUMIF(Страна!A:A,M116,Страна!B:B)</f>
        <v>1</v>
      </c>
      <c r="AT116" s="64" t="e">
        <f ca="1">IF(VLOOKUP(W116,Товары!A:B,2,FALSE)=A116,"Есть в 1С","ERR")</f>
        <v>#N/A</v>
      </c>
      <c r="AU116" s="65" t="e">
        <f ca="1">IF(VLOOKUP(A116,Товары!B:B,1,FALSE)=A116,"Есть в 1С","ERR")</f>
        <v>#N/A</v>
      </c>
      <c r="AV116" s="96" t="e">
        <f ca="1">VLOOKUP(W116,Товары!A:B,2,FALSE)</f>
        <v>#N/A</v>
      </c>
      <c r="AW116" s="94" t="e">
        <f ca="1">VLOOKUP(W116,Товары!A:B,1,FALSE)</f>
        <v>#N/A</v>
      </c>
    </row>
    <row r="117" spans="1:49" x14ac:dyDescent="0.25">
      <c r="A117" s="110" t="str">
        <f t="shared" ca="1" si="10"/>
        <v>95-010-63</v>
      </c>
      <c r="B117" s="107" t="str">
        <f ca="1">_xlfn.LET(_xlpm.CAPS,0,_xlpm.Style,TRIM(_xlfn.XLOOKUP($A117,Строчный!$A:$A,Строчный!B:B,"ERR",0)),IF(_xlpm.CAPS=0,_xlpm.Style,LOWER(_xlpm.Style)))</f>
        <v>3125</v>
      </c>
      <c r="C117" s="81" t="str">
        <f ca="1">TRIM(PROPER(_xlfn.XLOOKUP($A117,Строчный!$A:$A,Строчный!C:C,"ERR",0)))</f>
        <v>Кепки</v>
      </c>
      <c r="D117" s="81" t="str">
        <f ca="1">_xlfn.LET(_xlpm.DATA,TRIM(_xlfn.XLOOKUP($A117,Строчный!$A:$A,Строчный!D:D,"ERR",0)),UPPER(MID(_xlpm.DATA,1,1))&amp;LOWER(MID(_xlpm.DATA,2,LEN(_xlpm.DATA)-1)))</f>
        <v>Кепка плоская</v>
      </c>
      <c r="E117" s="81" t="str">
        <f ca="1">PROPER(TRIM(_xlfn.XLOOKUP($A117,Строчный!$A:$A,Строчный!E:E,"ERR",0)))</f>
        <v>Fredrikson</v>
      </c>
      <c r="F117" s="81" t="str">
        <f ca="1">LOWER(TRIM(_xlfn.XLOOKUP($A117,Строчный!$A:$A,Строчный!F:F,"ERR",0)))</f>
        <v>всесезон</v>
      </c>
      <c r="G117" s="81" t="str">
        <f ca="1">UPPER(TRIM(_xlfn.XLOOKUP($A117,Строчный!$A:$A,Строчный!G:G,"ERR",0)))</f>
        <v>FREDRIKSON</v>
      </c>
      <c r="H117" s="81" t="str">
        <f ca="1">LOWER(TRIM(_xlfn.XLOOKUP($A117,Строчный!$A:$A,Строчный!H:H,"ERR",0)))</f>
        <v>637/70</v>
      </c>
      <c r="I117" s="81" t="str">
        <f ca="1">LOWER(TRIM(_xlfn.XLOOKUP($A117,Строчный!$A:$A,Строчный!I:I,"ERR",0)))</f>
        <v>темно-серый / темно-синий</v>
      </c>
      <c r="J117" s="81" t="str">
        <f ca="1">SUBSTITUTE(LOWER(TRIM(_xlfn.XLOOKUP($A117,Строчный!$A:$A,Строчный!J:J,"ERR",0))),"подклад","Подклад")</f>
        <v>80% шерсть - 20% полиамид / Подклад: 100% вискоза</v>
      </c>
      <c r="K117" s="81" t="str">
        <f ca="1">LOWER(TRIM(_xlfn.XLOOKUP($A117,Строчный!$A:$A,Строчный!K:K,"ERR",0)))</f>
        <v>шерстяные</v>
      </c>
      <c r="L117" s="81" t="str">
        <f ca="1">PROPER(TRIM(_xlfn.XLOOKUP($A117,Строчный!$A:$A,Строчный!L:L,"ERR",0)))</f>
        <v>Унисекс</v>
      </c>
      <c r="M117" s="113" t="str">
        <f ca="1">PROPER(TRIM(_xlfn.XLOOKUP($A117,Строчный!$A:$A,Строчный!M:M,"ERR",0)))</f>
        <v>Россия</v>
      </c>
      <c r="N117" s="81" t="str">
        <f ca="1">UPPER(TRIM(_xlfn.XLOOKUP($A117,Строчный!$A:$A,Строчный!O:O,"ERR",0)))</f>
        <v/>
      </c>
      <c r="O117" s="102" t="str">
        <f ca="1">PROPER(TRIM(_xlfn.XLOOKUP($A117,Строчный!$A:$A,Строчный!P:P,"ERR",0)))</f>
        <v/>
      </c>
      <c r="P117" s="81" t="str">
        <f ca="1">PROPER(TRIM(_xlfn.XLOOKUP($A117,Строчный!$A:$A,Строчный!R:R,"ERR",0)))</f>
        <v/>
      </c>
      <c r="Q117" s="90">
        <f ca="1">VALUE(_xlfn.XLOOKUP($A117,Строчный!$A:$A,Строчный!N:N,"ERR",0))</f>
        <v>975.8</v>
      </c>
      <c r="R117" s="89" t="str">
        <f ca="1">_xlfn.XLOOKUP($G117,Фабрика!A:A,Фабрика!B:B,"ERR",0)</f>
        <v>ООО "ФРЭДРИКСОН" Россия 192029, С-Петербург, пр. Обуховской обороны, д.86, лит М</v>
      </c>
      <c r="S117" s="80" t="str">
        <f ca="1">_xlfn.XLOOKUP(RIGHT(AA117,2),Размеры!D:D,Размеры!A:A,"ERR",0)</f>
        <v>56</v>
      </c>
      <c r="T117" s="80">
        <f ca="1">VALUE(_xlfn.XLOOKUP($AA117,Строчный!$S:$S,Строчный!U:U,"ERR",0))</f>
        <v>4</v>
      </c>
      <c r="U117" s="14" t="s">
        <v>265</v>
      </c>
      <c r="V117" s="101" t="str">
        <f t="shared" ca="1" si="11"/>
        <v>Кепка FREDRIKSON арт. 3125 (темно-серый / темно-синий)</v>
      </c>
      <c r="W117" s="100" t="str">
        <f t="shared" ca="1" si="12"/>
        <v>Кепка FREDRIKSON арт. 3125 (темно-серый / темно-синий) {637/70}</v>
      </c>
      <c r="X117" s="18" t="str">
        <f t="shared" ca="1" si="13"/>
        <v>серый / темно-синий</v>
      </c>
      <c r="Y117" s="18" t="str">
        <f t="shared" ca="1" si="14"/>
        <v>серый / темно-синий</v>
      </c>
      <c r="Z117" s="117" t="s">
        <v>28</v>
      </c>
      <c r="AA117" s="73" t="str">
        <f ca="1"/>
        <v>95-010-63-56</v>
      </c>
      <c r="AB117" s="75" t="str">
        <f ca="1">VLOOKUP(C117,Группа!A:B,2,FALSE)</f>
        <v>Кепка</v>
      </c>
      <c r="AC117" s="97" t="str">
        <f ca="1">IFERROR(VLOOKUP(S117,Размеры!A:C,3,FALSE),"")</f>
        <v>56 S/M</v>
      </c>
      <c r="AD117" s="97" t="str">
        <f ca="1">VLOOKUP(I117,ЦветПолный!A:B,2,FALSE)</f>
        <v>63</v>
      </c>
      <c r="AE117" s="97" t="str">
        <f ca="1">IFERROR(VLOOKUP(S117,Размеры!A:D,4,FALSE),"")</f>
        <v>56</v>
      </c>
      <c r="AF117" s="97">
        <f ca="1">IF(LEFT(IFERROR(VLOOKUP(LOOKUP(2,1/SEARCH(B117,Товары!A:A),Товары!A:A),Товары!A:B,2,0),""),6)=MID(AA117,1,6),1,0)</f>
        <v>0</v>
      </c>
      <c r="AH117" s="97">
        <f ca="1">SUMIF(Группа!A:A,C117,Группа!C:C)</f>
        <v>1</v>
      </c>
      <c r="AI117" s="97">
        <f ca="1">SUMIF(Группа!B:B,AB117,Группа!C:C)</f>
        <v>1</v>
      </c>
      <c r="AJ117" s="97">
        <f ca="1">SUMIF(Формы!A:A,D117,Формы!B:B)</f>
        <v>1</v>
      </c>
      <c r="AK117" s="97">
        <f ca="1">SUMIF(Материал!A:A,K117,Материал!B:B)</f>
        <v>1</v>
      </c>
      <c r="AL117" s="97">
        <f ca="1">SUMIF(Размеры!A:A,S117,Размеры!E:E)</f>
        <v>1</v>
      </c>
      <c r="AM117" s="97">
        <f ca="1">SUMIF(Сезон!A:A,F117,Сезон!B:B)</f>
        <v>1</v>
      </c>
      <c r="AN117" s="97">
        <f ca="1">SUMIF(Состав!A:A,J117,Состав!B:B)</f>
        <v>0</v>
      </c>
      <c r="AO117" s="97">
        <f ca="1">VLOOKUP(I117,ЦветПолный!A:C,3,0)</f>
        <v>1</v>
      </c>
      <c r="AP117" s="97">
        <f>SUMIF(Цвет!A:A,Z117,Цвет!B:B)</f>
        <v>1</v>
      </c>
      <c r="AQ117" s="97">
        <f ca="1">_xlfn.XLOOKUP(L117,Пол!A:A,Пол!B:B,0,0)</f>
        <v>1</v>
      </c>
      <c r="AR117" s="97">
        <f ca="1">SUMIF(Бренд!A:A,G117,Бренд!B:B)</f>
        <v>1</v>
      </c>
      <c r="AS117" s="97">
        <f ca="1">SUMIF(Страна!A:A,M117,Страна!B:B)</f>
        <v>1</v>
      </c>
      <c r="AT117" s="64" t="e">
        <f ca="1">IF(VLOOKUP(W117,Товары!A:B,2,FALSE)=A117,"Есть в 1С","ERR")</f>
        <v>#N/A</v>
      </c>
      <c r="AU117" s="65" t="e">
        <f ca="1">IF(VLOOKUP(A117,Товары!B:B,1,FALSE)=A117,"Есть в 1С","ERR")</f>
        <v>#N/A</v>
      </c>
      <c r="AV117" s="96" t="e">
        <f ca="1">VLOOKUP(W117,Товары!A:B,2,FALSE)</f>
        <v>#N/A</v>
      </c>
      <c r="AW117" s="94" t="e">
        <f ca="1">VLOOKUP(W117,Товары!A:B,1,FALSE)</f>
        <v>#N/A</v>
      </c>
    </row>
    <row r="118" spans="1:49" x14ac:dyDescent="0.25">
      <c r="A118" s="110" t="str">
        <f t="shared" ca="1" si="10"/>
        <v>95-010-56</v>
      </c>
      <c r="B118" s="107" t="str">
        <f ca="1">_xlfn.LET(_xlpm.CAPS,0,_xlpm.Style,TRIM(_xlfn.XLOOKUP($A118,Строчный!$A:$A,Строчный!B:B,"ERR",0)),IF(_xlpm.CAPS=0,_xlpm.Style,LOWER(_xlpm.Style)))</f>
        <v>3125</v>
      </c>
      <c r="C118" s="81" t="str">
        <f ca="1">TRIM(PROPER(_xlfn.XLOOKUP($A118,Строчный!$A:$A,Строчный!C:C,"ERR",0)))</f>
        <v>Кепки</v>
      </c>
      <c r="D118" s="81" t="str">
        <f ca="1">_xlfn.LET(_xlpm.DATA,TRIM(_xlfn.XLOOKUP($A118,Строчный!$A:$A,Строчный!D:D,"ERR",0)),UPPER(MID(_xlpm.DATA,1,1))&amp;LOWER(MID(_xlpm.DATA,2,LEN(_xlpm.DATA)-1)))</f>
        <v>Кепка плоская</v>
      </c>
      <c r="E118" s="81" t="str">
        <f ca="1">PROPER(TRIM(_xlfn.XLOOKUP($A118,Строчный!$A:$A,Строчный!E:E,"ERR",0)))</f>
        <v>Fredrikson</v>
      </c>
      <c r="F118" s="81" t="str">
        <f ca="1">LOWER(TRIM(_xlfn.XLOOKUP($A118,Строчный!$A:$A,Строчный!F:F,"ERR",0)))</f>
        <v>всесезон</v>
      </c>
      <c r="G118" s="81" t="str">
        <f ca="1">UPPER(TRIM(_xlfn.XLOOKUP($A118,Строчный!$A:$A,Строчный!G:G,"ERR",0)))</f>
        <v>FREDRIKSON</v>
      </c>
      <c r="H118" s="81" t="str">
        <f ca="1">LOWER(TRIM(_xlfn.XLOOKUP($A118,Строчный!$A:$A,Строчный!H:H,"ERR",0)))</f>
        <v>699/51</v>
      </c>
      <c r="I118" s="81" t="str">
        <f ca="1">LOWER(TRIM(_xlfn.XLOOKUP($A118,Строчный!$A:$A,Строчный!I:I,"ERR",0)))</f>
        <v>светло-коричневый / бежевый</v>
      </c>
      <c r="J118" s="81" t="str">
        <f ca="1">SUBSTITUTE(LOWER(TRIM(_xlfn.XLOOKUP($A118,Строчный!$A:$A,Строчный!J:J,"ERR",0))),"подклад","Подклад")</f>
        <v>100% шерсть / Подклад: 100% вискоза</v>
      </c>
      <c r="K118" s="81" t="str">
        <f ca="1">LOWER(TRIM(_xlfn.XLOOKUP($A118,Строчный!$A:$A,Строчный!K:K,"ERR",0)))</f>
        <v>шерстяные</v>
      </c>
      <c r="L118" s="81" t="str">
        <f ca="1">PROPER(TRIM(_xlfn.XLOOKUP($A118,Строчный!$A:$A,Строчный!L:L,"ERR",0)))</f>
        <v>Унисекс</v>
      </c>
      <c r="M118" s="113" t="str">
        <f ca="1">PROPER(TRIM(_xlfn.XLOOKUP($A118,Строчный!$A:$A,Строчный!M:M,"ERR",0)))</f>
        <v>Россия</v>
      </c>
      <c r="N118" s="81" t="str">
        <f ca="1">UPPER(TRIM(_xlfn.XLOOKUP($A118,Строчный!$A:$A,Строчный!O:O,"ERR",0)))</f>
        <v/>
      </c>
      <c r="O118" s="102" t="str">
        <f ca="1">PROPER(TRIM(_xlfn.XLOOKUP($A118,Строчный!$A:$A,Строчный!P:P,"ERR",0)))</f>
        <v/>
      </c>
      <c r="P118" s="81" t="str">
        <f ca="1">PROPER(TRIM(_xlfn.XLOOKUP($A118,Строчный!$A:$A,Строчный!R:R,"ERR",0)))</f>
        <v/>
      </c>
      <c r="Q118" s="90">
        <f ca="1">VALUE(_xlfn.XLOOKUP($A118,Строчный!$A:$A,Строчный!N:N,"ERR",0))</f>
        <v>975.8</v>
      </c>
      <c r="R118" s="89" t="str">
        <f ca="1">_xlfn.XLOOKUP($G118,Фабрика!A:A,Фабрика!B:B,"ERR",0)</f>
        <v>ООО "ФРЭДРИКСОН" Россия 192029, С-Петербург, пр. Обуховской обороны, д.86, лит М</v>
      </c>
      <c r="S118" s="80" t="str">
        <f ca="1">_xlfn.XLOOKUP(RIGHT(AA118,2),Размеры!D:D,Размеры!A:A,"ERR",0)</f>
        <v>62</v>
      </c>
      <c r="T118" s="80">
        <f ca="1">VALUE(_xlfn.XLOOKUP($AA118,Строчный!$S:$S,Строчный!U:U,"ERR",0))</f>
        <v>1</v>
      </c>
      <c r="U118" s="14" t="s">
        <v>265</v>
      </c>
      <c r="V118" s="101" t="str">
        <f t="shared" ca="1" si="11"/>
        <v>Кепка FREDRIKSON арт. 3125 (светло-коричневый / бежевый)</v>
      </c>
      <c r="W118" s="100" t="str">
        <f t="shared" ca="1" si="12"/>
        <v>Кепка FREDRIKSON арт. 3125 (светло-коричневый / бежевый) {699/51}</v>
      </c>
      <c r="X118" s="18" t="str">
        <f t="shared" ca="1" si="13"/>
        <v>коричневый / бежевый</v>
      </c>
      <c r="Y118" s="18" t="str">
        <f t="shared" ca="1" si="14"/>
        <v>коричневый / бежевый</v>
      </c>
      <c r="Z118" s="117" t="s">
        <v>22</v>
      </c>
      <c r="AA118" s="73" t="str">
        <f ca="1"/>
        <v>95-010-56-62</v>
      </c>
      <c r="AB118" s="75" t="str">
        <f ca="1">VLOOKUP(C118,Группа!A:B,2,FALSE)</f>
        <v>Кепка</v>
      </c>
      <c r="AC118" s="97" t="str">
        <f ca="1">IFERROR(VLOOKUP(S118,Размеры!A:C,3,FALSE),"")</f>
        <v>62 XL/XXL</v>
      </c>
      <c r="AD118" s="97" t="str">
        <f ca="1">VLOOKUP(I118,ЦветПолный!A:B,2,FALSE)</f>
        <v>56</v>
      </c>
      <c r="AE118" s="97" t="str">
        <f ca="1">IFERROR(VLOOKUP(S118,Размеры!A:D,4,FALSE),"")</f>
        <v>62</v>
      </c>
      <c r="AF118" s="97">
        <f ca="1">IF(LEFT(IFERROR(VLOOKUP(LOOKUP(2,1/SEARCH(B118,Товары!A:A),Товары!A:A),Товары!A:B,2,0),""),6)=MID(AA118,1,6),1,0)</f>
        <v>0</v>
      </c>
      <c r="AH118" s="97">
        <f ca="1">SUMIF(Группа!A:A,C118,Группа!C:C)</f>
        <v>1</v>
      </c>
      <c r="AI118" s="97">
        <f ca="1">SUMIF(Группа!B:B,AB118,Группа!C:C)</f>
        <v>1</v>
      </c>
      <c r="AJ118" s="97">
        <f ca="1">SUMIF(Формы!A:A,D118,Формы!B:B)</f>
        <v>1</v>
      </c>
      <c r="AK118" s="97">
        <f ca="1">SUMIF(Материал!A:A,K118,Материал!B:B)</f>
        <v>1</v>
      </c>
      <c r="AL118" s="97">
        <f ca="1">SUMIF(Размеры!A:A,S118,Размеры!E:E)</f>
        <v>1</v>
      </c>
      <c r="AM118" s="97">
        <f ca="1">SUMIF(Сезон!A:A,F118,Сезон!B:B)</f>
        <v>1</v>
      </c>
      <c r="AN118" s="97">
        <f ca="1">SUMIF(Состав!A:A,J118,Состав!B:B)</f>
        <v>0</v>
      </c>
      <c r="AO118" s="97">
        <f ca="1">VLOOKUP(I118,ЦветПолный!A:C,3,0)</f>
        <v>1</v>
      </c>
      <c r="AP118" s="97">
        <f>SUMIF(Цвет!A:A,Z118,Цвет!B:B)</f>
        <v>1</v>
      </c>
      <c r="AQ118" s="97">
        <f ca="1">_xlfn.XLOOKUP(L118,Пол!A:A,Пол!B:B,0,0)</f>
        <v>1</v>
      </c>
      <c r="AR118" s="97">
        <f ca="1">SUMIF(Бренд!A:A,G118,Бренд!B:B)</f>
        <v>1</v>
      </c>
      <c r="AS118" s="97">
        <f ca="1">SUMIF(Страна!A:A,M118,Страна!B:B)</f>
        <v>1</v>
      </c>
      <c r="AT118" s="64" t="e">
        <f ca="1">IF(VLOOKUP(W118,Товары!A:B,2,FALSE)=A118,"Есть в 1С","ERR")</f>
        <v>#N/A</v>
      </c>
      <c r="AU118" s="65" t="e">
        <f ca="1">IF(VLOOKUP(A118,Товары!B:B,1,FALSE)=A118,"Есть в 1С","ERR")</f>
        <v>#N/A</v>
      </c>
      <c r="AV118" s="96" t="e">
        <f ca="1">VLOOKUP(W118,Товары!A:B,2,FALSE)</f>
        <v>#N/A</v>
      </c>
      <c r="AW118" s="94" t="e">
        <f ca="1">VLOOKUP(W118,Товары!A:B,1,FALSE)</f>
        <v>#N/A</v>
      </c>
    </row>
    <row r="119" spans="1:49" x14ac:dyDescent="0.25">
      <c r="A119" s="110" t="str">
        <f t="shared" ca="1" si="10"/>
        <v>95-010-56</v>
      </c>
      <c r="B119" s="107" t="str">
        <f ca="1">_xlfn.LET(_xlpm.CAPS,0,_xlpm.Style,TRIM(_xlfn.XLOOKUP($A119,Строчный!$A:$A,Строчный!B:B,"ERR",0)),IF(_xlpm.CAPS=0,_xlpm.Style,LOWER(_xlpm.Style)))</f>
        <v>3125</v>
      </c>
      <c r="C119" s="81" t="str">
        <f ca="1">TRIM(PROPER(_xlfn.XLOOKUP($A119,Строчный!$A:$A,Строчный!C:C,"ERR",0)))</f>
        <v>Кепки</v>
      </c>
      <c r="D119" s="81" t="str">
        <f ca="1">_xlfn.LET(_xlpm.DATA,TRIM(_xlfn.XLOOKUP($A119,Строчный!$A:$A,Строчный!D:D,"ERR",0)),UPPER(MID(_xlpm.DATA,1,1))&amp;LOWER(MID(_xlpm.DATA,2,LEN(_xlpm.DATA)-1)))</f>
        <v>Кепка плоская</v>
      </c>
      <c r="E119" s="81" t="str">
        <f ca="1">PROPER(TRIM(_xlfn.XLOOKUP($A119,Строчный!$A:$A,Строчный!E:E,"ERR",0)))</f>
        <v>Fredrikson</v>
      </c>
      <c r="F119" s="81" t="str">
        <f ca="1">LOWER(TRIM(_xlfn.XLOOKUP($A119,Строчный!$A:$A,Строчный!F:F,"ERR",0)))</f>
        <v>всесезон</v>
      </c>
      <c r="G119" s="81" t="str">
        <f ca="1">UPPER(TRIM(_xlfn.XLOOKUP($A119,Строчный!$A:$A,Строчный!G:G,"ERR",0)))</f>
        <v>FREDRIKSON</v>
      </c>
      <c r="H119" s="81" t="str">
        <f ca="1">LOWER(TRIM(_xlfn.XLOOKUP($A119,Строчный!$A:$A,Строчный!H:H,"ERR",0)))</f>
        <v>699/51</v>
      </c>
      <c r="I119" s="81" t="str">
        <f ca="1">LOWER(TRIM(_xlfn.XLOOKUP($A119,Строчный!$A:$A,Строчный!I:I,"ERR",0)))</f>
        <v>светло-коричневый / бежевый</v>
      </c>
      <c r="J119" s="81" t="str">
        <f ca="1">SUBSTITUTE(LOWER(TRIM(_xlfn.XLOOKUP($A119,Строчный!$A:$A,Строчный!J:J,"ERR",0))),"подклад","Подклад")</f>
        <v>100% шерсть / Подклад: 100% вискоза</v>
      </c>
      <c r="K119" s="81" t="str">
        <f ca="1">LOWER(TRIM(_xlfn.XLOOKUP($A119,Строчный!$A:$A,Строчный!K:K,"ERR",0)))</f>
        <v>шерстяные</v>
      </c>
      <c r="L119" s="81" t="str">
        <f ca="1">PROPER(TRIM(_xlfn.XLOOKUP($A119,Строчный!$A:$A,Строчный!L:L,"ERR",0)))</f>
        <v>Унисекс</v>
      </c>
      <c r="M119" s="113" t="str">
        <f ca="1">PROPER(TRIM(_xlfn.XLOOKUP($A119,Строчный!$A:$A,Строчный!M:M,"ERR",0)))</f>
        <v>Россия</v>
      </c>
      <c r="N119" s="81" t="str">
        <f ca="1">UPPER(TRIM(_xlfn.XLOOKUP($A119,Строчный!$A:$A,Строчный!O:O,"ERR",0)))</f>
        <v/>
      </c>
      <c r="O119" s="102" t="str">
        <f ca="1">PROPER(TRIM(_xlfn.XLOOKUP($A119,Строчный!$A:$A,Строчный!P:P,"ERR",0)))</f>
        <v/>
      </c>
      <c r="P119" s="81" t="str">
        <f ca="1">PROPER(TRIM(_xlfn.XLOOKUP($A119,Строчный!$A:$A,Строчный!R:R,"ERR",0)))</f>
        <v/>
      </c>
      <c r="Q119" s="90">
        <f ca="1">VALUE(_xlfn.XLOOKUP($A119,Строчный!$A:$A,Строчный!N:N,"ERR",0))</f>
        <v>975.8</v>
      </c>
      <c r="R119" s="89" t="str">
        <f ca="1">_xlfn.XLOOKUP($G119,Фабрика!A:A,Фабрика!B:B,"ERR",0)</f>
        <v>ООО "ФРЭДРИКСОН" Россия 192029, С-Петербург, пр. Обуховской обороны, д.86, лит М</v>
      </c>
      <c r="S119" s="80" t="str">
        <f ca="1">_xlfn.XLOOKUP(RIGHT(AA119,2),Размеры!D:D,Размеры!A:A,"ERR",0)</f>
        <v>61</v>
      </c>
      <c r="T119" s="80">
        <f ca="1">VALUE(_xlfn.XLOOKUP($AA119,Строчный!$S:$S,Строчный!U:U,"ERR",0))</f>
        <v>2</v>
      </c>
      <c r="U119" s="14" t="s">
        <v>265</v>
      </c>
      <c r="V119" s="101" t="str">
        <f t="shared" ca="1" si="11"/>
        <v>Кепка FREDRIKSON арт. 3125 (светло-коричневый / бежевый)</v>
      </c>
      <c r="W119" s="100" t="str">
        <f t="shared" ca="1" si="12"/>
        <v>Кепка FREDRIKSON арт. 3125 (светло-коричневый / бежевый) {699/51}</v>
      </c>
      <c r="X119" s="18" t="str">
        <f t="shared" ca="1" si="13"/>
        <v>коричневый / бежевый</v>
      </c>
      <c r="Y119" s="18" t="str">
        <f t="shared" ca="1" si="14"/>
        <v>коричневый / бежевый</v>
      </c>
      <c r="Z119" s="117" t="s">
        <v>22</v>
      </c>
      <c r="AA119" s="73" t="str">
        <f ca="1"/>
        <v>95-010-56-61</v>
      </c>
      <c r="AB119" s="75" t="str">
        <f ca="1">VLOOKUP(C119,Группа!A:B,2,FALSE)</f>
        <v>Кепка</v>
      </c>
      <c r="AC119" s="97" t="str">
        <f ca="1">IFERROR(VLOOKUP(S119,Размеры!A:C,3,FALSE),"")</f>
        <v>61 XL</v>
      </c>
      <c r="AD119" s="97" t="str">
        <f ca="1">VLOOKUP(I119,ЦветПолный!A:B,2,FALSE)</f>
        <v>56</v>
      </c>
      <c r="AE119" s="97" t="str">
        <f ca="1">IFERROR(VLOOKUP(S119,Размеры!A:D,4,FALSE),"")</f>
        <v>61</v>
      </c>
      <c r="AF119" s="97">
        <f ca="1">IF(LEFT(IFERROR(VLOOKUP(LOOKUP(2,1/SEARCH(B119,Товары!A:A),Товары!A:A),Товары!A:B,2,0),""),6)=MID(AA119,1,6),1,0)</f>
        <v>0</v>
      </c>
      <c r="AH119" s="97">
        <f ca="1">SUMIF(Группа!A:A,C119,Группа!C:C)</f>
        <v>1</v>
      </c>
      <c r="AI119" s="97">
        <f ca="1">SUMIF(Группа!B:B,AB119,Группа!C:C)</f>
        <v>1</v>
      </c>
      <c r="AJ119" s="97">
        <f ca="1">SUMIF(Формы!A:A,D119,Формы!B:B)</f>
        <v>1</v>
      </c>
      <c r="AK119" s="97">
        <f ca="1">SUMIF(Материал!A:A,K119,Материал!B:B)</f>
        <v>1</v>
      </c>
      <c r="AL119" s="97">
        <f ca="1">SUMIF(Размеры!A:A,S119,Размеры!E:E)</f>
        <v>1</v>
      </c>
      <c r="AM119" s="97">
        <f ca="1">SUMIF(Сезон!A:A,F119,Сезон!B:B)</f>
        <v>1</v>
      </c>
      <c r="AN119" s="97">
        <f ca="1">SUMIF(Состав!A:A,J119,Состав!B:B)</f>
        <v>0</v>
      </c>
      <c r="AO119" s="97">
        <f ca="1">VLOOKUP(I119,ЦветПолный!A:C,3,0)</f>
        <v>1</v>
      </c>
      <c r="AP119" s="97">
        <f>SUMIF(Цвет!A:A,Z119,Цвет!B:B)</f>
        <v>1</v>
      </c>
      <c r="AQ119" s="97">
        <f ca="1">_xlfn.XLOOKUP(L119,Пол!A:A,Пол!B:B,0,0)</f>
        <v>1</v>
      </c>
      <c r="AR119" s="97">
        <f ca="1">SUMIF(Бренд!A:A,G119,Бренд!B:B)</f>
        <v>1</v>
      </c>
      <c r="AS119" s="97">
        <f ca="1">SUMIF(Страна!A:A,M119,Страна!B:B)</f>
        <v>1</v>
      </c>
      <c r="AT119" s="64" t="e">
        <f ca="1">IF(VLOOKUP(W119,Товары!A:B,2,FALSE)=A119,"Есть в 1С","ERR")</f>
        <v>#N/A</v>
      </c>
      <c r="AU119" s="65" t="e">
        <f ca="1">IF(VLOOKUP(A119,Товары!B:B,1,FALSE)=A119,"Есть в 1С","ERR")</f>
        <v>#N/A</v>
      </c>
      <c r="AV119" s="96" t="e">
        <f ca="1">VLOOKUP(W119,Товары!A:B,2,FALSE)</f>
        <v>#N/A</v>
      </c>
      <c r="AW119" s="94" t="e">
        <f ca="1">VLOOKUP(W119,Товары!A:B,1,FALSE)</f>
        <v>#N/A</v>
      </c>
    </row>
    <row r="120" spans="1:49" x14ac:dyDescent="0.25">
      <c r="A120" s="110" t="str">
        <f t="shared" ca="1" si="10"/>
        <v>95-010-56</v>
      </c>
      <c r="B120" s="107" t="str">
        <f ca="1">_xlfn.LET(_xlpm.CAPS,0,_xlpm.Style,TRIM(_xlfn.XLOOKUP($A120,Строчный!$A:$A,Строчный!B:B,"ERR",0)),IF(_xlpm.CAPS=0,_xlpm.Style,LOWER(_xlpm.Style)))</f>
        <v>3125</v>
      </c>
      <c r="C120" s="81" t="str">
        <f ca="1">TRIM(PROPER(_xlfn.XLOOKUP($A120,Строчный!$A:$A,Строчный!C:C,"ERR",0)))</f>
        <v>Кепки</v>
      </c>
      <c r="D120" s="81" t="str">
        <f ca="1">_xlfn.LET(_xlpm.DATA,TRIM(_xlfn.XLOOKUP($A120,Строчный!$A:$A,Строчный!D:D,"ERR",0)),UPPER(MID(_xlpm.DATA,1,1))&amp;LOWER(MID(_xlpm.DATA,2,LEN(_xlpm.DATA)-1)))</f>
        <v>Кепка плоская</v>
      </c>
      <c r="E120" s="81" t="str">
        <f ca="1">PROPER(TRIM(_xlfn.XLOOKUP($A120,Строчный!$A:$A,Строчный!E:E,"ERR",0)))</f>
        <v>Fredrikson</v>
      </c>
      <c r="F120" s="81" t="str">
        <f ca="1">LOWER(TRIM(_xlfn.XLOOKUP($A120,Строчный!$A:$A,Строчный!F:F,"ERR",0)))</f>
        <v>всесезон</v>
      </c>
      <c r="G120" s="81" t="str">
        <f ca="1">UPPER(TRIM(_xlfn.XLOOKUP($A120,Строчный!$A:$A,Строчный!G:G,"ERR",0)))</f>
        <v>FREDRIKSON</v>
      </c>
      <c r="H120" s="81" t="str">
        <f ca="1">LOWER(TRIM(_xlfn.XLOOKUP($A120,Строчный!$A:$A,Строчный!H:H,"ERR",0)))</f>
        <v>699/51</v>
      </c>
      <c r="I120" s="81" t="str">
        <f ca="1">LOWER(TRIM(_xlfn.XLOOKUP($A120,Строчный!$A:$A,Строчный!I:I,"ERR",0)))</f>
        <v>светло-коричневый / бежевый</v>
      </c>
      <c r="J120" s="81" t="str">
        <f ca="1">SUBSTITUTE(LOWER(TRIM(_xlfn.XLOOKUP($A120,Строчный!$A:$A,Строчный!J:J,"ERR",0))),"подклад","Подклад")</f>
        <v>100% шерсть / Подклад: 100% вискоза</v>
      </c>
      <c r="K120" s="81" t="str">
        <f ca="1">LOWER(TRIM(_xlfn.XLOOKUP($A120,Строчный!$A:$A,Строчный!K:K,"ERR",0)))</f>
        <v>шерстяные</v>
      </c>
      <c r="L120" s="81" t="str">
        <f ca="1">PROPER(TRIM(_xlfn.XLOOKUP($A120,Строчный!$A:$A,Строчный!L:L,"ERR",0)))</f>
        <v>Унисекс</v>
      </c>
      <c r="M120" s="113" t="str">
        <f ca="1">PROPER(TRIM(_xlfn.XLOOKUP($A120,Строчный!$A:$A,Строчный!M:M,"ERR",0)))</f>
        <v>Россия</v>
      </c>
      <c r="N120" s="81" t="str">
        <f ca="1">UPPER(TRIM(_xlfn.XLOOKUP($A120,Строчный!$A:$A,Строчный!O:O,"ERR",0)))</f>
        <v/>
      </c>
      <c r="O120" s="102" t="str">
        <f ca="1">PROPER(TRIM(_xlfn.XLOOKUP($A120,Строчный!$A:$A,Строчный!P:P,"ERR",0)))</f>
        <v/>
      </c>
      <c r="P120" s="81" t="str">
        <f ca="1">PROPER(TRIM(_xlfn.XLOOKUP($A120,Строчный!$A:$A,Строчный!R:R,"ERR",0)))</f>
        <v/>
      </c>
      <c r="Q120" s="90">
        <f ca="1">VALUE(_xlfn.XLOOKUP($A120,Строчный!$A:$A,Строчный!N:N,"ERR",0))</f>
        <v>975.8</v>
      </c>
      <c r="R120" s="89" t="str">
        <f ca="1">_xlfn.XLOOKUP($G120,Фабрика!A:A,Фабрика!B:B,"ERR",0)</f>
        <v>ООО "ФРЭДРИКСОН" Россия 192029, С-Петербург, пр. Обуховской обороны, д.86, лит М</v>
      </c>
      <c r="S120" s="80" t="str">
        <f ca="1">_xlfn.XLOOKUP(RIGHT(AA120,2),Размеры!D:D,Размеры!A:A,"ERR",0)</f>
        <v>60</v>
      </c>
      <c r="T120" s="80">
        <f ca="1">VALUE(_xlfn.XLOOKUP($AA120,Строчный!$S:$S,Строчный!U:U,"ERR",0))</f>
        <v>3</v>
      </c>
      <c r="U120" s="14" t="s">
        <v>265</v>
      </c>
      <c r="V120" s="101" t="str">
        <f t="shared" ca="1" si="11"/>
        <v>Кепка FREDRIKSON арт. 3125 (светло-коричневый / бежевый)</v>
      </c>
      <c r="W120" s="100" t="str">
        <f t="shared" ca="1" si="12"/>
        <v>Кепка FREDRIKSON арт. 3125 (светло-коричневый / бежевый) {699/51}</v>
      </c>
      <c r="X120" s="18" t="str">
        <f t="shared" ca="1" si="13"/>
        <v>коричневый / бежевый</v>
      </c>
      <c r="Y120" s="18" t="str">
        <f t="shared" ca="1" si="14"/>
        <v>коричневый / бежевый</v>
      </c>
      <c r="Z120" s="117" t="s">
        <v>22</v>
      </c>
      <c r="AA120" s="73" t="str">
        <f ca="1"/>
        <v>95-010-56-60</v>
      </c>
      <c r="AB120" s="75" t="str">
        <f ca="1">VLOOKUP(C120,Группа!A:B,2,FALSE)</f>
        <v>Кепка</v>
      </c>
      <c r="AC120" s="97" t="str">
        <f ca="1">IFERROR(VLOOKUP(S120,Размеры!A:C,3,FALSE),"")</f>
        <v>60 L/XL</v>
      </c>
      <c r="AD120" s="97" t="str">
        <f ca="1">VLOOKUP(I120,ЦветПолный!A:B,2,FALSE)</f>
        <v>56</v>
      </c>
      <c r="AE120" s="97" t="str">
        <f ca="1">IFERROR(VLOOKUP(S120,Размеры!A:D,4,FALSE),"")</f>
        <v>60</v>
      </c>
      <c r="AF120" s="97">
        <f ca="1">IF(LEFT(IFERROR(VLOOKUP(LOOKUP(2,1/SEARCH(B120,Товары!A:A),Товары!A:A),Товары!A:B,2,0),""),6)=MID(AA120,1,6),1,0)</f>
        <v>0</v>
      </c>
      <c r="AH120" s="97">
        <f ca="1">SUMIF(Группа!A:A,C120,Группа!C:C)</f>
        <v>1</v>
      </c>
      <c r="AI120" s="97">
        <f ca="1">SUMIF(Группа!B:B,AB120,Группа!C:C)</f>
        <v>1</v>
      </c>
      <c r="AJ120" s="97">
        <f ca="1">SUMIF(Формы!A:A,D120,Формы!B:B)</f>
        <v>1</v>
      </c>
      <c r="AK120" s="97">
        <f ca="1">SUMIF(Материал!A:A,K120,Материал!B:B)</f>
        <v>1</v>
      </c>
      <c r="AL120" s="97">
        <f ca="1">SUMIF(Размеры!A:A,S120,Размеры!E:E)</f>
        <v>1</v>
      </c>
      <c r="AM120" s="97">
        <f ca="1">SUMIF(Сезон!A:A,F120,Сезон!B:B)</f>
        <v>1</v>
      </c>
      <c r="AN120" s="97">
        <f ca="1">SUMIF(Состав!A:A,J120,Состав!B:B)</f>
        <v>0</v>
      </c>
      <c r="AO120" s="97">
        <f ca="1">VLOOKUP(I120,ЦветПолный!A:C,3,0)</f>
        <v>1</v>
      </c>
      <c r="AP120" s="97">
        <f>SUMIF(Цвет!A:A,Z120,Цвет!B:B)</f>
        <v>1</v>
      </c>
      <c r="AQ120" s="97">
        <f ca="1">_xlfn.XLOOKUP(L120,Пол!A:A,Пол!B:B,0,0)</f>
        <v>1</v>
      </c>
      <c r="AR120" s="97">
        <f ca="1">SUMIF(Бренд!A:A,G120,Бренд!B:B)</f>
        <v>1</v>
      </c>
      <c r="AS120" s="97">
        <f ca="1">SUMIF(Страна!A:A,M120,Страна!B:B)</f>
        <v>1</v>
      </c>
      <c r="AT120" s="64" t="e">
        <f ca="1">IF(VLOOKUP(W120,Товары!A:B,2,FALSE)=A120,"Есть в 1С","ERR")</f>
        <v>#N/A</v>
      </c>
      <c r="AU120" s="65" t="e">
        <f ca="1">IF(VLOOKUP(A120,Товары!B:B,1,FALSE)=A120,"Есть в 1С","ERR")</f>
        <v>#N/A</v>
      </c>
      <c r="AV120" s="96" t="e">
        <f ca="1">VLOOKUP(W120,Товары!A:B,2,FALSE)</f>
        <v>#N/A</v>
      </c>
      <c r="AW120" s="94" t="e">
        <f ca="1">VLOOKUP(W120,Товары!A:B,1,FALSE)</f>
        <v>#N/A</v>
      </c>
    </row>
    <row r="121" spans="1:49" x14ac:dyDescent="0.25">
      <c r="A121" s="110" t="str">
        <f t="shared" ca="1" si="10"/>
        <v>95-010-56</v>
      </c>
      <c r="B121" s="107" t="str">
        <f ca="1">_xlfn.LET(_xlpm.CAPS,0,_xlpm.Style,TRIM(_xlfn.XLOOKUP($A121,Строчный!$A:$A,Строчный!B:B,"ERR",0)),IF(_xlpm.CAPS=0,_xlpm.Style,LOWER(_xlpm.Style)))</f>
        <v>3125</v>
      </c>
      <c r="C121" s="81" t="str">
        <f ca="1">TRIM(PROPER(_xlfn.XLOOKUP($A121,Строчный!$A:$A,Строчный!C:C,"ERR",0)))</f>
        <v>Кепки</v>
      </c>
      <c r="D121" s="81" t="str">
        <f ca="1">_xlfn.LET(_xlpm.DATA,TRIM(_xlfn.XLOOKUP($A121,Строчный!$A:$A,Строчный!D:D,"ERR",0)),UPPER(MID(_xlpm.DATA,1,1))&amp;LOWER(MID(_xlpm.DATA,2,LEN(_xlpm.DATA)-1)))</f>
        <v>Кепка плоская</v>
      </c>
      <c r="E121" s="81" t="str">
        <f ca="1">PROPER(TRIM(_xlfn.XLOOKUP($A121,Строчный!$A:$A,Строчный!E:E,"ERR",0)))</f>
        <v>Fredrikson</v>
      </c>
      <c r="F121" s="81" t="str">
        <f ca="1">LOWER(TRIM(_xlfn.XLOOKUP($A121,Строчный!$A:$A,Строчный!F:F,"ERR",0)))</f>
        <v>всесезон</v>
      </c>
      <c r="G121" s="81" t="str">
        <f ca="1">UPPER(TRIM(_xlfn.XLOOKUP($A121,Строчный!$A:$A,Строчный!G:G,"ERR",0)))</f>
        <v>FREDRIKSON</v>
      </c>
      <c r="H121" s="81" t="str">
        <f ca="1">LOWER(TRIM(_xlfn.XLOOKUP($A121,Строчный!$A:$A,Строчный!H:H,"ERR",0)))</f>
        <v>699/51</v>
      </c>
      <c r="I121" s="81" t="str">
        <f ca="1">LOWER(TRIM(_xlfn.XLOOKUP($A121,Строчный!$A:$A,Строчный!I:I,"ERR",0)))</f>
        <v>светло-коричневый / бежевый</v>
      </c>
      <c r="J121" s="81" t="str">
        <f ca="1">SUBSTITUTE(LOWER(TRIM(_xlfn.XLOOKUP($A121,Строчный!$A:$A,Строчный!J:J,"ERR",0))),"подклад","Подклад")</f>
        <v>100% шерсть / Подклад: 100% вискоза</v>
      </c>
      <c r="K121" s="81" t="str">
        <f ca="1">LOWER(TRIM(_xlfn.XLOOKUP($A121,Строчный!$A:$A,Строчный!K:K,"ERR",0)))</f>
        <v>шерстяные</v>
      </c>
      <c r="L121" s="81" t="str">
        <f ca="1">PROPER(TRIM(_xlfn.XLOOKUP($A121,Строчный!$A:$A,Строчный!L:L,"ERR",0)))</f>
        <v>Унисекс</v>
      </c>
      <c r="M121" s="113" t="str">
        <f ca="1">PROPER(TRIM(_xlfn.XLOOKUP($A121,Строчный!$A:$A,Строчный!M:M,"ERR",0)))</f>
        <v>Россия</v>
      </c>
      <c r="N121" s="81" t="str">
        <f ca="1">UPPER(TRIM(_xlfn.XLOOKUP($A121,Строчный!$A:$A,Строчный!O:O,"ERR",0)))</f>
        <v/>
      </c>
      <c r="O121" s="102" t="str">
        <f ca="1">PROPER(TRIM(_xlfn.XLOOKUP($A121,Строчный!$A:$A,Строчный!P:P,"ERR",0)))</f>
        <v/>
      </c>
      <c r="P121" s="81" t="str">
        <f ca="1">PROPER(TRIM(_xlfn.XLOOKUP($A121,Строчный!$A:$A,Строчный!R:R,"ERR",0)))</f>
        <v/>
      </c>
      <c r="Q121" s="90">
        <f ca="1">VALUE(_xlfn.XLOOKUP($A121,Строчный!$A:$A,Строчный!N:N,"ERR",0))</f>
        <v>975.8</v>
      </c>
      <c r="R121" s="89" t="str">
        <f ca="1">_xlfn.XLOOKUP($G121,Фабрика!A:A,Фабрика!B:B,"ERR",0)</f>
        <v>ООО "ФРЭДРИКСОН" Россия 192029, С-Петербург, пр. Обуховской обороны, д.86, лит М</v>
      </c>
      <c r="S121" s="80" t="str">
        <f ca="1">_xlfn.XLOOKUP(RIGHT(AA121,2),Размеры!D:D,Размеры!A:A,"ERR",0)</f>
        <v>59</v>
      </c>
      <c r="T121" s="80">
        <f ca="1">VALUE(_xlfn.XLOOKUP($AA121,Строчный!$S:$S,Строчный!U:U,"ERR",0))</f>
        <v>4</v>
      </c>
      <c r="U121" s="14" t="s">
        <v>265</v>
      </c>
      <c r="V121" s="101" t="str">
        <f t="shared" ca="1" si="11"/>
        <v>Кепка FREDRIKSON арт. 3125 (светло-коричневый / бежевый)</v>
      </c>
      <c r="W121" s="100" t="str">
        <f t="shared" ca="1" si="12"/>
        <v>Кепка FREDRIKSON арт. 3125 (светло-коричневый / бежевый) {699/51}</v>
      </c>
      <c r="X121" s="18" t="str">
        <f t="shared" ca="1" si="13"/>
        <v>коричневый / бежевый</v>
      </c>
      <c r="Y121" s="18" t="str">
        <f t="shared" ca="1" si="14"/>
        <v>коричневый / бежевый</v>
      </c>
      <c r="Z121" s="117" t="s">
        <v>22</v>
      </c>
      <c r="AA121" s="73" t="str">
        <f ca="1"/>
        <v>95-010-56-59</v>
      </c>
      <c r="AB121" s="75" t="str">
        <f ca="1">VLOOKUP(C121,Группа!A:B,2,FALSE)</f>
        <v>Кепка</v>
      </c>
      <c r="AC121" s="97" t="str">
        <f ca="1">IFERROR(VLOOKUP(S121,Размеры!A:C,3,FALSE),"")</f>
        <v>59 L</v>
      </c>
      <c r="AD121" s="97" t="str">
        <f ca="1">VLOOKUP(I121,ЦветПолный!A:B,2,FALSE)</f>
        <v>56</v>
      </c>
      <c r="AE121" s="97" t="str">
        <f ca="1">IFERROR(VLOOKUP(S121,Размеры!A:D,4,FALSE),"")</f>
        <v>59</v>
      </c>
      <c r="AF121" s="97">
        <f ca="1">IF(LEFT(IFERROR(VLOOKUP(LOOKUP(2,1/SEARCH(B121,Товары!A:A),Товары!A:A),Товары!A:B,2,0),""),6)=MID(AA121,1,6),1,0)</f>
        <v>0</v>
      </c>
      <c r="AH121" s="97">
        <f ca="1">SUMIF(Группа!A:A,C121,Группа!C:C)</f>
        <v>1</v>
      </c>
      <c r="AI121" s="97">
        <f ca="1">SUMIF(Группа!B:B,AB121,Группа!C:C)</f>
        <v>1</v>
      </c>
      <c r="AJ121" s="97">
        <f ca="1">SUMIF(Формы!A:A,D121,Формы!B:B)</f>
        <v>1</v>
      </c>
      <c r="AK121" s="97">
        <f ca="1">SUMIF(Материал!A:A,K121,Материал!B:B)</f>
        <v>1</v>
      </c>
      <c r="AL121" s="97">
        <f ca="1">SUMIF(Размеры!A:A,S121,Размеры!E:E)</f>
        <v>1</v>
      </c>
      <c r="AM121" s="97">
        <f ca="1">SUMIF(Сезон!A:A,F121,Сезон!B:B)</f>
        <v>1</v>
      </c>
      <c r="AN121" s="97">
        <f ca="1">SUMIF(Состав!A:A,J121,Состав!B:B)</f>
        <v>0</v>
      </c>
      <c r="AO121" s="97">
        <f ca="1">VLOOKUP(I121,ЦветПолный!A:C,3,0)</f>
        <v>1</v>
      </c>
      <c r="AP121" s="97">
        <f>SUMIF(Цвет!A:A,Z121,Цвет!B:B)</f>
        <v>1</v>
      </c>
      <c r="AQ121" s="97">
        <f ca="1">_xlfn.XLOOKUP(L121,Пол!A:A,Пол!B:B,0,0)</f>
        <v>1</v>
      </c>
      <c r="AR121" s="97">
        <f ca="1">SUMIF(Бренд!A:A,G121,Бренд!B:B)</f>
        <v>1</v>
      </c>
      <c r="AS121" s="97">
        <f ca="1">SUMIF(Страна!A:A,M121,Страна!B:B)</f>
        <v>1</v>
      </c>
      <c r="AT121" s="64" t="e">
        <f ca="1">IF(VLOOKUP(W121,Товары!A:B,2,FALSE)=A121,"Есть в 1С","ERR")</f>
        <v>#N/A</v>
      </c>
      <c r="AU121" s="65" t="e">
        <f ca="1">IF(VLOOKUP(A121,Товары!B:B,1,FALSE)=A121,"Есть в 1С","ERR")</f>
        <v>#N/A</v>
      </c>
      <c r="AV121" s="96" t="e">
        <f ca="1">VLOOKUP(W121,Товары!A:B,2,FALSE)</f>
        <v>#N/A</v>
      </c>
      <c r="AW121" s="94" t="e">
        <f ca="1">VLOOKUP(W121,Товары!A:B,1,FALSE)</f>
        <v>#N/A</v>
      </c>
    </row>
    <row r="122" spans="1:49" x14ac:dyDescent="0.25">
      <c r="A122" s="110" t="str">
        <f t="shared" ca="1" si="10"/>
        <v>95-010-56</v>
      </c>
      <c r="B122" s="107" t="str">
        <f ca="1">_xlfn.LET(_xlpm.CAPS,0,_xlpm.Style,TRIM(_xlfn.XLOOKUP($A122,Строчный!$A:$A,Строчный!B:B,"ERR",0)),IF(_xlpm.CAPS=0,_xlpm.Style,LOWER(_xlpm.Style)))</f>
        <v>3125</v>
      </c>
      <c r="C122" s="81" t="str">
        <f ca="1">TRIM(PROPER(_xlfn.XLOOKUP($A122,Строчный!$A:$A,Строчный!C:C,"ERR",0)))</f>
        <v>Кепки</v>
      </c>
      <c r="D122" s="81" t="str">
        <f ca="1">_xlfn.LET(_xlpm.DATA,TRIM(_xlfn.XLOOKUP($A122,Строчный!$A:$A,Строчный!D:D,"ERR",0)),UPPER(MID(_xlpm.DATA,1,1))&amp;LOWER(MID(_xlpm.DATA,2,LEN(_xlpm.DATA)-1)))</f>
        <v>Кепка плоская</v>
      </c>
      <c r="E122" s="81" t="str">
        <f ca="1">PROPER(TRIM(_xlfn.XLOOKUP($A122,Строчный!$A:$A,Строчный!E:E,"ERR",0)))</f>
        <v>Fredrikson</v>
      </c>
      <c r="F122" s="81" t="str">
        <f ca="1">LOWER(TRIM(_xlfn.XLOOKUP($A122,Строчный!$A:$A,Строчный!F:F,"ERR",0)))</f>
        <v>всесезон</v>
      </c>
      <c r="G122" s="81" t="str">
        <f ca="1">UPPER(TRIM(_xlfn.XLOOKUP($A122,Строчный!$A:$A,Строчный!G:G,"ERR",0)))</f>
        <v>FREDRIKSON</v>
      </c>
      <c r="H122" s="81" t="str">
        <f ca="1">LOWER(TRIM(_xlfn.XLOOKUP($A122,Строчный!$A:$A,Строчный!H:H,"ERR",0)))</f>
        <v>699/51</v>
      </c>
      <c r="I122" s="81" t="str">
        <f ca="1">LOWER(TRIM(_xlfn.XLOOKUP($A122,Строчный!$A:$A,Строчный!I:I,"ERR",0)))</f>
        <v>светло-коричневый / бежевый</v>
      </c>
      <c r="J122" s="81" t="str">
        <f ca="1">SUBSTITUTE(LOWER(TRIM(_xlfn.XLOOKUP($A122,Строчный!$A:$A,Строчный!J:J,"ERR",0))),"подклад","Подклад")</f>
        <v>100% шерсть / Подклад: 100% вискоза</v>
      </c>
      <c r="K122" s="81" t="str">
        <f ca="1">LOWER(TRIM(_xlfn.XLOOKUP($A122,Строчный!$A:$A,Строчный!K:K,"ERR",0)))</f>
        <v>шерстяные</v>
      </c>
      <c r="L122" s="81" t="str">
        <f ca="1">PROPER(TRIM(_xlfn.XLOOKUP($A122,Строчный!$A:$A,Строчный!L:L,"ERR",0)))</f>
        <v>Унисекс</v>
      </c>
      <c r="M122" s="113" t="str">
        <f ca="1">PROPER(TRIM(_xlfn.XLOOKUP($A122,Строчный!$A:$A,Строчный!M:M,"ERR",0)))</f>
        <v>Россия</v>
      </c>
      <c r="N122" s="81" t="str">
        <f ca="1">UPPER(TRIM(_xlfn.XLOOKUP($A122,Строчный!$A:$A,Строчный!O:O,"ERR",0)))</f>
        <v/>
      </c>
      <c r="O122" s="102" t="str">
        <f ca="1">PROPER(TRIM(_xlfn.XLOOKUP($A122,Строчный!$A:$A,Строчный!P:P,"ERR",0)))</f>
        <v/>
      </c>
      <c r="P122" s="81" t="str">
        <f ca="1">PROPER(TRIM(_xlfn.XLOOKUP($A122,Строчный!$A:$A,Строчный!R:R,"ERR",0)))</f>
        <v/>
      </c>
      <c r="Q122" s="90">
        <f ca="1">VALUE(_xlfn.XLOOKUP($A122,Строчный!$A:$A,Строчный!N:N,"ERR",0))</f>
        <v>975.8</v>
      </c>
      <c r="R122" s="89" t="str">
        <f ca="1">_xlfn.XLOOKUP($G122,Фабрика!A:A,Фабрика!B:B,"ERR",0)</f>
        <v>ООО "ФРЭДРИКСОН" Россия 192029, С-Петербург, пр. Обуховской обороны, д.86, лит М</v>
      </c>
      <c r="S122" s="80" t="str">
        <f ca="1">_xlfn.XLOOKUP(RIGHT(AA122,2),Размеры!D:D,Размеры!A:A,"ERR",0)</f>
        <v>58</v>
      </c>
      <c r="T122" s="80">
        <f ca="1">VALUE(_xlfn.XLOOKUP($AA122,Строчный!$S:$S,Строчный!U:U,"ERR",0))</f>
        <v>3</v>
      </c>
      <c r="U122" s="14" t="s">
        <v>265</v>
      </c>
      <c r="V122" s="101" t="str">
        <f t="shared" ca="1" si="11"/>
        <v>Кепка FREDRIKSON арт. 3125 (светло-коричневый / бежевый)</v>
      </c>
      <c r="W122" s="100" t="str">
        <f t="shared" ca="1" si="12"/>
        <v>Кепка FREDRIKSON арт. 3125 (светло-коричневый / бежевый) {699/51}</v>
      </c>
      <c r="X122" s="18" t="str">
        <f t="shared" ca="1" si="13"/>
        <v>коричневый / бежевый</v>
      </c>
      <c r="Y122" s="18" t="str">
        <f t="shared" ca="1" si="14"/>
        <v>коричневый / бежевый</v>
      </c>
      <c r="Z122" s="117" t="s">
        <v>22</v>
      </c>
      <c r="AA122" s="73" t="str">
        <f ca="1"/>
        <v>95-010-56-58</v>
      </c>
      <c r="AB122" s="75" t="str">
        <f ca="1">VLOOKUP(C122,Группа!A:B,2,FALSE)</f>
        <v>Кепка</v>
      </c>
      <c r="AC122" s="97" t="str">
        <f ca="1">IFERROR(VLOOKUP(S122,Размеры!A:C,3,FALSE),"")</f>
        <v>58 M/L</v>
      </c>
      <c r="AD122" s="97" t="str">
        <f ca="1">VLOOKUP(I122,ЦветПолный!A:B,2,FALSE)</f>
        <v>56</v>
      </c>
      <c r="AE122" s="97" t="str">
        <f ca="1">IFERROR(VLOOKUP(S122,Размеры!A:D,4,FALSE),"")</f>
        <v>58</v>
      </c>
      <c r="AF122" s="97">
        <f ca="1">IF(LEFT(IFERROR(VLOOKUP(LOOKUP(2,1/SEARCH(B122,Товары!A:A),Товары!A:A),Товары!A:B,2,0),""),6)=MID(AA122,1,6),1,0)</f>
        <v>0</v>
      </c>
      <c r="AH122" s="97">
        <f ca="1">SUMIF(Группа!A:A,C122,Группа!C:C)</f>
        <v>1</v>
      </c>
      <c r="AI122" s="97">
        <f ca="1">SUMIF(Группа!B:B,AB122,Группа!C:C)</f>
        <v>1</v>
      </c>
      <c r="AJ122" s="97">
        <f ca="1">SUMIF(Формы!A:A,D122,Формы!B:B)</f>
        <v>1</v>
      </c>
      <c r="AK122" s="97">
        <f ca="1">SUMIF(Материал!A:A,K122,Материал!B:B)</f>
        <v>1</v>
      </c>
      <c r="AL122" s="97">
        <f ca="1">SUMIF(Размеры!A:A,S122,Размеры!E:E)</f>
        <v>1</v>
      </c>
      <c r="AM122" s="97">
        <f ca="1">SUMIF(Сезон!A:A,F122,Сезон!B:B)</f>
        <v>1</v>
      </c>
      <c r="AN122" s="97">
        <f ca="1">SUMIF(Состав!A:A,J122,Состав!B:B)</f>
        <v>0</v>
      </c>
      <c r="AO122" s="97">
        <f ca="1">VLOOKUP(I122,ЦветПолный!A:C,3,0)</f>
        <v>1</v>
      </c>
      <c r="AP122" s="97">
        <f>SUMIF(Цвет!A:A,Z122,Цвет!B:B)</f>
        <v>1</v>
      </c>
      <c r="AQ122" s="97">
        <f ca="1">_xlfn.XLOOKUP(L122,Пол!A:A,Пол!B:B,0,0)</f>
        <v>1</v>
      </c>
      <c r="AR122" s="97">
        <f ca="1">SUMIF(Бренд!A:A,G122,Бренд!B:B)</f>
        <v>1</v>
      </c>
      <c r="AS122" s="97">
        <f ca="1">SUMIF(Страна!A:A,M122,Страна!B:B)</f>
        <v>1</v>
      </c>
      <c r="AT122" s="64" t="e">
        <f ca="1">IF(VLOOKUP(W122,Товары!A:B,2,FALSE)=A122,"Есть в 1С","ERR")</f>
        <v>#N/A</v>
      </c>
      <c r="AU122" s="65" t="e">
        <f ca="1">IF(VLOOKUP(A122,Товары!B:B,1,FALSE)=A122,"Есть в 1С","ERR")</f>
        <v>#N/A</v>
      </c>
      <c r="AV122" s="96" t="e">
        <f ca="1">VLOOKUP(W122,Товары!A:B,2,FALSE)</f>
        <v>#N/A</v>
      </c>
      <c r="AW122" s="94" t="e">
        <f ca="1">VLOOKUP(W122,Товары!A:B,1,FALSE)</f>
        <v>#N/A</v>
      </c>
    </row>
    <row r="123" spans="1:49" x14ac:dyDescent="0.25">
      <c r="A123" s="110" t="str">
        <f t="shared" ca="1" si="10"/>
        <v>95-010-56</v>
      </c>
      <c r="B123" s="107" t="str">
        <f ca="1">_xlfn.LET(_xlpm.CAPS,0,_xlpm.Style,TRIM(_xlfn.XLOOKUP($A123,Строчный!$A:$A,Строчный!B:B,"ERR",0)),IF(_xlpm.CAPS=0,_xlpm.Style,LOWER(_xlpm.Style)))</f>
        <v>3125</v>
      </c>
      <c r="C123" s="81" t="str">
        <f ca="1">TRIM(PROPER(_xlfn.XLOOKUP($A123,Строчный!$A:$A,Строчный!C:C,"ERR",0)))</f>
        <v>Кепки</v>
      </c>
      <c r="D123" s="81" t="str">
        <f ca="1">_xlfn.LET(_xlpm.DATA,TRIM(_xlfn.XLOOKUP($A123,Строчный!$A:$A,Строчный!D:D,"ERR",0)),UPPER(MID(_xlpm.DATA,1,1))&amp;LOWER(MID(_xlpm.DATA,2,LEN(_xlpm.DATA)-1)))</f>
        <v>Кепка плоская</v>
      </c>
      <c r="E123" s="81" t="str">
        <f ca="1">PROPER(TRIM(_xlfn.XLOOKUP($A123,Строчный!$A:$A,Строчный!E:E,"ERR",0)))</f>
        <v>Fredrikson</v>
      </c>
      <c r="F123" s="81" t="str">
        <f ca="1">LOWER(TRIM(_xlfn.XLOOKUP($A123,Строчный!$A:$A,Строчный!F:F,"ERR",0)))</f>
        <v>всесезон</v>
      </c>
      <c r="G123" s="81" t="str">
        <f ca="1">UPPER(TRIM(_xlfn.XLOOKUP($A123,Строчный!$A:$A,Строчный!G:G,"ERR",0)))</f>
        <v>FREDRIKSON</v>
      </c>
      <c r="H123" s="81" t="str">
        <f ca="1">LOWER(TRIM(_xlfn.XLOOKUP($A123,Строчный!$A:$A,Строчный!H:H,"ERR",0)))</f>
        <v>699/51</v>
      </c>
      <c r="I123" s="81" t="str">
        <f ca="1">LOWER(TRIM(_xlfn.XLOOKUP($A123,Строчный!$A:$A,Строчный!I:I,"ERR",0)))</f>
        <v>светло-коричневый / бежевый</v>
      </c>
      <c r="J123" s="81" t="str">
        <f ca="1">SUBSTITUTE(LOWER(TRIM(_xlfn.XLOOKUP($A123,Строчный!$A:$A,Строчный!J:J,"ERR",0))),"подклад","Подклад")</f>
        <v>100% шерсть / Подклад: 100% вискоза</v>
      </c>
      <c r="K123" s="81" t="str">
        <f ca="1">LOWER(TRIM(_xlfn.XLOOKUP($A123,Строчный!$A:$A,Строчный!K:K,"ERR",0)))</f>
        <v>шерстяные</v>
      </c>
      <c r="L123" s="81" t="str">
        <f ca="1">PROPER(TRIM(_xlfn.XLOOKUP($A123,Строчный!$A:$A,Строчный!L:L,"ERR",0)))</f>
        <v>Унисекс</v>
      </c>
      <c r="M123" s="113" t="str">
        <f ca="1">PROPER(TRIM(_xlfn.XLOOKUP($A123,Строчный!$A:$A,Строчный!M:M,"ERR",0)))</f>
        <v>Россия</v>
      </c>
      <c r="N123" s="81" t="str">
        <f ca="1">UPPER(TRIM(_xlfn.XLOOKUP($A123,Строчный!$A:$A,Строчный!O:O,"ERR",0)))</f>
        <v/>
      </c>
      <c r="O123" s="102" t="str">
        <f ca="1">PROPER(TRIM(_xlfn.XLOOKUP($A123,Строчный!$A:$A,Строчный!P:P,"ERR",0)))</f>
        <v/>
      </c>
      <c r="P123" s="81" t="str">
        <f ca="1">PROPER(TRIM(_xlfn.XLOOKUP($A123,Строчный!$A:$A,Строчный!R:R,"ERR",0)))</f>
        <v/>
      </c>
      <c r="Q123" s="90">
        <f ca="1">VALUE(_xlfn.XLOOKUP($A123,Строчный!$A:$A,Строчный!N:N,"ERR",0))</f>
        <v>975.8</v>
      </c>
      <c r="R123" s="89" t="str">
        <f ca="1">_xlfn.XLOOKUP($G123,Фабрика!A:A,Фабрика!B:B,"ERR",0)</f>
        <v>ООО "ФРЭДРИКСОН" Россия 192029, С-Петербург, пр. Обуховской обороны, д.86, лит М</v>
      </c>
      <c r="S123" s="80" t="str">
        <f ca="1">_xlfn.XLOOKUP(RIGHT(AA123,2),Размеры!D:D,Размеры!A:A,"ERR",0)</f>
        <v>57</v>
      </c>
      <c r="T123" s="80">
        <f ca="1">VALUE(_xlfn.XLOOKUP($AA123,Строчный!$S:$S,Строчный!U:U,"ERR",0))</f>
        <v>2</v>
      </c>
      <c r="U123" s="14" t="s">
        <v>265</v>
      </c>
      <c r="V123" s="101" t="str">
        <f t="shared" ca="1" si="11"/>
        <v>Кепка FREDRIKSON арт. 3125 (светло-коричневый / бежевый)</v>
      </c>
      <c r="W123" s="100" t="str">
        <f t="shared" ca="1" si="12"/>
        <v>Кепка FREDRIKSON арт. 3125 (светло-коричневый / бежевый) {699/51}</v>
      </c>
      <c r="X123" s="18" t="str">
        <f t="shared" ca="1" si="13"/>
        <v>коричневый / бежевый</v>
      </c>
      <c r="Y123" s="18" t="str">
        <f t="shared" ca="1" si="14"/>
        <v>коричневый / бежевый</v>
      </c>
      <c r="Z123" s="117" t="s">
        <v>22</v>
      </c>
      <c r="AA123" s="73" t="str">
        <f ca="1"/>
        <v>95-010-56-57</v>
      </c>
      <c r="AB123" s="75" t="str">
        <f ca="1">VLOOKUP(C123,Группа!A:B,2,FALSE)</f>
        <v>Кепка</v>
      </c>
      <c r="AC123" s="97" t="str">
        <f ca="1">IFERROR(VLOOKUP(S123,Размеры!A:C,3,FALSE),"")</f>
        <v>57 M</v>
      </c>
      <c r="AD123" s="97" t="str">
        <f ca="1">VLOOKUP(I123,ЦветПолный!A:B,2,FALSE)</f>
        <v>56</v>
      </c>
      <c r="AE123" s="97" t="str">
        <f ca="1">IFERROR(VLOOKUP(S123,Размеры!A:D,4,FALSE),"")</f>
        <v>57</v>
      </c>
      <c r="AF123" s="97">
        <f ca="1">IF(LEFT(IFERROR(VLOOKUP(LOOKUP(2,1/SEARCH(B123,Товары!A:A),Товары!A:A),Товары!A:B,2,0),""),6)=MID(AA123,1,6),1,0)</f>
        <v>0</v>
      </c>
      <c r="AH123" s="97">
        <f ca="1">SUMIF(Группа!A:A,C123,Группа!C:C)</f>
        <v>1</v>
      </c>
      <c r="AI123" s="97">
        <f ca="1">SUMIF(Группа!B:B,AB123,Группа!C:C)</f>
        <v>1</v>
      </c>
      <c r="AJ123" s="97">
        <f ca="1">SUMIF(Формы!A:A,D123,Формы!B:B)</f>
        <v>1</v>
      </c>
      <c r="AK123" s="97">
        <f ca="1">SUMIF(Материал!A:A,K123,Материал!B:B)</f>
        <v>1</v>
      </c>
      <c r="AL123" s="97">
        <f ca="1">SUMIF(Размеры!A:A,S123,Размеры!E:E)</f>
        <v>1</v>
      </c>
      <c r="AM123" s="97">
        <f ca="1">SUMIF(Сезон!A:A,F123,Сезон!B:B)</f>
        <v>1</v>
      </c>
      <c r="AN123" s="97">
        <f ca="1">SUMIF(Состав!A:A,J123,Состав!B:B)</f>
        <v>0</v>
      </c>
      <c r="AO123" s="97">
        <f ca="1">VLOOKUP(I123,ЦветПолный!A:C,3,0)</f>
        <v>1</v>
      </c>
      <c r="AP123" s="97">
        <f>SUMIF(Цвет!A:A,Z123,Цвет!B:B)</f>
        <v>1</v>
      </c>
      <c r="AQ123" s="97">
        <f ca="1">_xlfn.XLOOKUP(L123,Пол!A:A,Пол!B:B,0,0)</f>
        <v>1</v>
      </c>
      <c r="AR123" s="97">
        <f ca="1">SUMIF(Бренд!A:A,G123,Бренд!B:B)</f>
        <v>1</v>
      </c>
      <c r="AS123" s="97">
        <f ca="1">SUMIF(Страна!A:A,M123,Страна!B:B)</f>
        <v>1</v>
      </c>
      <c r="AT123" s="64" t="e">
        <f ca="1">IF(VLOOKUP(W123,Товары!A:B,2,FALSE)=A123,"Есть в 1С","ERR")</f>
        <v>#N/A</v>
      </c>
      <c r="AU123" s="65" t="e">
        <f ca="1">IF(VLOOKUP(A123,Товары!B:B,1,FALSE)=A123,"Есть в 1С","ERR")</f>
        <v>#N/A</v>
      </c>
      <c r="AV123" s="96" t="e">
        <f ca="1">VLOOKUP(W123,Товары!A:B,2,FALSE)</f>
        <v>#N/A</v>
      </c>
      <c r="AW123" s="94" t="e">
        <f ca="1">VLOOKUP(W123,Товары!A:B,1,FALSE)</f>
        <v>#N/A</v>
      </c>
    </row>
    <row r="124" spans="1:49" x14ac:dyDescent="0.25">
      <c r="A124" s="110" t="str">
        <f t="shared" ca="1" si="10"/>
        <v>95-010-55</v>
      </c>
      <c r="B124" s="107" t="str">
        <f ca="1">_xlfn.LET(_xlpm.CAPS,0,_xlpm.Style,TRIM(_xlfn.XLOOKUP($A124,Строчный!$A:$A,Строчный!B:B,"ERR",0)),IF(_xlpm.CAPS=0,_xlpm.Style,LOWER(_xlpm.Style)))</f>
        <v>3125</v>
      </c>
      <c r="C124" s="81" t="str">
        <f ca="1">TRIM(PROPER(_xlfn.XLOOKUP($A124,Строчный!$A:$A,Строчный!C:C,"ERR",0)))</f>
        <v>Кепки</v>
      </c>
      <c r="D124" s="81" t="str">
        <f ca="1">_xlfn.LET(_xlpm.DATA,TRIM(_xlfn.XLOOKUP($A124,Строчный!$A:$A,Строчный!D:D,"ERR",0)),UPPER(MID(_xlpm.DATA,1,1))&amp;LOWER(MID(_xlpm.DATA,2,LEN(_xlpm.DATA)-1)))</f>
        <v>Кепка плоская</v>
      </c>
      <c r="E124" s="81" t="str">
        <f ca="1">PROPER(TRIM(_xlfn.XLOOKUP($A124,Строчный!$A:$A,Строчный!E:E,"ERR",0)))</f>
        <v>Fredrikson</v>
      </c>
      <c r="F124" s="81" t="str">
        <f ca="1">LOWER(TRIM(_xlfn.XLOOKUP($A124,Строчный!$A:$A,Строчный!F:F,"ERR",0)))</f>
        <v>всесезон</v>
      </c>
      <c r="G124" s="81" t="str">
        <f ca="1">UPPER(TRIM(_xlfn.XLOOKUP($A124,Строчный!$A:$A,Строчный!G:G,"ERR",0)))</f>
        <v>FREDRIKSON</v>
      </c>
      <c r="H124" s="81" t="str">
        <f ca="1">LOWER(TRIM(_xlfn.XLOOKUP($A124,Строчный!$A:$A,Строчный!H:H,"ERR",0)))</f>
        <v>699/78</v>
      </c>
      <c r="I124" s="81" t="str">
        <f ca="1">LOWER(TRIM(_xlfn.XLOOKUP($A124,Строчный!$A:$A,Строчный!I:I,"ERR",0)))</f>
        <v>черный / темно-серый</v>
      </c>
      <c r="J124" s="81" t="str">
        <f ca="1">SUBSTITUTE(LOWER(TRIM(_xlfn.XLOOKUP($A124,Строчный!$A:$A,Строчный!J:J,"ERR",0))),"подклад","Подклад")</f>
        <v>80% шерсть - 20% полиамид / Подклад: 100% вискоза</v>
      </c>
      <c r="K124" s="81" t="str">
        <f ca="1">LOWER(TRIM(_xlfn.XLOOKUP($A124,Строчный!$A:$A,Строчный!K:K,"ERR",0)))</f>
        <v>шерстяные</v>
      </c>
      <c r="L124" s="81" t="str">
        <f ca="1">PROPER(TRIM(_xlfn.XLOOKUP($A124,Строчный!$A:$A,Строчный!L:L,"ERR",0)))</f>
        <v>Унисекс</v>
      </c>
      <c r="M124" s="113" t="str">
        <f ca="1">PROPER(TRIM(_xlfn.XLOOKUP($A124,Строчный!$A:$A,Строчный!M:M,"ERR",0)))</f>
        <v>Россия</v>
      </c>
      <c r="N124" s="81" t="str">
        <f ca="1">UPPER(TRIM(_xlfn.XLOOKUP($A124,Строчный!$A:$A,Строчный!O:O,"ERR",0)))</f>
        <v/>
      </c>
      <c r="O124" s="102" t="str">
        <f ca="1">PROPER(TRIM(_xlfn.XLOOKUP($A124,Строчный!$A:$A,Строчный!P:P,"ERR",0)))</f>
        <v/>
      </c>
      <c r="P124" s="81" t="str">
        <f ca="1">PROPER(TRIM(_xlfn.XLOOKUP($A124,Строчный!$A:$A,Строчный!R:R,"ERR",0)))</f>
        <v/>
      </c>
      <c r="Q124" s="90">
        <f ca="1">VALUE(_xlfn.XLOOKUP($A124,Строчный!$A:$A,Строчный!N:N,"ERR",0))</f>
        <v>975.8</v>
      </c>
      <c r="R124" s="89" t="str">
        <f ca="1">_xlfn.XLOOKUP($G124,Фабрика!A:A,Фабрика!B:B,"ERR",0)</f>
        <v>ООО "ФРЭДРИКСОН" Россия 192029, С-Петербург, пр. Обуховской обороны, д.86, лит М</v>
      </c>
      <c r="S124" s="80" t="str">
        <f ca="1">_xlfn.XLOOKUP(RIGHT(AA124,2),Размеры!D:D,Размеры!A:A,"ERR",0)</f>
        <v>62</v>
      </c>
      <c r="T124" s="80">
        <f ca="1">VALUE(_xlfn.XLOOKUP($AA124,Строчный!$S:$S,Строчный!U:U,"ERR",0))</f>
        <v>4</v>
      </c>
      <c r="U124" s="14" t="s">
        <v>265</v>
      </c>
      <c r="V124" s="101" t="str">
        <f t="shared" ca="1" si="11"/>
        <v>Кепка FREDRIKSON арт. 3125 (черный / темно-серый)</v>
      </c>
      <c r="W124" s="100" t="str">
        <f t="shared" ca="1" si="12"/>
        <v>Кепка FREDRIKSON арт. 3125 (черный / темно-серый) {699/78}</v>
      </c>
      <c r="X124" s="18" t="str">
        <f t="shared" ca="1" si="13"/>
        <v>серый</v>
      </c>
      <c r="Y124" s="18" t="str">
        <f t="shared" ca="1" si="14"/>
        <v>серый</v>
      </c>
      <c r="Z124" s="117" t="str">
        <f ca="1">_xlfn.LET(_xlpm.FormColors,_xlfn.XLOOKUP(A124,Строчный!A:A,Строчный!Q:Q,"",0),IF(_xlpm.FormColors=0,IFERROR(MID(I124,FIND("-",I124)+1,LEN(I124)),IFERROR(MID(I124,1,FIND("/",I124)-2),I124)),_xlpm.FormColors))</f>
        <v>серый</v>
      </c>
      <c r="AA124" s="73" t="str">
        <f ca="1"/>
        <v>95-010-55-62</v>
      </c>
      <c r="AB124" s="75" t="str">
        <f ca="1">VLOOKUP(C124,Группа!A:B,2,FALSE)</f>
        <v>Кепка</v>
      </c>
      <c r="AC124" s="97" t="str">
        <f ca="1">IFERROR(VLOOKUP(S124,Размеры!A:C,3,FALSE),"")</f>
        <v>62 XL/XXL</v>
      </c>
      <c r="AD124" s="97" t="str">
        <f ca="1">VLOOKUP(I124,ЦветПолный!A:B,2,FALSE)</f>
        <v>55</v>
      </c>
      <c r="AE124" s="97" t="str">
        <f ca="1">IFERROR(VLOOKUP(S124,Размеры!A:D,4,FALSE),"")</f>
        <v>62</v>
      </c>
      <c r="AF124" s="97">
        <f ca="1">IF(LEFT(IFERROR(VLOOKUP(LOOKUP(2,1/SEARCH(B124,Товары!A:A),Товары!A:A),Товары!A:B,2,0),""),6)=MID(AA124,1,6),1,0)</f>
        <v>0</v>
      </c>
      <c r="AH124" s="97">
        <f ca="1">SUMIF(Группа!A:A,C124,Группа!C:C)</f>
        <v>1</v>
      </c>
      <c r="AI124" s="97">
        <f ca="1">SUMIF(Группа!B:B,AB124,Группа!C:C)</f>
        <v>1</v>
      </c>
      <c r="AJ124" s="97">
        <f ca="1">SUMIF(Формы!A:A,D124,Формы!B:B)</f>
        <v>1</v>
      </c>
      <c r="AK124" s="97">
        <f ca="1">SUMIF(Материал!A:A,K124,Материал!B:B)</f>
        <v>1</v>
      </c>
      <c r="AL124" s="97">
        <f ca="1">SUMIF(Размеры!A:A,S124,Размеры!E:E)</f>
        <v>1</v>
      </c>
      <c r="AM124" s="97">
        <f ca="1">SUMIF(Сезон!A:A,F124,Сезон!B:B)</f>
        <v>1</v>
      </c>
      <c r="AN124" s="97">
        <f ca="1">SUMIF(Состав!A:A,J124,Состав!B:B)</f>
        <v>0</v>
      </c>
      <c r="AO124" s="97">
        <f ca="1">VLOOKUP(I124,ЦветПолный!A:C,3,0)</f>
        <v>1</v>
      </c>
      <c r="AP124" s="97">
        <f ca="1">SUMIF(Цвет!A:A,Z124,Цвет!B:B)</f>
        <v>1</v>
      </c>
      <c r="AQ124" s="97">
        <f ca="1">_xlfn.XLOOKUP(L124,Пол!A:A,Пол!B:B,0,0)</f>
        <v>1</v>
      </c>
      <c r="AR124" s="97">
        <f ca="1">SUMIF(Бренд!A:A,G124,Бренд!B:B)</f>
        <v>1</v>
      </c>
      <c r="AS124" s="97">
        <f ca="1">SUMIF(Страна!A:A,M124,Страна!B:B)</f>
        <v>1</v>
      </c>
      <c r="AT124" s="64" t="e">
        <f ca="1">IF(VLOOKUP(W124,Товары!A:B,2,FALSE)=A124,"Есть в 1С","ERR")</f>
        <v>#N/A</v>
      </c>
      <c r="AU124" s="65" t="e">
        <f ca="1">IF(VLOOKUP(A124,Товары!B:B,1,FALSE)=A124,"Есть в 1С","ERR")</f>
        <v>#N/A</v>
      </c>
      <c r="AV124" s="96" t="e">
        <f ca="1">VLOOKUP(W124,Товары!A:B,2,FALSE)</f>
        <v>#N/A</v>
      </c>
      <c r="AW124" s="94" t="e">
        <f ca="1">VLOOKUP(W124,Товары!A:B,1,FALSE)</f>
        <v>#N/A</v>
      </c>
    </row>
    <row r="125" spans="1:49" x14ac:dyDescent="0.25">
      <c r="A125" s="110" t="str">
        <f t="shared" ca="1" si="10"/>
        <v>95-010-55</v>
      </c>
      <c r="B125" s="107" t="str">
        <f ca="1">_xlfn.LET(_xlpm.CAPS,0,_xlpm.Style,TRIM(_xlfn.XLOOKUP($A125,Строчный!$A:$A,Строчный!B:B,"ERR",0)),IF(_xlpm.CAPS=0,_xlpm.Style,LOWER(_xlpm.Style)))</f>
        <v>3125</v>
      </c>
      <c r="C125" s="81" t="str">
        <f ca="1">TRIM(PROPER(_xlfn.XLOOKUP($A125,Строчный!$A:$A,Строчный!C:C,"ERR",0)))</f>
        <v>Кепки</v>
      </c>
      <c r="D125" s="81" t="str">
        <f ca="1">_xlfn.LET(_xlpm.DATA,TRIM(_xlfn.XLOOKUP($A125,Строчный!$A:$A,Строчный!D:D,"ERR",0)),UPPER(MID(_xlpm.DATA,1,1))&amp;LOWER(MID(_xlpm.DATA,2,LEN(_xlpm.DATA)-1)))</f>
        <v>Кепка плоская</v>
      </c>
      <c r="E125" s="81" t="str">
        <f ca="1">PROPER(TRIM(_xlfn.XLOOKUP($A125,Строчный!$A:$A,Строчный!E:E,"ERR",0)))</f>
        <v>Fredrikson</v>
      </c>
      <c r="F125" s="81" t="str">
        <f ca="1">LOWER(TRIM(_xlfn.XLOOKUP($A125,Строчный!$A:$A,Строчный!F:F,"ERR",0)))</f>
        <v>всесезон</v>
      </c>
      <c r="G125" s="81" t="str">
        <f ca="1">UPPER(TRIM(_xlfn.XLOOKUP($A125,Строчный!$A:$A,Строчный!G:G,"ERR",0)))</f>
        <v>FREDRIKSON</v>
      </c>
      <c r="H125" s="81" t="str">
        <f ca="1">LOWER(TRIM(_xlfn.XLOOKUP($A125,Строчный!$A:$A,Строчный!H:H,"ERR",0)))</f>
        <v>699/78</v>
      </c>
      <c r="I125" s="81" t="str">
        <f ca="1">LOWER(TRIM(_xlfn.XLOOKUP($A125,Строчный!$A:$A,Строчный!I:I,"ERR",0)))</f>
        <v>черный / темно-серый</v>
      </c>
      <c r="J125" s="81" t="str">
        <f ca="1">SUBSTITUTE(LOWER(TRIM(_xlfn.XLOOKUP($A125,Строчный!$A:$A,Строчный!J:J,"ERR",0))),"подклад","Подклад")</f>
        <v>80% шерсть - 20% полиамид / Подклад: 100% вискоза</v>
      </c>
      <c r="K125" s="81" t="str">
        <f ca="1">LOWER(TRIM(_xlfn.XLOOKUP($A125,Строчный!$A:$A,Строчный!K:K,"ERR",0)))</f>
        <v>шерстяные</v>
      </c>
      <c r="L125" s="81" t="str">
        <f ca="1">PROPER(TRIM(_xlfn.XLOOKUP($A125,Строчный!$A:$A,Строчный!L:L,"ERR",0)))</f>
        <v>Унисекс</v>
      </c>
      <c r="M125" s="113" t="str">
        <f ca="1">PROPER(TRIM(_xlfn.XLOOKUP($A125,Строчный!$A:$A,Строчный!M:M,"ERR",0)))</f>
        <v>Россия</v>
      </c>
      <c r="N125" s="81" t="str">
        <f ca="1">UPPER(TRIM(_xlfn.XLOOKUP($A125,Строчный!$A:$A,Строчный!O:O,"ERR",0)))</f>
        <v/>
      </c>
      <c r="O125" s="102" t="str">
        <f ca="1">PROPER(TRIM(_xlfn.XLOOKUP($A125,Строчный!$A:$A,Строчный!P:P,"ERR",0)))</f>
        <v/>
      </c>
      <c r="P125" s="81" t="str">
        <f ca="1">PROPER(TRIM(_xlfn.XLOOKUP($A125,Строчный!$A:$A,Строчный!R:R,"ERR",0)))</f>
        <v/>
      </c>
      <c r="Q125" s="90">
        <f ca="1">VALUE(_xlfn.XLOOKUP($A125,Строчный!$A:$A,Строчный!N:N,"ERR",0))</f>
        <v>975.8</v>
      </c>
      <c r="R125" s="89" t="str">
        <f ca="1">_xlfn.XLOOKUP($G125,Фабрика!A:A,Фабрика!B:B,"ERR",0)</f>
        <v>ООО "ФРЭДРИКСОН" Россия 192029, С-Петербург, пр. Обуховской обороны, д.86, лит М</v>
      </c>
      <c r="S125" s="80" t="str">
        <f ca="1">_xlfn.XLOOKUP(RIGHT(AA125,2),Размеры!D:D,Размеры!A:A,"ERR",0)</f>
        <v>61</v>
      </c>
      <c r="T125" s="80">
        <f ca="1">VALUE(_xlfn.XLOOKUP($AA125,Строчный!$S:$S,Строчный!U:U,"ERR",0))</f>
        <v>8</v>
      </c>
      <c r="U125" s="14" t="s">
        <v>265</v>
      </c>
      <c r="V125" s="101" t="str">
        <f t="shared" ca="1" si="11"/>
        <v>Кепка FREDRIKSON арт. 3125 (черный / темно-серый)</v>
      </c>
      <c r="W125" s="100" t="str">
        <f t="shared" ca="1" si="12"/>
        <v>Кепка FREDRIKSON арт. 3125 (черный / темно-серый) {699/78}</v>
      </c>
      <c r="X125" s="18" t="str">
        <f t="shared" ca="1" si="13"/>
        <v>серый</v>
      </c>
      <c r="Y125" s="18" t="str">
        <f t="shared" ca="1" si="14"/>
        <v>серый</v>
      </c>
      <c r="Z125" s="117" t="str">
        <f ca="1">_xlfn.LET(_xlpm.FormColors,_xlfn.XLOOKUP(A125,Строчный!A:A,Строчный!Q:Q,"",0),IF(_xlpm.FormColors=0,IFERROR(MID(I125,FIND("-",I125)+1,LEN(I125)),IFERROR(MID(I125,1,FIND("/",I125)-2),I125)),_xlpm.FormColors))</f>
        <v>серый</v>
      </c>
      <c r="AA125" s="73" t="str">
        <f ca="1"/>
        <v>95-010-55-61</v>
      </c>
      <c r="AB125" s="75" t="str">
        <f ca="1">VLOOKUP(C125,Группа!A:B,2,FALSE)</f>
        <v>Кепка</v>
      </c>
      <c r="AC125" s="97" t="str">
        <f ca="1">IFERROR(VLOOKUP(S125,Размеры!A:C,3,FALSE),"")</f>
        <v>61 XL</v>
      </c>
      <c r="AD125" s="97" t="str">
        <f ca="1">VLOOKUP(I125,ЦветПолный!A:B,2,FALSE)</f>
        <v>55</v>
      </c>
      <c r="AE125" s="97" t="str">
        <f ca="1">IFERROR(VLOOKUP(S125,Размеры!A:D,4,FALSE),"")</f>
        <v>61</v>
      </c>
      <c r="AF125" s="97">
        <f ca="1">IF(LEFT(IFERROR(VLOOKUP(LOOKUP(2,1/SEARCH(B125,Товары!A:A),Товары!A:A),Товары!A:B,2,0),""),6)=MID(AA125,1,6),1,0)</f>
        <v>0</v>
      </c>
      <c r="AH125" s="97">
        <f ca="1">SUMIF(Группа!A:A,C125,Группа!C:C)</f>
        <v>1</v>
      </c>
      <c r="AI125" s="97">
        <f ca="1">SUMIF(Группа!B:B,AB125,Группа!C:C)</f>
        <v>1</v>
      </c>
      <c r="AJ125" s="97">
        <f ca="1">SUMIF(Формы!A:A,D125,Формы!B:B)</f>
        <v>1</v>
      </c>
      <c r="AK125" s="97">
        <f ca="1">SUMIF(Материал!A:A,K125,Материал!B:B)</f>
        <v>1</v>
      </c>
      <c r="AL125" s="97">
        <f ca="1">SUMIF(Размеры!A:A,S125,Размеры!E:E)</f>
        <v>1</v>
      </c>
      <c r="AM125" s="97">
        <f ca="1">SUMIF(Сезон!A:A,F125,Сезон!B:B)</f>
        <v>1</v>
      </c>
      <c r="AN125" s="97">
        <f ca="1">SUMIF(Состав!A:A,J125,Состав!B:B)</f>
        <v>0</v>
      </c>
      <c r="AO125" s="97">
        <f ca="1">VLOOKUP(I125,ЦветПолный!A:C,3,0)</f>
        <v>1</v>
      </c>
      <c r="AP125" s="97">
        <f ca="1">SUMIF(Цвет!A:A,Z125,Цвет!B:B)</f>
        <v>1</v>
      </c>
      <c r="AQ125" s="97">
        <f ca="1">_xlfn.XLOOKUP(L125,Пол!A:A,Пол!B:B,0,0)</f>
        <v>1</v>
      </c>
      <c r="AR125" s="97">
        <f ca="1">SUMIF(Бренд!A:A,G125,Бренд!B:B)</f>
        <v>1</v>
      </c>
      <c r="AS125" s="97">
        <f ca="1">SUMIF(Страна!A:A,M125,Страна!B:B)</f>
        <v>1</v>
      </c>
      <c r="AT125" s="64" t="e">
        <f ca="1">IF(VLOOKUP(W125,Товары!A:B,2,FALSE)=A125,"Есть в 1С","ERR")</f>
        <v>#N/A</v>
      </c>
      <c r="AU125" s="65" t="e">
        <f ca="1">IF(VLOOKUP(A125,Товары!B:B,1,FALSE)=A125,"Есть в 1С","ERR")</f>
        <v>#N/A</v>
      </c>
      <c r="AV125" s="96" t="e">
        <f ca="1">VLOOKUP(W125,Товары!A:B,2,FALSE)</f>
        <v>#N/A</v>
      </c>
      <c r="AW125" s="94" t="e">
        <f ca="1">VLOOKUP(W125,Товары!A:B,1,FALSE)</f>
        <v>#N/A</v>
      </c>
    </row>
    <row r="126" spans="1:49" x14ac:dyDescent="0.25">
      <c r="A126" s="110" t="str">
        <f t="shared" ca="1" si="10"/>
        <v>95-010-55</v>
      </c>
      <c r="B126" s="107" t="str">
        <f ca="1">_xlfn.LET(_xlpm.CAPS,0,_xlpm.Style,TRIM(_xlfn.XLOOKUP($A126,Строчный!$A:$A,Строчный!B:B,"ERR",0)),IF(_xlpm.CAPS=0,_xlpm.Style,LOWER(_xlpm.Style)))</f>
        <v>3125</v>
      </c>
      <c r="C126" s="81" t="str">
        <f ca="1">TRIM(PROPER(_xlfn.XLOOKUP($A126,Строчный!$A:$A,Строчный!C:C,"ERR",0)))</f>
        <v>Кепки</v>
      </c>
      <c r="D126" s="81" t="str">
        <f ca="1">_xlfn.LET(_xlpm.DATA,TRIM(_xlfn.XLOOKUP($A126,Строчный!$A:$A,Строчный!D:D,"ERR",0)),UPPER(MID(_xlpm.DATA,1,1))&amp;LOWER(MID(_xlpm.DATA,2,LEN(_xlpm.DATA)-1)))</f>
        <v>Кепка плоская</v>
      </c>
      <c r="E126" s="81" t="str">
        <f ca="1">PROPER(TRIM(_xlfn.XLOOKUP($A126,Строчный!$A:$A,Строчный!E:E,"ERR",0)))</f>
        <v>Fredrikson</v>
      </c>
      <c r="F126" s="81" t="str">
        <f ca="1">LOWER(TRIM(_xlfn.XLOOKUP($A126,Строчный!$A:$A,Строчный!F:F,"ERR",0)))</f>
        <v>всесезон</v>
      </c>
      <c r="G126" s="81" t="str">
        <f ca="1">UPPER(TRIM(_xlfn.XLOOKUP($A126,Строчный!$A:$A,Строчный!G:G,"ERR",0)))</f>
        <v>FREDRIKSON</v>
      </c>
      <c r="H126" s="81" t="str">
        <f ca="1">LOWER(TRIM(_xlfn.XLOOKUP($A126,Строчный!$A:$A,Строчный!H:H,"ERR",0)))</f>
        <v>699/78</v>
      </c>
      <c r="I126" s="81" t="str">
        <f ca="1">LOWER(TRIM(_xlfn.XLOOKUP($A126,Строчный!$A:$A,Строчный!I:I,"ERR",0)))</f>
        <v>черный / темно-серый</v>
      </c>
      <c r="J126" s="81" t="str">
        <f ca="1">SUBSTITUTE(LOWER(TRIM(_xlfn.XLOOKUP($A126,Строчный!$A:$A,Строчный!J:J,"ERR",0))),"подклад","Подклад")</f>
        <v>80% шерсть - 20% полиамид / Подклад: 100% вискоза</v>
      </c>
      <c r="K126" s="81" t="str">
        <f ca="1">LOWER(TRIM(_xlfn.XLOOKUP($A126,Строчный!$A:$A,Строчный!K:K,"ERR",0)))</f>
        <v>шерстяные</v>
      </c>
      <c r="L126" s="81" t="str">
        <f ca="1">PROPER(TRIM(_xlfn.XLOOKUP($A126,Строчный!$A:$A,Строчный!L:L,"ERR",0)))</f>
        <v>Унисекс</v>
      </c>
      <c r="M126" s="113" t="str">
        <f ca="1">PROPER(TRIM(_xlfn.XLOOKUP($A126,Строчный!$A:$A,Строчный!M:M,"ERR",0)))</f>
        <v>Россия</v>
      </c>
      <c r="N126" s="81" t="str">
        <f ca="1">UPPER(TRIM(_xlfn.XLOOKUP($A126,Строчный!$A:$A,Строчный!O:O,"ERR",0)))</f>
        <v/>
      </c>
      <c r="O126" s="102" t="str">
        <f ca="1">PROPER(TRIM(_xlfn.XLOOKUP($A126,Строчный!$A:$A,Строчный!P:P,"ERR",0)))</f>
        <v/>
      </c>
      <c r="P126" s="81" t="str">
        <f ca="1">PROPER(TRIM(_xlfn.XLOOKUP($A126,Строчный!$A:$A,Строчный!R:R,"ERR",0)))</f>
        <v/>
      </c>
      <c r="Q126" s="90">
        <f ca="1">VALUE(_xlfn.XLOOKUP($A126,Строчный!$A:$A,Строчный!N:N,"ERR",0))</f>
        <v>975.8</v>
      </c>
      <c r="R126" s="89" t="str">
        <f ca="1">_xlfn.XLOOKUP($G126,Фабрика!A:A,Фабрика!B:B,"ERR",0)</f>
        <v>ООО "ФРЭДРИКСОН" Россия 192029, С-Петербург, пр. Обуховской обороны, д.86, лит М</v>
      </c>
      <c r="S126" s="80" t="str">
        <f ca="1">_xlfn.XLOOKUP(RIGHT(AA126,2),Размеры!D:D,Размеры!A:A,"ERR",0)</f>
        <v>60</v>
      </c>
      <c r="T126" s="80">
        <f ca="1">VALUE(_xlfn.XLOOKUP($AA126,Строчный!$S:$S,Строчный!U:U,"ERR",0))</f>
        <v>10</v>
      </c>
      <c r="U126" s="14" t="s">
        <v>265</v>
      </c>
      <c r="V126" s="101" t="str">
        <f t="shared" ca="1" si="11"/>
        <v>Кепка FREDRIKSON арт. 3125 (черный / темно-серый)</v>
      </c>
      <c r="W126" s="100" t="str">
        <f t="shared" ca="1" si="12"/>
        <v>Кепка FREDRIKSON арт. 3125 (черный / темно-серый) {699/78}</v>
      </c>
      <c r="X126" s="18" t="str">
        <f t="shared" ca="1" si="13"/>
        <v>серый</v>
      </c>
      <c r="Y126" s="18" t="str">
        <f t="shared" ca="1" si="14"/>
        <v>серый</v>
      </c>
      <c r="Z126" s="117" t="str">
        <f ca="1">_xlfn.LET(_xlpm.FormColors,_xlfn.XLOOKUP(A126,Строчный!A:A,Строчный!Q:Q,"",0),IF(_xlpm.FormColors=0,IFERROR(MID(I126,FIND("-",I126)+1,LEN(I126)),IFERROR(MID(I126,1,FIND("/",I126)-2),I126)),_xlpm.FormColors))</f>
        <v>серый</v>
      </c>
      <c r="AA126" s="73" t="str">
        <f ca="1"/>
        <v>95-010-55-60</v>
      </c>
      <c r="AB126" s="75" t="str">
        <f ca="1">VLOOKUP(C126,Группа!A:B,2,FALSE)</f>
        <v>Кепка</v>
      </c>
      <c r="AC126" s="97" t="str">
        <f ca="1">IFERROR(VLOOKUP(S126,Размеры!A:C,3,FALSE),"")</f>
        <v>60 L/XL</v>
      </c>
      <c r="AD126" s="97" t="str">
        <f ca="1">VLOOKUP(I126,ЦветПолный!A:B,2,FALSE)</f>
        <v>55</v>
      </c>
      <c r="AE126" s="97" t="str">
        <f ca="1">IFERROR(VLOOKUP(S126,Размеры!A:D,4,FALSE),"")</f>
        <v>60</v>
      </c>
      <c r="AF126" s="97">
        <f ca="1">IF(LEFT(IFERROR(VLOOKUP(LOOKUP(2,1/SEARCH(B126,Товары!A:A),Товары!A:A),Товары!A:B,2,0),""),6)=MID(AA126,1,6),1,0)</f>
        <v>0</v>
      </c>
      <c r="AH126" s="97">
        <f ca="1">SUMIF(Группа!A:A,C126,Группа!C:C)</f>
        <v>1</v>
      </c>
      <c r="AI126" s="97">
        <f ca="1">SUMIF(Группа!B:B,AB126,Группа!C:C)</f>
        <v>1</v>
      </c>
      <c r="AJ126" s="97">
        <f ca="1">SUMIF(Формы!A:A,D126,Формы!B:B)</f>
        <v>1</v>
      </c>
      <c r="AK126" s="97">
        <f ca="1">SUMIF(Материал!A:A,K126,Материал!B:B)</f>
        <v>1</v>
      </c>
      <c r="AL126" s="97">
        <f ca="1">SUMIF(Размеры!A:A,S126,Размеры!E:E)</f>
        <v>1</v>
      </c>
      <c r="AM126" s="97">
        <f ca="1">SUMIF(Сезон!A:A,F126,Сезон!B:B)</f>
        <v>1</v>
      </c>
      <c r="AN126" s="97">
        <f ca="1">SUMIF(Состав!A:A,J126,Состав!B:B)</f>
        <v>0</v>
      </c>
      <c r="AO126" s="97">
        <f ca="1">VLOOKUP(I126,ЦветПолный!A:C,3,0)</f>
        <v>1</v>
      </c>
      <c r="AP126" s="97">
        <f ca="1">SUMIF(Цвет!A:A,Z126,Цвет!B:B)</f>
        <v>1</v>
      </c>
      <c r="AQ126" s="97">
        <f ca="1">_xlfn.XLOOKUP(L126,Пол!A:A,Пол!B:B,0,0)</f>
        <v>1</v>
      </c>
      <c r="AR126" s="97">
        <f ca="1">SUMIF(Бренд!A:A,G126,Бренд!B:B)</f>
        <v>1</v>
      </c>
      <c r="AS126" s="97">
        <f ca="1">SUMIF(Страна!A:A,M126,Страна!B:B)</f>
        <v>1</v>
      </c>
      <c r="AT126" s="64" t="e">
        <f ca="1">IF(VLOOKUP(W126,Товары!A:B,2,FALSE)=A126,"Есть в 1С","ERR")</f>
        <v>#N/A</v>
      </c>
      <c r="AU126" s="65" t="e">
        <f ca="1">IF(VLOOKUP(A126,Товары!B:B,1,FALSE)=A126,"Есть в 1С","ERR")</f>
        <v>#N/A</v>
      </c>
      <c r="AV126" s="96" t="e">
        <f ca="1">VLOOKUP(W126,Товары!A:B,2,FALSE)</f>
        <v>#N/A</v>
      </c>
      <c r="AW126" s="94" t="e">
        <f ca="1">VLOOKUP(W126,Товары!A:B,1,FALSE)</f>
        <v>#N/A</v>
      </c>
    </row>
    <row r="127" spans="1:49" x14ac:dyDescent="0.25">
      <c r="A127" s="110" t="str">
        <f t="shared" ca="1" si="10"/>
        <v>95-010-55</v>
      </c>
      <c r="B127" s="107" t="str">
        <f ca="1">_xlfn.LET(_xlpm.CAPS,0,_xlpm.Style,TRIM(_xlfn.XLOOKUP($A127,Строчный!$A:$A,Строчный!B:B,"ERR",0)),IF(_xlpm.CAPS=0,_xlpm.Style,LOWER(_xlpm.Style)))</f>
        <v>3125</v>
      </c>
      <c r="C127" s="81" t="str">
        <f ca="1">TRIM(PROPER(_xlfn.XLOOKUP($A127,Строчный!$A:$A,Строчный!C:C,"ERR",0)))</f>
        <v>Кепки</v>
      </c>
      <c r="D127" s="81" t="str">
        <f ca="1">_xlfn.LET(_xlpm.DATA,TRIM(_xlfn.XLOOKUP($A127,Строчный!$A:$A,Строчный!D:D,"ERR",0)),UPPER(MID(_xlpm.DATA,1,1))&amp;LOWER(MID(_xlpm.DATA,2,LEN(_xlpm.DATA)-1)))</f>
        <v>Кепка плоская</v>
      </c>
      <c r="E127" s="81" t="str">
        <f ca="1">PROPER(TRIM(_xlfn.XLOOKUP($A127,Строчный!$A:$A,Строчный!E:E,"ERR",0)))</f>
        <v>Fredrikson</v>
      </c>
      <c r="F127" s="81" t="str">
        <f ca="1">LOWER(TRIM(_xlfn.XLOOKUP($A127,Строчный!$A:$A,Строчный!F:F,"ERR",0)))</f>
        <v>всесезон</v>
      </c>
      <c r="G127" s="81" t="str">
        <f ca="1">UPPER(TRIM(_xlfn.XLOOKUP($A127,Строчный!$A:$A,Строчный!G:G,"ERR",0)))</f>
        <v>FREDRIKSON</v>
      </c>
      <c r="H127" s="81" t="str">
        <f ca="1">LOWER(TRIM(_xlfn.XLOOKUP($A127,Строчный!$A:$A,Строчный!H:H,"ERR",0)))</f>
        <v>699/78</v>
      </c>
      <c r="I127" s="81" t="str">
        <f ca="1">LOWER(TRIM(_xlfn.XLOOKUP($A127,Строчный!$A:$A,Строчный!I:I,"ERR",0)))</f>
        <v>черный / темно-серый</v>
      </c>
      <c r="J127" s="81" t="str">
        <f ca="1">SUBSTITUTE(LOWER(TRIM(_xlfn.XLOOKUP($A127,Строчный!$A:$A,Строчный!J:J,"ERR",0))),"подклад","Подклад")</f>
        <v>80% шерсть - 20% полиамид / Подклад: 100% вискоза</v>
      </c>
      <c r="K127" s="81" t="str">
        <f ca="1">LOWER(TRIM(_xlfn.XLOOKUP($A127,Строчный!$A:$A,Строчный!K:K,"ERR",0)))</f>
        <v>шерстяные</v>
      </c>
      <c r="L127" s="81" t="str">
        <f ca="1">PROPER(TRIM(_xlfn.XLOOKUP($A127,Строчный!$A:$A,Строчный!L:L,"ERR",0)))</f>
        <v>Унисекс</v>
      </c>
      <c r="M127" s="113" t="str">
        <f ca="1">PROPER(TRIM(_xlfn.XLOOKUP($A127,Строчный!$A:$A,Строчный!M:M,"ERR",0)))</f>
        <v>Россия</v>
      </c>
      <c r="N127" s="81" t="str">
        <f ca="1">UPPER(TRIM(_xlfn.XLOOKUP($A127,Строчный!$A:$A,Строчный!O:O,"ERR",0)))</f>
        <v/>
      </c>
      <c r="O127" s="102" t="str">
        <f ca="1">PROPER(TRIM(_xlfn.XLOOKUP($A127,Строчный!$A:$A,Строчный!P:P,"ERR",0)))</f>
        <v/>
      </c>
      <c r="P127" s="81" t="str">
        <f ca="1">PROPER(TRIM(_xlfn.XLOOKUP($A127,Строчный!$A:$A,Строчный!R:R,"ERR",0)))</f>
        <v/>
      </c>
      <c r="Q127" s="90">
        <f ca="1">VALUE(_xlfn.XLOOKUP($A127,Строчный!$A:$A,Строчный!N:N,"ERR",0))</f>
        <v>975.8</v>
      </c>
      <c r="R127" s="89" t="str">
        <f ca="1">_xlfn.XLOOKUP($G127,Фабрика!A:A,Фабрика!B:B,"ERR",0)</f>
        <v>ООО "ФРЭДРИКСОН" Россия 192029, С-Петербург, пр. Обуховской обороны, д.86, лит М</v>
      </c>
      <c r="S127" s="80" t="str">
        <f ca="1">_xlfn.XLOOKUP(RIGHT(AA127,2),Размеры!D:D,Размеры!A:A,"ERR",0)</f>
        <v>59</v>
      </c>
      <c r="T127" s="80">
        <f ca="1">VALUE(_xlfn.XLOOKUP($AA127,Строчный!$S:$S,Строчный!U:U,"ERR",0))</f>
        <v>12</v>
      </c>
      <c r="U127" s="14" t="s">
        <v>265</v>
      </c>
      <c r="V127" s="101" t="str">
        <f t="shared" ca="1" si="11"/>
        <v>Кепка FREDRIKSON арт. 3125 (черный / темно-серый)</v>
      </c>
      <c r="W127" s="100" t="str">
        <f t="shared" ca="1" si="12"/>
        <v>Кепка FREDRIKSON арт. 3125 (черный / темно-серый) {699/78}</v>
      </c>
      <c r="X127" s="18" t="str">
        <f t="shared" ca="1" si="13"/>
        <v>серый</v>
      </c>
      <c r="Y127" s="18" t="str">
        <f t="shared" ca="1" si="14"/>
        <v>серый</v>
      </c>
      <c r="Z127" s="117" t="str">
        <f ca="1">_xlfn.LET(_xlpm.FormColors,_xlfn.XLOOKUP(A127,Строчный!A:A,Строчный!Q:Q,"",0),IF(_xlpm.FormColors=0,IFERROR(MID(I127,FIND("-",I127)+1,LEN(I127)),IFERROR(MID(I127,1,FIND("/",I127)-2),I127)),_xlpm.FormColors))</f>
        <v>серый</v>
      </c>
      <c r="AA127" s="73" t="str">
        <f ca="1"/>
        <v>95-010-55-59</v>
      </c>
      <c r="AB127" s="75" t="str">
        <f ca="1">VLOOKUP(C127,Группа!A:B,2,FALSE)</f>
        <v>Кепка</v>
      </c>
      <c r="AC127" s="97" t="str">
        <f ca="1">IFERROR(VLOOKUP(S127,Размеры!A:C,3,FALSE),"")</f>
        <v>59 L</v>
      </c>
      <c r="AD127" s="97" t="str">
        <f ca="1">VLOOKUP(I127,ЦветПолный!A:B,2,FALSE)</f>
        <v>55</v>
      </c>
      <c r="AE127" s="97" t="str">
        <f ca="1">IFERROR(VLOOKUP(S127,Размеры!A:D,4,FALSE),"")</f>
        <v>59</v>
      </c>
      <c r="AF127" s="97">
        <f ca="1">IF(LEFT(IFERROR(VLOOKUP(LOOKUP(2,1/SEARCH(B127,Товары!A:A),Товары!A:A),Товары!A:B,2,0),""),6)=MID(AA127,1,6),1,0)</f>
        <v>0</v>
      </c>
      <c r="AH127" s="97">
        <f ca="1">SUMIF(Группа!A:A,C127,Группа!C:C)</f>
        <v>1</v>
      </c>
      <c r="AI127" s="97">
        <f ca="1">SUMIF(Группа!B:B,AB127,Группа!C:C)</f>
        <v>1</v>
      </c>
      <c r="AJ127" s="97">
        <f ca="1">SUMIF(Формы!A:A,D127,Формы!B:B)</f>
        <v>1</v>
      </c>
      <c r="AK127" s="97">
        <f ca="1">SUMIF(Материал!A:A,K127,Материал!B:B)</f>
        <v>1</v>
      </c>
      <c r="AL127" s="97">
        <f ca="1">SUMIF(Размеры!A:A,S127,Размеры!E:E)</f>
        <v>1</v>
      </c>
      <c r="AM127" s="97">
        <f ca="1">SUMIF(Сезон!A:A,F127,Сезон!B:B)</f>
        <v>1</v>
      </c>
      <c r="AN127" s="97">
        <f ca="1">SUMIF(Состав!A:A,J127,Состав!B:B)</f>
        <v>0</v>
      </c>
      <c r="AO127" s="97">
        <f ca="1">VLOOKUP(I127,ЦветПолный!A:C,3,0)</f>
        <v>1</v>
      </c>
      <c r="AP127" s="97">
        <f ca="1">SUMIF(Цвет!A:A,Z127,Цвет!B:B)</f>
        <v>1</v>
      </c>
      <c r="AQ127" s="97">
        <f ca="1">_xlfn.XLOOKUP(L127,Пол!A:A,Пол!B:B,0,0)</f>
        <v>1</v>
      </c>
      <c r="AR127" s="97">
        <f ca="1">SUMIF(Бренд!A:A,G127,Бренд!B:B)</f>
        <v>1</v>
      </c>
      <c r="AS127" s="97">
        <f ca="1">SUMIF(Страна!A:A,M127,Страна!B:B)</f>
        <v>1</v>
      </c>
      <c r="AT127" s="64" t="e">
        <f ca="1">IF(VLOOKUP(W127,Товары!A:B,2,FALSE)=A127,"Есть в 1С","ERR")</f>
        <v>#N/A</v>
      </c>
      <c r="AU127" s="65" t="e">
        <f ca="1">IF(VLOOKUP(A127,Товары!B:B,1,FALSE)=A127,"Есть в 1С","ERR")</f>
        <v>#N/A</v>
      </c>
      <c r="AV127" s="96" t="e">
        <f ca="1">VLOOKUP(W127,Товары!A:B,2,FALSE)</f>
        <v>#N/A</v>
      </c>
      <c r="AW127" s="94" t="e">
        <f ca="1">VLOOKUP(W127,Товары!A:B,1,FALSE)</f>
        <v>#N/A</v>
      </c>
    </row>
    <row r="128" spans="1:49" x14ac:dyDescent="0.25">
      <c r="A128" s="110" t="str">
        <f t="shared" ca="1" si="10"/>
        <v>95-010-55</v>
      </c>
      <c r="B128" s="107" t="str">
        <f ca="1">_xlfn.LET(_xlpm.CAPS,0,_xlpm.Style,TRIM(_xlfn.XLOOKUP($A128,Строчный!$A:$A,Строчный!B:B,"ERR",0)),IF(_xlpm.CAPS=0,_xlpm.Style,LOWER(_xlpm.Style)))</f>
        <v>3125</v>
      </c>
      <c r="C128" s="81" t="str">
        <f ca="1">TRIM(PROPER(_xlfn.XLOOKUP($A128,Строчный!$A:$A,Строчный!C:C,"ERR",0)))</f>
        <v>Кепки</v>
      </c>
      <c r="D128" s="81" t="str">
        <f ca="1">_xlfn.LET(_xlpm.DATA,TRIM(_xlfn.XLOOKUP($A128,Строчный!$A:$A,Строчный!D:D,"ERR",0)),UPPER(MID(_xlpm.DATA,1,1))&amp;LOWER(MID(_xlpm.DATA,2,LEN(_xlpm.DATA)-1)))</f>
        <v>Кепка плоская</v>
      </c>
      <c r="E128" s="81" t="str">
        <f ca="1">PROPER(TRIM(_xlfn.XLOOKUP($A128,Строчный!$A:$A,Строчный!E:E,"ERR",0)))</f>
        <v>Fredrikson</v>
      </c>
      <c r="F128" s="81" t="str">
        <f ca="1">LOWER(TRIM(_xlfn.XLOOKUP($A128,Строчный!$A:$A,Строчный!F:F,"ERR",0)))</f>
        <v>всесезон</v>
      </c>
      <c r="G128" s="81" t="str">
        <f ca="1">UPPER(TRIM(_xlfn.XLOOKUP($A128,Строчный!$A:$A,Строчный!G:G,"ERR",0)))</f>
        <v>FREDRIKSON</v>
      </c>
      <c r="H128" s="81" t="str">
        <f ca="1">LOWER(TRIM(_xlfn.XLOOKUP($A128,Строчный!$A:$A,Строчный!H:H,"ERR",0)))</f>
        <v>699/78</v>
      </c>
      <c r="I128" s="81" t="str">
        <f ca="1">LOWER(TRIM(_xlfn.XLOOKUP($A128,Строчный!$A:$A,Строчный!I:I,"ERR",0)))</f>
        <v>черный / темно-серый</v>
      </c>
      <c r="J128" s="81" t="str">
        <f ca="1">SUBSTITUTE(LOWER(TRIM(_xlfn.XLOOKUP($A128,Строчный!$A:$A,Строчный!J:J,"ERR",0))),"подклад","Подклад")</f>
        <v>80% шерсть - 20% полиамид / Подклад: 100% вискоза</v>
      </c>
      <c r="K128" s="81" t="str">
        <f ca="1">LOWER(TRIM(_xlfn.XLOOKUP($A128,Строчный!$A:$A,Строчный!K:K,"ERR",0)))</f>
        <v>шерстяные</v>
      </c>
      <c r="L128" s="81" t="str">
        <f ca="1">PROPER(TRIM(_xlfn.XLOOKUP($A128,Строчный!$A:$A,Строчный!L:L,"ERR",0)))</f>
        <v>Унисекс</v>
      </c>
      <c r="M128" s="113" t="str">
        <f ca="1">PROPER(TRIM(_xlfn.XLOOKUP($A128,Строчный!$A:$A,Строчный!M:M,"ERR",0)))</f>
        <v>Россия</v>
      </c>
      <c r="N128" s="81" t="str">
        <f ca="1">UPPER(TRIM(_xlfn.XLOOKUP($A128,Строчный!$A:$A,Строчный!O:O,"ERR",0)))</f>
        <v/>
      </c>
      <c r="O128" s="102" t="str">
        <f ca="1">PROPER(TRIM(_xlfn.XLOOKUP($A128,Строчный!$A:$A,Строчный!P:P,"ERR",0)))</f>
        <v/>
      </c>
      <c r="P128" s="81" t="str">
        <f ca="1">PROPER(TRIM(_xlfn.XLOOKUP($A128,Строчный!$A:$A,Строчный!R:R,"ERR",0)))</f>
        <v/>
      </c>
      <c r="Q128" s="90">
        <f ca="1">VALUE(_xlfn.XLOOKUP($A128,Строчный!$A:$A,Строчный!N:N,"ERR",0))</f>
        <v>975.8</v>
      </c>
      <c r="R128" s="89" t="str">
        <f ca="1">_xlfn.XLOOKUP($G128,Фабрика!A:A,Фабрика!B:B,"ERR",0)</f>
        <v>ООО "ФРЭДРИКСОН" Россия 192029, С-Петербург, пр. Обуховской обороны, д.86, лит М</v>
      </c>
      <c r="S128" s="80" t="str">
        <f ca="1">_xlfn.XLOOKUP(RIGHT(AA128,2),Размеры!D:D,Размеры!A:A,"ERR",0)</f>
        <v>58</v>
      </c>
      <c r="T128" s="80">
        <f ca="1">VALUE(_xlfn.XLOOKUP($AA128,Строчный!$S:$S,Строчный!U:U,"ERR",0))</f>
        <v>9</v>
      </c>
      <c r="U128" s="14" t="s">
        <v>265</v>
      </c>
      <c r="V128" s="101" t="str">
        <f t="shared" ca="1" si="11"/>
        <v>Кепка FREDRIKSON арт. 3125 (черный / темно-серый)</v>
      </c>
      <c r="W128" s="100" t="str">
        <f t="shared" ca="1" si="12"/>
        <v>Кепка FREDRIKSON арт. 3125 (черный / темно-серый) {699/78}</v>
      </c>
      <c r="X128" s="18" t="str">
        <f t="shared" ca="1" si="13"/>
        <v>серый</v>
      </c>
      <c r="Y128" s="18" t="str">
        <f t="shared" ca="1" si="14"/>
        <v>серый</v>
      </c>
      <c r="Z128" s="117" t="str">
        <f ca="1">_xlfn.LET(_xlpm.FormColors,_xlfn.XLOOKUP(A128,Строчный!A:A,Строчный!Q:Q,"",0),IF(_xlpm.FormColors=0,IFERROR(MID(I128,FIND("-",I128)+1,LEN(I128)),IFERROR(MID(I128,1,FIND("/",I128)-2),I128)),_xlpm.FormColors))</f>
        <v>серый</v>
      </c>
      <c r="AA128" s="73" t="str">
        <f ca="1"/>
        <v>95-010-55-58</v>
      </c>
      <c r="AB128" s="75" t="str">
        <f ca="1">VLOOKUP(C128,Группа!A:B,2,FALSE)</f>
        <v>Кепка</v>
      </c>
      <c r="AC128" s="97" t="str">
        <f ca="1">IFERROR(VLOOKUP(S128,Размеры!A:C,3,FALSE),"")</f>
        <v>58 M/L</v>
      </c>
      <c r="AD128" s="97" t="str">
        <f ca="1">VLOOKUP(I128,ЦветПолный!A:B,2,FALSE)</f>
        <v>55</v>
      </c>
      <c r="AE128" s="97" t="str">
        <f ca="1">IFERROR(VLOOKUP(S128,Размеры!A:D,4,FALSE),"")</f>
        <v>58</v>
      </c>
      <c r="AF128" s="97">
        <f ca="1">IF(LEFT(IFERROR(VLOOKUP(LOOKUP(2,1/SEARCH(B128,Товары!A:A),Товары!A:A),Товары!A:B,2,0),""),6)=MID(AA128,1,6),1,0)</f>
        <v>0</v>
      </c>
      <c r="AH128" s="97">
        <f ca="1">SUMIF(Группа!A:A,C128,Группа!C:C)</f>
        <v>1</v>
      </c>
      <c r="AI128" s="97">
        <f ca="1">SUMIF(Группа!B:B,AB128,Группа!C:C)</f>
        <v>1</v>
      </c>
      <c r="AJ128" s="97">
        <f ca="1">SUMIF(Формы!A:A,D128,Формы!B:B)</f>
        <v>1</v>
      </c>
      <c r="AK128" s="97">
        <f ca="1">SUMIF(Материал!A:A,K128,Материал!B:B)</f>
        <v>1</v>
      </c>
      <c r="AL128" s="97">
        <f ca="1">SUMIF(Размеры!A:A,S128,Размеры!E:E)</f>
        <v>1</v>
      </c>
      <c r="AM128" s="97">
        <f ca="1">SUMIF(Сезон!A:A,F128,Сезон!B:B)</f>
        <v>1</v>
      </c>
      <c r="AN128" s="97">
        <f ca="1">SUMIF(Состав!A:A,J128,Состав!B:B)</f>
        <v>0</v>
      </c>
      <c r="AO128" s="97">
        <f ca="1">VLOOKUP(I128,ЦветПолный!A:C,3,0)</f>
        <v>1</v>
      </c>
      <c r="AP128" s="97">
        <f ca="1">SUMIF(Цвет!A:A,Z128,Цвет!B:B)</f>
        <v>1</v>
      </c>
      <c r="AQ128" s="97">
        <f ca="1">_xlfn.XLOOKUP(L128,Пол!A:A,Пол!B:B,0,0)</f>
        <v>1</v>
      </c>
      <c r="AR128" s="97">
        <f ca="1">SUMIF(Бренд!A:A,G128,Бренд!B:B)</f>
        <v>1</v>
      </c>
      <c r="AS128" s="97">
        <f ca="1">SUMIF(Страна!A:A,M128,Страна!B:B)</f>
        <v>1</v>
      </c>
      <c r="AT128" s="64" t="e">
        <f ca="1">IF(VLOOKUP(W128,Товары!A:B,2,FALSE)=A128,"Есть в 1С","ERR")</f>
        <v>#N/A</v>
      </c>
      <c r="AU128" s="65" t="e">
        <f ca="1">IF(VLOOKUP(A128,Товары!B:B,1,FALSE)=A128,"Есть в 1С","ERR")</f>
        <v>#N/A</v>
      </c>
      <c r="AV128" s="96" t="e">
        <f ca="1">VLOOKUP(W128,Товары!A:B,2,FALSE)</f>
        <v>#N/A</v>
      </c>
      <c r="AW128" s="94" t="e">
        <f ca="1">VLOOKUP(W128,Товары!A:B,1,FALSE)</f>
        <v>#N/A</v>
      </c>
    </row>
    <row r="129" spans="1:49" x14ac:dyDescent="0.25">
      <c r="A129" s="110" t="str">
        <f t="shared" ca="1" si="10"/>
        <v>95-010-55</v>
      </c>
      <c r="B129" s="107" t="str">
        <f ca="1">_xlfn.LET(_xlpm.CAPS,0,_xlpm.Style,TRIM(_xlfn.XLOOKUP($A129,Строчный!$A:$A,Строчный!B:B,"ERR",0)),IF(_xlpm.CAPS=0,_xlpm.Style,LOWER(_xlpm.Style)))</f>
        <v>3125</v>
      </c>
      <c r="C129" s="81" t="str">
        <f ca="1">TRIM(PROPER(_xlfn.XLOOKUP($A129,Строчный!$A:$A,Строчный!C:C,"ERR",0)))</f>
        <v>Кепки</v>
      </c>
      <c r="D129" s="81" t="str">
        <f ca="1">_xlfn.LET(_xlpm.DATA,TRIM(_xlfn.XLOOKUP($A129,Строчный!$A:$A,Строчный!D:D,"ERR",0)),UPPER(MID(_xlpm.DATA,1,1))&amp;LOWER(MID(_xlpm.DATA,2,LEN(_xlpm.DATA)-1)))</f>
        <v>Кепка плоская</v>
      </c>
      <c r="E129" s="81" t="str">
        <f ca="1">PROPER(TRIM(_xlfn.XLOOKUP($A129,Строчный!$A:$A,Строчный!E:E,"ERR",0)))</f>
        <v>Fredrikson</v>
      </c>
      <c r="F129" s="81" t="str">
        <f ca="1">LOWER(TRIM(_xlfn.XLOOKUP($A129,Строчный!$A:$A,Строчный!F:F,"ERR",0)))</f>
        <v>всесезон</v>
      </c>
      <c r="G129" s="81" t="str">
        <f ca="1">UPPER(TRIM(_xlfn.XLOOKUP($A129,Строчный!$A:$A,Строчный!G:G,"ERR",0)))</f>
        <v>FREDRIKSON</v>
      </c>
      <c r="H129" s="81" t="str">
        <f ca="1">LOWER(TRIM(_xlfn.XLOOKUP($A129,Строчный!$A:$A,Строчный!H:H,"ERR",0)))</f>
        <v>699/78</v>
      </c>
      <c r="I129" s="81" t="str">
        <f ca="1">LOWER(TRIM(_xlfn.XLOOKUP($A129,Строчный!$A:$A,Строчный!I:I,"ERR",0)))</f>
        <v>черный / темно-серый</v>
      </c>
      <c r="J129" s="81" t="str">
        <f ca="1">SUBSTITUTE(LOWER(TRIM(_xlfn.XLOOKUP($A129,Строчный!$A:$A,Строчный!J:J,"ERR",0))),"подклад","Подклад")</f>
        <v>80% шерсть - 20% полиамид / Подклад: 100% вискоза</v>
      </c>
      <c r="K129" s="81" t="str">
        <f ca="1">LOWER(TRIM(_xlfn.XLOOKUP($A129,Строчный!$A:$A,Строчный!K:K,"ERR",0)))</f>
        <v>шерстяные</v>
      </c>
      <c r="L129" s="81" t="str">
        <f ca="1">PROPER(TRIM(_xlfn.XLOOKUP($A129,Строчный!$A:$A,Строчный!L:L,"ERR",0)))</f>
        <v>Унисекс</v>
      </c>
      <c r="M129" s="113" t="str">
        <f ca="1">PROPER(TRIM(_xlfn.XLOOKUP($A129,Строчный!$A:$A,Строчный!M:M,"ERR",0)))</f>
        <v>Россия</v>
      </c>
      <c r="N129" s="81" t="str">
        <f ca="1">UPPER(TRIM(_xlfn.XLOOKUP($A129,Строчный!$A:$A,Строчный!O:O,"ERR",0)))</f>
        <v/>
      </c>
      <c r="O129" s="102" t="str">
        <f ca="1">PROPER(TRIM(_xlfn.XLOOKUP($A129,Строчный!$A:$A,Строчный!P:P,"ERR",0)))</f>
        <v/>
      </c>
      <c r="P129" s="81" t="str">
        <f ca="1">PROPER(TRIM(_xlfn.XLOOKUP($A129,Строчный!$A:$A,Строчный!R:R,"ERR",0)))</f>
        <v/>
      </c>
      <c r="Q129" s="90">
        <f ca="1">VALUE(_xlfn.XLOOKUP($A129,Строчный!$A:$A,Строчный!N:N,"ERR",0))</f>
        <v>975.8</v>
      </c>
      <c r="R129" s="89" t="str">
        <f ca="1">_xlfn.XLOOKUP($G129,Фабрика!A:A,Фабрика!B:B,"ERR",0)</f>
        <v>ООО "ФРЭДРИКСОН" Россия 192029, С-Петербург, пр. Обуховской обороны, д.86, лит М</v>
      </c>
      <c r="S129" s="80" t="str">
        <f ca="1">_xlfn.XLOOKUP(RIGHT(AA129,2),Размеры!D:D,Размеры!A:A,"ERR",0)</f>
        <v>57</v>
      </c>
      <c r="T129" s="80">
        <f ca="1">VALUE(_xlfn.XLOOKUP($AA129,Строчный!$S:$S,Строчный!U:U,"ERR",0))</f>
        <v>8</v>
      </c>
      <c r="U129" s="14" t="s">
        <v>265</v>
      </c>
      <c r="V129" s="101" t="str">
        <f t="shared" ca="1" si="11"/>
        <v>Кепка FREDRIKSON арт. 3125 (черный / темно-серый)</v>
      </c>
      <c r="W129" s="100" t="str">
        <f t="shared" ca="1" si="12"/>
        <v>Кепка FREDRIKSON арт. 3125 (черный / темно-серый) {699/78}</v>
      </c>
      <c r="X129" s="18" t="str">
        <f t="shared" ca="1" si="13"/>
        <v>серый</v>
      </c>
      <c r="Y129" s="18" t="str">
        <f t="shared" ca="1" si="14"/>
        <v>серый</v>
      </c>
      <c r="Z129" s="117" t="str">
        <f ca="1">_xlfn.LET(_xlpm.FormColors,_xlfn.XLOOKUP(A129,Строчный!A:A,Строчный!Q:Q,"",0),IF(_xlpm.FormColors=0,IFERROR(MID(I129,FIND("-",I129)+1,LEN(I129)),IFERROR(MID(I129,1,FIND("/",I129)-2),I129)),_xlpm.FormColors))</f>
        <v>серый</v>
      </c>
      <c r="AA129" s="73" t="str">
        <f ca="1"/>
        <v>95-010-55-57</v>
      </c>
      <c r="AB129" s="75" t="str">
        <f ca="1">VLOOKUP(C129,Группа!A:B,2,FALSE)</f>
        <v>Кепка</v>
      </c>
      <c r="AC129" s="97" t="str">
        <f ca="1">IFERROR(VLOOKUP(S129,Размеры!A:C,3,FALSE),"")</f>
        <v>57 M</v>
      </c>
      <c r="AD129" s="97" t="str">
        <f ca="1">VLOOKUP(I129,ЦветПолный!A:B,2,FALSE)</f>
        <v>55</v>
      </c>
      <c r="AE129" s="97" t="str">
        <f ca="1">IFERROR(VLOOKUP(S129,Размеры!A:D,4,FALSE),"")</f>
        <v>57</v>
      </c>
      <c r="AF129" s="97">
        <f ca="1">IF(LEFT(IFERROR(VLOOKUP(LOOKUP(2,1/SEARCH(B129,Товары!A:A),Товары!A:A),Товары!A:B,2,0),""),6)=MID(AA129,1,6),1,0)</f>
        <v>0</v>
      </c>
      <c r="AH129" s="97">
        <f ca="1">SUMIF(Группа!A:A,C129,Группа!C:C)</f>
        <v>1</v>
      </c>
      <c r="AI129" s="97">
        <f ca="1">SUMIF(Группа!B:B,AB129,Группа!C:C)</f>
        <v>1</v>
      </c>
      <c r="AJ129" s="97">
        <f ca="1">SUMIF(Формы!A:A,D129,Формы!B:B)</f>
        <v>1</v>
      </c>
      <c r="AK129" s="97">
        <f ca="1">SUMIF(Материал!A:A,K129,Материал!B:B)</f>
        <v>1</v>
      </c>
      <c r="AL129" s="97">
        <f ca="1">SUMIF(Размеры!A:A,S129,Размеры!E:E)</f>
        <v>1</v>
      </c>
      <c r="AM129" s="97">
        <f ca="1">SUMIF(Сезон!A:A,F129,Сезон!B:B)</f>
        <v>1</v>
      </c>
      <c r="AN129" s="97">
        <f ca="1">SUMIF(Состав!A:A,J129,Состав!B:B)</f>
        <v>0</v>
      </c>
      <c r="AO129" s="97">
        <f ca="1">VLOOKUP(I129,ЦветПолный!A:C,3,0)</f>
        <v>1</v>
      </c>
      <c r="AP129" s="97">
        <f ca="1">SUMIF(Цвет!A:A,Z129,Цвет!B:B)</f>
        <v>1</v>
      </c>
      <c r="AQ129" s="97">
        <f ca="1">_xlfn.XLOOKUP(L129,Пол!A:A,Пол!B:B,0,0)</f>
        <v>1</v>
      </c>
      <c r="AR129" s="97">
        <f ca="1">SUMIF(Бренд!A:A,G129,Бренд!B:B)</f>
        <v>1</v>
      </c>
      <c r="AS129" s="97">
        <f ca="1">SUMIF(Страна!A:A,M129,Страна!B:B)</f>
        <v>1</v>
      </c>
      <c r="AT129" s="64" t="e">
        <f ca="1">IF(VLOOKUP(W129,Товары!A:B,2,FALSE)=A129,"Есть в 1С","ERR")</f>
        <v>#N/A</v>
      </c>
      <c r="AU129" s="65" t="e">
        <f ca="1">IF(VLOOKUP(A129,Товары!B:B,1,FALSE)=A129,"Есть в 1С","ERR")</f>
        <v>#N/A</v>
      </c>
      <c r="AV129" s="96" t="e">
        <f ca="1">VLOOKUP(W129,Товары!A:B,2,FALSE)</f>
        <v>#N/A</v>
      </c>
      <c r="AW129" s="94" t="e">
        <f ca="1">VLOOKUP(W129,Товары!A:B,1,FALSE)</f>
        <v>#N/A</v>
      </c>
    </row>
    <row r="130" spans="1:49" x14ac:dyDescent="0.25">
      <c r="A130" s="110" t="str">
        <f t="shared" ca="1" si="10"/>
        <v>95-010-55</v>
      </c>
      <c r="B130" s="107" t="str">
        <f ca="1">_xlfn.LET(_xlpm.CAPS,0,_xlpm.Style,TRIM(_xlfn.XLOOKUP($A130,Строчный!$A:$A,Строчный!B:B,"ERR",0)),IF(_xlpm.CAPS=0,_xlpm.Style,LOWER(_xlpm.Style)))</f>
        <v>3125</v>
      </c>
      <c r="C130" s="81" t="str">
        <f ca="1">TRIM(PROPER(_xlfn.XLOOKUP($A130,Строчный!$A:$A,Строчный!C:C,"ERR",0)))</f>
        <v>Кепки</v>
      </c>
      <c r="D130" s="81" t="str">
        <f ca="1">_xlfn.LET(_xlpm.DATA,TRIM(_xlfn.XLOOKUP($A130,Строчный!$A:$A,Строчный!D:D,"ERR",0)),UPPER(MID(_xlpm.DATA,1,1))&amp;LOWER(MID(_xlpm.DATA,2,LEN(_xlpm.DATA)-1)))</f>
        <v>Кепка плоская</v>
      </c>
      <c r="E130" s="81" t="str">
        <f ca="1">PROPER(TRIM(_xlfn.XLOOKUP($A130,Строчный!$A:$A,Строчный!E:E,"ERR",0)))</f>
        <v>Fredrikson</v>
      </c>
      <c r="F130" s="81" t="str">
        <f ca="1">LOWER(TRIM(_xlfn.XLOOKUP($A130,Строчный!$A:$A,Строчный!F:F,"ERR",0)))</f>
        <v>всесезон</v>
      </c>
      <c r="G130" s="81" t="str">
        <f ca="1">UPPER(TRIM(_xlfn.XLOOKUP($A130,Строчный!$A:$A,Строчный!G:G,"ERR",0)))</f>
        <v>FREDRIKSON</v>
      </c>
      <c r="H130" s="81" t="str">
        <f ca="1">LOWER(TRIM(_xlfn.XLOOKUP($A130,Строчный!$A:$A,Строчный!H:H,"ERR",0)))</f>
        <v>699/78</v>
      </c>
      <c r="I130" s="81" t="str">
        <f ca="1">LOWER(TRIM(_xlfn.XLOOKUP($A130,Строчный!$A:$A,Строчный!I:I,"ERR",0)))</f>
        <v>черный / темно-серый</v>
      </c>
      <c r="J130" s="81" t="str">
        <f ca="1">SUBSTITUTE(LOWER(TRIM(_xlfn.XLOOKUP($A130,Строчный!$A:$A,Строчный!J:J,"ERR",0))),"подклад","Подклад")</f>
        <v>80% шерсть - 20% полиамид / Подклад: 100% вискоза</v>
      </c>
      <c r="K130" s="81" t="str">
        <f ca="1">LOWER(TRIM(_xlfn.XLOOKUP($A130,Строчный!$A:$A,Строчный!K:K,"ERR",0)))</f>
        <v>шерстяные</v>
      </c>
      <c r="L130" s="81" t="str">
        <f ca="1">PROPER(TRIM(_xlfn.XLOOKUP($A130,Строчный!$A:$A,Строчный!L:L,"ERR",0)))</f>
        <v>Унисекс</v>
      </c>
      <c r="M130" s="113" t="str">
        <f ca="1">PROPER(TRIM(_xlfn.XLOOKUP($A130,Строчный!$A:$A,Строчный!M:M,"ERR",0)))</f>
        <v>Россия</v>
      </c>
      <c r="N130" s="81" t="str">
        <f ca="1">UPPER(TRIM(_xlfn.XLOOKUP($A130,Строчный!$A:$A,Строчный!O:O,"ERR",0)))</f>
        <v/>
      </c>
      <c r="O130" s="102" t="str">
        <f ca="1">PROPER(TRIM(_xlfn.XLOOKUP($A130,Строчный!$A:$A,Строчный!P:P,"ERR",0)))</f>
        <v/>
      </c>
      <c r="P130" s="81" t="str">
        <f ca="1">PROPER(TRIM(_xlfn.XLOOKUP($A130,Строчный!$A:$A,Строчный!R:R,"ERR",0)))</f>
        <v/>
      </c>
      <c r="Q130" s="90">
        <f ca="1">VALUE(_xlfn.XLOOKUP($A130,Строчный!$A:$A,Строчный!N:N,"ERR",0))</f>
        <v>975.8</v>
      </c>
      <c r="R130" s="89" t="str">
        <f ca="1">_xlfn.XLOOKUP($G130,Фабрика!A:A,Фабрика!B:B,"ERR",0)</f>
        <v>ООО "ФРЭДРИКСОН" Россия 192029, С-Петербург, пр. Обуховской обороны, д.86, лит М</v>
      </c>
      <c r="S130" s="80" t="str">
        <f ca="1">_xlfn.XLOOKUP(RIGHT(AA130,2),Размеры!D:D,Размеры!A:A,"ERR",0)</f>
        <v>56</v>
      </c>
      <c r="T130" s="80">
        <f ca="1">VALUE(_xlfn.XLOOKUP($AA130,Строчный!$S:$S,Строчный!U:U,"ERR",0))</f>
        <v>4</v>
      </c>
      <c r="U130" s="14" t="s">
        <v>265</v>
      </c>
      <c r="V130" s="101" t="str">
        <f t="shared" ca="1" si="11"/>
        <v>Кепка FREDRIKSON арт. 3125 (черный / темно-серый)</v>
      </c>
      <c r="W130" s="100" t="str">
        <f t="shared" ca="1" si="12"/>
        <v>Кепка FREDRIKSON арт. 3125 (черный / темно-серый) {699/78}</v>
      </c>
      <c r="X130" s="18" t="str">
        <f t="shared" ca="1" si="13"/>
        <v>серый</v>
      </c>
      <c r="Y130" s="18" t="str">
        <f t="shared" ca="1" si="14"/>
        <v>серый</v>
      </c>
      <c r="Z130" s="117" t="str">
        <f ca="1">_xlfn.LET(_xlpm.FormColors,_xlfn.XLOOKUP(A130,Строчный!A:A,Строчный!Q:Q,"",0),IF(_xlpm.FormColors=0,IFERROR(MID(I130,FIND("-",I130)+1,LEN(I130)),IFERROR(MID(I130,1,FIND("/",I130)-2),I130)),_xlpm.FormColors))</f>
        <v>серый</v>
      </c>
      <c r="AA130" s="73" t="str">
        <f ca="1"/>
        <v>95-010-55-56</v>
      </c>
      <c r="AB130" s="75" t="str">
        <f ca="1">VLOOKUP(C130,Группа!A:B,2,FALSE)</f>
        <v>Кепка</v>
      </c>
      <c r="AC130" s="97" t="str">
        <f ca="1">IFERROR(VLOOKUP(S130,Размеры!A:C,3,FALSE),"")</f>
        <v>56 S/M</v>
      </c>
      <c r="AD130" s="97" t="str">
        <f ca="1">VLOOKUP(I130,ЦветПолный!A:B,2,FALSE)</f>
        <v>55</v>
      </c>
      <c r="AE130" s="97" t="str">
        <f ca="1">IFERROR(VLOOKUP(S130,Размеры!A:D,4,FALSE),"")</f>
        <v>56</v>
      </c>
      <c r="AF130" s="97">
        <f ca="1">IF(LEFT(IFERROR(VLOOKUP(LOOKUP(2,1/SEARCH(B130,Товары!A:A),Товары!A:A),Товары!A:B,2,0),""),6)=MID(AA130,1,6),1,0)</f>
        <v>0</v>
      </c>
      <c r="AH130" s="97">
        <f ca="1">SUMIF(Группа!A:A,C130,Группа!C:C)</f>
        <v>1</v>
      </c>
      <c r="AI130" s="97">
        <f ca="1">SUMIF(Группа!B:B,AB130,Группа!C:C)</f>
        <v>1</v>
      </c>
      <c r="AJ130" s="97">
        <f ca="1">SUMIF(Формы!A:A,D130,Формы!B:B)</f>
        <v>1</v>
      </c>
      <c r="AK130" s="97">
        <f ca="1">SUMIF(Материал!A:A,K130,Материал!B:B)</f>
        <v>1</v>
      </c>
      <c r="AL130" s="97">
        <f ca="1">SUMIF(Размеры!A:A,S130,Размеры!E:E)</f>
        <v>1</v>
      </c>
      <c r="AM130" s="97">
        <f ca="1">SUMIF(Сезон!A:A,F130,Сезон!B:B)</f>
        <v>1</v>
      </c>
      <c r="AN130" s="97">
        <f ca="1">SUMIF(Состав!A:A,J130,Состав!B:B)</f>
        <v>0</v>
      </c>
      <c r="AO130" s="97">
        <f ca="1">VLOOKUP(I130,ЦветПолный!A:C,3,0)</f>
        <v>1</v>
      </c>
      <c r="AP130" s="97">
        <f ca="1">SUMIF(Цвет!A:A,Z130,Цвет!B:B)</f>
        <v>1</v>
      </c>
      <c r="AQ130" s="97">
        <f ca="1">_xlfn.XLOOKUP(L130,Пол!A:A,Пол!B:B,0,0)</f>
        <v>1</v>
      </c>
      <c r="AR130" s="97">
        <f ca="1">SUMIF(Бренд!A:A,G130,Бренд!B:B)</f>
        <v>1</v>
      </c>
      <c r="AS130" s="97">
        <f ca="1">SUMIF(Страна!A:A,M130,Страна!B:B)</f>
        <v>1</v>
      </c>
      <c r="AT130" s="64" t="e">
        <f ca="1">IF(VLOOKUP(W130,Товары!A:B,2,FALSE)=A130,"Есть в 1С","ERR")</f>
        <v>#N/A</v>
      </c>
      <c r="AU130" s="65" t="e">
        <f ca="1">IF(VLOOKUP(A130,Товары!B:B,1,FALSE)=A130,"Есть в 1С","ERR")</f>
        <v>#N/A</v>
      </c>
      <c r="AV130" s="96" t="e">
        <f ca="1">VLOOKUP(W130,Товары!A:B,2,FALSE)</f>
        <v>#N/A</v>
      </c>
      <c r="AW130" s="94" t="e">
        <f ca="1">VLOOKUP(W130,Товары!A:B,1,FALSE)</f>
        <v>#N/A</v>
      </c>
    </row>
    <row r="131" spans="1:49" x14ac:dyDescent="0.25">
      <c r="A131" s="110" t="str">
        <f t="shared" ca="1" si="10"/>
        <v>95-010-47</v>
      </c>
      <c r="B131" s="107" t="str">
        <f ca="1">_xlfn.LET(_xlpm.CAPS,0,_xlpm.Style,TRIM(_xlfn.XLOOKUP($A131,Строчный!$A:$A,Строчный!B:B,"ERR",0)),IF(_xlpm.CAPS=0,_xlpm.Style,LOWER(_xlpm.Style)))</f>
        <v>3125</v>
      </c>
      <c r="C131" s="81" t="str">
        <f ca="1">TRIM(PROPER(_xlfn.XLOOKUP($A131,Строчный!$A:$A,Строчный!C:C,"ERR",0)))</f>
        <v>Кепки</v>
      </c>
      <c r="D131" s="81" t="str">
        <f ca="1">_xlfn.LET(_xlpm.DATA,TRIM(_xlfn.XLOOKUP($A131,Строчный!$A:$A,Строчный!D:D,"ERR",0)),UPPER(MID(_xlpm.DATA,1,1))&amp;LOWER(MID(_xlpm.DATA,2,LEN(_xlpm.DATA)-1)))</f>
        <v>Кепка плоская</v>
      </c>
      <c r="E131" s="81" t="str">
        <f ca="1">PROPER(TRIM(_xlfn.XLOOKUP($A131,Строчный!$A:$A,Строчный!E:E,"ERR",0)))</f>
        <v>Fredrikson</v>
      </c>
      <c r="F131" s="81" t="str">
        <f ca="1">LOWER(TRIM(_xlfn.XLOOKUP($A131,Строчный!$A:$A,Строчный!F:F,"ERR",0)))</f>
        <v>всесезон</v>
      </c>
      <c r="G131" s="81" t="str">
        <f ca="1">UPPER(TRIM(_xlfn.XLOOKUP($A131,Строчный!$A:$A,Строчный!G:G,"ERR",0)))</f>
        <v>FREDRIKSON</v>
      </c>
      <c r="H131" s="81" t="str">
        <f ca="1">LOWER(TRIM(_xlfn.XLOOKUP($A131,Строчный!$A:$A,Строчный!H:H,"ERR",0)))</f>
        <v>641/76</v>
      </c>
      <c r="I131" s="81" t="str">
        <f ca="1">LOWER(TRIM(_xlfn.XLOOKUP($A131,Строчный!$A:$A,Строчный!I:I,"ERR",0)))</f>
        <v>серый / черный</v>
      </c>
      <c r="J131" s="81" t="str">
        <f ca="1">SUBSTITUTE(LOWER(TRIM(_xlfn.XLOOKUP($A131,Строчный!$A:$A,Строчный!J:J,"ERR",0))),"подклад","Подклад")</f>
        <v>80% шерсть - 20% полиамид / Подклад: 100% вискоза</v>
      </c>
      <c r="K131" s="81" t="str">
        <f ca="1">LOWER(TRIM(_xlfn.XLOOKUP($A131,Строчный!$A:$A,Строчный!K:K,"ERR",0)))</f>
        <v>шерстяные</v>
      </c>
      <c r="L131" s="81" t="str">
        <f ca="1">PROPER(TRIM(_xlfn.XLOOKUP($A131,Строчный!$A:$A,Строчный!L:L,"ERR",0)))</f>
        <v>Унисекс</v>
      </c>
      <c r="M131" s="113" t="str">
        <f ca="1">PROPER(TRIM(_xlfn.XLOOKUP($A131,Строчный!$A:$A,Строчный!M:M,"ERR",0)))</f>
        <v>Россия</v>
      </c>
      <c r="N131" s="81" t="str">
        <f ca="1">UPPER(TRIM(_xlfn.XLOOKUP($A131,Строчный!$A:$A,Строчный!O:O,"ERR",0)))</f>
        <v/>
      </c>
      <c r="O131" s="102" t="str">
        <f ca="1">PROPER(TRIM(_xlfn.XLOOKUP($A131,Строчный!$A:$A,Строчный!P:P,"ERR",0)))</f>
        <v/>
      </c>
      <c r="P131" s="81" t="str">
        <f ca="1">PROPER(TRIM(_xlfn.XLOOKUP($A131,Строчный!$A:$A,Строчный!R:R,"ERR",0)))</f>
        <v/>
      </c>
      <c r="Q131" s="90">
        <f ca="1">VALUE(_xlfn.XLOOKUP($A131,Строчный!$A:$A,Строчный!N:N,"ERR",0))</f>
        <v>975.8</v>
      </c>
      <c r="R131" s="89" t="str">
        <f ca="1">_xlfn.XLOOKUP($G131,Фабрика!A:A,Фабрика!B:B,"ERR",0)</f>
        <v>ООО "ФРЭДРИКСОН" Россия 192029, С-Петербург, пр. Обуховской обороны, д.86, лит М</v>
      </c>
      <c r="S131" s="80" t="str">
        <f ca="1">_xlfn.XLOOKUP(RIGHT(AA131,2),Размеры!D:D,Размеры!A:A,"ERR",0)</f>
        <v>62</v>
      </c>
      <c r="T131" s="80">
        <f ca="1">VALUE(_xlfn.XLOOKUP($AA131,Строчный!$S:$S,Строчный!U:U,"ERR",0))</f>
        <v>1</v>
      </c>
      <c r="U131" s="14" t="s">
        <v>265</v>
      </c>
      <c r="V131" s="101" t="str">
        <f t="shared" ca="1" si="11"/>
        <v>Кепка FREDRIKSON арт. 3125 (серый / черный)</v>
      </c>
      <c r="W131" s="100" t="str">
        <f t="shared" ca="1" si="12"/>
        <v>Кепка FREDRIKSON арт. 3125 (серый / черный) {641/76}</v>
      </c>
      <c r="X131" s="18" t="str">
        <f t="shared" ca="1" si="13"/>
        <v>серый</v>
      </c>
      <c r="Y131" s="18" t="str">
        <f t="shared" ca="1" si="14"/>
        <v>черный</v>
      </c>
      <c r="Z131" s="117" t="str">
        <f ca="1">_xlfn.LET(_xlpm.FormColors,_xlfn.XLOOKUP(A131,Строчный!A:A,Строчный!Q:Q,"",0),IF(_xlpm.FormColors=0,IFERROR(MID(I131,FIND("-",I131)+1,LEN(I131)),IFERROR(MID(I131,1,FIND("/",I131)-2),I131)),_xlpm.FormColors))</f>
        <v>серый</v>
      </c>
      <c r="AA131" s="73" t="str">
        <f ca="1"/>
        <v>95-010-47-62</v>
      </c>
      <c r="AB131" s="75" t="str">
        <f ca="1">VLOOKUP(C131,Группа!A:B,2,FALSE)</f>
        <v>Кепка</v>
      </c>
      <c r="AC131" s="97" t="str">
        <f ca="1">IFERROR(VLOOKUP(S131,Размеры!A:C,3,FALSE),"")</f>
        <v>62 XL/XXL</v>
      </c>
      <c r="AD131" s="97" t="str">
        <f ca="1">VLOOKUP(I131,ЦветПолный!A:B,2,FALSE)</f>
        <v>47</v>
      </c>
      <c r="AE131" s="97" t="str">
        <f ca="1">IFERROR(VLOOKUP(S131,Размеры!A:D,4,FALSE),"")</f>
        <v>62</v>
      </c>
      <c r="AF131" s="97">
        <f ca="1">IF(LEFT(IFERROR(VLOOKUP(LOOKUP(2,1/SEARCH(B131,Товары!A:A),Товары!A:A),Товары!A:B,2,0),""),6)=MID(AA131,1,6),1,0)</f>
        <v>0</v>
      </c>
      <c r="AH131" s="97">
        <f ca="1">SUMIF(Группа!A:A,C131,Группа!C:C)</f>
        <v>1</v>
      </c>
      <c r="AI131" s="97">
        <f ca="1">SUMIF(Группа!B:B,AB131,Группа!C:C)</f>
        <v>1</v>
      </c>
      <c r="AJ131" s="97">
        <f ca="1">SUMIF(Формы!A:A,D131,Формы!B:B)</f>
        <v>1</v>
      </c>
      <c r="AK131" s="97">
        <f ca="1">SUMIF(Материал!A:A,K131,Материал!B:B)</f>
        <v>1</v>
      </c>
      <c r="AL131" s="97">
        <f ca="1">SUMIF(Размеры!A:A,S131,Размеры!E:E)</f>
        <v>1</v>
      </c>
      <c r="AM131" s="97">
        <f ca="1">SUMIF(Сезон!A:A,F131,Сезон!B:B)</f>
        <v>1</v>
      </c>
      <c r="AN131" s="97">
        <f ca="1">SUMIF(Состав!A:A,J131,Состав!B:B)</f>
        <v>0</v>
      </c>
      <c r="AO131" s="97">
        <f ca="1">VLOOKUP(I131,ЦветПолный!A:C,3,0)</f>
        <v>1</v>
      </c>
      <c r="AP131" s="97">
        <f ca="1">SUMIF(Цвет!A:A,Z131,Цвет!B:B)</f>
        <v>1</v>
      </c>
      <c r="AQ131" s="97">
        <f ca="1">_xlfn.XLOOKUP(L131,Пол!A:A,Пол!B:B,0,0)</f>
        <v>1</v>
      </c>
      <c r="AR131" s="97">
        <f ca="1">SUMIF(Бренд!A:A,G131,Бренд!B:B)</f>
        <v>1</v>
      </c>
      <c r="AS131" s="97">
        <f ca="1">SUMIF(Страна!A:A,M131,Страна!B:B)</f>
        <v>1</v>
      </c>
      <c r="AT131" s="64" t="e">
        <f ca="1">IF(VLOOKUP(W131,Товары!A:B,2,FALSE)=A131,"Есть в 1С","ERR")</f>
        <v>#N/A</v>
      </c>
      <c r="AU131" s="65" t="e">
        <f ca="1">IF(VLOOKUP(A131,Товары!B:B,1,FALSE)=A131,"Есть в 1С","ERR")</f>
        <v>#N/A</v>
      </c>
      <c r="AV131" s="96" t="e">
        <f ca="1">VLOOKUP(W131,Товары!A:B,2,FALSE)</f>
        <v>#N/A</v>
      </c>
      <c r="AW131" s="94" t="e">
        <f ca="1">VLOOKUP(W131,Товары!A:B,1,FALSE)</f>
        <v>#N/A</v>
      </c>
    </row>
    <row r="132" spans="1:49" x14ac:dyDescent="0.25">
      <c r="A132" s="110" t="str">
        <f t="shared" ca="1" si="10"/>
        <v>95-010-47</v>
      </c>
      <c r="B132" s="107" t="str">
        <f ca="1">_xlfn.LET(_xlpm.CAPS,0,_xlpm.Style,TRIM(_xlfn.XLOOKUP($A132,Строчный!$A:$A,Строчный!B:B,"ERR",0)),IF(_xlpm.CAPS=0,_xlpm.Style,LOWER(_xlpm.Style)))</f>
        <v>3125</v>
      </c>
      <c r="C132" s="81" t="str">
        <f ca="1">TRIM(PROPER(_xlfn.XLOOKUP($A132,Строчный!$A:$A,Строчный!C:C,"ERR",0)))</f>
        <v>Кепки</v>
      </c>
      <c r="D132" s="81" t="str">
        <f ca="1">_xlfn.LET(_xlpm.DATA,TRIM(_xlfn.XLOOKUP($A132,Строчный!$A:$A,Строчный!D:D,"ERR",0)),UPPER(MID(_xlpm.DATA,1,1))&amp;LOWER(MID(_xlpm.DATA,2,LEN(_xlpm.DATA)-1)))</f>
        <v>Кепка плоская</v>
      </c>
      <c r="E132" s="81" t="str">
        <f ca="1">PROPER(TRIM(_xlfn.XLOOKUP($A132,Строчный!$A:$A,Строчный!E:E,"ERR",0)))</f>
        <v>Fredrikson</v>
      </c>
      <c r="F132" s="81" t="str">
        <f ca="1">LOWER(TRIM(_xlfn.XLOOKUP($A132,Строчный!$A:$A,Строчный!F:F,"ERR",0)))</f>
        <v>всесезон</v>
      </c>
      <c r="G132" s="81" t="str">
        <f ca="1">UPPER(TRIM(_xlfn.XLOOKUP($A132,Строчный!$A:$A,Строчный!G:G,"ERR",0)))</f>
        <v>FREDRIKSON</v>
      </c>
      <c r="H132" s="81" t="str">
        <f ca="1">LOWER(TRIM(_xlfn.XLOOKUP($A132,Строчный!$A:$A,Строчный!H:H,"ERR",0)))</f>
        <v>641/76</v>
      </c>
      <c r="I132" s="81" t="str">
        <f ca="1">LOWER(TRIM(_xlfn.XLOOKUP($A132,Строчный!$A:$A,Строчный!I:I,"ERR",0)))</f>
        <v>серый / черный</v>
      </c>
      <c r="J132" s="81" t="str">
        <f ca="1">SUBSTITUTE(LOWER(TRIM(_xlfn.XLOOKUP($A132,Строчный!$A:$A,Строчный!J:J,"ERR",0))),"подклад","Подклад")</f>
        <v>80% шерсть - 20% полиамид / Подклад: 100% вискоза</v>
      </c>
      <c r="K132" s="81" t="str">
        <f ca="1">LOWER(TRIM(_xlfn.XLOOKUP($A132,Строчный!$A:$A,Строчный!K:K,"ERR",0)))</f>
        <v>шерстяные</v>
      </c>
      <c r="L132" s="81" t="str">
        <f ca="1">PROPER(TRIM(_xlfn.XLOOKUP($A132,Строчный!$A:$A,Строчный!L:L,"ERR",0)))</f>
        <v>Унисекс</v>
      </c>
      <c r="M132" s="113" t="str">
        <f ca="1">PROPER(TRIM(_xlfn.XLOOKUP($A132,Строчный!$A:$A,Строчный!M:M,"ERR",0)))</f>
        <v>Россия</v>
      </c>
      <c r="N132" s="81" t="str">
        <f ca="1">UPPER(TRIM(_xlfn.XLOOKUP($A132,Строчный!$A:$A,Строчный!O:O,"ERR",0)))</f>
        <v/>
      </c>
      <c r="O132" s="102" t="str">
        <f ca="1">PROPER(TRIM(_xlfn.XLOOKUP($A132,Строчный!$A:$A,Строчный!P:P,"ERR",0)))</f>
        <v/>
      </c>
      <c r="P132" s="81" t="str">
        <f ca="1">PROPER(TRIM(_xlfn.XLOOKUP($A132,Строчный!$A:$A,Строчный!R:R,"ERR",0)))</f>
        <v/>
      </c>
      <c r="Q132" s="90">
        <f ca="1">VALUE(_xlfn.XLOOKUP($A132,Строчный!$A:$A,Строчный!N:N,"ERR",0))</f>
        <v>975.8</v>
      </c>
      <c r="R132" s="89" t="str">
        <f ca="1">_xlfn.XLOOKUP($G132,Фабрика!A:A,Фабрика!B:B,"ERR",0)</f>
        <v>ООО "ФРЭДРИКСОН" Россия 192029, С-Петербург, пр. Обуховской обороны, д.86, лит М</v>
      </c>
      <c r="S132" s="80" t="str">
        <f ca="1">_xlfn.XLOOKUP(RIGHT(AA132,2),Размеры!D:D,Размеры!A:A,"ERR",0)</f>
        <v>60</v>
      </c>
      <c r="T132" s="80">
        <f ca="1">VALUE(_xlfn.XLOOKUP($AA132,Строчный!$S:$S,Строчный!U:U,"ERR",0))</f>
        <v>3</v>
      </c>
      <c r="U132" s="14" t="s">
        <v>265</v>
      </c>
      <c r="V132" s="101" t="str">
        <f t="shared" ca="1" si="11"/>
        <v>Кепка FREDRIKSON арт. 3125 (серый / черный)</v>
      </c>
      <c r="W132" s="100" t="str">
        <f t="shared" ca="1" si="12"/>
        <v>Кепка FREDRIKSON арт. 3125 (серый / черный) {641/76}</v>
      </c>
      <c r="X132" s="18" t="str">
        <f t="shared" ca="1" si="13"/>
        <v>серый</v>
      </c>
      <c r="Y132" s="18" t="str">
        <f t="shared" ca="1" si="14"/>
        <v>черный</v>
      </c>
      <c r="Z132" s="117" t="str">
        <f ca="1">_xlfn.LET(_xlpm.FormColors,_xlfn.XLOOKUP(A132,Строчный!A:A,Строчный!Q:Q,"",0),IF(_xlpm.FormColors=0,IFERROR(MID(I132,FIND("-",I132)+1,LEN(I132)),IFERROR(MID(I132,1,FIND("/",I132)-2),I132)),_xlpm.FormColors))</f>
        <v>серый</v>
      </c>
      <c r="AA132" s="73" t="str">
        <f ca="1"/>
        <v>95-010-47-60</v>
      </c>
      <c r="AB132" s="75" t="str">
        <f ca="1">VLOOKUP(C132,Группа!A:B,2,FALSE)</f>
        <v>Кепка</v>
      </c>
      <c r="AC132" s="97" t="str">
        <f ca="1">IFERROR(VLOOKUP(S132,Размеры!A:C,3,FALSE),"")</f>
        <v>60 L/XL</v>
      </c>
      <c r="AD132" s="97" t="str">
        <f ca="1">VLOOKUP(I132,ЦветПолный!A:B,2,FALSE)</f>
        <v>47</v>
      </c>
      <c r="AE132" s="97" t="str">
        <f ca="1">IFERROR(VLOOKUP(S132,Размеры!A:D,4,FALSE),"")</f>
        <v>60</v>
      </c>
      <c r="AF132" s="97">
        <f ca="1">IF(LEFT(IFERROR(VLOOKUP(LOOKUP(2,1/SEARCH(B132,Товары!A:A),Товары!A:A),Товары!A:B,2,0),""),6)=MID(AA132,1,6),1,0)</f>
        <v>0</v>
      </c>
      <c r="AH132" s="97">
        <f ca="1">SUMIF(Группа!A:A,C132,Группа!C:C)</f>
        <v>1</v>
      </c>
      <c r="AI132" s="97">
        <f ca="1">SUMIF(Группа!B:B,AB132,Группа!C:C)</f>
        <v>1</v>
      </c>
      <c r="AJ132" s="97">
        <f ca="1">SUMIF(Формы!A:A,D132,Формы!B:B)</f>
        <v>1</v>
      </c>
      <c r="AK132" s="97">
        <f ca="1">SUMIF(Материал!A:A,K132,Материал!B:B)</f>
        <v>1</v>
      </c>
      <c r="AL132" s="97">
        <f ca="1">SUMIF(Размеры!A:A,S132,Размеры!E:E)</f>
        <v>1</v>
      </c>
      <c r="AM132" s="97">
        <f ca="1">SUMIF(Сезон!A:A,F132,Сезон!B:B)</f>
        <v>1</v>
      </c>
      <c r="AN132" s="97">
        <f ca="1">SUMIF(Состав!A:A,J132,Состав!B:B)</f>
        <v>0</v>
      </c>
      <c r="AO132" s="97">
        <f ca="1">VLOOKUP(I132,ЦветПолный!A:C,3,0)</f>
        <v>1</v>
      </c>
      <c r="AP132" s="97">
        <f ca="1">SUMIF(Цвет!A:A,Z132,Цвет!B:B)</f>
        <v>1</v>
      </c>
      <c r="AQ132" s="97">
        <f ca="1">_xlfn.XLOOKUP(L132,Пол!A:A,Пол!B:B,0,0)</f>
        <v>1</v>
      </c>
      <c r="AR132" s="97">
        <f ca="1">SUMIF(Бренд!A:A,G132,Бренд!B:B)</f>
        <v>1</v>
      </c>
      <c r="AS132" s="97">
        <f ca="1">SUMIF(Страна!A:A,M132,Страна!B:B)</f>
        <v>1</v>
      </c>
      <c r="AT132" s="64" t="e">
        <f ca="1">IF(VLOOKUP(W132,Товары!A:B,2,FALSE)=A132,"Есть в 1С","ERR")</f>
        <v>#N/A</v>
      </c>
      <c r="AU132" s="65" t="e">
        <f ca="1">IF(VLOOKUP(A132,Товары!B:B,1,FALSE)=A132,"Есть в 1С","ERR")</f>
        <v>#N/A</v>
      </c>
      <c r="AV132" s="96" t="e">
        <f ca="1">VLOOKUP(W132,Товары!A:B,2,FALSE)</f>
        <v>#N/A</v>
      </c>
      <c r="AW132" s="94" t="e">
        <f ca="1">VLOOKUP(W132,Товары!A:B,1,FALSE)</f>
        <v>#N/A</v>
      </c>
    </row>
    <row r="133" spans="1:49" x14ac:dyDescent="0.25">
      <c r="A133" s="110" t="str">
        <f t="shared" ca="1" si="10"/>
        <v>95-010-47</v>
      </c>
      <c r="B133" s="107" t="str">
        <f ca="1">_xlfn.LET(_xlpm.CAPS,0,_xlpm.Style,TRIM(_xlfn.XLOOKUP($A133,Строчный!$A:$A,Строчный!B:B,"ERR",0)),IF(_xlpm.CAPS=0,_xlpm.Style,LOWER(_xlpm.Style)))</f>
        <v>3125</v>
      </c>
      <c r="C133" s="81" t="str">
        <f ca="1">TRIM(PROPER(_xlfn.XLOOKUP($A133,Строчный!$A:$A,Строчный!C:C,"ERR",0)))</f>
        <v>Кепки</v>
      </c>
      <c r="D133" s="81" t="str">
        <f ca="1">_xlfn.LET(_xlpm.DATA,TRIM(_xlfn.XLOOKUP($A133,Строчный!$A:$A,Строчный!D:D,"ERR",0)),UPPER(MID(_xlpm.DATA,1,1))&amp;LOWER(MID(_xlpm.DATA,2,LEN(_xlpm.DATA)-1)))</f>
        <v>Кепка плоская</v>
      </c>
      <c r="E133" s="81" t="str">
        <f ca="1">PROPER(TRIM(_xlfn.XLOOKUP($A133,Строчный!$A:$A,Строчный!E:E,"ERR",0)))</f>
        <v>Fredrikson</v>
      </c>
      <c r="F133" s="81" t="str">
        <f ca="1">LOWER(TRIM(_xlfn.XLOOKUP($A133,Строчный!$A:$A,Строчный!F:F,"ERR",0)))</f>
        <v>всесезон</v>
      </c>
      <c r="G133" s="81" t="str">
        <f ca="1">UPPER(TRIM(_xlfn.XLOOKUP($A133,Строчный!$A:$A,Строчный!G:G,"ERR",0)))</f>
        <v>FREDRIKSON</v>
      </c>
      <c r="H133" s="81" t="str">
        <f ca="1">LOWER(TRIM(_xlfn.XLOOKUP($A133,Строчный!$A:$A,Строчный!H:H,"ERR",0)))</f>
        <v>641/76</v>
      </c>
      <c r="I133" s="81" t="str">
        <f ca="1">LOWER(TRIM(_xlfn.XLOOKUP($A133,Строчный!$A:$A,Строчный!I:I,"ERR",0)))</f>
        <v>серый / черный</v>
      </c>
      <c r="J133" s="81" t="str">
        <f ca="1">SUBSTITUTE(LOWER(TRIM(_xlfn.XLOOKUP($A133,Строчный!$A:$A,Строчный!J:J,"ERR",0))),"подклад","Подклад")</f>
        <v>80% шерсть - 20% полиамид / Подклад: 100% вискоза</v>
      </c>
      <c r="K133" s="81" t="str">
        <f ca="1">LOWER(TRIM(_xlfn.XLOOKUP($A133,Строчный!$A:$A,Строчный!K:K,"ERR",0)))</f>
        <v>шерстяные</v>
      </c>
      <c r="L133" s="81" t="str">
        <f ca="1">PROPER(TRIM(_xlfn.XLOOKUP($A133,Строчный!$A:$A,Строчный!L:L,"ERR",0)))</f>
        <v>Унисекс</v>
      </c>
      <c r="M133" s="113" t="str">
        <f ca="1">PROPER(TRIM(_xlfn.XLOOKUP($A133,Строчный!$A:$A,Строчный!M:M,"ERR",0)))</f>
        <v>Россия</v>
      </c>
      <c r="N133" s="81" t="str">
        <f ca="1">UPPER(TRIM(_xlfn.XLOOKUP($A133,Строчный!$A:$A,Строчный!O:O,"ERR",0)))</f>
        <v/>
      </c>
      <c r="O133" s="102" t="str">
        <f ca="1">PROPER(TRIM(_xlfn.XLOOKUP($A133,Строчный!$A:$A,Строчный!P:P,"ERR",0)))</f>
        <v/>
      </c>
      <c r="P133" s="81" t="str">
        <f ca="1">PROPER(TRIM(_xlfn.XLOOKUP($A133,Строчный!$A:$A,Строчный!R:R,"ERR",0)))</f>
        <v/>
      </c>
      <c r="Q133" s="90">
        <f ca="1">VALUE(_xlfn.XLOOKUP($A133,Строчный!$A:$A,Строчный!N:N,"ERR",0))</f>
        <v>975.8</v>
      </c>
      <c r="R133" s="89" t="str">
        <f ca="1">_xlfn.XLOOKUP($G133,Фабрика!A:A,Фабрика!B:B,"ERR",0)</f>
        <v>ООО "ФРЭДРИКСОН" Россия 192029, С-Петербург, пр. Обуховской обороны, д.86, лит М</v>
      </c>
      <c r="S133" s="80" t="str">
        <f ca="1">_xlfn.XLOOKUP(RIGHT(AA133,2),Размеры!D:D,Размеры!A:A,"ERR",0)</f>
        <v>59</v>
      </c>
      <c r="T133" s="80">
        <f ca="1">VALUE(_xlfn.XLOOKUP($AA133,Строчный!$S:$S,Строчный!U:U,"ERR",0))</f>
        <v>4</v>
      </c>
      <c r="U133" s="14" t="s">
        <v>265</v>
      </c>
      <c r="V133" s="101" t="str">
        <f t="shared" ca="1" si="11"/>
        <v>Кепка FREDRIKSON арт. 3125 (серый / черный)</v>
      </c>
      <c r="W133" s="100" t="str">
        <f t="shared" ca="1" si="12"/>
        <v>Кепка FREDRIKSON арт. 3125 (серый / черный) {641/76}</v>
      </c>
      <c r="X133" s="18" t="str">
        <f t="shared" ca="1" si="13"/>
        <v>серый</v>
      </c>
      <c r="Y133" s="18" t="str">
        <f t="shared" ca="1" si="14"/>
        <v>черный</v>
      </c>
      <c r="Z133" s="117" t="str">
        <f ca="1">_xlfn.LET(_xlpm.FormColors,_xlfn.XLOOKUP(A133,Строчный!A:A,Строчный!Q:Q,"",0),IF(_xlpm.FormColors=0,IFERROR(MID(I133,FIND("-",I133)+1,LEN(I133)),IFERROR(MID(I133,1,FIND("/",I133)-2),I133)),_xlpm.FormColors))</f>
        <v>серый</v>
      </c>
      <c r="AA133" s="73" t="str">
        <f ca="1"/>
        <v>95-010-47-59</v>
      </c>
      <c r="AB133" s="75" t="str">
        <f ca="1">VLOOKUP(C133,Группа!A:B,2,FALSE)</f>
        <v>Кепка</v>
      </c>
      <c r="AC133" s="97" t="str">
        <f ca="1">IFERROR(VLOOKUP(S133,Размеры!A:C,3,FALSE),"")</f>
        <v>59 L</v>
      </c>
      <c r="AD133" s="97" t="str">
        <f ca="1">VLOOKUP(I133,ЦветПолный!A:B,2,FALSE)</f>
        <v>47</v>
      </c>
      <c r="AE133" s="97" t="str">
        <f ca="1">IFERROR(VLOOKUP(S133,Размеры!A:D,4,FALSE),"")</f>
        <v>59</v>
      </c>
      <c r="AF133" s="97">
        <f ca="1">IF(LEFT(IFERROR(VLOOKUP(LOOKUP(2,1/SEARCH(B133,Товары!A:A),Товары!A:A),Товары!A:B,2,0),""),6)=MID(AA133,1,6),1,0)</f>
        <v>0</v>
      </c>
      <c r="AH133" s="97">
        <f ca="1">SUMIF(Группа!A:A,C133,Группа!C:C)</f>
        <v>1</v>
      </c>
      <c r="AI133" s="97">
        <f ca="1">SUMIF(Группа!B:B,AB133,Группа!C:C)</f>
        <v>1</v>
      </c>
      <c r="AJ133" s="97">
        <f ca="1">SUMIF(Формы!A:A,D133,Формы!B:B)</f>
        <v>1</v>
      </c>
      <c r="AK133" s="97">
        <f ca="1">SUMIF(Материал!A:A,K133,Материал!B:B)</f>
        <v>1</v>
      </c>
      <c r="AL133" s="97">
        <f ca="1">SUMIF(Размеры!A:A,S133,Размеры!E:E)</f>
        <v>1</v>
      </c>
      <c r="AM133" s="97">
        <f ca="1">SUMIF(Сезон!A:A,F133,Сезон!B:B)</f>
        <v>1</v>
      </c>
      <c r="AN133" s="97">
        <f ca="1">SUMIF(Состав!A:A,J133,Состав!B:B)</f>
        <v>0</v>
      </c>
      <c r="AO133" s="97">
        <f ca="1">VLOOKUP(I133,ЦветПолный!A:C,3,0)</f>
        <v>1</v>
      </c>
      <c r="AP133" s="97">
        <f ca="1">SUMIF(Цвет!A:A,Z133,Цвет!B:B)</f>
        <v>1</v>
      </c>
      <c r="AQ133" s="97">
        <f ca="1">_xlfn.XLOOKUP(L133,Пол!A:A,Пол!B:B,0,0)</f>
        <v>1</v>
      </c>
      <c r="AR133" s="97">
        <f ca="1">SUMIF(Бренд!A:A,G133,Бренд!B:B)</f>
        <v>1</v>
      </c>
      <c r="AS133" s="97">
        <f ca="1">SUMIF(Страна!A:A,M133,Страна!B:B)</f>
        <v>1</v>
      </c>
      <c r="AT133" s="64" t="e">
        <f ca="1">IF(VLOOKUP(W133,Товары!A:B,2,FALSE)=A133,"Есть в 1С","ERR")</f>
        <v>#N/A</v>
      </c>
      <c r="AU133" s="65" t="e">
        <f ca="1">IF(VLOOKUP(A133,Товары!B:B,1,FALSE)=A133,"Есть в 1С","ERR")</f>
        <v>#N/A</v>
      </c>
      <c r="AV133" s="96" t="e">
        <f ca="1">VLOOKUP(W133,Товары!A:B,2,FALSE)</f>
        <v>#N/A</v>
      </c>
      <c r="AW133" s="94" t="e">
        <f ca="1">VLOOKUP(W133,Товары!A:B,1,FALSE)</f>
        <v>#N/A</v>
      </c>
    </row>
    <row r="134" spans="1:49" x14ac:dyDescent="0.25">
      <c r="A134" s="110" t="str">
        <f t="shared" ca="1" si="10"/>
        <v>95-010-47</v>
      </c>
      <c r="B134" s="107" t="str">
        <f ca="1">_xlfn.LET(_xlpm.CAPS,0,_xlpm.Style,TRIM(_xlfn.XLOOKUP($A134,Строчный!$A:$A,Строчный!B:B,"ERR",0)),IF(_xlpm.CAPS=0,_xlpm.Style,LOWER(_xlpm.Style)))</f>
        <v>3125</v>
      </c>
      <c r="C134" s="81" t="str">
        <f ca="1">TRIM(PROPER(_xlfn.XLOOKUP($A134,Строчный!$A:$A,Строчный!C:C,"ERR",0)))</f>
        <v>Кепки</v>
      </c>
      <c r="D134" s="81" t="str">
        <f ca="1">_xlfn.LET(_xlpm.DATA,TRIM(_xlfn.XLOOKUP($A134,Строчный!$A:$A,Строчный!D:D,"ERR",0)),UPPER(MID(_xlpm.DATA,1,1))&amp;LOWER(MID(_xlpm.DATA,2,LEN(_xlpm.DATA)-1)))</f>
        <v>Кепка плоская</v>
      </c>
      <c r="E134" s="81" t="str">
        <f ca="1">PROPER(TRIM(_xlfn.XLOOKUP($A134,Строчный!$A:$A,Строчный!E:E,"ERR",0)))</f>
        <v>Fredrikson</v>
      </c>
      <c r="F134" s="81" t="str">
        <f ca="1">LOWER(TRIM(_xlfn.XLOOKUP($A134,Строчный!$A:$A,Строчный!F:F,"ERR",0)))</f>
        <v>всесезон</v>
      </c>
      <c r="G134" s="81" t="str">
        <f ca="1">UPPER(TRIM(_xlfn.XLOOKUP($A134,Строчный!$A:$A,Строчный!G:G,"ERR",0)))</f>
        <v>FREDRIKSON</v>
      </c>
      <c r="H134" s="81" t="str">
        <f ca="1">LOWER(TRIM(_xlfn.XLOOKUP($A134,Строчный!$A:$A,Строчный!H:H,"ERR",0)))</f>
        <v>641/76</v>
      </c>
      <c r="I134" s="81" t="str">
        <f ca="1">LOWER(TRIM(_xlfn.XLOOKUP($A134,Строчный!$A:$A,Строчный!I:I,"ERR",0)))</f>
        <v>серый / черный</v>
      </c>
      <c r="J134" s="81" t="str">
        <f ca="1">SUBSTITUTE(LOWER(TRIM(_xlfn.XLOOKUP($A134,Строчный!$A:$A,Строчный!J:J,"ERR",0))),"подклад","Подклад")</f>
        <v>80% шерсть - 20% полиамид / Подклад: 100% вискоза</v>
      </c>
      <c r="K134" s="81" t="str">
        <f ca="1">LOWER(TRIM(_xlfn.XLOOKUP($A134,Строчный!$A:$A,Строчный!K:K,"ERR",0)))</f>
        <v>шерстяные</v>
      </c>
      <c r="L134" s="81" t="str">
        <f ca="1">PROPER(TRIM(_xlfn.XLOOKUP($A134,Строчный!$A:$A,Строчный!L:L,"ERR",0)))</f>
        <v>Унисекс</v>
      </c>
      <c r="M134" s="113" t="str">
        <f ca="1">PROPER(TRIM(_xlfn.XLOOKUP($A134,Строчный!$A:$A,Строчный!M:M,"ERR",0)))</f>
        <v>Россия</v>
      </c>
      <c r="N134" s="81" t="str">
        <f ca="1">UPPER(TRIM(_xlfn.XLOOKUP($A134,Строчный!$A:$A,Строчный!O:O,"ERR",0)))</f>
        <v/>
      </c>
      <c r="O134" s="102" t="str">
        <f ca="1">PROPER(TRIM(_xlfn.XLOOKUP($A134,Строчный!$A:$A,Строчный!P:P,"ERR",0)))</f>
        <v/>
      </c>
      <c r="P134" s="81" t="str">
        <f ca="1">PROPER(TRIM(_xlfn.XLOOKUP($A134,Строчный!$A:$A,Строчный!R:R,"ERR",0)))</f>
        <v/>
      </c>
      <c r="Q134" s="90">
        <f ca="1">VALUE(_xlfn.XLOOKUP($A134,Строчный!$A:$A,Строчный!N:N,"ERR",0))</f>
        <v>975.8</v>
      </c>
      <c r="R134" s="89" t="str">
        <f ca="1">_xlfn.XLOOKUP($G134,Фабрика!A:A,Фабрика!B:B,"ERR",0)</f>
        <v>ООО "ФРЭДРИКСОН" Россия 192029, С-Петербург, пр. Обуховской обороны, д.86, лит М</v>
      </c>
      <c r="S134" s="80" t="str">
        <f ca="1">_xlfn.XLOOKUP(RIGHT(AA134,2),Размеры!D:D,Размеры!A:A,"ERR",0)</f>
        <v>58</v>
      </c>
      <c r="T134" s="80">
        <f ca="1">VALUE(_xlfn.XLOOKUP($AA134,Строчный!$S:$S,Строчный!U:U,"ERR",0))</f>
        <v>3</v>
      </c>
      <c r="U134" s="14" t="s">
        <v>265</v>
      </c>
      <c r="V134" s="101" t="str">
        <f t="shared" ca="1" si="11"/>
        <v>Кепка FREDRIKSON арт. 3125 (серый / черный)</v>
      </c>
      <c r="W134" s="100" t="str">
        <f t="shared" ca="1" si="12"/>
        <v>Кепка FREDRIKSON арт. 3125 (серый / черный) {641/76}</v>
      </c>
      <c r="X134" s="18" t="str">
        <f t="shared" ca="1" si="13"/>
        <v>серый</v>
      </c>
      <c r="Y134" s="18" t="str">
        <f t="shared" ca="1" si="14"/>
        <v>черный</v>
      </c>
      <c r="Z134" s="117" t="str">
        <f ca="1">_xlfn.LET(_xlpm.FormColors,_xlfn.XLOOKUP(A134,Строчный!A:A,Строчный!Q:Q,"",0),IF(_xlpm.FormColors=0,IFERROR(MID(I134,FIND("-",I134)+1,LEN(I134)),IFERROR(MID(I134,1,FIND("/",I134)-2),I134)),_xlpm.FormColors))</f>
        <v>серый</v>
      </c>
      <c r="AA134" s="73" t="str">
        <f ca="1"/>
        <v>95-010-47-58</v>
      </c>
      <c r="AB134" s="75" t="str">
        <f ca="1">VLOOKUP(C134,Группа!A:B,2,FALSE)</f>
        <v>Кепка</v>
      </c>
      <c r="AC134" s="97" t="str">
        <f ca="1">IFERROR(VLOOKUP(S134,Размеры!A:C,3,FALSE),"")</f>
        <v>58 M/L</v>
      </c>
      <c r="AD134" s="97" t="str">
        <f ca="1">VLOOKUP(I134,ЦветПолный!A:B,2,FALSE)</f>
        <v>47</v>
      </c>
      <c r="AE134" s="97" t="str">
        <f ca="1">IFERROR(VLOOKUP(S134,Размеры!A:D,4,FALSE),"")</f>
        <v>58</v>
      </c>
      <c r="AF134" s="97">
        <f ca="1">IF(LEFT(IFERROR(VLOOKUP(LOOKUP(2,1/SEARCH(B134,Товары!A:A),Товары!A:A),Товары!A:B,2,0),""),6)=MID(AA134,1,6),1,0)</f>
        <v>0</v>
      </c>
      <c r="AH134" s="97">
        <f ca="1">SUMIF(Группа!A:A,C134,Группа!C:C)</f>
        <v>1</v>
      </c>
      <c r="AI134" s="97">
        <f ca="1">SUMIF(Группа!B:B,AB134,Группа!C:C)</f>
        <v>1</v>
      </c>
      <c r="AJ134" s="97">
        <f ca="1">SUMIF(Формы!A:A,D134,Формы!B:B)</f>
        <v>1</v>
      </c>
      <c r="AK134" s="97">
        <f ca="1">SUMIF(Материал!A:A,K134,Материал!B:B)</f>
        <v>1</v>
      </c>
      <c r="AL134" s="97">
        <f ca="1">SUMIF(Размеры!A:A,S134,Размеры!E:E)</f>
        <v>1</v>
      </c>
      <c r="AM134" s="97">
        <f ca="1">SUMIF(Сезон!A:A,F134,Сезон!B:B)</f>
        <v>1</v>
      </c>
      <c r="AN134" s="97">
        <f ca="1">SUMIF(Состав!A:A,J134,Состав!B:B)</f>
        <v>0</v>
      </c>
      <c r="AO134" s="97">
        <f ca="1">VLOOKUP(I134,ЦветПолный!A:C,3,0)</f>
        <v>1</v>
      </c>
      <c r="AP134" s="97">
        <f ca="1">SUMIF(Цвет!A:A,Z134,Цвет!B:B)</f>
        <v>1</v>
      </c>
      <c r="AQ134" s="97">
        <f ca="1">_xlfn.XLOOKUP(L134,Пол!A:A,Пол!B:B,0,0)</f>
        <v>1</v>
      </c>
      <c r="AR134" s="97">
        <f ca="1">SUMIF(Бренд!A:A,G134,Бренд!B:B)</f>
        <v>1</v>
      </c>
      <c r="AS134" s="97">
        <f ca="1">SUMIF(Страна!A:A,M134,Страна!B:B)</f>
        <v>1</v>
      </c>
      <c r="AT134" s="64" t="e">
        <f ca="1">IF(VLOOKUP(W134,Товары!A:B,2,FALSE)=A134,"Есть в 1С","ERR")</f>
        <v>#N/A</v>
      </c>
      <c r="AU134" s="65" t="e">
        <f ca="1">IF(VLOOKUP(A134,Товары!B:B,1,FALSE)=A134,"Есть в 1С","ERR")</f>
        <v>#N/A</v>
      </c>
      <c r="AV134" s="96" t="e">
        <f ca="1">VLOOKUP(W134,Товары!A:B,2,FALSE)</f>
        <v>#N/A</v>
      </c>
      <c r="AW134" s="94" t="e">
        <f ca="1">VLOOKUP(W134,Товары!A:B,1,FALSE)</f>
        <v>#N/A</v>
      </c>
    </row>
    <row r="135" spans="1:49" x14ac:dyDescent="0.25">
      <c r="A135" s="110" t="str">
        <f t="shared" ca="1" si="10"/>
        <v>95-010-47</v>
      </c>
      <c r="B135" s="107" t="str">
        <f ca="1">_xlfn.LET(_xlpm.CAPS,0,_xlpm.Style,TRIM(_xlfn.XLOOKUP($A135,Строчный!$A:$A,Строчный!B:B,"ERR",0)),IF(_xlpm.CAPS=0,_xlpm.Style,LOWER(_xlpm.Style)))</f>
        <v>3125</v>
      </c>
      <c r="C135" s="81" t="str">
        <f ca="1">TRIM(PROPER(_xlfn.XLOOKUP($A135,Строчный!$A:$A,Строчный!C:C,"ERR",0)))</f>
        <v>Кепки</v>
      </c>
      <c r="D135" s="81" t="str">
        <f ca="1">_xlfn.LET(_xlpm.DATA,TRIM(_xlfn.XLOOKUP($A135,Строчный!$A:$A,Строчный!D:D,"ERR",0)),UPPER(MID(_xlpm.DATA,1,1))&amp;LOWER(MID(_xlpm.DATA,2,LEN(_xlpm.DATA)-1)))</f>
        <v>Кепка плоская</v>
      </c>
      <c r="E135" s="81" t="str">
        <f ca="1">PROPER(TRIM(_xlfn.XLOOKUP($A135,Строчный!$A:$A,Строчный!E:E,"ERR",0)))</f>
        <v>Fredrikson</v>
      </c>
      <c r="F135" s="81" t="str">
        <f ca="1">LOWER(TRIM(_xlfn.XLOOKUP($A135,Строчный!$A:$A,Строчный!F:F,"ERR",0)))</f>
        <v>всесезон</v>
      </c>
      <c r="G135" s="81" t="str">
        <f ca="1">UPPER(TRIM(_xlfn.XLOOKUP($A135,Строчный!$A:$A,Строчный!G:G,"ERR",0)))</f>
        <v>FREDRIKSON</v>
      </c>
      <c r="H135" s="81" t="str">
        <f ca="1">LOWER(TRIM(_xlfn.XLOOKUP($A135,Строчный!$A:$A,Строчный!H:H,"ERR",0)))</f>
        <v>641/76</v>
      </c>
      <c r="I135" s="81" t="str">
        <f ca="1">LOWER(TRIM(_xlfn.XLOOKUP($A135,Строчный!$A:$A,Строчный!I:I,"ERR",0)))</f>
        <v>серый / черный</v>
      </c>
      <c r="J135" s="81" t="str">
        <f ca="1">SUBSTITUTE(LOWER(TRIM(_xlfn.XLOOKUP($A135,Строчный!$A:$A,Строчный!J:J,"ERR",0))),"подклад","Подклад")</f>
        <v>80% шерсть - 20% полиамид / Подклад: 100% вискоза</v>
      </c>
      <c r="K135" s="81" t="str">
        <f ca="1">LOWER(TRIM(_xlfn.XLOOKUP($A135,Строчный!$A:$A,Строчный!K:K,"ERR",0)))</f>
        <v>шерстяные</v>
      </c>
      <c r="L135" s="81" t="str">
        <f ca="1">PROPER(TRIM(_xlfn.XLOOKUP($A135,Строчный!$A:$A,Строчный!L:L,"ERR",0)))</f>
        <v>Унисекс</v>
      </c>
      <c r="M135" s="113" t="str">
        <f ca="1">PROPER(TRIM(_xlfn.XLOOKUP($A135,Строчный!$A:$A,Строчный!M:M,"ERR",0)))</f>
        <v>Россия</v>
      </c>
      <c r="N135" s="81" t="str">
        <f ca="1">UPPER(TRIM(_xlfn.XLOOKUP($A135,Строчный!$A:$A,Строчный!O:O,"ERR",0)))</f>
        <v/>
      </c>
      <c r="O135" s="102" t="str">
        <f ca="1">PROPER(TRIM(_xlfn.XLOOKUP($A135,Строчный!$A:$A,Строчный!P:P,"ERR",0)))</f>
        <v/>
      </c>
      <c r="P135" s="81" t="str">
        <f ca="1">PROPER(TRIM(_xlfn.XLOOKUP($A135,Строчный!$A:$A,Строчный!R:R,"ERR",0)))</f>
        <v/>
      </c>
      <c r="Q135" s="90">
        <f ca="1">VALUE(_xlfn.XLOOKUP($A135,Строчный!$A:$A,Строчный!N:N,"ERR",0))</f>
        <v>975.8</v>
      </c>
      <c r="R135" s="89" t="str">
        <f ca="1">_xlfn.XLOOKUP($G135,Фабрика!A:A,Фабрика!B:B,"ERR",0)</f>
        <v>ООО "ФРЭДРИКСОН" Россия 192029, С-Петербург, пр. Обуховской обороны, д.86, лит М</v>
      </c>
      <c r="S135" s="80" t="str">
        <f ca="1">_xlfn.XLOOKUP(RIGHT(AA135,2),Размеры!D:D,Размеры!A:A,"ERR",0)</f>
        <v>57</v>
      </c>
      <c r="T135" s="80">
        <f ca="1">VALUE(_xlfn.XLOOKUP($AA135,Строчный!$S:$S,Строчный!U:U,"ERR",0))</f>
        <v>2</v>
      </c>
      <c r="U135" s="14" t="s">
        <v>265</v>
      </c>
      <c r="V135" s="101" t="str">
        <f t="shared" ca="1" si="11"/>
        <v>Кепка FREDRIKSON арт. 3125 (серый / черный)</v>
      </c>
      <c r="W135" s="100" t="str">
        <f t="shared" ca="1" si="12"/>
        <v>Кепка FREDRIKSON арт. 3125 (серый / черный) {641/76}</v>
      </c>
      <c r="X135" s="18" t="str">
        <f t="shared" ca="1" si="13"/>
        <v>серый</v>
      </c>
      <c r="Y135" s="18" t="str">
        <f t="shared" ca="1" si="14"/>
        <v>черный</v>
      </c>
      <c r="Z135" s="117" t="str">
        <f ca="1">_xlfn.LET(_xlpm.FormColors,_xlfn.XLOOKUP(A135,Строчный!A:A,Строчный!Q:Q,"",0),IF(_xlpm.FormColors=0,IFERROR(MID(I135,FIND("-",I135)+1,LEN(I135)),IFERROR(MID(I135,1,FIND("/",I135)-2),I135)),_xlpm.FormColors))</f>
        <v>серый</v>
      </c>
      <c r="AA135" s="73" t="str">
        <f ca="1"/>
        <v>95-010-47-57</v>
      </c>
      <c r="AB135" s="75" t="str">
        <f ca="1">VLOOKUP(C135,Группа!A:B,2,FALSE)</f>
        <v>Кепка</v>
      </c>
      <c r="AC135" s="97" t="str">
        <f ca="1">IFERROR(VLOOKUP(S135,Размеры!A:C,3,FALSE),"")</f>
        <v>57 M</v>
      </c>
      <c r="AD135" s="97" t="str">
        <f ca="1">VLOOKUP(I135,ЦветПолный!A:B,2,FALSE)</f>
        <v>47</v>
      </c>
      <c r="AE135" s="97" t="str">
        <f ca="1">IFERROR(VLOOKUP(S135,Размеры!A:D,4,FALSE),"")</f>
        <v>57</v>
      </c>
      <c r="AF135" s="97">
        <f ca="1">IF(LEFT(IFERROR(VLOOKUP(LOOKUP(2,1/SEARCH(B135,Товары!A:A),Товары!A:A),Товары!A:B,2,0),""),6)=MID(AA135,1,6),1,0)</f>
        <v>0</v>
      </c>
      <c r="AH135" s="97">
        <f ca="1">SUMIF(Группа!A:A,C135,Группа!C:C)</f>
        <v>1</v>
      </c>
      <c r="AI135" s="97">
        <f ca="1">SUMIF(Группа!B:B,AB135,Группа!C:C)</f>
        <v>1</v>
      </c>
      <c r="AJ135" s="97">
        <f ca="1">SUMIF(Формы!A:A,D135,Формы!B:B)</f>
        <v>1</v>
      </c>
      <c r="AK135" s="97">
        <f ca="1">SUMIF(Материал!A:A,K135,Материал!B:B)</f>
        <v>1</v>
      </c>
      <c r="AL135" s="97">
        <f ca="1">SUMIF(Размеры!A:A,S135,Размеры!E:E)</f>
        <v>1</v>
      </c>
      <c r="AM135" s="97">
        <f ca="1">SUMIF(Сезон!A:A,F135,Сезон!B:B)</f>
        <v>1</v>
      </c>
      <c r="AN135" s="97">
        <f ca="1">SUMIF(Состав!A:A,J135,Состав!B:B)</f>
        <v>0</v>
      </c>
      <c r="AO135" s="97">
        <f ca="1">VLOOKUP(I135,ЦветПолный!A:C,3,0)</f>
        <v>1</v>
      </c>
      <c r="AP135" s="97">
        <f ca="1">SUMIF(Цвет!A:A,Z135,Цвет!B:B)</f>
        <v>1</v>
      </c>
      <c r="AQ135" s="97">
        <f ca="1">_xlfn.XLOOKUP(L135,Пол!A:A,Пол!B:B,0,0)</f>
        <v>1</v>
      </c>
      <c r="AR135" s="97">
        <f ca="1">SUMIF(Бренд!A:A,G135,Бренд!B:B)</f>
        <v>1</v>
      </c>
      <c r="AS135" s="97">
        <f ca="1">SUMIF(Страна!A:A,M135,Страна!B:B)</f>
        <v>1</v>
      </c>
      <c r="AT135" s="64" t="e">
        <f ca="1">IF(VLOOKUP(W135,Товары!A:B,2,FALSE)=A135,"Есть в 1С","ERR")</f>
        <v>#N/A</v>
      </c>
      <c r="AU135" s="65" t="e">
        <f ca="1">IF(VLOOKUP(A135,Товары!B:B,1,FALSE)=A135,"Есть в 1С","ERR")</f>
        <v>#N/A</v>
      </c>
      <c r="AV135" s="96" t="e">
        <f ca="1">VLOOKUP(W135,Товары!A:B,2,FALSE)</f>
        <v>#N/A</v>
      </c>
      <c r="AW135" s="94" t="e">
        <f ca="1">VLOOKUP(W135,Товары!A:B,1,FALSE)</f>
        <v>#N/A</v>
      </c>
    </row>
    <row r="136" spans="1:49" x14ac:dyDescent="0.25">
      <c r="A136" s="110" t="str">
        <f t="shared" ca="1" si="10"/>
        <v>95-010-47</v>
      </c>
      <c r="B136" s="107" t="str">
        <f ca="1">_xlfn.LET(_xlpm.CAPS,0,_xlpm.Style,TRIM(_xlfn.XLOOKUP($A136,Строчный!$A:$A,Строчный!B:B,"ERR",0)),IF(_xlpm.CAPS=0,_xlpm.Style,LOWER(_xlpm.Style)))</f>
        <v>3125</v>
      </c>
      <c r="C136" s="81" t="str">
        <f ca="1">TRIM(PROPER(_xlfn.XLOOKUP($A136,Строчный!$A:$A,Строчный!C:C,"ERR",0)))</f>
        <v>Кепки</v>
      </c>
      <c r="D136" s="81" t="str">
        <f ca="1">_xlfn.LET(_xlpm.DATA,TRIM(_xlfn.XLOOKUP($A136,Строчный!$A:$A,Строчный!D:D,"ERR",0)),UPPER(MID(_xlpm.DATA,1,1))&amp;LOWER(MID(_xlpm.DATA,2,LEN(_xlpm.DATA)-1)))</f>
        <v>Кепка плоская</v>
      </c>
      <c r="E136" s="81" t="str">
        <f ca="1">PROPER(TRIM(_xlfn.XLOOKUP($A136,Строчный!$A:$A,Строчный!E:E,"ERR",0)))</f>
        <v>Fredrikson</v>
      </c>
      <c r="F136" s="81" t="str">
        <f ca="1">LOWER(TRIM(_xlfn.XLOOKUP($A136,Строчный!$A:$A,Строчный!F:F,"ERR",0)))</f>
        <v>всесезон</v>
      </c>
      <c r="G136" s="81" t="str">
        <f ca="1">UPPER(TRIM(_xlfn.XLOOKUP($A136,Строчный!$A:$A,Строчный!G:G,"ERR",0)))</f>
        <v>FREDRIKSON</v>
      </c>
      <c r="H136" s="81" t="str">
        <f ca="1">LOWER(TRIM(_xlfn.XLOOKUP($A136,Строчный!$A:$A,Строчный!H:H,"ERR",0)))</f>
        <v>641/76</v>
      </c>
      <c r="I136" s="81" t="str">
        <f ca="1">LOWER(TRIM(_xlfn.XLOOKUP($A136,Строчный!$A:$A,Строчный!I:I,"ERR",0)))</f>
        <v>серый / черный</v>
      </c>
      <c r="J136" s="81" t="str">
        <f ca="1">SUBSTITUTE(LOWER(TRIM(_xlfn.XLOOKUP($A136,Строчный!$A:$A,Строчный!J:J,"ERR",0))),"подклад","Подклад")</f>
        <v>80% шерсть - 20% полиамид / Подклад: 100% вискоза</v>
      </c>
      <c r="K136" s="81" t="str">
        <f ca="1">LOWER(TRIM(_xlfn.XLOOKUP($A136,Строчный!$A:$A,Строчный!K:K,"ERR",0)))</f>
        <v>шерстяные</v>
      </c>
      <c r="L136" s="81" t="str">
        <f ca="1">PROPER(TRIM(_xlfn.XLOOKUP($A136,Строчный!$A:$A,Строчный!L:L,"ERR",0)))</f>
        <v>Унисекс</v>
      </c>
      <c r="M136" s="113" t="str">
        <f ca="1">PROPER(TRIM(_xlfn.XLOOKUP($A136,Строчный!$A:$A,Строчный!M:M,"ERR",0)))</f>
        <v>Россия</v>
      </c>
      <c r="N136" s="81" t="str">
        <f ca="1">UPPER(TRIM(_xlfn.XLOOKUP($A136,Строчный!$A:$A,Строчный!O:O,"ERR",0)))</f>
        <v/>
      </c>
      <c r="O136" s="102" t="str">
        <f ca="1">PROPER(TRIM(_xlfn.XLOOKUP($A136,Строчный!$A:$A,Строчный!P:P,"ERR",0)))</f>
        <v/>
      </c>
      <c r="P136" s="81" t="str">
        <f ca="1">PROPER(TRIM(_xlfn.XLOOKUP($A136,Строчный!$A:$A,Строчный!R:R,"ERR",0)))</f>
        <v/>
      </c>
      <c r="Q136" s="90">
        <f ca="1">VALUE(_xlfn.XLOOKUP($A136,Строчный!$A:$A,Строчный!N:N,"ERR",0))</f>
        <v>975.8</v>
      </c>
      <c r="R136" s="89" t="str">
        <f ca="1">_xlfn.XLOOKUP($G136,Фабрика!A:A,Фабрика!B:B,"ERR",0)</f>
        <v>ООО "ФРЭДРИКСОН" Россия 192029, С-Петербург, пр. Обуховской обороны, д.86, лит М</v>
      </c>
      <c r="S136" s="80" t="str">
        <f ca="1">_xlfn.XLOOKUP(RIGHT(AA136,2),Размеры!D:D,Размеры!A:A,"ERR",0)</f>
        <v>56</v>
      </c>
      <c r="T136" s="80">
        <f ca="1">VALUE(_xlfn.XLOOKUP($AA136,Строчный!$S:$S,Строчный!U:U,"ERR",0))</f>
        <v>1</v>
      </c>
      <c r="U136" s="14" t="s">
        <v>265</v>
      </c>
      <c r="V136" s="101" t="str">
        <f t="shared" ca="1" si="11"/>
        <v>Кепка FREDRIKSON арт. 3125 (серый / черный)</v>
      </c>
      <c r="W136" s="100" t="str">
        <f t="shared" ca="1" si="12"/>
        <v>Кепка FREDRIKSON арт. 3125 (серый / черный) {641/76}</v>
      </c>
      <c r="X136" s="18" t="str">
        <f t="shared" ca="1" si="13"/>
        <v>серый</v>
      </c>
      <c r="Y136" s="18" t="str">
        <f t="shared" ca="1" si="14"/>
        <v>черный</v>
      </c>
      <c r="Z136" s="117" t="str">
        <f ca="1">_xlfn.LET(_xlpm.FormColors,_xlfn.XLOOKUP(A136,Строчный!A:A,Строчный!Q:Q,"",0),IF(_xlpm.FormColors=0,IFERROR(MID(I136,FIND("-",I136)+1,LEN(I136)),IFERROR(MID(I136,1,FIND("/",I136)-2),I136)),_xlpm.FormColors))</f>
        <v>серый</v>
      </c>
      <c r="AA136" s="73" t="str">
        <f ca="1"/>
        <v>95-010-47-56</v>
      </c>
      <c r="AB136" s="75" t="str">
        <f ca="1">VLOOKUP(C136,Группа!A:B,2,FALSE)</f>
        <v>Кепка</v>
      </c>
      <c r="AC136" s="97" t="str">
        <f ca="1">IFERROR(VLOOKUP(S136,Размеры!A:C,3,FALSE),"")</f>
        <v>56 S/M</v>
      </c>
      <c r="AD136" s="97" t="str">
        <f ca="1">VLOOKUP(I136,ЦветПолный!A:B,2,FALSE)</f>
        <v>47</v>
      </c>
      <c r="AE136" s="97" t="str">
        <f ca="1">IFERROR(VLOOKUP(S136,Размеры!A:D,4,FALSE),"")</f>
        <v>56</v>
      </c>
      <c r="AF136" s="97">
        <f ca="1">IF(LEFT(IFERROR(VLOOKUP(LOOKUP(2,1/SEARCH(B136,Товары!A:A),Товары!A:A),Товары!A:B,2,0),""),6)=MID(AA136,1,6),1,0)</f>
        <v>0</v>
      </c>
      <c r="AH136" s="97">
        <f ca="1">SUMIF(Группа!A:A,C136,Группа!C:C)</f>
        <v>1</v>
      </c>
      <c r="AI136" s="97">
        <f ca="1">SUMIF(Группа!B:B,AB136,Группа!C:C)</f>
        <v>1</v>
      </c>
      <c r="AJ136" s="97">
        <f ca="1">SUMIF(Формы!A:A,D136,Формы!B:B)</f>
        <v>1</v>
      </c>
      <c r="AK136" s="97">
        <f ca="1">SUMIF(Материал!A:A,K136,Материал!B:B)</f>
        <v>1</v>
      </c>
      <c r="AL136" s="97">
        <f ca="1">SUMIF(Размеры!A:A,S136,Размеры!E:E)</f>
        <v>1</v>
      </c>
      <c r="AM136" s="97">
        <f ca="1">SUMIF(Сезон!A:A,F136,Сезон!B:B)</f>
        <v>1</v>
      </c>
      <c r="AN136" s="97">
        <f ca="1">SUMIF(Состав!A:A,J136,Состав!B:B)</f>
        <v>0</v>
      </c>
      <c r="AO136" s="97">
        <f ca="1">VLOOKUP(I136,ЦветПолный!A:C,3,0)</f>
        <v>1</v>
      </c>
      <c r="AP136" s="97">
        <f ca="1">SUMIF(Цвет!A:A,Z136,Цвет!B:B)</f>
        <v>1</v>
      </c>
      <c r="AQ136" s="97">
        <f ca="1">_xlfn.XLOOKUP(L136,Пол!A:A,Пол!B:B,0,0)</f>
        <v>1</v>
      </c>
      <c r="AR136" s="97">
        <f ca="1">SUMIF(Бренд!A:A,G136,Бренд!B:B)</f>
        <v>1</v>
      </c>
      <c r="AS136" s="97">
        <f ca="1">SUMIF(Страна!A:A,M136,Страна!B:B)</f>
        <v>1</v>
      </c>
      <c r="AT136" s="64" t="e">
        <f ca="1">IF(VLOOKUP(W136,Товары!A:B,2,FALSE)=A136,"Есть в 1С","ERR")</f>
        <v>#N/A</v>
      </c>
      <c r="AU136" s="65" t="e">
        <f ca="1">IF(VLOOKUP(A136,Товары!B:B,1,FALSE)=A136,"Есть в 1С","ERR")</f>
        <v>#N/A</v>
      </c>
      <c r="AV136" s="96" t="e">
        <f ca="1">VLOOKUP(W136,Товары!A:B,2,FALSE)</f>
        <v>#N/A</v>
      </c>
      <c r="AW136" s="94" t="e">
        <f ca="1">VLOOKUP(W136,Товары!A:B,1,FALSE)</f>
        <v>#N/A</v>
      </c>
    </row>
    <row r="137" spans="1:49" x14ac:dyDescent="0.25">
      <c r="A137" s="110" t="str">
        <f t="shared" ca="1" si="10"/>
        <v>95-010-16</v>
      </c>
      <c r="B137" s="107" t="str">
        <f ca="1">_xlfn.LET(_xlpm.CAPS,0,_xlpm.Style,TRIM(_xlfn.XLOOKUP($A137,Строчный!$A:$A,Строчный!B:B,"ERR",0)),IF(_xlpm.CAPS=0,_xlpm.Style,LOWER(_xlpm.Style)))</f>
        <v>3125</v>
      </c>
      <c r="C137" s="81" t="str">
        <f ca="1">TRIM(PROPER(_xlfn.XLOOKUP($A137,Строчный!$A:$A,Строчный!C:C,"ERR",0)))</f>
        <v>Кепки</v>
      </c>
      <c r="D137" s="81" t="str">
        <f ca="1">_xlfn.LET(_xlpm.DATA,TRIM(_xlfn.XLOOKUP($A137,Строчный!$A:$A,Строчный!D:D,"ERR",0)),UPPER(MID(_xlpm.DATA,1,1))&amp;LOWER(MID(_xlpm.DATA,2,LEN(_xlpm.DATA)-1)))</f>
        <v>Кепка плоская</v>
      </c>
      <c r="E137" s="81" t="str">
        <f ca="1">PROPER(TRIM(_xlfn.XLOOKUP($A137,Строчный!$A:$A,Строчный!E:E,"ERR",0)))</f>
        <v>Fredrikson</v>
      </c>
      <c r="F137" s="81" t="str">
        <f ca="1">LOWER(TRIM(_xlfn.XLOOKUP($A137,Строчный!$A:$A,Строчный!F:F,"ERR",0)))</f>
        <v>всесезон</v>
      </c>
      <c r="G137" s="81" t="str">
        <f ca="1">UPPER(TRIM(_xlfn.XLOOKUP($A137,Строчный!$A:$A,Строчный!G:G,"ERR",0)))</f>
        <v>FREDRIKSON</v>
      </c>
      <c r="H137" s="81" t="str">
        <f ca="1">LOWER(TRIM(_xlfn.XLOOKUP($A137,Строчный!$A:$A,Строчный!H:H,"ERR",0)))</f>
        <v>678/76</v>
      </c>
      <c r="I137" s="81" t="str">
        <f ca="1">LOWER(TRIM(_xlfn.XLOOKUP($A137,Строчный!$A:$A,Строчный!I:I,"ERR",0)))</f>
        <v>темно-синий / голубой</v>
      </c>
      <c r="J137" s="81" t="str">
        <f ca="1">SUBSTITUTE(LOWER(TRIM(_xlfn.XLOOKUP($A137,Строчный!$A:$A,Строчный!J:J,"ERR",0))),"подклад","Подклад")</f>
        <v>80% шерсть - 20% полиамид / Подклад: 100% вискоза</v>
      </c>
      <c r="K137" s="81" t="str">
        <f ca="1">LOWER(TRIM(_xlfn.XLOOKUP($A137,Строчный!$A:$A,Строчный!K:K,"ERR",0)))</f>
        <v>шерстяные</v>
      </c>
      <c r="L137" s="81" t="str">
        <f ca="1">PROPER(TRIM(_xlfn.XLOOKUP($A137,Строчный!$A:$A,Строчный!L:L,"ERR",0)))</f>
        <v>Унисекс</v>
      </c>
      <c r="M137" s="113" t="str">
        <f ca="1">PROPER(TRIM(_xlfn.XLOOKUP($A137,Строчный!$A:$A,Строчный!M:M,"ERR",0)))</f>
        <v>Россия</v>
      </c>
      <c r="N137" s="81" t="str">
        <f ca="1">UPPER(TRIM(_xlfn.XLOOKUP($A137,Строчный!$A:$A,Строчный!O:O,"ERR",0)))</f>
        <v/>
      </c>
      <c r="O137" s="102" t="str">
        <f ca="1">PROPER(TRIM(_xlfn.XLOOKUP($A137,Строчный!$A:$A,Строчный!P:P,"ERR",0)))</f>
        <v/>
      </c>
      <c r="P137" s="81" t="str">
        <f ca="1">PROPER(TRIM(_xlfn.XLOOKUP($A137,Строчный!$A:$A,Строчный!R:R,"ERR",0)))</f>
        <v/>
      </c>
      <c r="Q137" s="90">
        <f ca="1">VALUE(_xlfn.XLOOKUP($A137,Строчный!$A:$A,Строчный!N:N,"ERR",0))</f>
        <v>975.8</v>
      </c>
      <c r="R137" s="89" t="str">
        <f ca="1">_xlfn.XLOOKUP($G137,Фабрика!A:A,Фабрика!B:B,"ERR",0)</f>
        <v>ООО "ФРЭДРИКСОН" Россия 192029, С-Петербург, пр. Обуховской обороны, д.86, лит М</v>
      </c>
      <c r="S137" s="80" t="str">
        <f ca="1">_xlfn.XLOOKUP(RIGHT(AA137,2),Размеры!D:D,Размеры!A:A,"ERR",0)</f>
        <v>60</v>
      </c>
      <c r="T137" s="80">
        <f ca="1">VALUE(_xlfn.XLOOKUP($AA137,Строчный!$S:$S,Строчный!U:U,"ERR",0))</f>
        <v>3</v>
      </c>
      <c r="U137" s="14" t="s">
        <v>265</v>
      </c>
      <c r="V137" s="101" t="str">
        <f t="shared" ca="1" si="11"/>
        <v>Кепка FREDRIKSON арт. 3125 (темно-синий / голубой)</v>
      </c>
      <c r="W137" s="100" t="str">
        <f t="shared" ca="1" si="12"/>
        <v>Кепка FREDRIKSON арт. 3125 (темно-синий / голубой) {678/76}</v>
      </c>
      <c r="X137" s="18" t="str">
        <f t="shared" ca="1" si="13"/>
        <v>синий / голубой</v>
      </c>
      <c r="Y137" s="18" t="str">
        <f t="shared" ca="1" si="14"/>
        <v>синий / голубой</v>
      </c>
      <c r="Z137" s="117" t="s">
        <v>27</v>
      </c>
      <c r="AA137" s="73" t="str">
        <f ca="1"/>
        <v>95-010-16-60</v>
      </c>
      <c r="AB137" s="75" t="str">
        <f ca="1">VLOOKUP(C137,Группа!A:B,2,FALSE)</f>
        <v>Кепка</v>
      </c>
      <c r="AC137" s="97" t="str">
        <f ca="1">IFERROR(VLOOKUP(S137,Размеры!A:C,3,FALSE),"")</f>
        <v>60 L/XL</v>
      </c>
      <c r="AD137" s="97" t="str">
        <f ca="1">VLOOKUP(I137,ЦветПолный!A:B,2,FALSE)</f>
        <v>16</v>
      </c>
      <c r="AE137" s="97" t="str">
        <f ca="1">IFERROR(VLOOKUP(S137,Размеры!A:D,4,FALSE),"")</f>
        <v>60</v>
      </c>
      <c r="AF137" s="97">
        <f ca="1">IF(LEFT(IFERROR(VLOOKUP(LOOKUP(2,1/SEARCH(B137,Товары!A:A),Товары!A:A),Товары!A:B,2,0),""),6)=MID(AA137,1,6),1,0)</f>
        <v>0</v>
      </c>
      <c r="AH137" s="97">
        <f ca="1">SUMIF(Группа!A:A,C137,Группа!C:C)</f>
        <v>1</v>
      </c>
      <c r="AI137" s="97">
        <f ca="1">SUMIF(Группа!B:B,AB137,Группа!C:C)</f>
        <v>1</v>
      </c>
      <c r="AJ137" s="97">
        <f ca="1">SUMIF(Формы!A:A,D137,Формы!B:B)</f>
        <v>1</v>
      </c>
      <c r="AK137" s="97">
        <f ca="1">SUMIF(Материал!A:A,K137,Материал!B:B)</f>
        <v>1</v>
      </c>
      <c r="AL137" s="97">
        <f ca="1">SUMIF(Размеры!A:A,S137,Размеры!E:E)</f>
        <v>1</v>
      </c>
      <c r="AM137" s="97">
        <f ca="1">SUMIF(Сезон!A:A,F137,Сезон!B:B)</f>
        <v>1</v>
      </c>
      <c r="AN137" s="97">
        <f ca="1">SUMIF(Состав!A:A,J137,Состав!B:B)</f>
        <v>0</v>
      </c>
      <c r="AO137" s="97">
        <f ca="1">VLOOKUP(I137,ЦветПолный!A:C,3,0)</f>
        <v>1</v>
      </c>
      <c r="AP137" s="97">
        <f>SUMIF(Цвет!A:A,Z137,Цвет!B:B)</f>
        <v>1</v>
      </c>
      <c r="AQ137" s="97">
        <f ca="1">_xlfn.XLOOKUP(L137,Пол!A:A,Пол!B:B,0,0)</f>
        <v>1</v>
      </c>
      <c r="AR137" s="97">
        <f ca="1">SUMIF(Бренд!A:A,G137,Бренд!B:B)</f>
        <v>1</v>
      </c>
      <c r="AS137" s="97">
        <f ca="1">SUMIF(Страна!A:A,M137,Страна!B:B)</f>
        <v>1</v>
      </c>
      <c r="AT137" s="64" t="e">
        <f ca="1">IF(VLOOKUP(W137,Товары!A:B,2,FALSE)=A137,"Есть в 1С","ERR")</f>
        <v>#N/A</v>
      </c>
      <c r="AU137" s="65" t="e">
        <f ca="1">IF(VLOOKUP(A137,Товары!B:B,1,FALSE)=A137,"Есть в 1С","ERR")</f>
        <v>#N/A</v>
      </c>
      <c r="AV137" s="96" t="e">
        <f ca="1">VLOOKUP(W137,Товары!A:B,2,FALSE)</f>
        <v>#N/A</v>
      </c>
      <c r="AW137" s="94" t="e">
        <f ca="1">VLOOKUP(W137,Товары!A:B,1,FALSE)</f>
        <v>#N/A</v>
      </c>
    </row>
    <row r="138" spans="1:49" x14ac:dyDescent="0.25">
      <c r="A138" s="110" t="str">
        <f t="shared" ca="1" si="10"/>
        <v>95-010-16</v>
      </c>
      <c r="B138" s="107" t="str">
        <f ca="1">_xlfn.LET(_xlpm.CAPS,0,_xlpm.Style,TRIM(_xlfn.XLOOKUP($A138,Строчный!$A:$A,Строчный!B:B,"ERR",0)),IF(_xlpm.CAPS=0,_xlpm.Style,LOWER(_xlpm.Style)))</f>
        <v>3125</v>
      </c>
      <c r="C138" s="81" t="str">
        <f ca="1">TRIM(PROPER(_xlfn.XLOOKUP($A138,Строчный!$A:$A,Строчный!C:C,"ERR",0)))</f>
        <v>Кепки</v>
      </c>
      <c r="D138" s="81" t="str">
        <f ca="1">_xlfn.LET(_xlpm.DATA,TRIM(_xlfn.XLOOKUP($A138,Строчный!$A:$A,Строчный!D:D,"ERR",0)),UPPER(MID(_xlpm.DATA,1,1))&amp;LOWER(MID(_xlpm.DATA,2,LEN(_xlpm.DATA)-1)))</f>
        <v>Кепка плоская</v>
      </c>
      <c r="E138" s="81" t="str">
        <f ca="1">PROPER(TRIM(_xlfn.XLOOKUP($A138,Строчный!$A:$A,Строчный!E:E,"ERR",0)))</f>
        <v>Fredrikson</v>
      </c>
      <c r="F138" s="81" t="str">
        <f ca="1">LOWER(TRIM(_xlfn.XLOOKUP($A138,Строчный!$A:$A,Строчный!F:F,"ERR",0)))</f>
        <v>всесезон</v>
      </c>
      <c r="G138" s="81" t="str">
        <f ca="1">UPPER(TRIM(_xlfn.XLOOKUP($A138,Строчный!$A:$A,Строчный!G:G,"ERR",0)))</f>
        <v>FREDRIKSON</v>
      </c>
      <c r="H138" s="81" t="str">
        <f ca="1">LOWER(TRIM(_xlfn.XLOOKUP($A138,Строчный!$A:$A,Строчный!H:H,"ERR",0)))</f>
        <v>678/76</v>
      </c>
      <c r="I138" s="81" t="str">
        <f ca="1">LOWER(TRIM(_xlfn.XLOOKUP($A138,Строчный!$A:$A,Строчный!I:I,"ERR",0)))</f>
        <v>темно-синий / голубой</v>
      </c>
      <c r="J138" s="81" t="str">
        <f ca="1">SUBSTITUTE(LOWER(TRIM(_xlfn.XLOOKUP($A138,Строчный!$A:$A,Строчный!J:J,"ERR",0))),"подклад","Подклад")</f>
        <v>80% шерсть - 20% полиамид / Подклад: 100% вискоза</v>
      </c>
      <c r="K138" s="81" t="str">
        <f ca="1">LOWER(TRIM(_xlfn.XLOOKUP($A138,Строчный!$A:$A,Строчный!K:K,"ERR",0)))</f>
        <v>шерстяные</v>
      </c>
      <c r="L138" s="81" t="str">
        <f ca="1">PROPER(TRIM(_xlfn.XLOOKUP($A138,Строчный!$A:$A,Строчный!L:L,"ERR",0)))</f>
        <v>Унисекс</v>
      </c>
      <c r="M138" s="113" t="str">
        <f ca="1">PROPER(TRIM(_xlfn.XLOOKUP($A138,Строчный!$A:$A,Строчный!M:M,"ERR",0)))</f>
        <v>Россия</v>
      </c>
      <c r="N138" s="81" t="str">
        <f ca="1">UPPER(TRIM(_xlfn.XLOOKUP($A138,Строчный!$A:$A,Строчный!O:O,"ERR",0)))</f>
        <v/>
      </c>
      <c r="O138" s="102" t="str">
        <f ca="1">PROPER(TRIM(_xlfn.XLOOKUP($A138,Строчный!$A:$A,Строчный!P:P,"ERR",0)))</f>
        <v/>
      </c>
      <c r="P138" s="81" t="str">
        <f ca="1">PROPER(TRIM(_xlfn.XLOOKUP($A138,Строчный!$A:$A,Строчный!R:R,"ERR",0)))</f>
        <v/>
      </c>
      <c r="Q138" s="90">
        <f ca="1">VALUE(_xlfn.XLOOKUP($A138,Строчный!$A:$A,Строчный!N:N,"ERR",0))</f>
        <v>975.8</v>
      </c>
      <c r="R138" s="89" t="str">
        <f ca="1">_xlfn.XLOOKUP($G138,Фабрика!A:A,Фабрика!B:B,"ERR",0)</f>
        <v>ООО "ФРЭДРИКСОН" Россия 192029, С-Петербург, пр. Обуховской обороны, д.86, лит М</v>
      </c>
      <c r="S138" s="80" t="str">
        <f ca="1">_xlfn.XLOOKUP(RIGHT(AA138,2),Размеры!D:D,Размеры!A:A,"ERR",0)</f>
        <v>59</v>
      </c>
      <c r="T138" s="80">
        <f ca="1">VALUE(_xlfn.XLOOKUP($AA138,Строчный!$S:$S,Строчный!U:U,"ERR",0))</f>
        <v>4</v>
      </c>
      <c r="U138" s="14" t="s">
        <v>265</v>
      </c>
      <c r="V138" s="101" t="str">
        <f t="shared" ca="1" si="11"/>
        <v>Кепка FREDRIKSON арт. 3125 (темно-синий / голубой)</v>
      </c>
      <c r="W138" s="100" t="str">
        <f t="shared" ca="1" si="12"/>
        <v>Кепка FREDRIKSON арт. 3125 (темно-синий / голубой) {678/76}</v>
      </c>
      <c r="X138" s="18" t="str">
        <f t="shared" ca="1" si="13"/>
        <v>синий / голубой</v>
      </c>
      <c r="Y138" s="18" t="str">
        <f t="shared" ca="1" si="14"/>
        <v>синий / голубой</v>
      </c>
      <c r="Z138" s="117" t="s">
        <v>27</v>
      </c>
      <c r="AA138" s="73" t="str">
        <f ca="1"/>
        <v>95-010-16-59</v>
      </c>
      <c r="AB138" s="75" t="str">
        <f ca="1">VLOOKUP(C138,Группа!A:B,2,FALSE)</f>
        <v>Кепка</v>
      </c>
      <c r="AC138" s="97" t="str">
        <f ca="1">IFERROR(VLOOKUP(S138,Размеры!A:C,3,FALSE),"")</f>
        <v>59 L</v>
      </c>
      <c r="AD138" s="97" t="str">
        <f ca="1">VLOOKUP(I138,ЦветПолный!A:B,2,FALSE)</f>
        <v>16</v>
      </c>
      <c r="AE138" s="97" t="str">
        <f ca="1">IFERROR(VLOOKUP(S138,Размеры!A:D,4,FALSE),"")</f>
        <v>59</v>
      </c>
      <c r="AF138" s="97">
        <f ca="1">IF(LEFT(IFERROR(VLOOKUP(LOOKUP(2,1/SEARCH(B138,Товары!A:A),Товары!A:A),Товары!A:B,2,0),""),6)=MID(AA138,1,6),1,0)</f>
        <v>0</v>
      </c>
      <c r="AH138" s="97">
        <f ca="1">SUMIF(Группа!A:A,C138,Группа!C:C)</f>
        <v>1</v>
      </c>
      <c r="AI138" s="97">
        <f ca="1">SUMIF(Группа!B:B,AB138,Группа!C:C)</f>
        <v>1</v>
      </c>
      <c r="AJ138" s="97">
        <f ca="1">SUMIF(Формы!A:A,D138,Формы!B:B)</f>
        <v>1</v>
      </c>
      <c r="AK138" s="97">
        <f ca="1">SUMIF(Материал!A:A,K138,Материал!B:B)</f>
        <v>1</v>
      </c>
      <c r="AL138" s="97">
        <f ca="1">SUMIF(Размеры!A:A,S138,Размеры!E:E)</f>
        <v>1</v>
      </c>
      <c r="AM138" s="97">
        <f ca="1">SUMIF(Сезон!A:A,F138,Сезон!B:B)</f>
        <v>1</v>
      </c>
      <c r="AN138" s="97">
        <f ca="1">SUMIF(Состав!A:A,J138,Состав!B:B)</f>
        <v>0</v>
      </c>
      <c r="AO138" s="97">
        <f ca="1">VLOOKUP(I138,ЦветПолный!A:C,3,0)</f>
        <v>1</v>
      </c>
      <c r="AP138" s="97">
        <f>SUMIF(Цвет!A:A,Z138,Цвет!B:B)</f>
        <v>1</v>
      </c>
      <c r="AQ138" s="97">
        <f ca="1">_xlfn.XLOOKUP(L138,Пол!A:A,Пол!B:B,0,0)</f>
        <v>1</v>
      </c>
      <c r="AR138" s="97">
        <f ca="1">SUMIF(Бренд!A:A,G138,Бренд!B:B)</f>
        <v>1</v>
      </c>
      <c r="AS138" s="97">
        <f ca="1">SUMIF(Страна!A:A,M138,Страна!B:B)</f>
        <v>1</v>
      </c>
      <c r="AT138" s="64" t="e">
        <f ca="1">IF(VLOOKUP(W138,Товары!A:B,2,FALSE)=A138,"Есть в 1С","ERR")</f>
        <v>#N/A</v>
      </c>
      <c r="AU138" s="65" t="e">
        <f ca="1">IF(VLOOKUP(A138,Товары!B:B,1,FALSE)=A138,"Есть в 1С","ERR")</f>
        <v>#N/A</v>
      </c>
      <c r="AV138" s="96" t="e">
        <f ca="1">VLOOKUP(W138,Товары!A:B,2,FALSE)</f>
        <v>#N/A</v>
      </c>
      <c r="AW138" s="94" t="e">
        <f ca="1">VLOOKUP(W138,Товары!A:B,1,FALSE)</f>
        <v>#N/A</v>
      </c>
    </row>
    <row r="139" spans="1:49" x14ac:dyDescent="0.25">
      <c r="A139" s="110" t="str">
        <f t="shared" ca="1" si="10"/>
        <v>95-010-16</v>
      </c>
      <c r="B139" s="107" t="str">
        <f ca="1">_xlfn.LET(_xlpm.CAPS,0,_xlpm.Style,TRIM(_xlfn.XLOOKUP($A139,Строчный!$A:$A,Строчный!B:B,"ERR",0)),IF(_xlpm.CAPS=0,_xlpm.Style,LOWER(_xlpm.Style)))</f>
        <v>3125</v>
      </c>
      <c r="C139" s="81" t="str">
        <f ca="1">TRIM(PROPER(_xlfn.XLOOKUP($A139,Строчный!$A:$A,Строчный!C:C,"ERR",0)))</f>
        <v>Кепки</v>
      </c>
      <c r="D139" s="81" t="str">
        <f ca="1">_xlfn.LET(_xlpm.DATA,TRIM(_xlfn.XLOOKUP($A139,Строчный!$A:$A,Строчный!D:D,"ERR",0)),UPPER(MID(_xlpm.DATA,1,1))&amp;LOWER(MID(_xlpm.DATA,2,LEN(_xlpm.DATA)-1)))</f>
        <v>Кепка плоская</v>
      </c>
      <c r="E139" s="81" t="str">
        <f ca="1">PROPER(TRIM(_xlfn.XLOOKUP($A139,Строчный!$A:$A,Строчный!E:E,"ERR",0)))</f>
        <v>Fredrikson</v>
      </c>
      <c r="F139" s="81" t="str">
        <f ca="1">LOWER(TRIM(_xlfn.XLOOKUP($A139,Строчный!$A:$A,Строчный!F:F,"ERR",0)))</f>
        <v>всесезон</v>
      </c>
      <c r="G139" s="81" t="str">
        <f ca="1">UPPER(TRIM(_xlfn.XLOOKUP($A139,Строчный!$A:$A,Строчный!G:G,"ERR",0)))</f>
        <v>FREDRIKSON</v>
      </c>
      <c r="H139" s="81" t="str">
        <f ca="1">LOWER(TRIM(_xlfn.XLOOKUP($A139,Строчный!$A:$A,Строчный!H:H,"ERR",0)))</f>
        <v>678/76</v>
      </c>
      <c r="I139" s="81" t="str">
        <f ca="1">LOWER(TRIM(_xlfn.XLOOKUP($A139,Строчный!$A:$A,Строчный!I:I,"ERR",0)))</f>
        <v>темно-синий / голубой</v>
      </c>
      <c r="J139" s="81" t="str">
        <f ca="1">SUBSTITUTE(LOWER(TRIM(_xlfn.XLOOKUP($A139,Строчный!$A:$A,Строчный!J:J,"ERR",0))),"подклад","Подклад")</f>
        <v>80% шерсть - 20% полиамид / Подклад: 100% вискоза</v>
      </c>
      <c r="K139" s="81" t="str">
        <f ca="1">LOWER(TRIM(_xlfn.XLOOKUP($A139,Строчный!$A:$A,Строчный!K:K,"ERR",0)))</f>
        <v>шерстяные</v>
      </c>
      <c r="L139" s="81" t="str">
        <f ca="1">PROPER(TRIM(_xlfn.XLOOKUP($A139,Строчный!$A:$A,Строчный!L:L,"ERR",0)))</f>
        <v>Унисекс</v>
      </c>
      <c r="M139" s="113" t="str">
        <f ca="1">PROPER(TRIM(_xlfn.XLOOKUP($A139,Строчный!$A:$A,Строчный!M:M,"ERR",0)))</f>
        <v>Россия</v>
      </c>
      <c r="N139" s="81" t="str">
        <f ca="1">UPPER(TRIM(_xlfn.XLOOKUP($A139,Строчный!$A:$A,Строчный!O:O,"ERR",0)))</f>
        <v/>
      </c>
      <c r="O139" s="102" t="str">
        <f ca="1">PROPER(TRIM(_xlfn.XLOOKUP($A139,Строчный!$A:$A,Строчный!P:P,"ERR",0)))</f>
        <v/>
      </c>
      <c r="P139" s="81" t="str">
        <f ca="1">PROPER(TRIM(_xlfn.XLOOKUP($A139,Строчный!$A:$A,Строчный!R:R,"ERR",0)))</f>
        <v/>
      </c>
      <c r="Q139" s="90">
        <f ca="1">VALUE(_xlfn.XLOOKUP($A139,Строчный!$A:$A,Строчный!N:N,"ERR",0))</f>
        <v>975.8</v>
      </c>
      <c r="R139" s="89" t="str">
        <f ca="1">_xlfn.XLOOKUP($G139,Фабрика!A:A,Фабрика!B:B,"ERR",0)</f>
        <v>ООО "ФРЭДРИКСОН" Россия 192029, С-Петербург, пр. Обуховской обороны, д.86, лит М</v>
      </c>
      <c r="S139" s="80" t="str">
        <f ca="1">_xlfn.XLOOKUP(RIGHT(AA139,2),Размеры!D:D,Размеры!A:A,"ERR",0)</f>
        <v>58</v>
      </c>
      <c r="T139" s="80">
        <f ca="1">VALUE(_xlfn.XLOOKUP($AA139,Строчный!$S:$S,Строчный!U:U,"ERR",0))</f>
        <v>3</v>
      </c>
      <c r="U139" s="14" t="s">
        <v>265</v>
      </c>
      <c r="V139" s="101" t="str">
        <f t="shared" ca="1" si="11"/>
        <v>Кепка FREDRIKSON арт. 3125 (темно-синий / голубой)</v>
      </c>
      <c r="W139" s="100" t="str">
        <f t="shared" ca="1" si="12"/>
        <v>Кепка FREDRIKSON арт. 3125 (темно-синий / голубой) {678/76}</v>
      </c>
      <c r="X139" s="18" t="str">
        <f t="shared" ca="1" si="13"/>
        <v>синий / голубой</v>
      </c>
      <c r="Y139" s="18" t="str">
        <f t="shared" ca="1" si="14"/>
        <v>синий / голубой</v>
      </c>
      <c r="Z139" s="117" t="s">
        <v>27</v>
      </c>
      <c r="AA139" s="73" t="str">
        <f ca="1"/>
        <v>95-010-16-58</v>
      </c>
      <c r="AB139" s="75" t="str">
        <f ca="1">VLOOKUP(C139,Группа!A:B,2,FALSE)</f>
        <v>Кепка</v>
      </c>
      <c r="AC139" s="97" t="str">
        <f ca="1">IFERROR(VLOOKUP(S139,Размеры!A:C,3,FALSE),"")</f>
        <v>58 M/L</v>
      </c>
      <c r="AD139" s="97" t="str">
        <f ca="1">VLOOKUP(I139,ЦветПолный!A:B,2,FALSE)</f>
        <v>16</v>
      </c>
      <c r="AE139" s="97" t="str">
        <f ca="1">IFERROR(VLOOKUP(S139,Размеры!A:D,4,FALSE),"")</f>
        <v>58</v>
      </c>
      <c r="AF139" s="97">
        <f ca="1">IF(LEFT(IFERROR(VLOOKUP(LOOKUP(2,1/SEARCH(B139,Товары!A:A),Товары!A:A),Товары!A:B,2,0),""),6)=MID(AA139,1,6),1,0)</f>
        <v>0</v>
      </c>
      <c r="AH139" s="97">
        <f ca="1">SUMIF(Группа!A:A,C139,Группа!C:C)</f>
        <v>1</v>
      </c>
      <c r="AI139" s="97">
        <f ca="1">SUMIF(Группа!B:B,AB139,Группа!C:C)</f>
        <v>1</v>
      </c>
      <c r="AJ139" s="97">
        <f ca="1">SUMIF(Формы!A:A,D139,Формы!B:B)</f>
        <v>1</v>
      </c>
      <c r="AK139" s="97">
        <f ca="1">SUMIF(Материал!A:A,K139,Материал!B:B)</f>
        <v>1</v>
      </c>
      <c r="AL139" s="97">
        <f ca="1">SUMIF(Размеры!A:A,S139,Размеры!E:E)</f>
        <v>1</v>
      </c>
      <c r="AM139" s="97">
        <f ca="1">SUMIF(Сезон!A:A,F139,Сезон!B:B)</f>
        <v>1</v>
      </c>
      <c r="AN139" s="97">
        <f ca="1">SUMIF(Состав!A:A,J139,Состав!B:B)</f>
        <v>0</v>
      </c>
      <c r="AO139" s="97">
        <f ca="1">VLOOKUP(I139,ЦветПолный!A:C,3,0)</f>
        <v>1</v>
      </c>
      <c r="AP139" s="97">
        <f>SUMIF(Цвет!A:A,Z139,Цвет!B:B)</f>
        <v>1</v>
      </c>
      <c r="AQ139" s="97">
        <f ca="1">_xlfn.XLOOKUP(L139,Пол!A:A,Пол!B:B,0,0)</f>
        <v>1</v>
      </c>
      <c r="AR139" s="97">
        <f ca="1">SUMIF(Бренд!A:A,G139,Бренд!B:B)</f>
        <v>1</v>
      </c>
      <c r="AS139" s="97">
        <f ca="1">SUMIF(Страна!A:A,M139,Страна!B:B)</f>
        <v>1</v>
      </c>
      <c r="AT139" s="64" t="e">
        <f ca="1">IF(VLOOKUP(W139,Товары!A:B,2,FALSE)=A139,"Есть в 1С","ERR")</f>
        <v>#N/A</v>
      </c>
      <c r="AU139" s="65" t="e">
        <f ca="1">IF(VLOOKUP(A139,Товары!B:B,1,FALSE)=A139,"Есть в 1С","ERR")</f>
        <v>#N/A</v>
      </c>
      <c r="AV139" s="96" t="e">
        <f ca="1">VLOOKUP(W139,Товары!A:B,2,FALSE)</f>
        <v>#N/A</v>
      </c>
      <c r="AW139" s="94" t="e">
        <f ca="1">VLOOKUP(W139,Товары!A:B,1,FALSE)</f>
        <v>#N/A</v>
      </c>
    </row>
    <row r="140" spans="1:49" x14ac:dyDescent="0.25">
      <c r="A140" s="110" t="str">
        <f t="shared" ca="1" si="10"/>
        <v>95-010-16</v>
      </c>
      <c r="B140" s="107" t="str">
        <f ca="1">_xlfn.LET(_xlpm.CAPS,0,_xlpm.Style,TRIM(_xlfn.XLOOKUP($A140,Строчный!$A:$A,Строчный!B:B,"ERR",0)),IF(_xlpm.CAPS=0,_xlpm.Style,LOWER(_xlpm.Style)))</f>
        <v>3125</v>
      </c>
      <c r="C140" s="81" t="str">
        <f ca="1">TRIM(PROPER(_xlfn.XLOOKUP($A140,Строчный!$A:$A,Строчный!C:C,"ERR",0)))</f>
        <v>Кепки</v>
      </c>
      <c r="D140" s="81" t="str">
        <f ca="1">_xlfn.LET(_xlpm.DATA,TRIM(_xlfn.XLOOKUP($A140,Строчный!$A:$A,Строчный!D:D,"ERR",0)),UPPER(MID(_xlpm.DATA,1,1))&amp;LOWER(MID(_xlpm.DATA,2,LEN(_xlpm.DATA)-1)))</f>
        <v>Кепка плоская</v>
      </c>
      <c r="E140" s="81" t="str">
        <f ca="1">PROPER(TRIM(_xlfn.XLOOKUP($A140,Строчный!$A:$A,Строчный!E:E,"ERR",0)))</f>
        <v>Fredrikson</v>
      </c>
      <c r="F140" s="81" t="str">
        <f ca="1">LOWER(TRIM(_xlfn.XLOOKUP($A140,Строчный!$A:$A,Строчный!F:F,"ERR",0)))</f>
        <v>всесезон</v>
      </c>
      <c r="G140" s="81" t="str">
        <f ca="1">UPPER(TRIM(_xlfn.XLOOKUP($A140,Строчный!$A:$A,Строчный!G:G,"ERR",0)))</f>
        <v>FREDRIKSON</v>
      </c>
      <c r="H140" s="81" t="str">
        <f ca="1">LOWER(TRIM(_xlfn.XLOOKUP($A140,Строчный!$A:$A,Строчный!H:H,"ERR",0)))</f>
        <v>678/76</v>
      </c>
      <c r="I140" s="81" t="str">
        <f ca="1">LOWER(TRIM(_xlfn.XLOOKUP($A140,Строчный!$A:$A,Строчный!I:I,"ERR",0)))</f>
        <v>темно-синий / голубой</v>
      </c>
      <c r="J140" s="81" t="str">
        <f ca="1">SUBSTITUTE(LOWER(TRIM(_xlfn.XLOOKUP($A140,Строчный!$A:$A,Строчный!J:J,"ERR",0))),"подклад","Подклад")</f>
        <v>80% шерсть - 20% полиамид / Подклад: 100% вискоза</v>
      </c>
      <c r="K140" s="81" t="str">
        <f ca="1">LOWER(TRIM(_xlfn.XLOOKUP($A140,Строчный!$A:$A,Строчный!K:K,"ERR",0)))</f>
        <v>шерстяные</v>
      </c>
      <c r="L140" s="81" t="str">
        <f ca="1">PROPER(TRIM(_xlfn.XLOOKUP($A140,Строчный!$A:$A,Строчный!L:L,"ERR",0)))</f>
        <v>Унисекс</v>
      </c>
      <c r="M140" s="113" t="str">
        <f ca="1">PROPER(TRIM(_xlfn.XLOOKUP($A140,Строчный!$A:$A,Строчный!M:M,"ERR",0)))</f>
        <v>Россия</v>
      </c>
      <c r="N140" s="81" t="str">
        <f ca="1">UPPER(TRIM(_xlfn.XLOOKUP($A140,Строчный!$A:$A,Строчный!O:O,"ERR",0)))</f>
        <v/>
      </c>
      <c r="O140" s="102" t="str">
        <f ca="1">PROPER(TRIM(_xlfn.XLOOKUP($A140,Строчный!$A:$A,Строчный!P:P,"ERR",0)))</f>
        <v/>
      </c>
      <c r="P140" s="81" t="str">
        <f ca="1">PROPER(TRIM(_xlfn.XLOOKUP($A140,Строчный!$A:$A,Строчный!R:R,"ERR",0)))</f>
        <v/>
      </c>
      <c r="Q140" s="90">
        <f ca="1">VALUE(_xlfn.XLOOKUP($A140,Строчный!$A:$A,Строчный!N:N,"ERR",0))</f>
        <v>975.8</v>
      </c>
      <c r="R140" s="89" t="str">
        <f ca="1">_xlfn.XLOOKUP($G140,Фабрика!A:A,Фабрика!B:B,"ERR",0)</f>
        <v>ООО "ФРЭДРИКСОН" Россия 192029, С-Петербург, пр. Обуховской обороны, д.86, лит М</v>
      </c>
      <c r="S140" s="80" t="str">
        <f ca="1">_xlfn.XLOOKUP(RIGHT(AA140,2),Размеры!D:D,Размеры!A:A,"ERR",0)</f>
        <v>57</v>
      </c>
      <c r="T140" s="80">
        <f ca="1">VALUE(_xlfn.XLOOKUP($AA140,Строчный!$S:$S,Строчный!U:U,"ERR",0))</f>
        <v>2</v>
      </c>
      <c r="U140" s="14" t="s">
        <v>265</v>
      </c>
      <c r="V140" s="101" t="str">
        <f t="shared" ca="1" si="11"/>
        <v>Кепка FREDRIKSON арт. 3125 (темно-синий / голубой)</v>
      </c>
      <c r="W140" s="100" t="str">
        <f t="shared" ca="1" si="12"/>
        <v>Кепка FREDRIKSON арт. 3125 (темно-синий / голубой) {678/76}</v>
      </c>
      <c r="X140" s="18" t="str">
        <f t="shared" ca="1" si="13"/>
        <v>синий / голубой</v>
      </c>
      <c r="Y140" s="18" t="str">
        <f t="shared" ca="1" si="14"/>
        <v>синий / голубой</v>
      </c>
      <c r="Z140" s="117" t="s">
        <v>27</v>
      </c>
      <c r="AA140" s="73" t="str">
        <f ca="1"/>
        <v>95-010-16-57</v>
      </c>
      <c r="AB140" s="75" t="str">
        <f ca="1">VLOOKUP(C140,Группа!A:B,2,FALSE)</f>
        <v>Кепка</v>
      </c>
      <c r="AC140" s="97" t="str">
        <f ca="1">IFERROR(VLOOKUP(S140,Размеры!A:C,3,FALSE),"")</f>
        <v>57 M</v>
      </c>
      <c r="AD140" s="97" t="str">
        <f ca="1">VLOOKUP(I140,ЦветПолный!A:B,2,FALSE)</f>
        <v>16</v>
      </c>
      <c r="AE140" s="97" t="str">
        <f ca="1">IFERROR(VLOOKUP(S140,Размеры!A:D,4,FALSE),"")</f>
        <v>57</v>
      </c>
      <c r="AF140" s="97">
        <f ca="1">IF(LEFT(IFERROR(VLOOKUP(LOOKUP(2,1/SEARCH(B140,Товары!A:A),Товары!A:A),Товары!A:B,2,0),""),6)=MID(AA140,1,6),1,0)</f>
        <v>0</v>
      </c>
      <c r="AH140" s="97">
        <f ca="1">SUMIF(Группа!A:A,C140,Группа!C:C)</f>
        <v>1</v>
      </c>
      <c r="AI140" s="97">
        <f ca="1">SUMIF(Группа!B:B,AB140,Группа!C:C)</f>
        <v>1</v>
      </c>
      <c r="AJ140" s="97">
        <f ca="1">SUMIF(Формы!A:A,D140,Формы!B:B)</f>
        <v>1</v>
      </c>
      <c r="AK140" s="97">
        <f ca="1">SUMIF(Материал!A:A,K140,Материал!B:B)</f>
        <v>1</v>
      </c>
      <c r="AL140" s="97">
        <f ca="1">SUMIF(Размеры!A:A,S140,Размеры!E:E)</f>
        <v>1</v>
      </c>
      <c r="AM140" s="97">
        <f ca="1">SUMIF(Сезон!A:A,F140,Сезон!B:B)</f>
        <v>1</v>
      </c>
      <c r="AN140" s="97">
        <f ca="1">SUMIF(Состав!A:A,J140,Состав!B:B)</f>
        <v>0</v>
      </c>
      <c r="AO140" s="97">
        <f ca="1">VLOOKUP(I140,ЦветПолный!A:C,3,0)</f>
        <v>1</v>
      </c>
      <c r="AP140" s="97">
        <f>SUMIF(Цвет!A:A,Z140,Цвет!B:B)</f>
        <v>1</v>
      </c>
      <c r="AQ140" s="97">
        <f ca="1">_xlfn.XLOOKUP(L140,Пол!A:A,Пол!B:B,0,0)</f>
        <v>1</v>
      </c>
      <c r="AR140" s="97">
        <f ca="1">SUMIF(Бренд!A:A,G140,Бренд!B:B)</f>
        <v>1</v>
      </c>
      <c r="AS140" s="97">
        <f ca="1">SUMIF(Страна!A:A,M140,Страна!B:B)</f>
        <v>1</v>
      </c>
      <c r="AT140" s="64" t="e">
        <f ca="1">IF(VLOOKUP(W140,Товары!A:B,2,FALSE)=A140,"Есть в 1С","ERR")</f>
        <v>#N/A</v>
      </c>
      <c r="AU140" s="65" t="e">
        <f ca="1">IF(VLOOKUP(A140,Товары!B:B,1,FALSE)=A140,"Есть в 1С","ERR")</f>
        <v>#N/A</v>
      </c>
      <c r="AV140" s="96" t="e">
        <f ca="1">VLOOKUP(W140,Товары!A:B,2,FALSE)</f>
        <v>#N/A</v>
      </c>
      <c r="AW140" s="94" t="e">
        <f ca="1">VLOOKUP(W140,Товары!A:B,1,FALSE)</f>
        <v>#N/A</v>
      </c>
    </row>
    <row r="141" spans="1:49" x14ac:dyDescent="0.25">
      <c r="A141" s="110" t="str">
        <f t="shared" ca="1" si="10"/>
        <v>95-010-16</v>
      </c>
      <c r="B141" s="107" t="str">
        <f ca="1">_xlfn.LET(_xlpm.CAPS,0,_xlpm.Style,TRIM(_xlfn.XLOOKUP($A141,Строчный!$A:$A,Строчный!B:B,"ERR",0)),IF(_xlpm.CAPS=0,_xlpm.Style,LOWER(_xlpm.Style)))</f>
        <v>3125</v>
      </c>
      <c r="C141" s="81" t="str">
        <f ca="1">TRIM(PROPER(_xlfn.XLOOKUP($A141,Строчный!$A:$A,Строчный!C:C,"ERR",0)))</f>
        <v>Кепки</v>
      </c>
      <c r="D141" s="81" t="str">
        <f ca="1">_xlfn.LET(_xlpm.DATA,TRIM(_xlfn.XLOOKUP($A141,Строчный!$A:$A,Строчный!D:D,"ERR",0)),UPPER(MID(_xlpm.DATA,1,1))&amp;LOWER(MID(_xlpm.DATA,2,LEN(_xlpm.DATA)-1)))</f>
        <v>Кепка плоская</v>
      </c>
      <c r="E141" s="81" t="str">
        <f ca="1">PROPER(TRIM(_xlfn.XLOOKUP($A141,Строчный!$A:$A,Строчный!E:E,"ERR",0)))</f>
        <v>Fredrikson</v>
      </c>
      <c r="F141" s="81" t="str">
        <f ca="1">LOWER(TRIM(_xlfn.XLOOKUP($A141,Строчный!$A:$A,Строчный!F:F,"ERR",0)))</f>
        <v>всесезон</v>
      </c>
      <c r="G141" s="81" t="str">
        <f ca="1">UPPER(TRIM(_xlfn.XLOOKUP($A141,Строчный!$A:$A,Строчный!G:G,"ERR",0)))</f>
        <v>FREDRIKSON</v>
      </c>
      <c r="H141" s="81" t="str">
        <f ca="1">LOWER(TRIM(_xlfn.XLOOKUP($A141,Строчный!$A:$A,Строчный!H:H,"ERR",0)))</f>
        <v>678/76</v>
      </c>
      <c r="I141" s="81" t="str">
        <f ca="1">LOWER(TRIM(_xlfn.XLOOKUP($A141,Строчный!$A:$A,Строчный!I:I,"ERR",0)))</f>
        <v>темно-синий / голубой</v>
      </c>
      <c r="J141" s="81" t="str">
        <f ca="1">SUBSTITUTE(LOWER(TRIM(_xlfn.XLOOKUP($A141,Строчный!$A:$A,Строчный!J:J,"ERR",0))),"подклад","Подклад")</f>
        <v>80% шерсть - 20% полиамид / Подклад: 100% вискоза</v>
      </c>
      <c r="K141" s="81" t="str">
        <f ca="1">LOWER(TRIM(_xlfn.XLOOKUP($A141,Строчный!$A:$A,Строчный!K:K,"ERR",0)))</f>
        <v>шерстяные</v>
      </c>
      <c r="L141" s="81" t="str">
        <f ca="1">PROPER(TRIM(_xlfn.XLOOKUP($A141,Строчный!$A:$A,Строчный!L:L,"ERR",0)))</f>
        <v>Унисекс</v>
      </c>
      <c r="M141" s="113" t="str">
        <f ca="1">PROPER(TRIM(_xlfn.XLOOKUP($A141,Строчный!$A:$A,Строчный!M:M,"ERR",0)))</f>
        <v>Россия</v>
      </c>
      <c r="N141" s="81" t="str">
        <f ca="1">UPPER(TRIM(_xlfn.XLOOKUP($A141,Строчный!$A:$A,Строчный!O:O,"ERR",0)))</f>
        <v/>
      </c>
      <c r="O141" s="102" t="str">
        <f ca="1">PROPER(TRIM(_xlfn.XLOOKUP($A141,Строчный!$A:$A,Строчный!P:P,"ERR",0)))</f>
        <v/>
      </c>
      <c r="P141" s="81" t="str">
        <f ca="1">PROPER(TRIM(_xlfn.XLOOKUP($A141,Строчный!$A:$A,Строчный!R:R,"ERR",0)))</f>
        <v/>
      </c>
      <c r="Q141" s="90">
        <f ca="1">VALUE(_xlfn.XLOOKUP($A141,Строчный!$A:$A,Строчный!N:N,"ERR",0))</f>
        <v>975.8</v>
      </c>
      <c r="R141" s="89" t="str">
        <f ca="1">_xlfn.XLOOKUP($G141,Фабрика!A:A,Фабрика!B:B,"ERR",0)</f>
        <v>ООО "ФРЭДРИКСОН" Россия 192029, С-Петербург, пр. Обуховской обороны, д.86, лит М</v>
      </c>
      <c r="S141" s="80" t="str">
        <f ca="1">_xlfn.XLOOKUP(RIGHT(AA141,2),Размеры!D:D,Размеры!A:A,"ERR",0)</f>
        <v>56</v>
      </c>
      <c r="T141" s="80">
        <f ca="1">VALUE(_xlfn.XLOOKUP($AA141,Строчный!$S:$S,Строчный!U:U,"ERR",0))</f>
        <v>1</v>
      </c>
      <c r="U141" s="14" t="s">
        <v>265</v>
      </c>
      <c r="V141" s="101" t="str">
        <f t="shared" ca="1" si="11"/>
        <v>Кепка FREDRIKSON арт. 3125 (темно-синий / голубой)</v>
      </c>
      <c r="W141" s="100" t="str">
        <f t="shared" ca="1" si="12"/>
        <v>Кепка FREDRIKSON арт. 3125 (темно-синий / голубой) {678/76}</v>
      </c>
      <c r="X141" s="18" t="str">
        <f t="shared" ca="1" si="13"/>
        <v>синий / голубой</v>
      </c>
      <c r="Y141" s="18" t="str">
        <f t="shared" ca="1" si="14"/>
        <v>синий / голубой</v>
      </c>
      <c r="Z141" s="117" t="s">
        <v>27</v>
      </c>
      <c r="AA141" s="73" t="str">
        <f ca="1"/>
        <v>95-010-16-56</v>
      </c>
      <c r="AB141" s="75" t="str">
        <f ca="1">VLOOKUP(C141,Группа!A:B,2,FALSE)</f>
        <v>Кепка</v>
      </c>
      <c r="AC141" s="97" t="str">
        <f ca="1">IFERROR(VLOOKUP(S141,Размеры!A:C,3,FALSE),"")</f>
        <v>56 S/M</v>
      </c>
      <c r="AD141" s="97" t="str">
        <f ca="1">VLOOKUP(I141,ЦветПолный!A:B,2,FALSE)</f>
        <v>16</v>
      </c>
      <c r="AE141" s="97" t="str">
        <f ca="1">IFERROR(VLOOKUP(S141,Размеры!A:D,4,FALSE),"")</f>
        <v>56</v>
      </c>
      <c r="AF141" s="97">
        <f ca="1">IF(LEFT(IFERROR(VLOOKUP(LOOKUP(2,1/SEARCH(B141,Товары!A:A),Товары!A:A),Товары!A:B,2,0),""),6)=MID(AA141,1,6),1,0)</f>
        <v>0</v>
      </c>
      <c r="AH141" s="97">
        <f ca="1">SUMIF(Группа!A:A,C141,Группа!C:C)</f>
        <v>1</v>
      </c>
      <c r="AI141" s="97">
        <f ca="1">SUMIF(Группа!B:B,AB141,Группа!C:C)</f>
        <v>1</v>
      </c>
      <c r="AJ141" s="97">
        <f ca="1">SUMIF(Формы!A:A,D141,Формы!B:B)</f>
        <v>1</v>
      </c>
      <c r="AK141" s="97">
        <f ca="1">SUMIF(Материал!A:A,K141,Материал!B:B)</f>
        <v>1</v>
      </c>
      <c r="AL141" s="97">
        <f ca="1">SUMIF(Размеры!A:A,S141,Размеры!E:E)</f>
        <v>1</v>
      </c>
      <c r="AM141" s="97">
        <f ca="1">SUMIF(Сезон!A:A,F141,Сезон!B:B)</f>
        <v>1</v>
      </c>
      <c r="AN141" s="97">
        <f ca="1">SUMIF(Состав!A:A,J141,Состав!B:B)</f>
        <v>0</v>
      </c>
      <c r="AO141" s="97">
        <f ca="1">VLOOKUP(I141,ЦветПолный!A:C,3,0)</f>
        <v>1</v>
      </c>
      <c r="AP141" s="97">
        <f>SUMIF(Цвет!A:A,Z141,Цвет!B:B)</f>
        <v>1</v>
      </c>
      <c r="AQ141" s="97">
        <f ca="1">_xlfn.XLOOKUP(L141,Пол!A:A,Пол!B:B,0,0)</f>
        <v>1</v>
      </c>
      <c r="AR141" s="97">
        <f ca="1">SUMIF(Бренд!A:A,G141,Бренд!B:B)</f>
        <v>1</v>
      </c>
      <c r="AS141" s="97">
        <f ca="1">SUMIF(Страна!A:A,M141,Страна!B:B)</f>
        <v>1</v>
      </c>
      <c r="AT141" s="64" t="e">
        <f ca="1">IF(VLOOKUP(W141,Товары!A:B,2,FALSE)=A141,"Есть в 1С","ERR")</f>
        <v>#N/A</v>
      </c>
      <c r="AU141" s="65" t="e">
        <f ca="1">IF(VLOOKUP(A141,Товары!B:B,1,FALSE)=A141,"Есть в 1С","ERR")</f>
        <v>#N/A</v>
      </c>
      <c r="AV141" s="96" t="e">
        <f ca="1">VLOOKUP(W141,Товары!A:B,2,FALSE)</f>
        <v>#N/A</v>
      </c>
      <c r="AW141" s="94" t="e">
        <f ca="1">VLOOKUP(W141,Товары!A:B,1,FALSE)</f>
        <v>#N/A</v>
      </c>
    </row>
    <row r="142" spans="1:49" x14ac:dyDescent="0.25">
      <c r="A142" s="110" t="str">
        <f t="shared" ca="1" si="10"/>
        <v>95-010-09</v>
      </c>
      <c r="B142" s="107" t="str">
        <f ca="1">_xlfn.LET(_xlpm.CAPS,0,_xlpm.Style,TRIM(_xlfn.XLOOKUP($A142,Строчный!$A:$A,Строчный!B:B,"ERR",0)),IF(_xlpm.CAPS=0,_xlpm.Style,LOWER(_xlpm.Style)))</f>
        <v>3125</v>
      </c>
      <c r="C142" s="81" t="str">
        <f ca="1">TRIM(PROPER(_xlfn.XLOOKUP($A142,Строчный!$A:$A,Строчный!C:C,"ERR",0)))</f>
        <v>Кепки</v>
      </c>
      <c r="D142" s="81" t="str">
        <f ca="1">_xlfn.LET(_xlpm.DATA,TRIM(_xlfn.XLOOKUP($A142,Строчный!$A:$A,Строчный!D:D,"ERR",0)),UPPER(MID(_xlpm.DATA,1,1))&amp;LOWER(MID(_xlpm.DATA,2,LEN(_xlpm.DATA)-1)))</f>
        <v>Кепка плоская</v>
      </c>
      <c r="E142" s="81" t="str">
        <f ca="1">PROPER(TRIM(_xlfn.XLOOKUP($A142,Строчный!$A:$A,Строчный!E:E,"ERR",0)))</f>
        <v>Fredrikson</v>
      </c>
      <c r="F142" s="81" t="str">
        <f ca="1">LOWER(TRIM(_xlfn.XLOOKUP($A142,Строчный!$A:$A,Строчный!F:F,"ERR",0)))</f>
        <v>всесезон</v>
      </c>
      <c r="G142" s="81" t="str">
        <f ca="1">UPPER(TRIM(_xlfn.XLOOKUP($A142,Строчный!$A:$A,Строчный!G:G,"ERR",0)))</f>
        <v>FREDRIKSON</v>
      </c>
      <c r="H142" s="81" t="str">
        <f ca="1">LOWER(TRIM(_xlfn.XLOOKUP($A142,Строчный!$A:$A,Строчный!H:H,"ERR",0)))</f>
        <v>624/25</v>
      </c>
      <c r="I142" s="81" t="str">
        <f ca="1">LOWER(TRIM(_xlfn.XLOOKUP($A142,Строчный!$A:$A,Строчный!I:I,"ERR",0)))</f>
        <v>черный</v>
      </c>
      <c r="J142" s="81" t="str">
        <f ca="1">SUBSTITUTE(LOWER(TRIM(_xlfn.XLOOKUP($A142,Строчный!$A:$A,Строчный!J:J,"ERR",0))),"подклад","Подклад")</f>
        <v>80% шерсть - 20% полиамид / Подклад: 100% вискоза</v>
      </c>
      <c r="K142" s="81" t="str">
        <f ca="1">LOWER(TRIM(_xlfn.XLOOKUP($A142,Строчный!$A:$A,Строчный!K:K,"ERR",0)))</f>
        <v>шерстяные</v>
      </c>
      <c r="L142" s="81" t="str">
        <f ca="1">PROPER(TRIM(_xlfn.XLOOKUP($A142,Строчный!$A:$A,Строчный!L:L,"ERR",0)))</f>
        <v>Унисекс</v>
      </c>
      <c r="M142" s="113" t="str">
        <f ca="1">PROPER(TRIM(_xlfn.XLOOKUP($A142,Строчный!$A:$A,Строчный!M:M,"ERR",0)))</f>
        <v>Россия</v>
      </c>
      <c r="N142" s="81" t="str">
        <f ca="1">UPPER(TRIM(_xlfn.XLOOKUP($A142,Строчный!$A:$A,Строчный!O:O,"ERR",0)))</f>
        <v/>
      </c>
      <c r="O142" s="102" t="str">
        <f ca="1">PROPER(TRIM(_xlfn.XLOOKUP($A142,Строчный!$A:$A,Строчный!P:P,"ERR",0)))</f>
        <v/>
      </c>
      <c r="P142" s="81" t="str">
        <f ca="1">PROPER(TRIM(_xlfn.XLOOKUP($A142,Строчный!$A:$A,Строчный!R:R,"ERR",0)))</f>
        <v/>
      </c>
      <c r="Q142" s="90">
        <f ca="1">VALUE(_xlfn.XLOOKUP($A142,Строчный!$A:$A,Строчный!N:N,"ERR",0))</f>
        <v>975.8</v>
      </c>
      <c r="R142" s="89" t="str">
        <f ca="1">_xlfn.XLOOKUP($G142,Фабрика!A:A,Фабрика!B:B,"ERR",0)</f>
        <v>ООО "ФРЭДРИКСОН" Россия 192029, С-Петербург, пр. Обуховской обороны, д.86, лит М</v>
      </c>
      <c r="S142" s="80" t="str">
        <f ca="1">_xlfn.XLOOKUP(RIGHT(AA142,2),Размеры!D:D,Размеры!A:A,"ERR",0)</f>
        <v>62</v>
      </c>
      <c r="T142" s="80">
        <f ca="1">VALUE(_xlfn.XLOOKUP($AA142,Строчный!$S:$S,Строчный!U:U,"ERR",0))</f>
        <v>1</v>
      </c>
      <c r="U142" s="14" t="s">
        <v>265</v>
      </c>
      <c r="V142" s="101" t="str">
        <f t="shared" ca="1" si="11"/>
        <v>Кепка FREDRIKSON арт. 3125 (черный)</v>
      </c>
      <c r="W142" s="100" t="str">
        <f t="shared" ca="1" si="12"/>
        <v>Кепка FREDRIKSON арт. 3125 (черный) {624/25}</v>
      </c>
      <c r="X142" s="18" t="str">
        <f t="shared" ca="1" si="13"/>
        <v>черный</v>
      </c>
      <c r="Y142" s="18" t="str">
        <f t="shared" ca="1" si="14"/>
        <v>черный</v>
      </c>
      <c r="Z142" s="117" t="str">
        <f ca="1">_xlfn.LET(_xlpm.FormColors,_xlfn.XLOOKUP(A142,Строчный!A:A,Строчный!Q:Q,"",0),IF(_xlpm.FormColors=0,IFERROR(MID(I142,FIND("-",I142)+1,LEN(I142)),IFERROR(MID(I142,1,FIND("/",I142)-2),I142)),_xlpm.FormColors))</f>
        <v>черный</v>
      </c>
      <c r="AA142" s="73" t="str">
        <f ca="1"/>
        <v>95-010-09-62</v>
      </c>
      <c r="AB142" s="75" t="str">
        <f ca="1">VLOOKUP(C142,Группа!A:B,2,FALSE)</f>
        <v>Кепка</v>
      </c>
      <c r="AC142" s="97" t="str">
        <f ca="1">IFERROR(VLOOKUP(S142,Размеры!A:C,3,FALSE),"")</f>
        <v>62 XL/XXL</v>
      </c>
      <c r="AD142" s="97" t="str">
        <f ca="1">VLOOKUP(I142,ЦветПолный!A:B,2,FALSE)</f>
        <v>09</v>
      </c>
      <c r="AE142" s="97" t="str">
        <f ca="1">IFERROR(VLOOKUP(S142,Размеры!A:D,4,FALSE),"")</f>
        <v>62</v>
      </c>
      <c r="AF142" s="97">
        <f ca="1">IF(LEFT(IFERROR(VLOOKUP(LOOKUP(2,1/SEARCH(B142,Товары!A:A),Товары!A:A),Товары!A:B,2,0),""),6)=MID(AA142,1,6),1,0)</f>
        <v>0</v>
      </c>
      <c r="AH142" s="97">
        <f ca="1">SUMIF(Группа!A:A,C142,Группа!C:C)</f>
        <v>1</v>
      </c>
      <c r="AI142" s="97">
        <f ca="1">SUMIF(Группа!B:B,AB142,Группа!C:C)</f>
        <v>1</v>
      </c>
      <c r="AJ142" s="97">
        <f ca="1">SUMIF(Формы!A:A,D142,Формы!B:B)</f>
        <v>1</v>
      </c>
      <c r="AK142" s="97">
        <f ca="1">SUMIF(Материал!A:A,K142,Материал!B:B)</f>
        <v>1</v>
      </c>
      <c r="AL142" s="97">
        <f ca="1">SUMIF(Размеры!A:A,S142,Размеры!E:E)</f>
        <v>1</v>
      </c>
      <c r="AM142" s="97">
        <f ca="1">SUMIF(Сезон!A:A,F142,Сезон!B:B)</f>
        <v>1</v>
      </c>
      <c r="AN142" s="97">
        <f ca="1">SUMIF(Состав!A:A,J142,Состав!B:B)</f>
        <v>0</v>
      </c>
      <c r="AO142" s="97">
        <f ca="1">VLOOKUP(I142,ЦветПолный!A:C,3,0)</f>
        <v>1</v>
      </c>
      <c r="AP142" s="97">
        <f ca="1">SUMIF(Цвет!A:A,Z142,Цвет!B:B)</f>
        <v>1</v>
      </c>
      <c r="AQ142" s="97">
        <f ca="1">_xlfn.XLOOKUP(L142,Пол!A:A,Пол!B:B,0,0)</f>
        <v>1</v>
      </c>
      <c r="AR142" s="97">
        <f ca="1">SUMIF(Бренд!A:A,G142,Бренд!B:B)</f>
        <v>1</v>
      </c>
      <c r="AS142" s="97">
        <f ca="1">SUMIF(Страна!A:A,M142,Страна!B:B)</f>
        <v>1</v>
      </c>
      <c r="AT142" s="64" t="e">
        <f ca="1">IF(VLOOKUP(W142,Товары!A:B,2,FALSE)=A142,"Есть в 1С","ERR")</f>
        <v>#N/A</v>
      </c>
      <c r="AU142" s="65" t="e">
        <f ca="1">IF(VLOOKUP(A142,Товары!B:B,1,FALSE)=A142,"Есть в 1С","ERR")</f>
        <v>#N/A</v>
      </c>
      <c r="AV142" s="96" t="e">
        <f ca="1">VLOOKUP(W142,Товары!A:B,2,FALSE)</f>
        <v>#N/A</v>
      </c>
      <c r="AW142" s="94" t="e">
        <f ca="1">VLOOKUP(W142,Товары!A:B,1,FALSE)</f>
        <v>#N/A</v>
      </c>
    </row>
    <row r="143" spans="1:49" x14ac:dyDescent="0.25">
      <c r="A143" s="110" t="str">
        <f t="shared" ca="1" si="10"/>
        <v>95-010-09</v>
      </c>
      <c r="B143" s="107" t="str">
        <f ca="1">_xlfn.LET(_xlpm.CAPS,0,_xlpm.Style,TRIM(_xlfn.XLOOKUP($A143,Строчный!$A:$A,Строчный!B:B,"ERR",0)),IF(_xlpm.CAPS=0,_xlpm.Style,LOWER(_xlpm.Style)))</f>
        <v>3125</v>
      </c>
      <c r="C143" s="81" t="str">
        <f ca="1">TRIM(PROPER(_xlfn.XLOOKUP($A143,Строчный!$A:$A,Строчный!C:C,"ERR",0)))</f>
        <v>Кепки</v>
      </c>
      <c r="D143" s="81" t="str">
        <f ca="1">_xlfn.LET(_xlpm.DATA,TRIM(_xlfn.XLOOKUP($A143,Строчный!$A:$A,Строчный!D:D,"ERR",0)),UPPER(MID(_xlpm.DATA,1,1))&amp;LOWER(MID(_xlpm.DATA,2,LEN(_xlpm.DATA)-1)))</f>
        <v>Кепка плоская</v>
      </c>
      <c r="E143" s="81" t="str">
        <f ca="1">PROPER(TRIM(_xlfn.XLOOKUP($A143,Строчный!$A:$A,Строчный!E:E,"ERR",0)))</f>
        <v>Fredrikson</v>
      </c>
      <c r="F143" s="81" t="str">
        <f ca="1">LOWER(TRIM(_xlfn.XLOOKUP($A143,Строчный!$A:$A,Строчный!F:F,"ERR",0)))</f>
        <v>всесезон</v>
      </c>
      <c r="G143" s="81" t="str">
        <f ca="1">UPPER(TRIM(_xlfn.XLOOKUP($A143,Строчный!$A:$A,Строчный!G:G,"ERR",0)))</f>
        <v>FREDRIKSON</v>
      </c>
      <c r="H143" s="81" t="str">
        <f ca="1">LOWER(TRIM(_xlfn.XLOOKUP($A143,Строчный!$A:$A,Строчный!H:H,"ERR",0)))</f>
        <v>624/25</v>
      </c>
      <c r="I143" s="81" t="str">
        <f ca="1">LOWER(TRIM(_xlfn.XLOOKUP($A143,Строчный!$A:$A,Строчный!I:I,"ERR",0)))</f>
        <v>черный</v>
      </c>
      <c r="J143" s="81" t="str">
        <f ca="1">SUBSTITUTE(LOWER(TRIM(_xlfn.XLOOKUP($A143,Строчный!$A:$A,Строчный!J:J,"ERR",0))),"подклад","Подклад")</f>
        <v>80% шерсть - 20% полиамид / Подклад: 100% вискоза</v>
      </c>
      <c r="K143" s="81" t="str">
        <f ca="1">LOWER(TRIM(_xlfn.XLOOKUP($A143,Строчный!$A:$A,Строчный!K:K,"ERR",0)))</f>
        <v>шерстяные</v>
      </c>
      <c r="L143" s="81" t="str">
        <f ca="1">PROPER(TRIM(_xlfn.XLOOKUP($A143,Строчный!$A:$A,Строчный!L:L,"ERR",0)))</f>
        <v>Унисекс</v>
      </c>
      <c r="M143" s="113" t="str">
        <f ca="1">PROPER(TRIM(_xlfn.XLOOKUP($A143,Строчный!$A:$A,Строчный!M:M,"ERR",0)))</f>
        <v>Россия</v>
      </c>
      <c r="N143" s="81" t="str">
        <f ca="1">UPPER(TRIM(_xlfn.XLOOKUP($A143,Строчный!$A:$A,Строчный!O:O,"ERR",0)))</f>
        <v/>
      </c>
      <c r="O143" s="102" t="str">
        <f ca="1">PROPER(TRIM(_xlfn.XLOOKUP($A143,Строчный!$A:$A,Строчный!P:P,"ERR",0)))</f>
        <v/>
      </c>
      <c r="P143" s="81" t="str">
        <f ca="1">PROPER(TRIM(_xlfn.XLOOKUP($A143,Строчный!$A:$A,Строчный!R:R,"ERR",0)))</f>
        <v/>
      </c>
      <c r="Q143" s="90">
        <f ca="1">VALUE(_xlfn.XLOOKUP($A143,Строчный!$A:$A,Строчный!N:N,"ERR",0))</f>
        <v>975.8</v>
      </c>
      <c r="R143" s="89" t="str">
        <f ca="1">_xlfn.XLOOKUP($G143,Фабрика!A:A,Фабрика!B:B,"ERR",0)</f>
        <v>ООО "ФРЭДРИКСОН" Россия 192029, С-Петербург, пр. Обуховской обороны, д.86, лит М</v>
      </c>
      <c r="S143" s="80" t="str">
        <f ca="1">_xlfn.XLOOKUP(RIGHT(AA143,2),Размеры!D:D,Размеры!A:A,"ERR",0)</f>
        <v>61</v>
      </c>
      <c r="T143" s="80">
        <f ca="1">VALUE(_xlfn.XLOOKUP($AA143,Строчный!$S:$S,Строчный!U:U,"ERR",0))</f>
        <v>1</v>
      </c>
      <c r="U143" s="14" t="s">
        <v>265</v>
      </c>
      <c r="V143" s="101" t="str">
        <f t="shared" ca="1" si="11"/>
        <v>Кепка FREDRIKSON арт. 3125 (черный)</v>
      </c>
      <c r="W143" s="100" t="str">
        <f t="shared" ca="1" si="12"/>
        <v>Кепка FREDRIKSON арт. 3125 (черный) {624/25}</v>
      </c>
      <c r="X143" s="18" t="str">
        <f t="shared" ca="1" si="13"/>
        <v>черный</v>
      </c>
      <c r="Y143" s="18" t="str">
        <f t="shared" ca="1" si="14"/>
        <v>черный</v>
      </c>
      <c r="Z143" s="117" t="str">
        <f ca="1">_xlfn.LET(_xlpm.FormColors,_xlfn.XLOOKUP(A143,Строчный!A:A,Строчный!Q:Q,"",0),IF(_xlpm.FormColors=0,IFERROR(MID(I143,FIND("-",I143)+1,LEN(I143)),IFERROR(MID(I143,1,FIND("/",I143)-2),I143)),_xlpm.FormColors))</f>
        <v>черный</v>
      </c>
      <c r="AA143" s="73" t="str">
        <f ca="1"/>
        <v>95-010-09-61</v>
      </c>
      <c r="AB143" s="75" t="str">
        <f ca="1">VLOOKUP(C143,Группа!A:B,2,FALSE)</f>
        <v>Кепка</v>
      </c>
      <c r="AC143" s="97" t="str">
        <f ca="1">IFERROR(VLOOKUP(S143,Размеры!A:C,3,FALSE),"")</f>
        <v>61 XL</v>
      </c>
      <c r="AD143" s="97" t="str">
        <f ca="1">VLOOKUP(I143,ЦветПолный!A:B,2,FALSE)</f>
        <v>09</v>
      </c>
      <c r="AE143" s="97" t="str">
        <f ca="1">IFERROR(VLOOKUP(S143,Размеры!A:D,4,FALSE),"")</f>
        <v>61</v>
      </c>
      <c r="AF143" s="97">
        <f ca="1">IF(LEFT(IFERROR(VLOOKUP(LOOKUP(2,1/SEARCH(B143,Товары!A:A),Товары!A:A),Товары!A:B,2,0),""),6)=MID(AA143,1,6),1,0)</f>
        <v>0</v>
      </c>
      <c r="AH143" s="97">
        <f ca="1">SUMIF(Группа!A:A,C143,Группа!C:C)</f>
        <v>1</v>
      </c>
      <c r="AI143" s="97">
        <f ca="1">SUMIF(Группа!B:B,AB143,Группа!C:C)</f>
        <v>1</v>
      </c>
      <c r="AJ143" s="97">
        <f ca="1">SUMIF(Формы!A:A,D143,Формы!B:B)</f>
        <v>1</v>
      </c>
      <c r="AK143" s="97">
        <f ca="1">SUMIF(Материал!A:A,K143,Материал!B:B)</f>
        <v>1</v>
      </c>
      <c r="AL143" s="97">
        <f ca="1">SUMIF(Размеры!A:A,S143,Размеры!E:E)</f>
        <v>1</v>
      </c>
      <c r="AM143" s="97">
        <f ca="1">SUMIF(Сезон!A:A,F143,Сезон!B:B)</f>
        <v>1</v>
      </c>
      <c r="AN143" s="97">
        <f ca="1">SUMIF(Состав!A:A,J143,Состав!B:B)</f>
        <v>0</v>
      </c>
      <c r="AO143" s="97">
        <f ca="1">VLOOKUP(I143,ЦветПолный!A:C,3,0)</f>
        <v>1</v>
      </c>
      <c r="AP143" s="97">
        <f ca="1">SUMIF(Цвет!A:A,Z143,Цвет!B:B)</f>
        <v>1</v>
      </c>
      <c r="AQ143" s="97">
        <f ca="1">_xlfn.XLOOKUP(L143,Пол!A:A,Пол!B:B,0,0)</f>
        <v>1</v>
      </c>
      <c r="AR143" s="97">
        <f ca="1">SUMIF(Бренд!A:A,G143,Бренд!B:B)</f>
        <v>1</v>
      </c>
      <c r="AS143" s="97">
        <f ca="1">SUMIF(Страна!A:A,M143,Страна!B:B)</f>
        <v>1</v>
      </c>
      <c r="AT143" s="64" t="e">
        <f ca="1">IF(VLOOKUP(W143,Товары!A:B,2,FALSE)=A143,"Есть в 1С","ERR")</f>
        <v>#N/A</v>
      </c>
      <c r="AU143" s="65" t="e">
        <f ca="1">IF(VLOOKUP(A143,Товары!B:B,1,FALSE)=A143,"Есть в 1С","ERR")</f>
        <v>#N/A</v>
      </c>
      <c r="AV143" s="96" t="e">
        <f ca="1">VLOOKUP(W143,Товары!A:B,2,FALSE)</f>
        <v>#N/A</v>
      </c>
      <c r="AW143" s="94" t="e">
        <f ca="1">VLOOKUP(W143,Товары!A:B,1,FALSE)</f>
        <v>#N/A</v>
      </c>
    </row>
    <row r="144" spans="1:49" x14ac:dyDescent="0.25">
      <c r="A144" s="110" t="str">
        <f t="shared" ca="1" si="10"/>
        <v>95-010-09</v>
      </c>
      <c r="B144" s="107" t="str">
        <f ca="1">_xlfn.LET(_xlpm.CAPS,0,_xlpm.Style,TRIM(_xlfn.XLOOKUP($A144,Строчный!$A:$A,Строчный!B:B,"ERR",0)),IF(_xlpm.CAPS=0,_xlpm.Style,LOWER(_xlpm.Style)))</f>
        <v>3125</v>
      </c>
      <c r="C144" s="81" t="str">
        <f ca="1">TRIM(PROPER(_xlfn.XLOOKUP($A144,Строчный!$A:$A,Строчный!C:C,"ERR",0)))</f>
        <v>Кепки</v>
      </c>
      <c r="D144" s="81" t="str">
        <f ca="1">_xlfn.LET(_xlpm.DATA,TRIM(_xlfn.XLOOKUP($A144,Строчный!$A:$A,Строчный!D:D,"ERR",0)),UPPER(MID(_xlpm.DATA,1,1))&amp;LOWER(MID(_xlpm.DATA,2,LEN(_xlpm.DATA)-1)))</f>
        <v>Кепка плоская</v>
      </c>
      <c r="E144" s="81" t="str">
        <f ca="1">PROPER(TRIM(_xlfn.XLOOKUP($A144,Строчный!$A:$A,Строчный!E:E,"ERR",0)))</f>
        <v>Fredrikson</v>
      </c>
      <c r="F144" s="81" t="str">
        <f ca="1">LOWER(TRIM(_xlfn.XLOOKUP($A144,Строчный!$A:$A,Строчный!F:F,"ERR",0)))</f>
        <v>всесезон</v>
      </c>
      <c r="G144" s="81" t="str">
        <f ca="1">UPPER(TRIM(_xlfn.XLOOKUP($A144,Строчный!$A:$A,Строчный!G:G,"ERR",0)))</f>
        <v>FREDRIKSON</v>
      </c>
      <c r="H144" s="81" t="str">
        <f ca="1">LOWER(TRIM(_xlfn.XLOOKUP($A144,Строчный!$A:$A,Строчный!H:H,"ERR",0)))</f>
        <v>624/25</v>
      </c>
      <c r="I144" s="81" t="str">
        <f ca="1">LOWER(TRIM(_xlfn.XLOOKUP($A144,Строчный!$A:$A,Строчный!I:I,"ERR",0)))</f>
        <v>черный</v>
      </c>
      <c r="J144" s="81" t="str">
        <f ca="1">SUBSTITUTE(LOWER(TRIM(_xlfn.XLOOKUP($A144,Строчный!$A:$A,Строчный!J:J,"ERR",0))),"подклад","Подклад")</f>
        <v>80% шерсть - 20% полиамид / Подклад: 100% вискоза</v>
      </c>
      <c r="K144" s="81" t="str">
        <f ca="1">LOWER(TRIM(_xlfn.XLOOKUP($A144,Строчный!$A:$A,Строчный!K:K,"ERR",0)))</f>
        <v>шерстяные</v>
      </c>
      <c r="L144" s="81" t="str">
        <f ca="1">PROPER(TRIM(_xlfn.XLOOKUP($A144,Строчный!$A:$A,Строчный!L:L,"ERR",0)))</f>
        <v>Унисекс</v>
      </c>
      <c r="M144" s="113" t="str">
        <f ca="1">PROPER(TRIM(_xlfn.XLOOKUP($A144,Строчный!$A:$A,Строчный!M:M,"ERR",0)))</f>
        <v>Россия</v>
      </c>
      <c r="N144" s="81" t="str">
        <f ca="1">UPPER(TRIM(_xlfn.XLOOKUP($A144,Строчный!$A:$A,Строчный!O:O,"ERR",0)))</f>
        <v/>
      </c>
      <c r="O144" s="102" t="str">
        <f ca="1">PROPER(TRIM(_xlfn.XLOOKUP($A144,Строчный!$A:$A,Строчный!P:P,"ERR",0)))</f>
        <v/>
      </c>
      <c r="P144" s="81" t="str">
        <f ca="1">PROPER(TRIM(_xlfn.XLOOKUP($A144,Строчный!$A:$A,Строчный!R:R,"ERR",0)))</f>
        <v/>
      </c>
      <c r="Q144" s="90">
        <f ca="1">VALUE(_xlfn.XLOOKUP($A144,Строчный!$A:$A,Строчный!N:N,"ERR",0))</f>
        <v>975.8</v>
      </c>
      <c r="R144" s="89" t="str">
        <f ca="1">_xlfn.XLOOKUP($G144,Фабрика!A:A,Фабрика!B:B,"ERR",0)</f>
        <v>ООО "ФРЭДРИКСОН" Россия 192029, С-Петербург, пр. Обуховской обороны, д.86, лит М</v>
      </c>
      <c r="S144" s="80" t="str">
        <f ca="1">_xlfn.XLOOKUP(RIGHT(AA144,2),Размеры!D:D,Размеры!A:A,"ERR",0)</f>
        <v>60</v>
      </c>
      <c r="T144" s="80">
        <f ca="1">VALUE(_xlfn.XLOOKUP($AA144,Строчный!$S:$S,Строчный!U:U,"ERR",0))</f>
        <v>1</v>
      </c>
      <c r="U144" s="14" t="s">
        <v>265</v>
      </c>
      <c r="V144" s="101" t="str">
        <f t="shared" ca="1" si="11"/>
        <v>Кепка FREDRIKSON арт. 3125 (черный)</v>
      </c>
      <c r="W144" s="100" t="str">
        <f t="shared" ca="1" si="12"/>
        <v>Кепка FREDRIKSON арт. 3125 (черный) {624/25}</v>
      </c>
      <c r="X144" s="18" t="str">
        <f t="shared" ca="1" si="13"/>
        <v>черный</v>
      </c>
      <c r="Y144" s="18" t="str">
        <f t="shared" ca="1" si="14"/>
        <v>черный</v>
      </c>
      <c r="Z144" s="117" t="str">
        <f ca="1">_xlfn.LET(_xlpm.FormColors,_xlfn.XLOOKUP(A144,Строчный!A:A,Строчный!Q:Q,"",0),IF(_xlpm.FormColors=0,IFERROR(MID(I144,FIND("-",I144)+1,LEN(I144)),IFERROR(MID(I144,1,FIND("/",I144)-2),I144)),_xlpm.FormColors))</f>
        <v>черный</v>
      </c>
      <c r="AA144" s="73" t="str">
        <f ca="1"/>
        <v>95-010-09-60</v>
      </c>
      <c r="AB144" s="75" t="str">
        <f ca="1">VLOOKUP(C144,Группа!A:B,2,FALSE)</f>
        <v>Кепка</v>
      </c>
      <c r="AC144" s="97" t="str">
        <f ca="1">IFERROR(VLOOKUP(S144,Размеры!A:C,3,FALSE),"")</f>
        <v>60 L/XL</v>
      </c>
      <c r="AD144" s="97" t="str">
        <f ca="1">VLOOKUP(I144,ЦветПолный!A:B,2,FALSE)</f>
        <v>09</v>
      </c>
      <c r="AE144" s="97" t="str">
        <f ca="1">IFERROR(VLOOKUP(S144,Размеры!A:D,4,FALSE),"")</f>
        <v>60</v>
      </c>
      <c r="AF144" s="97">
        <f ca="1">IF(LEFT(IFERROR(VLOOKUP(LOOKUP(2,1/SEARCH(B144,Товары!A:A),Товары!A:A),Товары!A:B,2,0),""),6)=MID(AA144,1,6),1,0)</f>
        <v>0</v>
      </c>
      <c r="AH144" s="97">
        <f ca="1">SUMIF(Группа!A:A,C144,Группа!C:C)</f>
        <v>1</v>
      </c>
      <c r="AI144" s="97">
        <f ca="1">SUMIF(Группа!B:B,AB144,Группа!C:C)</f>
        <v>1</v>
      </c>
      <c r="AJ144" s="97">
        <f ca="1">SUMIF(Формы!A:A,D144,Формы!B:B)</f>
        <v>1</v>
      </c>
      <c r="AK144" s="97">
        <f ca="1">SUMIF(Материал!A:A,K144,Материал!B:B)</f>
        <v>1</v>
      </c>
      <c r="AL144" s="97">
        <f ca="1">SUMIF(Размеры!A:A,S144,Размеры!E:E)</f>
        <v>1</v>
      </c>
      <c r="AM144" s="97">
        <f ca="1">SUMIF(Сезон!A:A,F144,Сезон!B:B)</f>
        <v>1</v>
      </c>
      <c r="AN144" s="97">
        <f ca="1">SUMIF(Состав!A:A,J144,Состав!B:B)</f>
        <v>0</v>
      </c>
      <c r="AO144" s="97">
        <f ca="1">VLOOKUP(I144,ЦветПолный!A:C,3,0)</f>
        <v>1</v>
      </c>
      <c r="AP144" s="97">
        <f ca="1">SUMIF(Цвет!A:A,Z144,Цвет!B:B)</f>
        <v>1</v>
      </c>
      <c r="AQ144" s="97">
        <f ca="1">_xlfn.XLOOKUP(L144,Пол!A:A,Пол!B:B,0,0)</f>
        <v>1</v>
      </c>
      <c r="AR144" s="97">
        <f ca="1">SUMIF(Бренд!A:A,G144,Бренд!B:B)</f>
        <v>1</v>
      </c>
      <c r="AS144" s="97">
        <f ca="1">SUMIF(Страна!A:A,M144,Страна!B:B)</f>
        <v>1</v>
      </c>
      <c r="AT144" s="64" t="e">
        <f ca="1">IF(VLOOKUP(W144,Товары!A:B,2,FALSE)=A144,"Есть в 1С","ERR")</f>
        <v>#N/A</v>
      </c>
      <c r="AU144" s="65" t="e">
        <f ca="1">IF(VLOOKUP(A144,Товары!B:B,1,FALSE)=A144,"Есть в 1С","ERR")</f>
        <v>#N/A</v>
      </c>
      <c r="AV144" s="96" t="e">
        <f ca="1">VLOOKUP(W144,Товары!A:B,2,FALSE)</f>
        <v>#N/A</v>
      </c>
      <c r="AW144" s="94" t="e">
        <f ca="1">VLOOKUP(W144,Товары!A:B,1,FALSE)</f>
        <v>#N/A</v>
      </c>
    </row>
    <row r="145" spans="1:49" x14ac:dyDescent="0.25">
      <c r="A145" s="110" t="str">
        <f t="shared" ca="1" si="10"/>
        <v>95-010-09</v>
      </c>
      <c r="B145" s="107" t="str">
        <f ca="1">_xlfn.LET(_xlpm.CAPS,0,_xlpm.Style,TRIM(_xlfn.XLOOKUP($A145,Строчный!$A:$A,Строчный!B:B,"ERR",0)),IF(_xlpm.CAPS=0,_xlpm.Style,LOWER(_xlpm.Style)))</f>
        <v>3125</v>
      </c>
      <c r="C145" s="81" t="str">
        <f ca="1">TRIM(PROPER(_xlfn.XLOOKUP($A145,Строчный!$A:$A,Строчный!C:C,"ERR",0)))</f>
        <v>Кепки</v>
      </c>
      <c r="D145" s="81" t="str">
        <f ca="1">_xlfn.LET(_xlpm.DATA,TRIM(_xlfn.XLOOKUP($A145,Строчный!$A:$A,Строчный!D:D,"ERR",0)),UPPER(MID(_xlpm.DATA,1,1))&amp;LOWER(MID(_xlpm.DATA,2,LEN(_xlpm.DATA)-1)))</f>
        <v>Кепка плоская</v>
      </c>
      <c r="E145" s="81" t="str">
        <f ca="1">PROPER(TRIM(_xlfn.XLOOKUP($A145,Строчный!$A:$A,Строчный!E:E,"ERR",0)))</f>
        <v>Fredrikson</v>
      </c>
      <c r="F145" s="81" t="str">
        <f ca="1">LOWER(TRIM(_xlfn.XLOOKUP($A145,Строчный!$A:$A,Строчный!F:F,"ERR",0)))</f>
        <v>всесезон</v>
      </c>
      <c r="G145" s="81" t="str">
        <f ca="1">UPPER(TRIM(_xlfn.XLOOKUP($A145,Строчный!$A:$A,Строчный!G:G,"ERR",0)))</f>
        <v>FREDRIKSON</v>
      </c>
      <c r="H145" s="81" t="str">
        <f ca="1">LOWER(TRIM(_xlfn.XLOOKUP($A145,Строчный!$A:$A,Строчный!H:H,"ERR",0)))</f>
        <v>624/25</v>
      </c>
      <c r="I145" s="81" t="str">
        <f ca="1">LOWER(TRIM(_xlfn.XLOOKUP($A145,Строчный!$A:$A,Строчный!I:I,"ERR",0)))</f>
        <v>черный</v>
      </c>
      <c r="J145" s="81" t="str">
        <f ca="1">SUBSTITUTE(LOWER(TRIM(_xlfn.XLOOKUP($A145,Строчный!$A:$A,Строчный!J:J,"ERR",0))),"подклад","Подклад")</f>
        <v>80% шерсть - 20% полиамид / Подклад: 100% вискоза</v>
      </c>
      <c r="K145" s="81" t="str">
        <f ca="1">LOWER(TRIM(_xlfn.XLOOKUP($A145,Строчный!$A:$A,Строчный!K:K,"ERR",0)))</f>
        <v>шерстяные</v>
      </c>
      <c r="L145" s="81" t="str">
        <f ca="1">PROPER(TRIM(_xlfn.XLOOKUP($A145,Строчный!$A:$A,Строчный!L:L,"ERR",0)))</f>
        <v>Унисекс</v>
      </c>
      <c r="M145" s="113" t="str">
        <f ca="1">PROPER(TRIM(_xlfn.XLOOKUP($A145,Строчный!$A:$A,Строчный!M:M,"ERR",0)))</f>
        <v>Россия</v>
      </c>
      <c r="N145" s="81" t="str">
        <f ca="1">UPPER(TRIM(_xlfn.XLOOKUP($A145,Строчный!$A:$A,Строчный!O:O,"ERR",0)))</f>
        <v/>
      </c>
      <c r="O145" s="102" t="str">
        <f ca="1">PROPER(TRIM(_xlfn.XLOOKUP($A145,Строчный!$A:$A,Строчный!P:P,"ERR",0)))</f>
        <v/>
      </c>
      <c r="P145" s="81" t="str">
        <f ca="1">PROPER(TRIM(_xlfn.XLOOKUP($A145,Строчный!$A:$A,Строчный!R:R,"ERR",0)))</f>
        <v/>
      </c>
      <c r="Q145" s="90">
        <f ca="1">VALUE(_xlfn.XLOOKUP($A145,Строчный!$A:$A,Строчный!N:N,"ERR",0))</f>
        <v>975.8</v>
      </c>
      <c r="R145" s="89" t="str">
        <f ca="1">_xlfn.XLOOKUP($G145,Фабрика!A:A,Фабрика!B:B,"ERR",0)</f>
        <v>ООО "ФРЭДРИКСОН" Россия 192029, С-Петербург, пр. Обуховской обороны, д.86, лит М</v>
      </c>
      <c r="S145" s="80" t="str">
        <f ca="1">_xlfn.XLOOKUP(RIGHT(AA145,2),Размеры!D:D,Размеры!A:A,"ERR",0)</f>
        <v>59</v>
      </c>
      <c r="T145" s="80">
        <f ca="1">VALUE(_xlfn.XLOOKUP($AA145,Строчный!$S:$S,Строчный!U:U,"ERR",0))</f>
        <v>2</v>
      </c>
      <c r="U145" s="14" t="s">
        <v>265</v>
      </c>
      <c r="V145" s="101" t="str">
        <f t="shared" ca="1" si="11"/>
        <v>Кепка FREDRIKSON арт. 3125 (черный)</v>
      </c>
      <c r="W145" s="100" t="str">
        <f t="shared" ca="1" si="12"/>
        <v>Кепка FREDRIKSON арт. 3125 (черный) {624/25}</v>
      </c>
      <c r="X145" s="18" t="str">
        <f t="shared" ca="1" si="13"/>
        <v>черный</v>
      </c>
      <c r="Y145" s="18" t="str">
        <f t="shared" ca="1" si="14"/>
        <v>черный</v>
      </c>
      <c r="Z145" s="117" t="str">
        <f ca="1">_xlfn.LET(_xlpm.FormColors,_xlfn.XLOOKUP(A145,Строчный!A:A,Строчный!Q:Q,"",0),IF(_xlpm.FormColors=0,IFERROR(MID(I145,FIND("-",I145)+1,LEN(I145)),IFERROR(MID(I145,1,FIND("/",I145)-2),I145)),_xlpm.FormColors))</f>
        <v>черный</v>
      </c>
      <c r="AA145" s="73" t="str">
        <f ca="1"/>
        <v>95-010-09-59</v>
      </c>
      <c r="AB145" s="75" t="str">
        <f ca="1">VLOOKUP(C145,Группа!A:B,2,FALSE)</f>
        <v>Кепка</v>
      </c>
      <c r="AC145" s="97" t="str">
        <f ca="1">IFERROR(VLOOKUP(S145,Размеры!A:C,3,FALSE),"")</f>
        <v>59 L</v>
      </c>
      <c r="AD145" s="97" t="str">
        <f ca="1">VLOOKUP(I145,ЦветПолный!A:B,2,FALSE)</f>
        <v>09</v>
      </c>
      <c r="AE145" s="97" t="str">
        <f ca="1">IFERROR(VLOOKUP(S145,Размеры!A:D,4,FALSE),"")</f>
        <v>59</v>
      </c>
      <c r="AF145" s="97">
        <f ca="1">IF(LEFT(IFERROR(VLOOKUP(LOOKUP(2,1/SEARCH(B145,Товары!A:A),Товары!A:A),Товары!A:B,2,0),""),6)=MID(AA145,1,6),1,0)</f>
        <v>0</v>
      </c>
      <c r="AH145" s="97">
        <f ca="1">SUMIF(Группа!A:A,C145,Группа!C:C)</f>
        <v>1</v>
      </c>
      <c r="AI145" s="97">
        <f ca="1">SUMIF(Группа!B:B,AB145,Группа!C:C)</f>
        <v>1</v>
      </c>
      <c r="AJ145" s="97">
        <f ca="1">SUMIF(Формы!A:A,D145,Формы!B:B)</f>
        <v>1</v>
      </c>
      <c r="AK145" s="97">
        <f ca="1">SUMIF(Материал!A:A,K145,Материал!B:B)</f>
        <v>1</v>
      </c>
      <c r="AL145" s="97">
        <f ca="1">SUMIF(Размеры!A:A,S145,Размеры!E:E)</f>
        <v>1</v>
      </c>
      <c r="AM145" s="97">
        <f ca="1">SUMIF(Сезон!A:A,F145,Сезон!B:B)</f>
        <v>1</v>
      </c>
      <c r="AN145" s="97">
        <f ca="1">SUMIF(Состав!A:A,J145,Состав!B:B)</f>
        <v>0</v>
      </c>
      <c r="AO145" s="97">
        <f ca="1">VLOOKUP(I145,ЦветПолный!A:C,3,0)</f>
        <v>1</v>
      </c>
      <c r="AP145" s="97">
        <f ca="1">SUMIF(Цвет!A:A,Z145,Цвет!B:B)</f>
        <v>1</v>
      </c>
      <c r="AQ145" s="97">
        <f ca="1">_xlfn.XLOOKUP(L145,Пол!A:A,Пол!B:B,0,0)</f>
        <v>1</v>
      </c>
      <c r="AR145" s="97">
        <f ca="1">SUMIF(Бренд!A:A,G145,Бренд!B:B)</f>
        <v>1</v>
      </c>
      <c r="AS145" s="97">
        <f ca="1">SUMIF(Страна!A:A,M145,Страна!B:B)</f>
        <v>1</v>
      </c>
      <c r="AT145" s="64" t="e">
        <f ca="1">IF(VLOOKUP(W145,Товары!A:B,2,FALSE)=A145,"Есть в 1С","ERR")</f>
        <v>#N/A</v>
      </c>
      <c r="AU145" s="65" t="e">
        <f ca="1">IF(VLOOKUP(A145,Товары!B:B,1,FALSE)=A145,"Есть в 1С","ERR")</f>
        <v>#N/A</v>
      </c>
      <c r="AV145" s="96" t="e">
        <f ca="1">VLOOKUP(W145,Товары!A:B,2,FALSE)</f>
        <v>#N/A</v>
      </c>
      <c r="AW145" s="94" t="e">
        <f ca="1">VLOOKUP(W145,Товары!A:B,1,FALSE)</f>
        <v>#N/A</v>
      </c>
    </row>
    <row r="146" spans="1:49" x14ac:dyDescent="0.25">
      <c r="A146" s="110" t="str">
        <f t="shared" ca="1" si="10"/>
        <v>95-010-09</v>
      </c>
      <c r="B146" s="107" t="str">
        <f ca="1">_xlfn.LET(_xlpm.CAPS,0,_xlpm.Style,TRIM(_xlfn.XLOOKUP($A146,Строчный!$A:$A,Строчный!B:B,"ERR",0)),IF(_xlpm.CAPS=0,_xlpm.Style,LOWER(_xlpm.Style)))</f>
        <v>3125</v>
      </c>
      <c r="C146" s="81" t="str">
        <f ca="1">TRIM(PROPER(_xlfn.XLOOKUP($A146,Строчный!$A:$A,Строчный!C:C,"ERR",0)))</f>
        <v>Кепки</v>
      </c>
      <c r="D146" s="81" t="str">
        <f ca="1">_xlfn.LET(_xlpm.DATA,TRIM(_xlfn.XLOOKUP($A146,Строчный!$A:$A,Строчный!D:D,"ERR",0)),UPPER(MID(_xlpm.DATA,1,1))&amp;LOWER(MID(_xlpm.DATA,2,LEN(_xlpm.DATA)-1)))</f>
        <v>Кепка плоская</v>
      </c>
      <c r="E146" s="81" t="str">
        <f ca="1">PROPER(TRIM(_xlfn.XLOOKUP($A146,Строчный!$A:$A,Строчный!E:E,"ERR",0)))</f>
        <v>Fredrikson</v>
      </c>
      <c r="F146" s="81" t="str">
        <f ca="1">LOWER(TRIM(_xlfn.XLOOKUP($A146,Строчный!$A:$A,Строчный!F:F,"ERR",0)))</f>
        <v>всесезон</v>
      </c>
      <c r="G146" s="81" t="str">
        <f ca="1">UPPER(TRIM(_xlfn.XLOOKUP($A146,Строчный!$A:$A,Строчный!G:G,"ERR",0)))</f>
        <v>FREDRIKSON</v>
      </c>
      <c r="H146" s="81" t="str">
        <f ca="1">LOWER(TRIM(_xlfn.XLOOKUP($A146,Строчный!$A:$A,Строчный!H:H,"ERR",0)))</f>
        <v>624/25</v>
      </c>
      <c r="I146" s="81" t="str">
        <f ca="1">LOWER(TRIM(_xlfn.XLOOKUP($A146,Строчный!$A:$A,Строчный!I:I,"ERR",0)))</f>
        <v>черный</v>
      </c>
      <c r="J146" s="81" t="str">
        <f ca="1">SUBSTITUTE(LOWER(TRIM(_xlfn.XLOOKUP($A146,Строчный!$A:$A,Строчный!J:J,"ERR",0))),"подклад","Подклад")</f>
        <v>80% шерсть - 20% полиамид / Подклад: 100% вискоза</v>
      </c>
      <c r="K146" s="81" t="str">
        <f ca="1">LOWER(TRIM(_xlfn.XLOOKUP($A146,Строчный!$A:$A,Строчный!K:K,"ERR",0)))</f>
        <v>шерстяные</v>
      </c>
      <c r="L146" s="81" t="str">
        <f ca="1">PROPER(TRIM(_xlfn.XLOOKUP($A146,Строчный!$A:$A,Строчный!L:L,"ERR",0)))</f>
        <v>Унисекс</v>
      </c>
      <c r="M146" s="113" t="str">
        <f ca="1">PROPER(TRIM(_xlfn.XLOOKUP($A146,Строчный!$A:$A,Строчный!M:M,"ERR",0)))</f>
        <v>Россия</v>
      </c>
      <c r="N146" s="81" t="str">
        <f ca="1">UPPER(TRIM(_xlfn.XLOOKUP($A146,Строчный!$A:$A,Строчный!O:O,"ERR",0)))</f>
        <v/>
      </c>
      <c r="O146" s="102" t="str">
        <f ca="1">PROPER(TRIM(_xlfn.XLOOKUP($A146,Строчный!$A:$A,Строчный!P:P,"ERR",0)))</f>
        <v/>
      </c>
      <c r="P146" s="81" t="str">
        <f ca="1">PROPER(TRIM(_xlfn.XLOOKUP($A146,Строчный!$A:$A,Строчный!R:R,"ERR",0)))</f>
        <v/>
      </c>
      <c r="Q146" s="90">
        <f ca="1">VALUE(_xlfn.XLOOKUP($A146,Строчный!$A:$A,Строчный!N:N,"ERR",0))</f>
        <v>975.8</v>
      </c>
      <c r="R146" s="89" t="str">
        <f ca="1">_xlfn.XLOOKUP($G146,Фабрика!A:A,Фабрика!B:B,"ERR",0)</f>
        <v>ООО "ФРЭДРИКСОН" Россия 192029, С-Петербург, пр. Обуховской обороны, д.86, лит М</v>
      </c>
      <c r="S146" s="80" t="str">
        <f ca="1">_xlfn.XLOOKUP(RIGHT(AA146,2),Размеры!D:D,Размеры!A:A,"ERR",0)</f>
        <v>58</v>
      </c>
      <c r="T146" s="80">
        <f ca="1">VALUE(_xlfn.XLOOKUP($AA146,Строчный!$S:$S,Строчный!U:U,"ERR",0))</f>
        <v>1</v>
      </c>
      <c r="U146" s="14" t="s">
        <v>265</v>
      </c>
      <c r="V146" s="101" t="str">
        <f t="shared" ca="1" si="11"/>
        <v>Кепка FREDRIKSON арт. 3125 (черный)</v>
      </c>
      <c r="W146" s="100" t="str">
        <f t="shared" ca="1" si="12"/>
        <v>Кепка FREDRIKSON арт. 3125 (черный) {624/25}</v>
      </c>
      <c r="X146" s="18" t="str">
        <f t="shared" ca="1" si="13"/>
        <v>черный</v>
      </c>
      <c r="Y146" s="18" t="str">
        <f t="shared" ca="1" si="14"/>
        <v>черный</v>
      </c>
      <c r="Z146" s="117" t="str">
        <f ca="1">_xlfn.LET(_xlpm.FormColors,_xlfn.XLOOKUP(A146,Строчный!A:A,Строчный!Q:Q,"",0),IF(_xlpm.FormColors=0,IFERROR(MID(I146,FIND("-",I146)+1,LEN(I146)),IFERROR(MID(I146,1,FIND("/",I146)-2),I146)),_xlpm.FormColors))</f>
        <v>черный</v>
      </c>
      <c r="AA146" s="73" t="str">
        <f ca="1"/>
        <v>95-010-09-58</v>
      </c>
      <c r="AB146" s="75" t="str">
        <f ca="1">VLOOKUP(C146,Группа!A:B,2,FALSE)</f>
        <v>Кепка</v>
      </c>
      <c r="AC146" s="97" t="str">
        <f ca="1">IFERROR(VLOOKUP(S146,Размеры!A:C,3,FALSE),"")</f>
        <v>58 M/L</v>
      </c>
      <c r="AD146" s="97" t="str">
        <f ca="1">VLOOKUP(I146,ЦветПолный!A:B,2,FALSE)</f>
        <v>09</v>
      </c>
      <c r="AE146" s="97" t="str">
        <f ca="1">IFERROR(VLOOKUP(S146,Размеры!A:D,4,FALSE),"")</f>
        <v>58</v>
      </c>
      <c r="AF146" s="97">
        <f ca="1">IF(LEFT(IFERROR(VLOOKUP(LOOKUP(2,1/SEARCH(B146,Товары!A:A),Товары!A:A),Товары!A:B,2,0),""),6)=MID(AA146,1,6),1,0)</f>
        <v>0</v>
      </c>
      <c r="AH146" s="97">
        <f ca="1">SUMIF(Группа!A:A,C146,Группа!C:C)</f>
        <v>1</v>
      </c>
      <c r="AI146" s="97">
        <f ca="1">SUMIF(Группа!B:B,AB146,Группа!C:C)</f>
        <v>1</v>
      </c>
      <c r="AJ146" s="97">
        <f ca="1">SUMIF(Формы!A:A,D146,Формы!B:B)</f>
        <v>1</v>
      </c>
      <c r="AK146" s="97">
        <f ca="1">SUMIF(Материал!A:A,K146,Материал!B:B)</f>
        <v>1</v>
      </c>
      <c r="AL146" s="97">
        <f ca="1">SUMIF(Размеры!A:A,S146,Размеры!E:E)</f>
        <v>1</v>
      </c>
      <c r="AM146" s="97">
        <f ca="1">SUMIF(Сезон!A:A,F146,Сезон!B:B)</f>
        <v>1</v>
      </c>
      <c r="AN146" s="97">
        <f ca="1">SUMIF(Состав!A:A,J146,Состав!B:B)</f>
        <v>0</v>
      </c>
      <c r="AO146" s="97">
        <f ca="1">VLOOKUP(I146,ЦветПолный!A:C,3,0)</f>
        <v>1</v>
      </c>
      <c r="AP146" s="97">
        <f ca="1">SUMIF(Цвет!A:A,Z146,Цвет!B:B)</f>
        <v>1</v>
      </c>
      <c r="AQ146" s="97">
        <f ca="1">_xlfn.XLOOKUP(L146,Пол!A:A,Пол!B:B,0,0)</f>
        <v>1</v>
      </c>
      <c r="AR146" s="97">
        <f ca="1">SUMIF(Бренд!A:A,G146,Бренд!B:B)</f>
        <v>1</v>
      </c>
      <c r="AS146" s="97">
        <f ca="1">SUMIF(Страна!A:A,M146,Страна!B:B)</f>
        <v>1</v>
      </c>
      <c r="AT146" s="64" t="e">
        <f ca="1">IF(VLOOKUP(W146,Товары!A:B,2,FALSE)=A146,"Есть в 1С","ERR")</f>
        <v>#N/A</v>
      </c>
      <c r="AU146" s="65" t="e">
        <f ca="1">IF(VLOOKUP(A146,Товары!B:B,1,FALSE)=A146,"Есть в 1С","ERR")</f>
        <v>#N/A</v>
      </c>
      <c r="AV146" s="96" t="e">
        <f ca="1">VLOOKUP(W146,Товары!A:B,2,FALSE)</f>
        <v>#N/A</v>
      </c>
      <c r="AW146" s="94" t="e">
        <f ca="1">VLOOKUP(W146,Товары!A:B,1,FALSE)</f>
        <v>#N/A</v>
      </c>
    </row>
    <row r="147" spans="1:49" x14ac:dyDescent="0.25">
      <c r="A147" s="110" t="str">
        <f t="shared" ca="1" si="10"/>
        <v>95-010-09</v>
      </c>
      <c r="B147" s="107" t="str">
        <f ca="1">_xlfn.LET(_xlpm.CAPS,0,_xlpm.Style,TRIM(_xlfn.XLOOKUP($A147,Строчный!$A:$A,Строчный!B:B,"ERR",0)),IF(_xlpm.CAPS=0,_xlpm.Style,LOWER(_xlpm.Style)))</f>
        <v>3125</v>
      </c>
      <c r="C147" s="81" t="str">
        <f ca="1">TRIM(PROPER(_xlfn.XLOOKUP($A147,Строчный!$A:$A,Строчный!C:C,"ERR",0)))</f>
        <v>Кепки</v>
      </c>
      <c r="D147" s="81" t="str">
        <f ca="1">_xlfn.LET(_xlpm.DATA,TRIM(_xlfn.XLOOKUP($A147,Строчный!$A:$A,Строчный!D:D,"ERR",0)),UPPER(MID(_xlpm.DATA,1,1))&amp;LOWER(MID(_xlpm.DATA,2,LEN(_xlpm.DATA)-1)))</f>
        <v>Кепка плоская</v>
      </c>
      <c r="E147" s="81" t="str">
        <f ca="1">PROPER(TRIM(_xlfn.XLOOKUP($A147,Строчный!$A:$A,Строчный!E:E,"ERR",0)))</f>
        <v>Fredrikson</v>
      </c>
      <c r="F147" s="81" t="str">
        <f ca="1">LOWER(TRIM(_xlfn.XLOOKUP($A147,Строчный!$A:$A,Строчный!F:F,"ERR",0)))</f>
        <v>всесезон</v>
      </c>
      <c r="G147" s="81" t="str">
        <f ca="1">UPPER(TRIM(_xlfn.XLOOKUP($A147,Строчный!$A:$A,Строчный!G:G,"ERR",0)))</f>
        <v>FREDRIKSON</v>
      </c>
      <c r="H147" s="81" t="str">
        <f ca="1">LOWER(TRIM(_xlfn.XLOOKUP($A147,Строчный!$A:$A,Строчный!H:H,"ERR",0)))</f>
        <v>624/25</v>
      </c>
      <c r="I147" s="81" t="str">
        <f ca="1">LOWER(TRIM(_xlfn.XLOOKUP($A147,Строчный!$A:$A,Строчный!I:I,"ERR",0)))</f>
        <v>черный</v>
      </c>
      <c r="J147" s="81" t="str">
        <f ca="1">SUBSTITUTE(LOWER(TRIM(_xlfn.XLOOKUP($A147,Строчный!$A:$A,Строчный!J:J,"ERR",0))),"подклад","Подклад")</f>
        <v>80% шерсть - 20% полиамид / Подклад: 100% вискоза</v>
      </c>
      <c r="K147" s="81" t="str">
        <f ca="1">LOWER(TRIM(_xlfn.XLOOKUP($A147,Строчный!$A:$A,Строчный!K:K,"ERR",0)))</f>
        <v>шерстяные</v>
      </c>
      <c r="L147" s="81" t="str">
        <f ca="1">PROPER(TRIM(_xlfn.XLOOKUP($A147,Строчный!$A:$A,Строчный!L:L,"ERR",0)))</f>
        <v>Унисекс</v>
      </c>
      <c r="M147" s="113" t="str">
        <f ca="1">PROPER(TRIM(_xlfn.XLOOKUP($A147,Строчный!$A:$A,Строчный!M:M,"ERR",0)))</f>
        <v>Россия</v>
      </c>
      <c r="N147" s="81" t="str">
        <f ca="1">UPPER(TRIM(_xlfn.XLOOKUP($A147,Строчный!$A:$A,Строчный!O:O,"ERR",0)))</f>
        <v/>
      </c>
      <c r="O147" s="102" t="str">
        <f ca="1">PROPER(TRIM(_xlfn.XLOOKUP($A147,Строчный!$A:$A,Строчный!P:P,"ERR",0)))</f>
        <v/>
      </c>
      <c r="P147" s="81" t="str">
        <f ca="1">PROPER(TRIM(_xlfn.XLOOKUP($A147,Строчный!$A:$A,Строчный!R:R,"ERR",0)))</f>
        <v/>
      </c>
      <c r="Q147" s="90">
        <f ca="1">VALUE(_xlfn.XLOOKUP($A147,Строчный!$A:$A,Строчный!N:N,"ERR",0))</f>
        <v>975.8</v>
      </c>
      <c r="R147" s="89" t="str">
        <f ca="1">_xlfn.XLOOKUP($G147,Фабрика!A:A,Фабрика!B:B,"ERR",0)</f>
        <v>ООО "ФРЭДРИКСОН" Россия 192029, С-Петербург, пр. Обуховской обороны, д.86, лит М</v>
      </c>
      <c r="S147" s="80" t="str">
        <f ca="1">_xlfn.XLOOKUP(RIGHT(AA147,2),Размеры!D:D,Размеры!A:A,"ERR",0)</f>
        <v>57</v>
      </c>
      <c r="T147" s="80">
        <f ca="1">VALUE(_xlfn.XLOOKUP($AA147,Строчный!$S:$S,Строчный!U:U,"ERR",0))</f>
        <v>1</v>
      </c>
      <c r="U147" s="14" t="s">
        <v>265</v>
      </c>
      <c r="V147" s="101" t="str">
        <f t="shared" ca="1" si="11"/>
        <v>Кепка FREDRIKSON арт. 3125 (черный)</v>
      </c>
      <c r="W147" s="100" t="str">
        <f t="shared" ca="1" si="12"/>
        <v>Кепка FREDRIKSON арт. 3125 (черный) {624/25}</v>
      </c>
      <c r="X147" s="18" t="str">
        <f t="shared" ca="1" si="13"/>
        <v>черный</v>
      </c>
      <c r="Y147" s="18" t="str">
        <f t="shared" ca="1" si="14"/>
        <v>черный</v>
      </c>
      <c r="Z147" s="117" t="str">
        <f ca="1">_xlfn.LET(_xlpm.FormColors,_xlfn.XLOOKUP(A147,Строчный!A:A,Строчный!Q:Q,"",0),IF(_xlpm.FormColors=0,IFERROR(MID(I147,FIND("-",I147)+1,LEN(I147)),IFERROR(MID(I147,1,FIND("/",I147)-2),I147)),_xlpm.FormColors))</f>
        <v>черный</v>
      </c>
      <c r="AA147" s="73" t="str">
        <f ca="1"/>
        <v>95-010-09-57</v>
      </c>
      <c r="AB147" s="75" t="str">
        <f ca="1">VLOOKUP(C147,Группа!A:B,2,FALSE)</f>
        <v>Кепка</v>
      </c>
      <c r="AC147" s="97" t="str">
        <f ca="1">IFERROR(VLOOKUP(S147,Размеры!A:C,3,FALSE),"")</f>
        <v>57 M</v>
      </c>
      <c r="AD147" s="97" t="str">
        <f ca="1">VLOOKUP(I147,ЦветПолный!A:B,2,FALSE)</f>
        <v>09</v>
      </c>
      <c r="AE147" s="97" t="str">
        <f ca="1">IFERROR(VLOOKUP(S147,Размеры!A:D,4,FALSE),"")</f>
        <v>57</v>
      </c>
      <c r="AF147" s="97">
        <f ca="1">IF(LEFT(IFERROR(VLOOKUP(LOOKUP(2,1/SEARCH(B147,Товары!A:A),Товары!A:A),Товары!A:B,2,0),""),6)=MID(AA147,1,6),1,0)</f>
        <v>0</v>
      </c>
      <c r="AH147" s="97">
        <f ca="1">SUMIF(Группа!A:A,C147,Группа!C:C)</f>
        <v>1</v>
      </c>
      <c r="AI147" s="97">
        <f ca="1">SUMIF(Группа!B:B,AB147,Группа!C:C)</f>
        <v>1</v>
      </c>
      <c r="AJ147" s="97">
        <f ca="1">SUMIF(Формы!A:A,D147,Формы!B:B)</f>
        <v>1</v>
      </c>
      <c r="AK147" s="97">
        <f ca="1">SUMIF(Материал!A:A,K147,Материал!B:B)</f>
        <v>1</v>
      </c>
      <c r="AL147" s="97">
        <f ca="1">SUMIF(Размеры!A:A,S147,Размеры!E:E)</f>
        <v>1</v>
      </c>
      <c r="AM147" s="97">
        <f ca="1">SUMIF(Сезон!A:A,F147,Сезон!B:B)</f>
        <v>1</v>
      </c>
      <c r="AN147" s="97">
        <f ca="1">SUMIF(Состав!A:A,J147,Состав!B:B)</f>
        <v>0</v>
      </c>
      <c r="AO147" s="97">
        <f ca="1">VLOOKUP(I147,ЦветПолный!A:C,3,0)</f>
        <v>1</v>
      </c>
      <c r="AP147" s="97">
        <f ca="1">SUMIF(Цвет!A:A,Z147,Цвет!B:B)</f>
        <v>1</v>
      </c>
      <c r="AQ147" s="97">
        <f ca="1">_xlfn.XLOOKUP(L147,Пол!A:A,Пол!B:B,0,0)</f>
        <v>1</v>
      </c>
      <c r="AR147" s="97">
        <f ca="1">SUMIF(Бренд!A:A,G147,Бренд!B:B)</f>
        <v>1</v>
      </c>
      <c r="AS147" s="97">
        <f ca="1">SUMIF(Страна!A:A,M147,Страна!B:B)</f>
        <v>1</v>
      </c>
      <c r="AT147" s="64" t="e">
        <f ca="1">IF(VLOOKUP(W147,Товары!A:B,2,FALSE)=A147,"Есть в 1С","ERR")</f>
        <v>#N/A</v>
      </c>
      <c r="AU147" s="65" t="e">
        <f ca="1">IF(VLOOKUP(A147,Товары!B:B,1,FALSE)=A147,"Есть в 1С","ERR")</f>
        <v>#N/A</v>
      </c>
      <c r="AV147" s="96" t="e">
        <f ca="1">VLOOKUP(W147,Товары!A:B,2,FALSE)</f>
        <v>#N/A</v>
      </c>
      <c r="AW147" s="94" t="e">
        <f ca="1">VLOOKUP(W147,Товары!A:B,1,FALSE)</f>
        <v>#N/A</v>
      </c>
    </row>
    <row r="148" spans="1:49" x14ac:dyDescent="0.25">
      <c r="A148" s="110" t="str">
        <f t="shared" ca="1" si="10"/>
        <v>95-009-62</v>
      </c>
      <c r="B148" s="107" t="str">
        <f ca="1">_xlfn.LET(_xlpm.CAPS,0,_xlpm.Style,TRIM(_xlfn.XLOOKUP($A148,Строчный!$A:$A,Строчный!B:B,"ERR",0)),IF(_xlpm.CAPS=0,_xlpm.Style,LOWER(_xlpm.Style)))</f>
        <v>3122</v>
      </c>
      <c r="C148" s="81" t="str">
        <f ca="1">TRIM(PROPER(_xlfn.XLOOKUP($A148,Строчный!$A:$A,Строчный!C:C,"ERR",0)))</f>
        <v>Кепки</v>
      </c>
      <c r="D148" s="81" t="str">
        <f ca="1">_xlfn.LET(_xlpm.DATA,TRIM(_xlfn.XLOOKUP($A148,Строчный!$A:$A,Строчный!D:D,"ERR",0)),UPPER(MID(_xlpm.DATA,1,1))&amp;LOWER(MID(_xlpm.DATA,2,LEN(_xlpm.DATA)-1)))</f>
        <v>Кепка плоская</v>
      </c>
      <c r="E148" s="81" t="str">
        <f ca="1">PROPER(TRIM(_xlfn.XLOOKUP($A148,Строчный!$A:$A,Строчный!E:E,"ERR",0)))</f>
        <v>Fredrikson</v>
      </c>
      <c r="F148" s="81" t="str">
        <f ca="1">LOWER(TRIM(_xlfn.XLOOKUP($A148,Строчный!$A:$A,Строчный!F:F,"ERR",0)))</f>
        <v>всесезон</v>
      </c>
      <c r="G148" s="81" t="str">
        <f ca="1">UPPER(TRIM(_xlfn.XLOOKUP($A148,Строчный!$A:$A,Строчный!G:G,"ERR",0)))</f>
        <v>FREDRIKSON</v>
      </c>
      <c r="H148" s="81" t="str">
        <f ca="1">LOWER(TRIM(_xlfn.XLOOKUP($A148,Строчный!$A:$A,Строчный!H:H,"ERR",0)))</f>
        <v>640/79</v>
      </c>
      <c r="I148" s="81" t="str">
        <f ca="1">LOWER(TRIM(_xlfn.XLOOKUP($A148,Строчный!$A:$A,Строчный!I:I,"ERR",0)))</f>
        <v>темно-серый / белый</v>
      </c>
      <c r="J148" s="81" t="str">
        <f ca="1">SUBSTITUTE(LOWER(TRIM(_xlfn.XLOOKUP($A148,Строчный!$A:$A,Строчный!J:J,"ERR",0))),"подклад","Подклад")</f>
        <v>80% шерсть - 20% полиамид / Подклад: 100% вискоза</v>
      </c>
      <c r="K148" s="81" t="str">
        <f ca="1">LOWER(TRIM(_xlfn.XLOOKUP($A148,Строчный!$A:$A,Строчный!K:K,"ERR",0)))</f>
        <v>шерстяные</v>
      </c>
      <c r="L148" s="81" t="str">
        <f ca="1">PROPER(TRIM(_xlfn.XLOOKUP($A148,Строчный!$A:$A,Строчный!L:L,"ERR",0)))</f>
        <v>Унисекс</v>
      </c>
      <c r="M148" s="113" t="str">
        <f ca="1">PROPER(TRIM(_xlfn.XLOOKUP($A148,Строчный!$A:$A,Строчный!M:M,"ERR",0)))</f>
        <v>Россия</v>
      </c>
      <c r="N148" s="81" t="str">
        <f ca="1">UPPER(TRIM(_xlfn.XLOOKUP($A148,Строчный!$A:$A,Строчный!O:O,"ERR",0)))</f>
        <v/>
      </c>
      <c r="O148" s="102" t="str">
        <f ca="1">PROPER(TRIM(_xlfn.XLOOKUP($A148,Строчный!$A:$A,Строчный!P:P,"ERR",0)))</f>
        <v/>
      </c>
      <c r="P148" s="81" t="str">
        <f ca="1">PROPER(TRIM(_xlfn.XLOOKUP($A148,Строчный!$A:$A,Строчный!R:R,"ERR",0)))</f>
        <v/>
      </c>
      <c r="Q148" s="90">
        <f ca="1">VALUE(_xlfn.XLOOKUP($A148,Строчный!$A:$A,Строчный!N:N,"ERR",0))</f>
        <v>975.8</v>
      </c>
      <c r="R148" s="89" t="str">
        <f ca="1">_xlfn.XLOOKUP($G148,Фабрика!A:A,Фабрика!B:B,"ERR",0)</f>
        <v>ООО "ФРЭДРИКСОН" Россия 192029, С-Петербург, пр. Обуховской обороны, д.86, лит М</v>
      </c>
      <c r="S148" s="80" t="str">
        <f ca="1">_xlfn.XLOOKUP(RIGHT(AA148,2),Размеры!D:D,Размеры!A:A,"ERR",0)</f>
        <v>62</v>
      </c>
      <c r="T148" s="80">
        <f ca="1">VALUE(_xlfn.XLOOKUP($AA148,Строчный!$S:$S,Строчный!U:U,"ERR",0))</f>
        <v>1</v>
      </c>
      <c r="U148" s="14" t="s">
        <v>265</v>
      </c>
      <c r="V148" s="101" t="str">
        <f t="shared" ca="1" si="11"/>
        <v>Кепка FREDRIKSON арт. 3122 (темно-серый / белый)</v>
      </c>
      <c r="W148" s="100" t="str">
        <f t="shared" ca="1" si="12"/>
        <v>Кепка FREDRIKSON арт. 3122 (темно-серый / белый) {640/79}</v>
      </c>
      <c r="X148" s="18" t="str">
        <f t="shared" ca="1" si="13"/>
        <v>серый / белый</v>
      </c>
      <c r="Y148" s="18" t="str">
        <f t="shared" ca="1" si="14"/>
        <v>серый / белый</v>
      </c>
      <c r="Z148" s="117" t="s">
        <v>28</v>
      </c>
      <c r="AA148" s="73" t="str">
        <f ca="1"/>
        <v>95-009-62-62</v>
      </c>
      <c r="AB148" s="75" t="str">
        <f ca="1">VLOOKUP(C148,Группа!A:B,2,FALSE)</f>
        <v>Кепка</v>
      </c>
      <c r="AC148" s="97" t="str">
        <f ca="1">IFERROR(VLOOKUP(S148,Размеры!A:C,3,FALSE),"")</f>
        <v>62 XL/XXL</v>
      </c>
      <c r="AD148" s="97" t="str">
        <f ca="1">VLOOKUP(I148,ЦветПолный!A:B,2,FALSE)</f>
        <v>62</v>
      </c>
      <c r="AE148" s="97" t="str">
        <f ca="1">IFERROR(VLOOKUP(S148,Размеры!A:D,4,FALSE),"")</f>
        <v>62</v>
      </c>
      <c r="AF148" s="97">
        <f ca="1">IF(LEFT(IFERROR(VLOOKUP(LOOKUP(2,1/SEARCH(B148,Товары!A:A),Товары!A:A),Товары!A:B,2,0),""),6)=MID(AA148,1,6),1,0)</f>
        <v>0</v>
      </c>
      <c r="AH148" s="97">
        <f ca="1">SUMIF(Группа!A:A,C148,Группа!C:C)</f>
        <v>1</v>
      </c>
      <c r="AI148" s="97">
        <f ca="1">SUMIF(Группа!B:B,AB148,Группа!C:C)</f>
        <v>1</v>
      </c>
      <c r="AJ148" s="97">
        <f ca="1">SUMIF(Формы!A:A,D148,Формы!B:B)</f>
        <v>1</v>
      </c>
      <c r="AK148" s="97">
        <f ca="1">SUMIF(Материал!A:A,K148,Материал!B:B)</f>
        <v>1</v>
      </c>
      <c r="AL148" s="97">
        <f ca="1">SUMIF(Размеры!A:A,S148,Размеры!E:E)</f>
        <v>1</v>
      </c>
      <c r="AM148" s="97">
        <f ca="1">SUMIF(Сезон!A:A,F148,Сезон!B:B)</f>
        <v>1</v>
      </c>
      <c r="AN148" s="97">
        <f ca="1">SUMIF(Состав!A:A,J148,Состав!B:B)</f>
        <v>0</v>
      </c>
      <c r="AO148" s="97">
        <f ca="1">VLOOKUP(I148,ЦветПолный!A:C,3,0)</f>
        <v>1</v>
      </c>
      <c r="AP148" s="97">
        <f>SUMIF(Цвет!A:A,Z148,Цвет!B:B)</f>
        <v>1</v>
      </c>
      <c r="AQ148" s="97">
        <f ca="1">_xlfn.XLOOKUP(L148,Пол!A:A,Пол!B:B,0,0)</f>
        <v>1</v>
      </c>
      <c r="AR148" s="97">
        <f ca="1">SUMIF(Бренд!A:A,G148,Бренд!B:B)</f>
        <v>1</v>
      </c>
      <c r="AS148" s="97">
        <f ca="1">SUMIF(Страна!A:A,M148,Страна!B:B)</f>
        <v>1</v>
      </c>
      <c r="AT148" s="64" t="e">
        <f ca="1">IF(VLOOKUP(W148,Товары!A:B,2,FALSE)=A148,"Есть в 1С","ERR")</f>
        <v>#N/A</v>
      </c>
      <c r="AU148" s="65" t="e">
        <f ca="1">IF(VLOOKUP(A148,Товары!B:B,1,FALSE)=A148,"Есть в 1С","ERR")</f>
        <v>#N/A</v>
      </c>
      <c r="AV148" s="96" t="e">
        <f ca="1">VLOOKUP(W148,Товары!A:B,2,FALSE)</f>
        <v>#N/A</v>
      </c>
      <c r="AW148" s="94" t="e">
        <f ca="1">VLOOKUP(W148,Товары!A:B,1,FALSE)</f>
        <v>#N/A</v>
      </c>
    </row>
    <row r="149" spans="1:49" x14ac:dyDescent="0.25">
      <c r="A149" s="110" t="str">
        <f t="shared" ca="1" si="10"/>
        <v>95-009-62</v>
      </c>
      <c r="B149" s="107" t="str">
        <f ca="1">_xlfn.LET(_xlpm.CAPS,0,_xlpm.Style,TRIM(_xlfn.XLOOKUP($A149,Строчный!$A:$A,Строчный!B:B,"ERR",0)),IF(_xlpm.CAPS=0,_xlpm.Style,LOWER(_xlpm.Style)))</f>
        <v>3122</v>
      </c>
      <c r="C149" s="81" t="str">
        <f ca="1">TRIM(PROPER(_xlfn.XLOOKUP($A149,Строчный!$A:$A,Строчный!C:C,"ERR",0)))</f>
        <v>Кепки</v>
      </c>
      <c r="D149" s="81" t="str">
        <f ca="1">_xlfn.LET(_xlpm.DATA,TRIM(_xlfn.XLOOKUP($A149,Строчный!$A:$A,Строчный!D:D,"ERR",0)),UPPER(MID(_xlpm.DATA,1,1))&amp;LOWER(MID(_xlpm.DATA,2,LEN(_xlpm.DATA)-1)))</f>
        <v>Кепка плоская</v>
      </c>
      <c r="E149" s="81" t="str">
        <f ca="1">PROPER(TRIM(_xlfn.XLOOKUP($A149,Строчный!$A:$A,Строчный!E:E,"ERR",0)))</f>
        <v>Fredrikson</v>
      </c>
      <c r="F149" s="81" t="str">
        <f ca="1">LOWER(TRIM(_xlfn.XLOOKUP($A149,Строчный!$A:$A,Строчный!F:F,"ERR",0)))</f>
        <v>всесезон</v>
      </c>
      <c r="G149" s="81" t="str">
        <f ca="1">UPPER(TRIM(_xlfn.XLOOKUP($A149,Строчный!$A:$A,Строчный!G:G,"ERR",0)))</f>
        <v>FREDRIKSON</v>
      </c>
      <c r="H149" s="81" t="str">
        <f ca="1">LOWER(TRIM(_xlfn.XLOOKUP($A149,Строчный!$A:$A,Строчный!H:H,"ERR",0)))</f>
        <v>640/79</v>
      </c>
      <c r="I149" s="81" t="str">
        <f ca="1">LOWER(TRIM(_xlfn.XLOOKUP($A149,Строчный!$A:$A,Строчный!I:I,"ERR",0)))</f>
        <v>темно-серый / белый</v>
      </c>
      <c r="J149" s="81" t="str">
        <f ca="1">SUBSTITUTE(LOWER(TRIM(_xlfn.XLOOKUP($A149,Строчный!$A:$A,Строчный!J:J,"ERR",0))),"подклад","Подклад")</f>
        <v>80% шерсть - 20% полиамид / Подклад: 100% вискоза</v>
      </c>
      <c r="K149" s="81" t="str">
        <f ca="1">LOWER(TRIM(_xlfn.XLOOKUP($A149,Строчный!$A:$A,Строчный!K:K,"ERR",0)))</f>
        <v>шерстяные</v>
      </c>
      <c r="L149" s="81" t="str">
        <f ca="1">PROPER(TRIM(_xlfn.XLOOKUP($A149,Строчный!$A:$A,Строчный!L:L,"ERR",0)))</f>
        <v>Унисекс</v>
      </c>
      <c r="M149" s="113" t="str">
        <f ca="1">PROPER(TRIM(_xlfn.XLOOKUP($A149,Строчный!$A:$A,Строчный!M:M,"ERR",0)))</f>
        <v>Россия</v>
      </c>
      <c r="N149" s="81" t="str">
        <f ca="1">UPPER(TRIM(_xlfn.XLOOKUP($A149,Строчный!$A:$A,Строчный!O:O,"ERR",0)))</f>
        <v/>
      </c>
      <c r="O149" s="102" t="str">
        <f ca="1">PROPER(TRIM(_xlfn.XLOOKUP($A149,Строчный!$A:$A,Строчный!P:P,"ERR",0)))</f>
        <v/>
      </c>
      <c r="P149" s="81" t="str">
        <f ca="1">PROPER(TRIM(_xlfn.XLOOKUP($A149,Строчный!$A:$A,Строчный!R:R,"ERR",0)))</f>
        <v/>
      </c>
      <c r="Q149" s="90">
        <f ca="1">VALUE(_xlfn.XLOOKUP($A149,Строчный!$A:$A,Строчный!N:N,"ERR",0))</f>
        <v>975.8</v>
      </c>
      <c r="R149" s="89" t="str">
        <f ca="1">_xlfn.XLOOKUP($G149,Фабрика!A:A,Фабрика!B:B,"ERR",0)</f>
        <v>ООО "ФРЭДРИКСОН" Россия 192029, С-Петербург, пр. Обуховской обороны, д.86, лит М</v>
      </c>
      <c r="S149" s="80" t="str">
        <f ca="1">_xlfn.XLOOKUP(RIGHT(AA149,2),Размеры!D:D,Размеры!A:A,"ERR",0)</f>
        <v>61</v>
      </c>
      <c r="T149" s="80">
        <f ca="1">VALUE(_xlfn.XLOOKUP($AA149,Строчный!$S:$S,Строчный!U:U,"ERR",0))</f>
        <v>1</v>
      </c>
      <c r="U149" s="14" t="s">
        <v>265</v>
      </c>
      <c r="V149" s="101" t="str">
        <f t="shared" ca="1" si="11"/>
        <v>Кепка FREDRIKSON арт. 3122 (темно-серый / белый)</v>
      </c>
      <c r="W149" s="100" t="str">
        <f t="shared" ca="1" si="12"/>
        <v>Кепка FREDRIKSON арт. 3122 (темно-серый / белый) {640/79}</v>
      </c>
      <c r="X149" s="18" t="str">
        <f t="shared" ca="1" si="13"/>
        <v>серый / белый</v>
      </c>
      <c r="Y149" s="18" t="str">
        <f t="shared" ca="1" si="14"/>
        <v>серый / белый</v>
      </c>
      <c r="Z149" s="117" t="s">
        <v>28</v>
      </c>
      <c r="AA149" s="73" t="str">
        <f ca="1"/>
        <v>95-009-62-61</v>
      </c>
      <c r="AB149" s="75" t="str">
        <f ca="1">VLOOKUP(C149,Группа!A:B,2,FALSE)</f>
        <v>Кепка</v>
      </c>
      <c r="AC149" s="97" t="str">
        <f ca="1">IFERROR(VLOOKUP(S149,Размеры!A:C,3,FALSE),"")</f>
        <v>61 XL</v>
      </c>
      <c r="AD149" s="97" t="str">
        <f ca="1">VLOOKUP(I149,ЦветПолный!A:B,2,FALSE)</f>
        <v>62</v>
      </c>
      <c r="AE149" s="97" t="str">
        <f ca="1">IFERROR(VLOOKUP(S149,Размеры!A:D,4,FALSE),"")</f>
        <v>61</v>
      </c>
      <c r="AF149" s="97">
        <f ca="1">IF(LEFT(IFERROR(VLOOKUP(LOOKUP(2,1/SEARCH(B149,Товары!A:A),Товары!A:A),Товары!A:B,2,0),""),6)=MID(AA149,1,6),1,0)</f>
        <v>0</v>
      </c>
      <c r="AH149" s="97">
        <f ca="1">SUMIF(Группа!A:A,C149,Группа!C:C)</f>
        <v>1</v>
      </c>
      <c r="AI149" s="97">
        <f ca="1">SUMIF(Группа!B:B,AB149,Группа!C:C)</f>
        <v>1</v>
      </c>
      <c r="AJ149" s="97">
        <f ca="1">SUMIF(Формы!A:A,D149,Формы!B:B)</f>
        <v>1</v>
      </c>
      <c r="AK149" s="97">
        <f ca="1">SUMIF(Материал!A:A,K149,Материал!B:B)</f>
        <v>1</v>
      </c>
      <c r="AL149" s="97">
        <f ca="1">SUMIF(Размеры!A:A,S149,Размеры!E:E)</f>
        <v>1</v>
      </c>
      <c r="AM149" s="97">
        <f ca="1">SUMIF(Сезон!A:A,F149,Сезон!B:B)</f>
        <v>1</v>
      </c>
      <c r="AN149" s="97">
        <f ca="1">SUMIF(Состав!A:A,J149,Состав!B:B)</f>
        <v>0</v>
      </c>
      <c r="AO149" s="97">
        <f ca="1">VLOOKUP(I149,ЦветПолный!A:C,3,0)</f>
        <v>1</v>
      </c>
      <c r="AP149" s="97">
        <f>SUMIF(Цвет!A:A,Z149,Цвет!B:B)</f>
        <v>1</v>
      </c>
      <c r="AQ149" s="97">
        <f ca="1">_xlfn.XLOOKUP(L149,Пол!A:A,Пол!B:B,0,0)</f>
        <v>1</v>
      </c>
      <c r="AR149" s="97">
        <f ca="1">SUMIF(Бренд!A:A,G149,Бренд!B:B)</f>
        <v>1</v>
      </c>
      <c r="AS149" s="97">
        <f ca="1">SUMIF(Страна!A:A,M149,Страна!B:B)</f>
        <v>1</v>
      </c>
      <c r="AT149" s="64" t="e">
        <f ca="1">IF(VLOOKUP(W149,Товары!A:B,2,FALSE)=A149,"Есть в 1С","ERR")</f>
        <v>#N/A</v>
      </c>
      <c r="AU149" s="65" t="e">
        <f ca="1">IF(VLOOKUP(A149,Товары!B:B,1,FALSE)=A149,"Есть в 1С","ERR")</f>
        <v>#N/A</v>
      </c>
      <c r="AV149" s="96" t="e">
        <f ca="1">VLOOKUP(W149,Товары!A:B,2,FALSE)</f>
        <v>#N/A</v>
      </c>
      <c r="AW149" s="94" t="e">
        <f ca="1">VLOOKUP(W149,Товары!A:B,1,FALSE)</f>
        <v>#N/A</v>
      </c>
    </row>
    <row r="150" spans="1:49" x14ac:dyDescent="0.25">
      <c r="A150" s="110" t="str">
        <f t="shared" ca="1" si="10"/>
        <v>95-009-62</v>
      </c>
      <c r="B150" s="107" t="str">
        <f ca="1">_xlfn.LET(_xlpm.CAPS,0,_xlpm.Style,TRIM(_xlfn.XLOOKUP($A150,Строчный!$A:$A,Строчный!B:B,"ERR",0)),IF(_xlpm.CAPS=0,_xlpm.Style,LOWER(_xlpm.Style)))</f>
        <v>3122</v>
      </c>
      <c r="C150" s="81" t="str">
        <f ca="1">TRIM(PROPER(_xlfn.XLOOKUP($A150,Строчный!$A:$A,Строчный!C:C,"ERR",0)))</f>
        <v>Кепки</v>
      </c>
      <c r="D150" s="81" t="str">
        <f ca="1">_xlfn.LET(_xlpm.DATA,TRIM(_xlfn.XLOOKUP($A150,Строчный!$A:$A,Строчный!D:D,"ERR",0)),UPPER(MID(_xlpm.DATA,1,1))&amp;LOWER(MID(_xlpm.DATA,2,LEN(_xlpm.DATA)-1)))</f>
        <v>Кепка плоская</v>
      </c>
      <c r="E150" s="81" t="str">
        <f ca="1">PROPER(TRIM(_xlfn.XLOOKUP($A150,Строчный!$A:$A,Строчный!E:E,"ERR",0)))</f>
        <v>Fredrikson</v>
      </c>
      <c r="F150" s="81" t="str">
        <f ca="1">LOWER(TRIM(_xlfn.XLOOKUP($A150,Строчный!$A:$A,Строчный!F:F,"ERR",0)))</f>
        <v>всесезон</v>
      </c>
      <c r="G150" s="81" t="str">
        <f ca="1">UPPER(TRIM(_xlfn.XLOOKUP($A150,Строчный!$A:$A,Строчный!G:G,"ERR",0)))</f>
        <v>FREDRIKSON</v>
      </c>
      <c r="H150" s="81" t="str">
        <f ca="1">LOWER(TRIM(_xlfn.XLOOKUP($A150,Строчный!$A:$A,Строчный!H:H,"ERR",0)))</f>
        <v>640/79</v>
      </c>
      <c r="I150" s="81" t="str">
        <f ca="1">LOWER(TRIM(_xlfn.XLOOKUP($A150,Строчный!$A:$A,Строчный!I:I,"ERR",0)))</f>
        <v>темно-серый / белый</v>
      </c>
      <c r="J150" s="81" t="str">
        <f ca="1">SUBSTITUTE(LOWER(TRIM(_xlfn.XLOOKUP($A150,Строчный!$A:$A,Строчный!J:J,"ERR",0))),"подклад","Подклад")</f>
        <v>80% шерсть - 20% полиамид / Подклад: 100% вискоза</v>
      </c>
      <c r="K150" s="81" t="str">
        <f ca="1">LOWER(TRIM(_xlfn.XLOOKUP($A150,Строчный!$A:$A,Строчный!K:K,"ERR",0)))</f>
        <v>шерстяные</v>
      </c>
      <c r="L150" s="81" t="str">
        <f ca="1">PROPER(TRIM(_xlfn.XLOOKUP($A150,Строчный!$A:$A,Строчный!L:L,"ERR",0)))</f>
        <v>Унисекс</v>
      </c>
      <c r="M150" s="113" t="str">
        <f ca="1">PROPER(TRIM(_xlfn.XLOOKUP($A150,Строчный!$A:$A,Строчный!M:M,"ERR",0)))</f>
        <v>Россия</v>
      </c>
      <c r="N150" s="81" t="str">
        <f ca="1">UPPER(TRIM(_xlfn.XLOOKUP($A150,Строчный!$A:$A,Строчный!O:O,"ERR",0)))</f>
        <v/>
      </c>
      <c r="O150" s="102" t="str">
        <f ca="1">PROPER(TRIM(_xlfn.XLOOKUP($A150,Строчный!$A:$A,Строчный!P:P,"ERR",0)))</f>
        <v/>
      </c>
      <c r="P150" s="81" t="str">
        <f ca="1">PROPER(TRIM(_xlfn.XLOOKUP($A150,Строчный!$A:$A,Строчный!R:R,"ERR",0)))</f>
        <v/>
      </c>
      <c r="Q150" s="90">
        <f ca="1">VALUE(_xlfn.XLOOKUP($A150,Строчный!$A:$A,Строчный!N:N,"ERR",0))</f>
        <v>975.8</v>
      </c>
      <c r="R150" s="89" t="str">
        <f ca="1">_xlfn.XLOOKUP($G150,Фабрика!A:A,Фабрика!B:B,"ERR",0)</f>
        <v>ООО "ФРЭДРИКСОН" Россия 192029, С-Петербург, пр. Обуховской обороны, д.86, лит М</v>
      </c>
      <c r="S150" s="80" t="str">
        <f ca="1">_xlfn.XLOOKUP(RIGHT(AA150,2),Размеры!D:D,Размеры!A:A,"ERR",0)</f>
        <v>60</v>
      </c>
      <c r="T150" s="80">
        <f ca="1">VALUE(_xlfn.XLOOKUP($AA150,Строчный!$S:$S,Строчный!U:U,"ERR",0))</f>
        <v>2</v>
      </c>
      <c r="U150" s="14" t="s">
        <v>265</v>
      </c>
      <c r="V150" s="101" t="str">
        <f t="shared" ca="1" si="11"/>
        <v>Кепка FREDRIKSON арт. 3122 (темно-серый / белый)</v>
      </c>
      <c r="W150" s="100" t="str">
        <f t="shared" ca="1" si="12"/>
        <v>Кепка FREDRIKSON арт. 3122 (темно-серый / белый) {640/79}</v>
      </c>
      <c r="X150" s="18" t="str">
        <f t="shared" ca="1" si="13"/>
        <v>серый / белый</v>
      </c>
      <c r="Y150" s="18" t="str">
        <f t="shared" ca="1" si="14"/>
        <v>серый / белый</v>
      </c>
      <c r="Z150" s="117" t="s">
        <v>28</v>
      </c>
      <c r="AA150" s="73" t="str">
        <f ca="1"/>
        <v>95-009-62-60</v>
      </c>
      <c r="AB150" s="75" t="str">
        <f ca="1">VLOOKUP(C150,Группа!A:B,2,FALSE)</f>
        <v>Кепка</v>
      </c>
      <c r="AC150" s="97" t="str">
        <f ca="1">IFERROR(VLOOKUP(S150,Размеры!A:C,3,FALSE),"")</f>
        <v>60 L/XL</v>
      </c>
      <c r="AD150" s="97" t="str">
        <f ca="1">VLOOKUP(I150,ЦветПолный!A:B,2,FALSE)</f>
        <v>62</v>
      </c>
      <c r="AE150" s="97" t="str">
        <f ca="1">IFERROR(VLOOKUP(S150,Размеры!A:D,4,FALSE),"")</f>
        <v>60</v>
      </c>
      <c r="AF150" s="97">
        <f ca="1">IF(LEFT(IFERROR(VLOOKUP(LOOKUP(2,1/SEARCH(B150,Товары!A:A),Товары!A:A),Товары!A:B,2,0),""),6)=MID(AA150,1,6),1,0)</f>
        <v>0</v>
      </c>
      <c r="AH150" s="97">
        <f ca="1">SUMIF(Группа!A:A,C150,Группа!C:C)</f>
        <v>1</v>
      </c>
      <c r="AI150" s="97">
        <f ca="1">SUMIF(Группа!B:B,AB150,Группа!C:C)</f>
        <v>1</v>
      </c>
      <c r="AJ150" s="97">
        <f ca="1">SUMIF(Формы!A:A,D150,Формы!B:B)</f>
        <v>1</v>
      </c>
      <c r="AK150" s="97">
        <f ca="1">SUMIF(Материал!A:A,K150,Материал!B:B)</f>
        <v>1</v>
      </c>
      <c r="AL150" s="97">
        <f ca="1">SUMIF(Размеры!A:A,S150,Размеры!E:E)</f>
        <v>1</v>
      </c>
      <c r="AM150" s="97">
        <f ca="1">SUMIF(Сезон!A:A,F150,Сезон!B:B)</f>
        <v>1</v>
      </c>
      <c r="AN150" s="97">
        <f ca="1">SUMIF(Состав!A:A,J150,Состав!B:B)</f>
        <v>0</v>
      </c>
      <c r="AO150" s="97">
        <f ca="1">VLOOKUP(I150,ЦветПолный!A:C,3,0)</f>
        <v>1</v>
      </c>
      <c r="AP150" s="97">
        <f>SUMIF(Цвет!A:A,Z150,Цвет!B:B)</f>
        <v>1</v>
      </c>
      <c r="AQ150" s="97">
        <f ca="1">_xlfn.XLOOKUP(L150,Пол!A:A,Пол!B:B,0,0)</f>
        <v>1</v>
      </c>
      <c r="AR150" s="97">
        <f ca="1">SUMIF(Бренд!A:A,G150,Бренд!B:B)</f>
        <v>1</v>
      </c>
      <c r="AS150" s="97">
        <f ca="1">SUMIF(Страна!A:A,M150,Страна!B:B)</f>
        <v>1</v>
      </c>
      <c r="AT150" s="64" t="e">
        <f ca="1">IF(VLOOKUP(W150,Товары!A:B,2,FALSE)=A150,"Есть в 1С","ERR")</f>
        <v>#N/A</v>
      </c>
      <c r="AU150" s="65" t="e">
        <f ca="1">IF(VLOOKUP(A150,Товары!B:B,1,FALSE)=A150,"Есть в 1С","ERR")</f>
        <v>#N/A</v>
      </c>
      <c r="AV150" s="96" t="e">
        <f ca="1">VLOOKUP(W150,Товары!A:B,2,FALSE)</f>
        <v>#N/A</v>
      </c>
      <c r="AW150" s="94" t="e">
        <f ca="1">VLOOKUP(W150,Товары!A:B,1,FALSE)</f>
        <v>#N/A</v>
      </c>
    </row>
    <row r="151" spans="1:49" x14ac:dyDescent="0.25">
      <c r="A151" s="110" t="str">
        <f t="shared" ca="1" si="10"/>
        <v>95-009-62</v>
      </c>
      <c r="B151" s="107" t="str">
        <f ca="1">_xlfn.LET(_xlpm.CAPS,0,_xlpm.Style,TRIM(_xlfn.XLOOKUP($A151,Строчный!$A:$A,Строчный!B:B,"ERR",0)),IF(_xlpm.CAPS=0,_xlpm.Style,LOWER(_xlpm.Style)))</f>
        <v>3122</v>
      </c>
      <c r="C151" s="81" t="str">
        <f ca="1">TRIM(PROPER(_xlfn.XLOOKUP($A151,Строчный!$A:$A,Строчный!C:C,"ERR",0)))</f>
        <v>Кепки</v>
      </c>
      <c r="D151" s="81" t="str">
        <f ca="1">_xlfn.LET(_xlpm.DATA,TRIM(_xlfn.XLOOKUP($A151,Строчный!$A:$A,Строчный!D:D,"ERR",0)),UPPER(MID(_xlpm.DATA,1,1))&amp;LOWER(MID(_xlpm.DATA,2,LEN(_xlpm.DATA)-1)))</f>
        <v>Кепка плоская</v>
      </c>
      <c r="E151" s="81" t="str">
        <f ca="1">PROPER(TRIM(_xlfn.XLOOKUP($A151,Строчный!$A:$A,Строчный!E:E,"ERR",0)))</f>
        <v>Fredrikson</v>
      </c>
      <c r="F151" s="81" t="str">
        <f ca="1">LOWER(TRIM(_xlfn.XLOOKUP($A151,Строчный!$A:$A,Строчный!F:F,"ERR",0)))</f>
        <v>всесезон</v>
      </c>
      <c r="G151" s="81" t="str">
        <f ca="1">UPPER(TRIM(_xlfn.XLOOKUP($A151,Строчный!$A:$A,Строчный!G:G,"ERR",0)))</f>
        <v>FREDRIKSON</v>
      </c>
      <c r="H151" s="81" t="str">
        <f ca="1">LOWER(TRIM(_xlfn.XLOOKUP($A151,Строчный!$A:$A,Строчный!H:H,"ERR",0)))</f>
        <v>640/79</v>
      </c>
      <c r="I151" s="81" t="str">
        <f ca="1">LOWER(TRIM(_xlfn.XLOOKUP($A151,Строчный!$A:$A,Строчный!I:I,"ERR",0)))</f>
        <v>темно-серый / белый</v>
      </c>
      <c r="J151" s="81" t="str">
        <f ca="1">SUBSTITUTE(LOWER(TRIM(_xlfn.XLOOKUP($A151,Строчный!$A:$A,Строчный!J:J,"ERR",0))),"подклад","Подклад")</f>
        <v>80% шерсть - 20% полиамид / Подклад: 100% вискоза</v>
      </c>
      <c r="K151" s="81" t="str">
        <f ca="1">LOWER(TRIM(_xlfn.XLOOKUP($A151,Строчный!$A:$A,Строчный!K:K,"ERR",0)))</f>
        <v>шерстяные</v>
      </c>
      <c r="L151" s="81" t="str">
        <f ca="1">PROPER(TRIM(_xlfn.XLOOKUP($A151,Строчный!$A:$A,Строчный!L:L,"ERR",0)))</f>
        <v>Унисекс</v>
      </c>
      <c r="M151" s="113" t="str">
        <f ca="1">PROPER(TRIM(_xlfn.XLOOKUP($A151,Строчный!$A:$A,Строчный!M:M,"ERR",0)))</f>
        <v>Россия</v>
      </c>
      <c r="N151" s="81" t="str">
        <f ca="1">UPPER(TRIM(_xlfn.XLOOKUP($A151,Строчный!$A:$A,Строчный!O:O,"ERR",0)))</f>
        <v/>
      </c>
      <c r="O151" s="102" t="str">
        <f ca="1">PROPER(TRIM(_xlfn.XLOOKUP($A151,Строчный!$A:$A,Строчный!P:P,"ERR",0)))</f>
        <v/>
      </c>
      <c r="P151" s="81" t="str">
        <f ca="1">PROPER(TRIM(_xlfn.XLOOKUP($A151,Строчный!$A:$A,Строчный!R:R,"ERR",0)))</f>
        <v/>
      </c>
      <c r="Q151" s="90">
        <f ca="1">VALUE(_xlfn.XLOOKUP($A151,Строчный!$A:$A,Строчный!N:N,"ERR",0))</f>
        <v>975.8</v>
      </c>
      <c r="R151" s="89" t="str">
        <f ca="1">_xlfn.XLOOKUP($G151,Фабрика!A:A,Фабрика!B:B,"ERR",0)</f>
        <v>ООО "ФРЭДРИКСОН" Россия 192029, С-Петербург, пр. Обуховской обороны, д.86, лит М</v>
      </c>
      <c r="S151" s="80" t="str">
        <f ca="1">_xlfn.XLOOKUP(RIGHT(AA151,2),Размеры!D:D,Размеры!A:A,"ERR",0)</f>
        <v>59</v>
      </c>
      <c r="T151" s="80">
        <f ca="1">VALUE(_xlfn.XLOOKUP($AA151,Строчный!$S:$S,Строчный!U:U,"ERR",0))</f>
        <v>3</v>
      </c>
      <c r="U151" s="14" t="s">
        <v>265</v>
      </c>
      <c r="V151" s="101" t="str">
        <f t="shared" ca="1" si="11"/>
        <v>Кепка FREDRIKSON арт. 3122 (темно-серый / белый)</v>
      </c>
      <c r="W151" s="100" t="str">
        <f t="shared" ca="1" si="12"/>
        <v>Кепка FREDRIKSON арт. 3122 (темно-серый / белый) {640/79}</v>
      </c>
      <c r="X151" s="18" t="str">
        <f t="shared" ca="1" si="13"/>
        <v>серый / белый</v>
      </c>
      <c r="Y151" s="18" t="str">
        <f t="shared" ca="1" si="14"/>
        <v>серый / белый</v>
      </c>
      <c r="Z151" s="117" t="s">
        <v>28</v>
      </c>
      <c r="AA151" s="73" t="str">
        <f ca="1"/>
        <v>95-009-62-59</v>
      </c>
      <c r="AB151" s="75" t="str">
        <f ca="1">VLOOKUP(C151,Группа!A:B,2,FALSE)</f>
        <v>Кепка</v>
      </c>
      <c r="AC151" s="97" t="str">
        <f ca="1">IFERROR(VLOOKUP(S151,Размеры!A:C,3,FALSE),"")</f>
        <v>59 L</v>
      </c>
      <c r="AD151" s="97" t="str">
        <f ca="1">VLOOKUP(I151,ЦветПолный!A:B,2,FALSE)</f>
        <v>62</v>
      </c>
      <c r="AE151" s="97" t="str">
        <f ca="1">IFERROR(VLOOKUP(S151,Размеры!A:D,4,FALSE),"")</f>
        <v>59</v>
      </c>
      <c r="AF151" s="97">
        <f ca="1">IF(LEFT(IFERROR(VLOOKUP(LOOKUP(2,1/SEARCH(B151,Товары!A:A),Товары!A:A),Товары!A:B,2,0),""),6)=MID(AA151,1,6),1,0)</f>
        <v>0</v>
      </c>
      <c r="AH151" s="97">
        <f ca="1">SUMIF(Группа!A:A,C151,Группа!C:C)</f>
        <v>1</v>
      </c>
      <c r="AI151" s="97">
        <f ca="1">SUMIF(Группа!B:B,AB151,Группа!C:C)</f>
        <v>1</v>
      </c>
      <c r="AJ151" s="97">
        <f ca="1">SUMIF(Формы!A:A,D151,Формы!B:B)</f>
        <v>1</v>
      </c>
      <c r="AK151" s="97">
        <f ca="1">SUMIF(Материал!A:A,K151,Материал!B:B)</f>
        <v>1</v>
      </c>
      <c r="AL151" s="97">
        <f ca="1">SUMIF(Размеры!A:A,S151,Размеры!E:E)</f>
        <v>1</v>
      </c>
      <c r="AM151" s="97">
        <f ca="1">SUMIF(Сезон!A:A,F151,Сезон!B:B)</f>
        <v>1</v>
      </c>
      <c r="AN151" s="97">
        <f ca="1">SUMIF(Состав!A:A,J151,Состав!B:B)</f>
        <v>0</v>
      </c>
      <c r="AO151" s="97">
        <f ca="1">VLOOKUP(I151,ЦветПолный!A:C,3,0)</f>
        <v>1</v>
      </c>
      <c r="AP151" s="97">
        <f>SUMIF(Цвет!A:A,Z151,Цвет!B:B)</f>
        <v>1</v>
      </c>
      <c r="AQ151" s="97">
        <f ca="1">_xlfn.XLOOKUP(L151,Пол!A:A,Пол!B:B,0,0)</f>
        <v>1</v>
      </c>
      <c r="AR151" s="97">
        <f ca="1">SUMIF(Бренд!A:A,G151,Бренд!B:B)</f>
        <v>1</v>
      </c>
      <c r="AS151" s="97">
        <f ca="1">SUMIF(Страна!A:A,M151,Страна!B:B)</f>
        <v>1</v>
      </c>
      <c r="AT151" s="64" t="e">
        <f ca="1">IF(VLOOKUP(W151,Товары!A:B,2,FALSE)=A151,"Есть в 1С","ERR")</f>
        <v>#N/A</v>
      </c>
      <c r="AU151" s="65" t="e">
        <f ca="1">IF(VLOOKUP(A151,Товары!B:B,1,FALSE)=A151,"Есть в 1С","ERR")</f>
        <v>#N/A</v>
      </c>
      <c r="AV151" s="96" t="e">
        <f ca="1">VLOOKUP(W151,Товары!A:B,2,FALSE)</f>
        <v>#N/A</v>
      </c>
      <c r="AW151" s="94" t="e">
        <f ca="1">VLOOKUP(W151,Товары!A:B,1,FALSE)</f>
        <v>#N/A</v>
      </c>
    </row>
    <row r="152" spans="1:49" x14ac:dyDescent="0.25">
      <c r="A152" s="110" t="str">
        <f t="shared" ca="1" si="10"/>
        <v>95-009-62</v>
      </c>
      <c r="B152" s="107" t="str">
        <f ca="1">_xlfn.LET(_xlpm.CAPS,0,_xlpm.Style,TRIM(_xlfn.XLOOKUP($A152,Строчный!$A:$A,Строчный!B:B,"ERR",0)),IF(_xlpm.CAPS=0,_xlpm.Style,LOWER(_xlpm.Style)))</f>
        <v>3122</v>
      </c>
      <c r="C152" s="81" t="str">
        <f ca="1">TRIM(PROPER(_xlfn.XLOOKUP($A152,Строчный!$A:$A,Строчный!C:C,"ERR",0)))</f>
        <v>Кепки</v>
      </c>
      <c r="D152" s="81" t="str">
        <f ca="1">_xlfn.LET(_xlpm.DATA,TRIM(_xlfn.XLOOKUP($A152,Строчный!$A:$A,Строчный!D:D,"ERR",0)),UPPER(MID(_xlpm.DATA,1,1))&amp;LOWER(MID(_xlpm.DATA,2,LEN(_xlpm.DATA)-1)))</f>
        <v>Кепка плоская</v>
      </c>
      <c r="E152" s="81" t="str">
        <f ca="1">PROPER(TRIM(_xlfn.XLOOKUP($A152,Строчный!$A:$A,Строчный!E:E,"ERR",0)))</f>
        <v>Fredrikson</v>
      </c>
      <c r="F152" s="81" t="str">
        <f ca="1">LOWER(TRIM(_xlfn.XLOOKUP($A152,Строчный!$A:$A,Строчный!F:F,"ERR",0)))</f>
        <v>всесезон</v>
      </c>
      <c r="G152" s="81" t="str">
        <f ca="1">UPPER(TRIM(_xlfn.XLOOKUP($A152,Строчный!$A:$A,Строчный!G:G,"ERR",0)))</f>
        <v>FREDRIKSON</v>
      </c>
      <c r="H152" s="81" t="str">
        <f ca="1">LOWER(TRIM(_xlfn.XLOOKUP($A152,Строчный!$A:$A,Строчный!H:H,"ERR",0)))</f>
        <v>640/79</v>
      </c>
      <c r="I152" s="81" t="str">
        <f ca="1">LOWER(TRIM(_xlfn.XLOOKUP($A152,Строчный!$A:$A,Строчный!I:I,"ERR",0)))</f>
        <v>темно-серый / белый</v>
      </c>
      <c r="J152" s="81" t="str">
        <f ca="1">SUBSTITUTE(LOWER(TRIM(_xlfn.XLOOKUP($A152,Строчный!$A:$A,Строчный!J:J,"ERR",0))),"подклад","Подклад")</f>
        <v>80% шерсть - 20% полиамид / Подклад: 100% вискоза</v>
      </c>
      <c r="K152" s="81" t="str">
        <f ca="1">LOWER(TRIM(_xlfn.XLOOKUP($A152,Строчный!$A:$A,Строчный!K:K,"ERR",0)))</f>
        <v>шерстяные</v>
      </c>
      <c r="L152" s="81" t="str">
        <f ca="1">PROPER(TRIM(_xlfn.XLOOKUP($A152,Строчный!$A:$A,Строчный!L:L,"ERR",0)))</f>
        <v>Унисекс</v>
      </c>
      <c r="M152" s="113" t="str">
        <f ca="1">PROPER(TRIM(_xlfn.XLOOKUP($A152,Строчный!$A:$A,Строчный!M:M,"ERR",0)))</f>
        <v>Россия</v>
      </c>
      <c r="N152" s="81" t="str">
        <f ca="1">UPPER(TRIM(_xlfn.XLOOKUP($A152,Строчный!$A:$A,Строчный!O:O,"ERR",0)))</f>
        <v/>
      </c>
      <c r="O152" s="102" t="str">
        <f ca="1">PROPER(TRIM(_xlfn.XLOOKUP($A152,Строчный!$A:$A,Строчный!P:P,"ERR",0)))</f>
        <v/>
      </c>
      <c r="P152" s="81" t="str">
        <f ca="1">PROPER(TRIM(_xlfn.XLOOKUP($A152,Строчный!$A:$A,Строчный!R:R,"ERR",0)))</f>
        <v/>
      </c>
      <c r="Q152" s="90">
        <f ca="1">VALUE(_xlfn.XLOOKUP($A152,Строчный!$A:$A,Строчный!N:N,"ERR",0))</f>
        <v>975.8</v>
      </c>
      <c r="R152" s="89" t="str">
        <f ca="1">_xlfn.XLOOKUP($G152,Фабрика!A:A,Фабрика!B:B,"ERR",0)</f>
        <v>ООО "ФРЭДРИКСОН" Россия 192029, С-Петербург, пр. Обуховской обороны, д.86, лит М</v>
      </c>
      <c r="S152" s="80" t="str">
        <f ca="1">_xlfn.XLOOKUP(RIGHT(AA152,2),Размеры!D:D,Размеры!A:A,"ERR",0)</f>
        <v>58</v>
      </c>
      <c r="T152" s="80">
        <f ca="1">VALUE(_xlfn.XLOOKUP($AA152,Строчный!$S:$S,Строчный!U:U,"ERR",0))</f>
        <v>2</v>
      </c>
      <c r="U152" s="14" t="s">
        <v>265</v>
      </c>
      <c r="V152" s="101" t="str">
        <f t="shared" ca="1" si="11"/>
        <v>Кепка FREDRIKSON арт. 3122 (темно-серый / белый)</v>
      </c>
      <c r="W152" s="100" t="str">
        <f t="shared" ca="1" si="12"/>
        <v>Кепка FREDRIKSON арт. 3122 (темно-серый / белый) {640/79}</v>
      </c>
      <c r="X152" s="18" t="str">
        <f t="shared" ca="1" si="13"/>
        <v>серый / белый</v>
      </c>
      <c r="Y152" s="18" t="str">
        <f t="shared" ca="1" si="14"/>
        <v>серый / белый</v>
      </c>
      <c r="Z152" s="117" t="s">
        <v>28</v>
      </c>
      <c r="AA152" s="73" t="str">
        <f ca="1"/>
        <v>95-009-62-58</v>
      </c>
      <c r="AB152" s="75" t="str">
        <f ca="1">VLOOKUP(C152,Группа!A:B,2,FALSE)</f>
        <v>Кепка</v>
      </c>
      <c r="AC152" s="97" t="str">
        <f ca="1">IFERROR(VLOOKUP(S152,Размеры!A:C,3,FALSE),"")</f>
        <v>58 M/L</v>
      </c>
      <c r="AD152" s="97" t="str">
        <f ca="1">VLOOKUP(I152,ЦветПолный!A:B,2,FALSE)</f>
        <v>62</v>
      </c>
      <c r="AE152" s="97" t="str">
        <f ca="1">IFERROR(VLOOKUP(S152,Размеры!A:D,4,FALSE),"")</f>
        <v>58</v>
      </c>
      <c r="AF152" s="97">
        <f ca="1">IF(LEFT(IFERROR(VLOOKUP(LOOKUP(2,1/SEARCH(B152,Товары!A:A),Товары!A:A),Товары!A:B,2,0),""),6)=MID(AA152,1,6),1,0)</f>
        <v>0</v>
      </c>
      <c r="AH152" s="97">
        <f ca="1">SUMIF(Группа!A:A,C152,Группа!C:C)</f>
        <v>1</v>
      </c>
      <c r="AI152" s="97">
        <f ca="1">SUMIF(Группа!B:B,AB152,Группа!C:C)</f>
        <v>1</v>
      </c>
      <c r="AJ152" s="97">
        <f ca="1">SUMIF(Формы!A:A,D152,Формы!B:B)</f>
        <v>1</v>
      </c>
      <c r="AK152" s="97">
        <f ca="1">SUMIF(Материал!A:A,K152,Материал!B:B)</f>
        <v>1</v>
      </c>
      <c r="AL152" s="97">
        <f ca="1">SUMIF(Размеры!A:A,S152,Размеры!E:E)</f>
        <v>1</v>
      </c>
      <c r="AM152" s="97">
        <f ca="1">SUMIF(Сезон!A:A,F152,Сезон!B:B)</f>
        <v>1</v>
      </c>
      <c r="AN152" s="97">
        <f ca="1">SUMIF(Состав!A:A,J152,Состав!B:B)</f>
        <v>0</v>
      </c>
      <c r="AO152" s="97">
        <f ca="1">VLOOKUP(I152,ЦветПолный!A:C,3,0)</f>
        <v>1</v>
      </c>
      <c r="AP152" s="97">
        <f>SUMIF(Цвет!A:A,Z152,Цвет!B:B)</f>
        <v>1</v>
      </c>
      <c r="AQ152" s="97">
        <f ca="1">_xlfn.XLOOKUP(L152,Пол!A:A,Пол!B:B,0,0)</f>
        <v>1</v>
      </c>
      <c r="AR152" s="97">
        <f ca="1">SUMIF(Бренд!A:A,G152,Бренд!B:B)</f>
        <v>1</v>
      </c>
      <c r="AS152" s="97">
        <f ca="1">SUMIF(Страна!A:A,M152,Страна!B:B)</f>
        <v>1</v>
      </c>
      <c r="AT152" s="64" t="e">
        <f ca="1">IF(VLOOKUP(W152,Товары!A:B,2,FALSE)=A152,"Есть в 1С","ERR")</f>
        <v>#N/A</v>
      </c>
      <c r="AU152" s="65" t="e">
        <f ca="1">IF(VLOOKUP(A152,Товары!B:B,1,FALSE)=A152,"Есть в 1С","ERR")</f>
        <v>#N/A</v>
      </c>
      <c r="AV152" s="96" t="e">
        <f ca="1">VLOOKUP(W152,Товары!A:B,2,FALSE)</f>
        <v>#N/A</v>
      </c>
      <c r="AW152" s="94" t="e">
        <f ca="1">VLOOKUP(W152,Товары!A:B,1,FALSE)</f>
        <v>#N/A</v>
      </c>
    </row>
    <row r="153" spans="1:49" x14ac:dyDescent="0.25">
      <c r="A153" s="110" t="str">
        <f t="shared" ca="1" si="10"/>
        <v>95-009-62</v>
      </c>
      <c r="B153" s="107" t="str">
        <f ca="1">_xlfn.LET(_xlpm.CAPS,0,_xlpm.Style,TRIM(_xlfn.XLOOKUP($A153,Строчный!$A:$A,Строчный!B:B,"ERR",0)),IF(_xlpm.CAPS=0,_xlpm.Style,LOWER(_xlpm.Style)))</f>
        <v>3122</v>
      </c>
      <c r="C153" s="81" t="str">
        <f ca="1">TRIM(PROPER(_xlfn.XLOOKUP($A153,Строчный!$A:$A,Строчный!C:C,"ERR",0)))</f>
        <v>Кепки</v>
      </c>
      <c r="D153" s="81" t="str">
        <f ca="1">_xlfn.LET(_xlpm.DATA,TRIM(_xlfn.XLOOKUP($A153,Строчный!$A:$A,Строчный!D:D,"ERR",0)),UPPER(MID(_xlpm.DATA,1,1))&amp;LOWER(MID(_xlpm.DATA,2,LEN(_xlpm.DATA)-1)))</f>
        <v>Кепка плоская</v>
      </c>
      <c r="E153" s="81" t="str">
        <f ca="1">PROPER(TRIM(_xlfn.XLOOKUP($A153,Строчный!$A:$A,Строчный!E:E,"ERR",0)))</f>
        <v>Fredrikson</v>
      </c>
      <c r="F153" s="81" t="str">
        <f ca="1">LOWER(TRIM(_xlfn.XLOOKUP($A153,Строчный!$A:$A,Строчный!F:F,"ERR",0)))</f>
        <v>всесезон</v>
      </c>
      <c r="G153" s="81" t="str">
        <f ca="1">UPPER(TRIM(_xlfn.XLOOKUP($A153,Строчный!$A:$A,Строчный!G:G,"ERR",0)))</f>
        <v>FREDRIKSON</v>
      </c>
      <c r="H153" s="81" t="str">
        <f ca="1">LOWER(TRIM(_xlfn.XLOOKUP($A153,Строчный!$A:$A,Строчный!H:H,"ERR",0)))</f>
        <v>640/79</v>
      </c>
      <c r="I153" s="81" t="str">
        <f ca="1">LOWER(TRIM(_xlfn.XLOOKUP($A153,Строчный!$A:$A,Строчный!I:I,"ERR",0)))</f>
        <v>темно-серый / белый</v>
      </c>
      <c r="J153" s="81" t="str">
        <f ca="1">SUBSTITUTE(LOWER(TRIM(_xlfn.XLOOKUP($A153,Строчный!$A:$A,Строчный!J:J,"ERR",0))),"подклад","Подклад")</f>
        <v>80% шерсть - 20% полиамид / Подклад: 100% вискоза</v>
      </c>
      <c r="K153" s="81" t="str">
        <f ca="1">LOWER(TRIM(_xlfn.XLOOKUP($A153,Строчный!$A:$A,Строчный!K:K,"ERR",0)))</f>
        <v>шерстяные</v>
      </c>
      <c r="L153" s="81" t="str">
        <f ca="1">PROPER(TRIM(_xlfn.XLOOKUP($A153,Строчный!$A:$A,Строчный!L:L,"ERR",0)))</f>
        <v>Унисекс</v>
      </c>
      <c r="M153" s="113" t="str">
        <f ca="1">PROPER(TRIM(_xlfn.XLOOKUP($A153,Строчный!$A:$A,Строчный!M:M,"ERR",0)))</f>
        <v>Россия</v>
      </c>
      <c r="N153" s="81" t="str">
        <f ca="1">UPPER(TRIM(_xlfn.XLOOKUP($A153,Строчный!$A:$A,Строчный!O:O,"ERR",0)))</f>
        <v/>
      </c>
      <c r="O153" s="102" t="str">
        <f ca="1">PROPER(TRIM(_xlfn.XLOOKUP($A153,Строчный!$A:$A,Строчный!P:P,"ERR",0)))</f>
        <v/>
      </c>
      <c r="P153" s="81" t="str">
        <f ca="1">PROPER(TRIM(_xlfn.XLOOKUP($A153,Строчный!$A:$A,Строчный!R:R,"ERR",0)))</f>
        <v/>
      </c>
      <c r="Q153" s="90">
        <f ca="1">VALUE(_xlfn.XLOOKUP($A153,Строчный!$A:$A,Строчный!N:N,"ERR",0))</f>
        <v>975.8</v>
      </c>
      <c r="R153" s="89" t="str">
        <f ca="1">_xlfn.XLOOKUP($G153,Фабрика!A:A,Фабрика!B:B,"ERR",0)</f>
        <v>ООО "ФРЭДРИКСОН" Россия 192029, С-Петербург, пр. Обуховской обороны, д.86, лит М</v>
      </c>
      <c r="S153" s="80" t="str">
        <f ca="1">_xlfn.XLOOKUP(RIGHT(AA153,2),Размеры!D:D,Размеры!A:A,"ERR",0)</f>
        <v>57</v>
      </c>
      <c r="T153" s="80">
        <f ca="1">VALUE(_xlfn.XLOOKUP($AA153,Строчный!$S:$S,Строчный!U:U,"ERR",0))</f>
        <v>1</v>
      </c>
      <c r="U153" s="14" t="s">
        <v>265</v>
      </c>
      <c r="V153" s="101" t="str">
        <f t="shared" ca="1" si="11"/>
        <v>Кепка FREDRIKSON арт. 3122 (темно-серый / белый)</v>
      </c>
      <c r="W153" s="100" t="str">
        <f t="shared" ca="1" si="12"/>
        <v>Кепка FREDRIKSON арт. 3122 (темно-серый / белый) {640/79}</v>
      </c>
      <c r="X153" s="18" t="str">
        <f t="shared" ca="1" si="13"/>
        <v>серый / белый</v>
      </c>
      <c r="Y153" s="18" t="str">
        <f t="shared" ca="1" si="14"/>
        <v>серый / белый</v>
      </c>
      <c r="Z153" s="117" t="s">
        <v>28</v>
      </c>
      <c r="AA153" s="73" t="str">
        <f ca="1"/>
        <v>95-009-62-57</v>
      </c>
      <c r="AB153" s="75" t="str">
        <f ca="1">VLOOKUP(C153,Группа!A:B,2,FALSE)</f>
        <v>Кепка</v>
      </c>
      <c r="AC153" s="97" t="str">
        <f ca="1">IFERROR(VLOOKUP(S153,Размеры!A:C,3,FALSE),"")</f>
        <v>57 M</v>
      </c>
      <c r="AD153" s="97" t="str">
        <f ca="1">VLOOKUP(I153,ЦветПолный!A:B,2,FALSE)</f>
        <v>62</v>
      </c>
      <c r="AE153" s="97" t="str">
        <f ca="1">IFERROR(VLOOKUP(S153,Размеры!A:D,4,FALSE),"")</f>
        <v>57</v>
      </c>
      <c r="AF153" s="97">
        <f ca="1">IF(LEFT(IFERROR(VLOOKUP(LOOKUP(2,1/SEARCH(B153,Товары!A:A),Товары!A:A),Товары!A:B,2,0),""),6)=MID(AA153,1,6),1,0)</f>
        <v>0</v>
      </c>
      <c r="AH153" s="97">
        <f ca="1">SUMIF(Группа!A:A,C153,Группа!C:C)</f>
        <v>1</v>
      </c>
      <c r="AI153" s="97">
        <f ca="1">SUMIF(Группа!B:B,AB153,Группа!C:C)</f>
        <v>1</v>
      </c>
      <c r="AJ153" s="97">
        <f ca="1">SUMIF(Формы!A:A,D153,Формы!B:B)</f>
        <v>1</v>
      </c>
      <c r="AK153" s="97">
        <f ca="1">SUMIF(Материал!A:A,K153,Материал!B:B)</f>
        <v>1</v>
      </c>
      <c r="AL153" s="97">
        <f ca="1">SUMIF(Размеры!A:A,S153,Размеры!E:E)</f>
        <v>1</v>
      </c>
      <c r="AM153" s="97">
        <f ca="1">SUMIF(Сезон!A:A,F153,Сезон!B:B)</f>
        <v>1</v>
      </c>
      <c r="AN153" s="97">
        <f ca="1">SUMIF(Состав!A:A,J153,Состав!B:B)</f>
        <v>0</v>
      </c>
      <c r="AO153" s="97">
        <f ca="1">VLOOKUP(I153,ЦветПолный!A:C,3,0)</f>
        <v>1</v>
      </c>
      <c r="AP153" s="97">
        <f>SUMIF(Цвет!A:A,Z153,Цвет!B:B)</f>
        <v>1</v>
      </c>
      <c r="AQ153" s="97">
        <f ca="1">_xlfn.XLOOKUP(L153,Пол!A:A,Пол!B:B,0,0)</f>
        <v>1</v>
      </c>
      <c r="AR153" s="97">
        <f ca="1">SUMIF(Бренд!A:A,G153,Бренд!B:B)</f>
        <v>1</v>
      </c>
      <c r="AS153" s="97">
        <f ca="1">SUMIF(Страна!A:A,M153,Страна!B:B)</f>
        <v>1</v>
      </c>
      <c r="AT153" s="64" t="e">
        <f ca="1">IF(VLOOKUP(W153,Товары!A:B,2,FALSE)=A153,"Есть в 1С","ERR")</f>
        <v>#N/A</v>
      </c>
      <c r="AU153" s="65" t="e">
        <f ca="1">IF(VLOOKUP(A153,Товары!B:B,1,FALSE)=A153,"Есть в 1С","ERR")</f>
        <v>#N/A</v>
      </c>
      <c r="AV153" s="96" t="e">
        <f ca="1">VLOOKUP(W153,Товары!A:B,2,FALSE)</f>
        <v>#N/A</v>
      </c>
      <c r="AW153" s="94" t="e">
        <f ca="1">VLOOKUP(W153,Товары!A:B,1,FALSE)</f>
        <v>#N/A</v>
      </c>
    </row>
    <row r="154" spans="1:49" x14ac:dyDescent="0.25">
      <c r="A154" s="110" t="str">
        <f t="shared" ca="1" si="10"/>
        <v>95-009-09</v>
      </c>
      <c r="B154" s="107" t="str">
        <f ca="1">_xlfn.LET(_xlpm.CAPS,0,_xlpm.Style,TRIM(_xlfn.XLOOKUP($A154,Строчный!$A:$A,Строчный!B:B,"ERR",0)),IF(_xlpm.CAPS=0,_xlpm.Style,LOWER(_xlpm.Style)))</f>
        <v>3122</v>
      </c>
      <c r="C154" s="81" t="str">
        <f ca="1">TRIM(PROPER(_xlfn.XLOOKUP($A154,Строчный!$A:$A,Строчный!C:C,"ERR",0)))</f>
        <v>Кепки</v>
      </c>
      <c r="D154" s="81" t="str">
        <f ca="1">_xlfn.LET(_xlpm.DATA,TRIM(_xlfn.XLOOKUP($A154,Строчный!$A:$A,Строчный!D:D,"ERR",0)),UPPER(MID(_xlpm.DATA,1,1))&amp;LOWER(MID(_xlpm.DATA,2,LEN(_xlpm.DATA)-1)))</f>
        <v>Кепка плоская</v>
      </c>
      <c r="E154" s="81" t="str">
        <f ca="1">PROPER(TRIM(_xlfn.XLOOKUP($A154,Строчный!$A:$A,Строчный!E:E,"ERR",0)))</f>
        <v>Fredrikson</v>
      </c>
      <c r="F154" s="81" t="str">
        <f ca="1">LOWER(TRIM(_xlfn.XLOOKUP($A154,Строчный!$A:$A,Строчный!F:F,"ERR",0)))</f>
        <v>всесезон</v>
      </c>
      <c r="G154" s="81" t="str">
        <f ca="1">UPPER(TRIM(_xlfn.XLOOKUP($A154,Строчный!$A:$A,Строчный!G:G,"ERR",0)))</f>
        <v>FREDRIKSON</v>
      </c>
      <c r="H154" s="81" t="str">
        <f ca="1">LOWER(TRIM(_xlfn.XLOOKUP($A154,Строчный!$A:$A,Строчный!H:H,"ERR",0)))</f>
        <v>624/91</v>
      </c>
      <c r="I154" s="81" t="str">
        <f ca="1">LOWER(TRIM(_xlfn.XLOOKUP($A154,Строчный!$A:$A,Строчный!I:I,"ERR",0)))</f>
        <v>черный</v>
      </c>
      <c r="J154" s="81" t="str">
        <f ca="1">SUBSTITUTE(LOWER(TRIM(_xlfn.XLOOKUP($A154,Строчный!$A:$A,Строчный!J:J,"ERR",0))),"подклад","Подклад")</f>
        <v>80% шерсть - 20% полиамид / Подклад: 100% вискоза</v>
      </c>
      <c r="K154" s="81" t="str">
        <f ca="1">LOWER(TRIM(_xlfn.XLOOKUP($A154,Строчный!$A:$A,Строчный!K:K,"ERR",0)))</f>
        <v>шерстяные</v>
      </c>
      <c r="L154" s="81" t="str">
        <f ca="1">PROPER(TRIM(_xlfn.XLOOKUP($A154,Строчный!$A:$A,Строчный!L:L,"ERR",0)))</f>
        <v>Унисекс</v>
      </c>
      <c r="M154" s="113" t="str">
        <f ca="1">PROPER(TRIM(_xlfn.XLOOKUP($A154,Строчный!$A:$A,Строчный!M:M,"ERR",0)))</f>
        <v>Россия</v>
      </c>
      <c r="N154" s="81" t="str">
        <f ca="1">UPPER(TRIM(_xlfn.XLOOKUP($A154,Строчный!$A:$A,Строчный!O:O,"ERR",0)))</f>
        <v/>
      </c>
      <c r="O154" s="102" t="str">
        <f ca="1">PROPER(TRIM(_xlfn.XLOOKUP($A154,Строчный!$A:$A,Строчный!P:P,"ERR",0)))</f>
        <v/>
      </c>
      <c r="P154" s="81" t="str">
        <f ca="1">PROPER(TRIM(_xlfn.XLOOKUP($A154,Строчный!$A:$A,Строчный!R:R,"ERR",0)))</f>
        <v/>
      </c>
      <c r="Q154" s="90">
        <f ca="1">VALUE(_xlfn.XLOOKUP($A154,Строчный!$A:$A,Строчный!N:N,"ERR",0))</f>
        <v>975.8</v>
      </c>
      <c r="R154" s="89" t="str">
        <f ca="1">_xlfn.XLOOKUP($G154,Фабрика!A:A,Фабрика!B:B,"ERR",0)</f>
        <v>ООО "ФРЭДРИКСОН" Россия 192029, С-Петербург, пр. Обуховской обороны, д.86, лит М</v>
      </c>
      <c r="S154" s="80" t="str">
        <f ca="1">_xlfn.XLOOKUP(RIGHT(AA154,2),Размеры!D:D,Размеры!A:A,"ERR",0)</f>
        <v>62</v>
      </c>
      <c r="T154" s="80">
        <f ca="1">VALUE(_xlfn.XLOOKUP($AA154,Строчный!$S:$S,Строчный!U:U,"ERR",0))</f>
        <v>1</v>
      </c>
      <c r="U154" s="14" t="s">
        <v>265</v>
      </c>
      <c r="V154" s="101" t="str">
        <f t="shared" ca="1" si="11"/>
        <v>Кепка FREDRIKSON арт. 3122 (черный)</v>
      </c>
      <c r="W154" s="100" t="str">
        <f t="shared" ca="1" si="12"/>
        <v>Кепка FREDRIKSON арт. 3122 (черный) {624/91}</v>
      </c>
      <c r="X154" s="18" t="str">
        <f t="shared" ca="1" si="13"/>
        <v>черный</v>
      </c>
      <c r="Y154" s="18" t="str">
        <f t="shared" ca="1" si="14"/>
        <v>черный</v>
      </c>
      <c r="Z154" s="117" t="str">
        <f ca="1">_xlfn.LET(_xlpm.FormColors,_xlfn.XLOOKUP(A154,Строчный!A:A,Строчный!Q:Q,"",0),IF(_xlpm.FormColors=0,IFERROR(MID(I154,FIND("-",I154)+1,LEN(I154)),IFERROR(MID(I154,1,FIND("/",I154)-2),I154)),_xlpm.FormColors))</f>
        <v>черный</v>
      </c>
      <c r="AA154" s="73" t="str">
        <f ca="1"/>
        <v>95-009-09-62</v>
      </c>
      <c r="AB154" s="75" t="str">
        <f ca="1">VLOOKUP(C154,Группа!A:B,2,FALSE)</f>
        <v>Кепка</v>
      </c>
      <c r="AC154" s="97" t="str">
        <f ca="1">IFERROR(VLOOKUP(S154,Размеры!A:C,3,FALSE),"")</f>
        <v>62 XL/XXL</v>
      </c>
      <c r="AD154" s="97" t="str">
        <f ca="1">VLOOKUP(I154,ЦветПолный!A:B,2,FALSE)</f>
        <v>09</v>
      </c>
      <c r="AE154" s="97" t="str">
        <f ca="1">IFERROR(VLOOKUP(S154,Размеры!A:D,4,FALSE),"")</f>
        <v>62</v>
      </c>
      <c r="AF154" s="97">
        <f ca="1">IF(LEFT(IFERROR(VLOOKUP(LOOKUP(2,1/SEARCH(B154,Товары!A:A),Товары!A:A),Товары!A:B,2,0),""),6)=MID(AA154,1,6),1,0)</f>
        <v>0</v>
      </c>
      <c r="AH154" s="97">
        <f ca="1">SUMIF(Группа!A:A,C154,Группа!C:C)</f>
        <v>1</v>
      </c>
      <c r="AI154" s="97">
        <f ca="1">SUMIF(Группа!B:B,AB154,Группа!C:C)</f>
        <v>1</v>
      </c>
      <c r="AJ154" s="97">
        <f ca="1">SUMIF(Формы!A:A,D154,Формы!B:B)</f>
        <v>1</v>
      </c>
      <c r="AK154" s="97">
        <f ca="1">SUMIF(Материал!A:A,K154,Материал!B:B)</f>
        <v>1</v>
      </c>
      <c r="AL154" s="97">
        <f ca="1">SUMIF(Размеры!A:A,S154,Размеры!E:E)</f>
        <v>1</v>
      </c>
      <c r="AM154" s="97">
        <f ca="1">SUMIF(Сезон!A:A,F154,Сезон!B:B)</f>
        <v>1</v>
      </c>
      <c r="AN154" s="97">
        <f ca="1">SUMIF(Состав!A:A,J154,Состав!B:B)</f>
        <v>0</v>
      </c>
      <c r="AO154" s="97">
        <f ca="1">VLOOKUP(I154,ЦветПолный!A:C,3,0)</f>
        <v>1</v>
      </c>
      <c r="AP154" s="97">
        <f ca="1">SUMIF(Цвет!A:A,Z154,Цвет!B:B)</f>
        <v>1</v>
      </c>
      <c r="AQ154" s="97">
        <f ca="1">_xlfn.XLOOKUP(L154,Пол!A:A,Пол!B:B,0,0)</f>
        <v>1</v>
      </c>
      <c r="AR154" s="97">
        <f ca="1">SUMIF(Бренд!A:A,G154,Бренд!B:B)</f>
        <v>1</v>
      </c>
      <c r="AS154" s="97">
        <f ca="1">SUMIF(Страна!A:A,M154,Страна!B:B)</f>
        <v>1</v>
      </c>
      <c r="AT154" s="64" t="e">
        <f ca="1">IF(VLOOKUP(W154,Товары!A:B,2,FALSE)=A154,"Есть в 1С","ERR")</f>
        <v>#N/A</v>
      </c>
      <c r="AU154" s="65" t="e">
        <f ca="1">IF(VLOOKUP(A154,Товары!B:B,1,FALSE)=A154,"Есть в 1С","ERR")</f>
        <v>#N/A</v>
      </c>
      <c r="AV154" s="96" t="e">
        <f ca="1">VLOOKUP(W154,Товары!A:B,2,FALSE)</f>
        <v>#N/A</v>
      </c>
      <c r="AW154" s="94" t="e">
        <f ca="1">VLOOKUP(W154,Товары!A:B,1,FALSE)</f>
        <v>#N/A</v>
      </c>
    </row>
    <row r="155" spans="1:49" x14ac:dyDescent="0.25">
      <c r="A155" s="110" t="str">
        <f t="shared" ca="1" si="10"/>
        <v>95-009-09</v>
      </c>
      <c r="B155" s="107" t="str">
        <f ca="1">_xlfn.LET(_xlpm.CAPS,0,_xlpm.Style,TRIM(_xlfn.XLOOKUP($A155,Строчный!$A:$A,Строчный!B:B,"ERR",0)),IF(_xlpm.CAPS=0,_xlpm.Style,LOWER(_xlpm.Style)))</f>
        <v>3122</v>
      </c>
      <c r="C155" s="81" t="str">
        <f ca="1">TRIM(PROPER(_xlfn.XLOOKUP($A155,Строчный!$A:$A,Строчный!C:C,"ERR",0)))</f>
        <v>Кепки</v>
      </c>
      <c r="D155" s="81" t="str">
        <f ca="1">_xlfn.LET(_xlpm.DATA,TRIM(_xlfn.XLOOKUP($A155,Строчный!$A:$A,Строчный!D:D,"ERR",0)),UPPER(MID(_xlpm.DATA,1,1))&amp;LOWER(MID(_xlpm.DATA,2,LEN(_xlpm.DATA)-1)))</f>
        <v>Кепка плоская</v>
      </c>
      <c r="E155" s="81" t="str">
        <f ca="1">PROPER(TRIM(_xlfn.XLOOKUP($A155,Строчный!$A:$A,Строчный!E:E,"ERR",0)))</f>
        <v>Fredrikson</v>
      </c>
      <c r="F155" s="81" t="str">
        <f ca="1">LOWER(TRIM(_xlfn.XLOOKUP($A155,Строчный!$A:$A,Строчный!F:F,"ERR",0)))</f>
        <v>всесезон</v>
      </c>
      <c r="G155" s="81" t="str">
        <f ca="1">UPPER(TRIM(_xlfn.XLOOKUP($A155,Строчный!$A:$A,Строчный!G:G,"ERR",0)))</f>
        <v>FREDRIKSON</v>
      </c>
      <c r="H155" s="81" t="str">
        <f ca="1">LOWER(TRIM(_xlfn.XLOOKUP($A155,Строчный!$A:$A,Строчный!H:H,"ERR",0)))</f>
        <v>624/91</v>
      </c>
      <c r="I155" s="81" t="str">
        <f ca="1">LOWER(TRIM(_xlfn.XLOOKUP($A155,Строчный!$A:$A,Строчный!I:I,"ERR",0)))</f>
        <v>черный</v>
      </c>
      <c r="J155" s="81" t="str">
        <f ca="1">SUBSTITUTE(LOWER(TRIM(_xlfn.XLOOKUP($A155,Строчный!$A:$A,Строчный!J:J,"ERR",0))),"подклад","Подклад")</f>
        <v>80% шерсть - 20% полиамид / Подклад: 100% вискоза</v>
      </c>
      <c r="K155" s="81" t="str">
        <f ca="1">LOWER(TRIM(_xlfn.XLOOKUP($A155,Строчный!$A:$A,Строчный!K:K,"ERR",0)))</f>
        <v>шерстяные</v>
      </c>
      <c r="L155" s="81" t="str">
        <f ca="1">PROPER(TRIM(_xlfn.XLOOKUP($A155,Строчный!$A:$A,Строчный!L:L,"ERR",0)))</f>
        <v>Унисекс</v>
      </c>
      <c r="M155" s="113" t="str">
        <f ca="1">PROPER(TRIM(_xlfn.XLOOKUP($A155,Строчный!$A:$A,Строчный!M:M,"ERR",0)))</f>
        <v>Россия</v>
      </c>
      <c r="N155" s="81" t="str">
        <f ca="1">UPPER(TRIM(_xlfn.XLOOKUP($A155,Строчный!$A:$A,Строчный!O:O,"ERR",0)))</f>
        <v/>
      </c>
      <c r="O155" s="102" t="str">
        <f ca="1">PROPER(TRIM(_xlfn.XLOOKUP($A155,Строчный!$A:$A,Строчный!P:P,"ERR",0)))</f>
        <v/>
      </c>
      <c r="P155" s="81" t="str">
        <f ca="1">PROPER(TRIM(_xlfn.XLOOKUP($A155,Строчный!$A:$A,Строчный!R:R,"ERR",0)))</f>
        <v/>
      </c>
      <c r="Q155" s="90">
        <f ca="1">VALUE(_xlfn.XLOOKUP($A155,Строчный!$A:$A,Строчный!N:N,"ERR",0))</f>
        <v>975.8</v>
      </c>
      <c r="R155" s="89" t="str">
        <f ca="1">_xlfn.XLOOKUP($G155,Фабрика!A:A,Фабрика!B:B,"ERR",0)</f>
        <v>ООО "ФРЭДРИКСОН" Россия 192029, С-Петербург, пр. Обуховской обороны, д.86, лит М</v>
      </c>
      <c r="S155" s="80" t="str">
        <f ca="1">_xlfn.XLOOKUP(RIGHT(AA155,2),Размеры!D:D,Размеры!A:A,"ERR",0)</f>
        <v>61</v>
      </c>
      <c r="T155" s="80">
        <f ca="1">VALUE(_xlfn.XLOOKUP($AA155,Строчный!$S:$S,Строчный!U:U,"ERR",0))</f>
        <v>2</v>
      </c>
      <c r="U155" s="14" t="s">
        <v>265</v>
      </c>
      <c r="V155" s="101" t="str">
        <f t="shared" ca="1" si="11"/>
        <v>Кепка FREDRIKSON арт. 3122 (черный)</v>
      </c>
      <c r="W155" s="100" t="str">
        <f t="shared" ca="1" si="12"/>
        <v>Кепка FREDRIKSON арт. 3122 (черный) {624/91}</v>
      </c>
      <c r="X155" s="18" t="str">
        <f t="shared" ca="1" si="13"/>
        <v>черный</v>
      </c>
      <c r="Y155" s="18" t="str">
        <f t="shared" ca="1" si="14"/>
        <v>черный</v>
      </c>
      <c r="Z155" s="117" t="str">
        <f ca="1">_xlfn.LET(_xlpm.FormColors,_xlfn.XLOOKUP(A155,Строчный!A:A,Строчный!Q:Q,"",0),IF(_xlpm.FormColors=0,IFERROR(MID(I155,FIND("-",I155)+1,LEN(I155)),IFERROR(MID(I155,1,FIND("/",I155)-2),I155)),_xlpm.FormColors))</f>
        <v>черный</v>
      </c>
      <c r="AA155" s="73" t="str">
        <f ca="1"/>
        <v>95-009-09-61</v>
      </c>
      <c r="AB155" s="75" t="str">
        <f ca="1">VLOOKUP(C155,Группа!A:B,2,FALSE)</f>
        <v>Кепка</v>
      </c>
      <c r="AC155" s="97" t="str">
        <f ca="1">IFERROR(VLOOKUP(S155,Размеры!A:C,3,FALSE),"")</f>
        <v>61 XL</v>
      </c>
      <c r="AD155" s="97" t="str">
        <f ca="1">VLOOKUP(I155,ЦветПолный!A:B,2,FALSE)</f>
        <v>09</v>
      </c>
      <c r="AE155" s="97" t="str">
        <f ca="1">IFERROR(VLOOKUP(S155,Размеры!A:D,4,FALSE),"")</f>
        <v>61</v>
      </c>
      <c r="AF155" s="97">
        <f ca="1">IF(LEFT(IFERROR(VLOOKUP(LOOKUP(2,1/SEARCH(B155,Товары!A:A),Товары!A:A),Товары!A:B,2,0),""),6)=MID(AA155,1,6),1,0)</f>
        <v>0</v>
      </c>
      <c r="AH155" s="97">
        <f ca="1">SUMIF(Группа!A:A,C155,Группа!C:C)</f>
        <v>1</v>
      </c>
      <c r="AI155" s="97">
        <f ca="1">SUMIF(Группа!B:B,AB155,Группа!C:C)</f>
        <v>1</v>
      </c>
      <c r="AJ155" s="97">
        <f ca="1">SUMIF(Формы!A:A,D155,Формы!B:B)</f>
        <v>1</v>
      </c>
      <c r="AK155" s="97">
        <f ca="1">SUMIF(Материал!A:A,K155,Материал!B:B)</f>
        <v>1</v>
      </c>
      <c r="AL155" s="97">
        <f ca="1">SUMIF(Размеры!A:A,S155,Размеры!E:E)</f>
        <v>1</v>
      </c>
      <c r="AM155" s="97">
        <f ca="1">SUMIF(Сезон!A:A,F155,Сезон!B:B)</f>
        <v>1</v>
      </c>
      <c r="AN155" s="97">
        <f ca="1">SUMIF(Состав!A:A,J155,Состав!B:B)</f>
        <v>0</v>
      </c>
      <c r="AO155" s="97">
        <f ca="1">VLOOKUP(I155,ЦветПолный!A:C,3,0)</f>
        <v>1</v>
      </c>
      <c r="AP155" s="97">
        <f ca="1">SUMIF(Цвет!A:A,Z155,Цвет!B:B)</f>
        <v>1</v>
      </c>
      <c r="AQ155" s="97">
        <f ca="1">_xlfn.XLOOKUP(L155,Пол!A:A,Пол!B:B,0,0)</f>
        <v>1</v>
      </c>
      <c r="AR155" s="97">
        <f ca="1">SUMIF(Бренд!A:A,G155,Бренд!B:B)</f>
        <v>1</v>
      </c>
      <c r="AS155" s="97">
        <f ca="1">SUMIF(Страна!A:A,M155,Страна!B:B)</f>
        <v>1</v>
      </c>
      <c r="AT155" s="64" t="e">
        <f ca="1">IF(VLOOKUP(W155,Товары!A:B,2,FALSE)=A155,"Есть в 1С","ERR")</f>
        <v>#N/A</v>
      </c>
      <c r="AU155" s="65" t="e">
        <f ca="1">IF(VLOOKUP(A155,Товары!B:B,1,FALSE)=A155,"Есть в 1С","ERR")</f>
        <v>#N/A</v>
      </c>
      <c r="AV155" s="96" t="e">
        <f ca="1">VLOOKUP(W155,Товары!A:B,2,FALSE)</f>
        <v>#N/A</v>
      </c>
      <c r="AW155" s="94" t="e">
        <f ca="1">VLOOKUP(W155,Товары!A:B,1,FALSE)</f>
        <v>#N/A</v>
      </c>
    </row>
    <row r="156" spans="1:49" x14ac:dyDescent="0.25">
      <c r="A156" s="110" t="str">
        <f t="shared" ca="1" si="10"/>
        <v>95-009-09</v>
      </c>
      <c r="B156" s="107" t="str">
        <f ca="1">_xlfn.LET(_xlpm.CAPS,0,_xlpm.Style,TRIM(_xlfn.XLOOKUP($A156,Строчный!$A:$A,Строчный!B:B,"ERR",0)),IF(_xlpm.CAPS=0,_xlpm.Style,LOWER(_xlpm.Style)))</f>
        <v>3122</v>
      </c>
      <c r="C156" s="81" t="str">
        <f ca="1">TRIM(PROPER(_xlfn.XLOOKUP($A156,Строчный!$A:$A,Строчный!C:C,"ERR",0)))</f>
        <v>Кепки</v>
      </c>
      <c r="D156" s="81" t="str">
        <f ca="1">_xlfn.LET(_xlpm.DATA,TRIM(_xlfn.XLOOKUP($A156,Строчный!$A:$A,Строчный!D:D,"ERR",0)),UPPER(MID(_xlpm.DATA,1,1))&amp;LOWER(MID(_xlpm.DATA,2,LEN(_xlpm.DATA)-1)))</f>
        <v>Кепка плоская</v>
      </c>
      <c r="E156" s="81" t="str">
        <f ca="1">PROPER(TRIM(_xlfn.XLOOKUP($A156,Строчный!$A:$A,Строчный!E:E,"ERR",0)))</f>
        <v>Fredrikson</v>
      </c>
      <c r="F156" s="81" t="str">
        <f ca="1">LOWER(TRIM(_xlfn.XLOOKUP($A156,Строчный!$A:$A,Строчный!F:F,"ERR",0)))</f>
        <v>всесезон</v>
      </c>
      <c r="G156" s="81" t="str">
        <f ca="1">UPPER(TRIM(_xlfn.XLOOKUP($A156,Строчный!$A:$A,Строчный!G:G,"ERR",0)))</f>
        <v>FREDRIKSON</v>
      </c>
      <c r="H156" s="81" t="str">
        <f ca="1">LOWER(TRIM(_xlfn.XLOOKUP($A156,Строчный!$A:$A,Строчный!H:H,"ERR",0)))</f>
        <v>624/91</v>
      </c>
      <c r="I156" s="81" t="str">
        <f ca="1">LOWER(TRIM(_xlfn.XLOOKUP($A156,Строчный!$A:$A,Строчный!I:I,"ERR",0)))</f>
        <v>черный</v>
      </c>
      <c r="J156" s="81" t="str">
        <f ca="1">SUBSTITUTE(LOWER(TRIM(_xlfn.XLOOKUP($A156,Строчный!$A:$A,Строчный!J:J,"ERR",0))),"подклад","Подклад")</f>
        <v>80% шерсть - 20% полиамид / Подклад: 100% вискоза</v>
      </c>
      <c r="K156" s="81" t="str">
        <f ca="1">LOWER(TRIM(_xlfn.XLOOKUP($A156,Строчный!$A:$A,Строчный!K:K,"ERR",0)))</f>
        <v>шерстяные</v>
      </c>
      <c r="L156" s="81" t="str">
        <f ca="1">PROPER(TRIM(_xlfn.XLOOKUP($A156,Строчный!$A:$A,Строчный!L:L,"ERR",0)))</f>
        <v>Унисекс</v>
      </c>
      <c r="M156" s="113" t="str">
        <f ca="1">PROPER(TRIM(_xlfn.XLOOKUP($A156,Строчный!$A:$A,Строчный!M:M,"ERR",0)))</f>
        <v>Россия</v>
      </c>
      <c r="N156" s="81" t="str">
        <f ca="1">UPPER(TRIM(_xlfn.XLOOKUP($A156,Строчный!$A:$A,Строчный!O:O,"ERR",0)))</f>
        <v/>
      </c>
      <c r="O156" s="102" t="str">
        <f ca="1">PROPER(TRIM(_xlfn.XLOOKUP($A156,Строчный!$A:$A,Строчный!P:P,"ERR",0)))</f>
        <v/>
      </c>
      <c r="P156" s="81" t="str">
        <f ca="1">PROPER(TRIM(_xlfn.XLOOKUP($A156,Строчный!$A:$A,Строчный!R:R,"ERR",0)))</f>
        <v/>
      </c>
      <c r="Q156" s="90">
        <f ca="1">VALUE(_xlfn.XLOOKUP($A156,Строчный!$A:$A,Строчный!N:N,"ERR",0))</f>
        <v>975.8</v>
      </c>
      <c r="R156" s="89" t="str">
        <f ca="1">_xlfn.XLOOKUP($G156,Фабрика!A:A,Фабрика!B:B,"ERR",0)</f>
        <v>ООО "ФРЭДРИКСОН" Россия 192029, С-Петербург, пр. Обуховской обороны, д.86, лит М</v>
      </c>
      <c r="S156" s="80" t="str">
        <f ca="1">_xlfn.XLOOKUP(RIGHT(AA156,2),Размеры!D:D,Размеры!A:A,"ERR",0)</f>
        <v>60</v>
      </c>
      <c r="T156" s="80">
        <f ca="1">VALUE(_xlfn.XLOOKUP($AA156,Строчный!$S:$S,Строчный!U:U,"ERR",0))</f>
        <v>3</v>
      </c>
      <c r="U156" s="14" t="s">
        <v>265</v>
      </c>
      <c r="V156" s="101" t="str">
        <f t="shared" ca="1" si="11"/>
        <v>Кепка FREDRIKSON арт. 3122 (черный)</v>
      </c>
      <c r="W156" s="100" t="str">
        <f t="shared" ca="1" si="12"/>
        <v>Кепка FREDRIKSON арт. 3122 (черный) {624/91}</v>
      </c>
      <c r="X156" s="18" t="str">
        <f t="shared" ca="1" si="13"/>
        <v>черный</v>
      </c>
      <c r="Y156" s="18" t="str">
        <f t="shared" ca="1" si="14"/>
        <v>черный</v>
      </c>
      <c r="Z156" s="117" t="str">
        <f ca="1">_xlfn.LET(_xlpm.FormColors,_xlfn.XLOOKUP(A156,Строчный!A:A,Строчный!Q:Q,"",0),IF(_xlpm.FormColors=0,IFERROR(MID(I156,FIND("-",I156)+1,LEN(I156)),IFERROR(MID(I156,1,FIND("/",I156)-2),I156)),_xlpm.FormColors))</f>
        <v>черный</v>
      </c>
      <c r="AA156" s="73" t="str">
        <f ca="1"/>
        <v>95-009-09-60</v>
      </c>
      <c r="AB156" s="75" t="str">
        <f ca="1">VLOOKUP(C156,Группа!A:B,2,FALSE)</f>
        <v>Кепка</v>
      </c>
      <c r="AC156" s="97" t="str">
        <f ca="1">IFERROR(VLOOKUP(S156,Размеры!A:C,3,FALSE),"")</f>
        <v>60 L/XL</v>
      </c>
      <c r="AD156" s="97" t="str">
        <f ca="1">VLOOKUP(I156,ЦветПолный!A:B,2,FALSE)</f>
        <v>09</v>
      </c>
      <c r="AE156" s="97" t="str">
        <f ca="1">IFERROR(VLOOKUP(S156,Размеры!A:D,4,FALSE),"")</f>
        <v>60</v>
      </c>
      <c r="AF156" s="97">
        <f ca="1">IF(LEFT(IFERROR(VLOOKUP(LOOKUP(2,1/SEARCH(B156,Товары!A:A),Товары!A:A),Товары!A:B,2,0),""),6)=MID(AA156,1,6),1,0)</f>
        <v>0</v>
      </c>
      <c r="AH156" s="97">
        <f ca="1">SUMIF(Группа!A:A,C156,Группа!C:C)</f>
        <v>1</v>
      </c>
      <c r="AI156" s="97">
        <f ca="1">SUMIF(Группа!B:B,AB156,Группа!C:C)</f>
        <v>1</v>
      </c>
      <c r="AJ156" s="97">
        <f ca="1">SUMIF(Формы!A:A,D156,Формы!B:B)</f>
        <v>1</v>
      </c>
      <c r="AK156" s="97">
        <f ca="1">SUMIF(Материал!A:A,K156,Материал!B:B)</f>
        <v>1</v>
      </c>
      <c r="AL156" s="97">
        <f ca="1">SUMIF(Размеры!A:A,S156,Размеры!E:E)</f>
        <v>1</v>
      </c>
      <c r="AM156" s="97">
        <f ca="1">SUMIF(Сезон!A:A,F156,Сезон!B:B)</f>
        <v>1</v>
      </c>
      <c r="AN156" s="97">
        <f ca="1">SUMIF(Состав!A:A,J156,Состав!B:B)</f>
        <v>0</v>
      </c>
      <c r="AO156" s="97">
        <f ca="1">VLOOKUP(I156,ЦветПолный!A:C,3,0)</f>
        <v>1</v>
      </c>
      <c r="AP156" s="97">
        <f ca="1">SUMIF(Цвет!A:A,Z156,Цвет!B:B)</f>
        <v>1</v>
      </c>
      <c r="AQ156" s="97">
        <f ca="1">_xlfn.XLOOKUP(L156,Пол!A:A,Пол!B:B,0,0)</f>
        <v>1</v>
      </c>
      <c r="AR156" s="97">
        <f ca="1">SUMIF(Бренд!A:A,G156,Бренд!B:B)</f>
        <v>1</v>
      </c>
      <c r="AS156" s="97">
        <f ca="1">SUMIF(Страна!A:A,M156,Страна!B:B)</f>
        <v>1</v>
      </c>
      <c r="AT156" s="64" t="e">
        <f ca="1">IF(VLOOKUP(W156,Товары!A:B,2,FALSE)=A156,"Есть в 1С","ERR")</f>
        <v>#N/A</v>
      </c>
      <c r="AU156" s="65" t="e">
        <f ca="1">IF(VLOOKUP(A156,Товары!B:B,1,FALSE)=A156,"Есть в 1С","ERR")</f>
        <v>#N/A</v>
      </c>
      <c r="AV156" s="96" t="e">
        <f ca="1">VLOOKUP(W156,Товары!A:B,2,FALSE)</f>
        <v>#N/A</v>
      </c>
      <c r="AW156" s="94" t="e">
        <f ca="1">VLOOKUP(W156,Товары!A:B,1,FALSE)</f>
        <v>#N/A</v>
      </c>
    </row>
    <row r="157" spans="1:49" x14ac:dyDescent="0.25">
      <c r="A157" s="110" t="str">
        <f t="shared" ca="1" si="10"/>
        <v>95-009-09</v>
      </c>
      <c r="B157" s="107" t="str">
        <f ca="1">_xlfn.LET(_xlpm.CAPS,0,_xlpm.Style,TRIM(_xlfn.XLOOKUP($A157,Строчный!$A:$A,Строчный!B:B,"ERR",0)),IF(_xlpm.CAPS=0,_xlpm.Style,LOWER(_xlpm.Style)))</f>
        <v>3122</v>
      </c>
      <c r="C157" s="81" t="str">
        <f ca="1">TRIM(PROPER(_xlfn.XLOOKUP($A157,Строчный!$A:$A,Строчный!C:C,"ERR",0)))</f>
        <v>Кепки</v>
      </c>
      <c r="D157" s="81" t="str">
        <f ca="1">_xlfn.LET(_xlpm.DATA,TRIM(_xlfn.XLOOKUP($A157,Строчный!$A:$A,Строчный!D:D,"ERR",0)),UPPER(MID(_xlpm.DATA,1,1))&amp;LOWER(MID(_xlpm.DATA,2,LEN(_xlpm.DATA)-1)))</f>
        <v>Кепка плоская</v>
      </c>
      <c r="E157" s="81" t="str">
        <f ca="1">PROPER(TRIM(_xlfn.XLOOKUP($A157,Строчный!$A:$A,Строчный!E:E,"ERR",0)))</f>
        <v>Fredrikson</v>
      </c>
      <c r="F157" s="81" t="str">
        <f ca="1">LOWER(TRIM(_xlfn.XLOOKUP($A157,Строчный!$A:$A,Строчный!F:F,"ERR",0)))</f>
        <v>всесезон</v>
      </c>
      <c r="G157" s="81" t="str">
        <f ca="1">UPPER(TRIM(_xlfn.XLOOKUP($A157,Строчный!$A:$A,Строчный!G:G,"ERR",0)))</f>
        <v>FREDRIKSON</v>
      </c>
      <c r="H157" s="81" t="str">
        <f ca="1">LOWER(TRIM(_xlfn.XLOOKUP($A157,Строчный!$A:$A,Строчный!H:H,"ERR",0)))</f>
        <v>624/91</v>
      </c>
      <c r="I157" s="81" t="str">
        <f ca="1">LOWER(TRIM(_xlfn.XLOOKUP($A157,Строчный!$A:$A,Строчный!I:I,"ERR",0)))</f>
        <v>черный</v>
      </c>
      <c r="J157" s="81" t="str">
        <f ca="1">SUBSTITUTE(LOWER(TRIM(_xlfn.XLOOKUP($A157,Строчный!$A:$A,Строчный!J:J,"ERR",0))),"подклад","Подклад")</f>
        <v>80% шерсть - 20% полиамид / Подклад: 100% вискоза</v>
      </c>
      <c r="K157" s="81" t="str">
        <f ca="1">LOWER(TRIM(_xlfn.XLOOKUP($A157,Строчный!$A:$A,Строчный!K:K,"ERR",0)))</f>
        <v>шерстяные</v>
      </c>
      <c r="L157" s="81" t="str">
        <f ca="1">PROPER(TRIM(_xlfn.XLOOKUP($A157,Строчный!$A:$A,Строчный!L:L,"ERR",0)))</f>
        <v>Унисекс</v>
      </c>
      <c r="M157" s="113" t="str">
        <f ca="1">PROPER(TRIM(_xlfn.XLOOKUP($A157,Строчный!$A:$A,Строчный!M:M,"ERR",0)))</f>
        <v>Россия</v>
      </c>
      <c r="N157" s="81" t="str">
        <f ca="1">UPPER(TRIM(_xlfn.XLOOKUP($A157,Строчный!$A:$A,Строчный!O:O,"ERR",0)))</f>
        <v/>
      </c>
      <c r="O157" s="102" t="str">
        <f ca="1">PROPER(TRIM(_xlfn.XLOOKUP($A157,Строчный!$A:$A,Строчный!P:P,"ERR",0)))</f>
        <v/>
      </c>
      <c r="P157" s="81" t="str">
        <f ca="1">PROPER(TRIM(_xlfn.XLOOKUP($A157,Строчный!$A:$A,Строчный!R:R,"ERR",0)))</f>
        <v/>
      </c>
      <c r="Q157" s="90">
        <f ca="1">VALUE(_xlfn.XLOOKUP($A157,Строчный!$A:$A,Строчный!N:N,"ERR",0))</f>
        <v>975.8</v>
      </c>
      <c r="R157" s="89" t="str">
        <f ca="1">_xlfn.XLOOKUP($G157,Фабрика!A:A,Фабрика!B:B,"ERR",0)</f>
        <v>ООО "ФРЭДРИКСОН" Россия 192029, С-Петербург, пр. Обуховской обороны, д.86, лит М</v>
      </c>
      <c r="S157" s="80" t="str">
        <f ca="1">_xlfn.XLOOKUP(RIGHT(AA157,2),Размеры!D:D,Размеры!A:A,"ERR",0)</f>
        <v>59</v>
      </c>
      <c r="T157" s="80">
        <f ca="1">VALUE(_xlfn.XLOOKUP($AA157,Строчный!$S:$S,Строчный!U:U,"ERR",0))</f>
        <v>4</v>
      </c>
      <c r="U157" s="14" t="s">
        <v>265</v>
      </c>
      <c r="V157" s="101" t="str">
        <f t="shared" ca="1" si="11"/>
        <v>Кепка FREDRIKSON арт. 3122 (черный)</v>
      </c>
      <c r="W157" s="100" t="str">
        <f t="shared" ca="1" si="12"/>
        <v>Кепка FREDRIKSON арт. 3122 (черный) {624/91}</v>
      </c>
      <c r="X157" s="18" t="str">
        <f t="shared" ca="1" si="13"/>
        <v>черный</v>
      </c>
      <c r="Y157" s="18" t="str">
        <f t="shared" ca="1" si="14"/>
        <v>черный</v>
      </c>
      <c r="Z157" s="117" t="str">
        <f ca="1">_xlfn.LET(_xlpm.FormColors,_xlfn.XLOOKUP(A157,Строчный!A:A,Строчный!Q:Q,"",0),IF(_xlpm.FormColors=0,IFERROR(MID(I157,FIND("-",I157)+1,LEN(I157)),IFERROR(MID(I157,1,FIND("/",I157)-2),I157)),_xlpm.FormColors))</f>
        <v>черный</v>
      </c>
      <c r="AA157" s="73" t="str">
        <f ca="1"/>
        <v>95-009-09-59</v>
      </c>
      <c r="AB157" s="75" t="str">
        <f ca="1">VLOOKUP(C157,Группа!A:B,2,FALSE)</f>
        <v>Кепка</v>
      </c>
      <c r="AC157" s="97" t="str">
        <f ca="1">IFERROR(VLOOKUP(S157,Размеры!A:C,3,FALSE),"")</f>
        <v>59 L</v>
      </c>
      <c r="AD157" s="97" t="str">
        <f ca="1">VLOOKUP(I157,ЦветПолный!A:B,2,FALSE)</f>
        <v>09</v>
      </c>
      <c r="AE157" s="97" t="str">
        <f ca="1">IFERROR(VLOOKUP(S157,Размеры!A:D,4,FALSE),"")</f>
        <v>59</v>
      </c>
      <c r="AF157" s="97">
        <f ca="1">IF(LEFT(IFERROR(VLOOKUP(LOOKUP(2,1/SEARCH(B157,Товары!A:A),Товары!A:A),Товары!A:B,2,0),""),6)=MID(AA157,1,6),1,0)</f>
        <v>0</v>
      </c>
      <c r="AH157" s="97">
        <f ca="1">SUMIF(Группа!A:A,C157,Группа!C:C)</f>
        <v>1</v>
      </c>
      <c r="AI157" s="97">
        <f ca="1">SUMIF(Группа!B:B,AB157,Группа!C:C)</f>
        <v>1</v>
      </c>
      <c r="AJ157" s="97">
        <f ca="1">SUMIF(Формы!A:A,D157,Формы!B:B)</f>
        <v>1</v>
      </c>
      <c r="AK157" s="97">
        <f ca="1">SUMIF(Материал!A:A,K157,Материал!B:B)</f>
        <v>1</v>
      </c>
      <c r="AL157" s="97">
        <f ca="1">SUMIF(Размеры!A:A,S157,Размеры!E:E)</f>
        <v>1</v>
      </c>
      <c r="AM157" s="97">
        <f ca="1">SUMIF(Сезон!A:A,F157,Сезон!B:B)</f>
        <v>1</v>
      </c>
      <c r="AN157" s="97">
        <f ca="1">SUMIF(Состав!A:A,J157,Состав!B:B)</f>
        <v>0</v>
      </c>
      <c r="AO157" s="97">
        <f ca="1">VLOOKUP(I157,ЦветПолный!A:C,3,0)</f>
        <v>1</v>
      </c>
      <c r="AP157" s="97">
        <f ca="1">SUMIF(Цвет!A:A,Z157,Цвет!B:B)</f>
        <v>1</v>
      </c>
      <c r="AQ157" s="97">
        <f ca="1">_xlfn.XLOOKUP(L157,Пол!A:A,Пол!B:B,0,0)</f>
        <v>1</v>
      </c>
      <c r="AR157" s="97">
        <f ca="1">SUMIF(Бренд!A:A,G157,Бренд!B:B)</f>
        <v>1</v>
      </c>
      <c r="AS157" s="97">
        <f ca="1">SUMIF(Страна!A:A,M157,Страна!B:B)</f>
        <v>1</v>
      </c>
      <c r="AT157" s="64" t="e">
        <f ca="1">IF(VLOOKUP(W157,Товары!A:B,2,FALSE)=A157,"Есть в 1С","ERR")</f>
        <v>#N/A</v>
      </c>
      <c r="AU157" s="65" t="e">
        <f ca="1">IF(VLOOKUP(A157,Товары!B:B,1,FALSE)=A157,"Есть в 1С","ERR")</f>
        <v>#N/A</v>
      </c>
      <c r="AV157" s="96" t="e">
        <f ca="1">VLOOKUP(W157,Товары!A:B,2,FALSE)</f>
        <v>#N/A</v>
      </c>
      <c r="AW157" s="94" t="e">
        <f ca="1">VLOOKUP(W157,Товары!A:B,1,FALSE)</f>
        <v>#N/A</v>
      </c>
    </row>
    <row r="158" spans="1:49" x14ac:dyDescent="0.25">
      <c r="A158" s="110" t="str">
        <f t="shared" ref="A158:A221" ca="1" si="15">LEFT(AA158,9)</f>
        <v>95-009-09</v>
      </c>
      <c r="B158" s="107" t="str">
        <f ca="1">_xlfn.LET(_xlpm.CAPS,0,_xlpm.Style,TRIM(_xlfn.XLOOKUP($A158,Строчный!$A:$A,Строчный!B:B,"ERR",0)),IF(_xlpm.CAPS=0,_xlpm.Style,LOWER(_xlpm.Style)))</f>
        <v>3122</v>
      </c>
      <c r="C158" s="81" t="str">
        <f ca="1">TRIM(PROPER(_xlfn.XLOOKUP($A158,Строчный!$A:$A,Строчный!C:C,"ERR",0)))</f>
        <v>Кепки</v>
      </c>
      <c r="D158" s="81" t="str">
        <f ca="1">_xlfn.LET(_xlpm.DATA,TRIM(_xlfn.XLOOKUP($A158,Строчный!$A:$A,Строчный!D:D,"ERR",0)),UPPER(MID(_xlpm.DATA,1,1))&amp;LOWER(MID(_xlpm.DATA,2,LEN(_xlpm.DATA)-1)))</f>
        <v>Кепка плоская</v>
      </c>
      <c r="E158" s="81" t="str">
        <f ca="1">PROPER(TRIM(_xlfn.XLOOKUP($A158,Строчный!$A:$A,Строчный!E:E,"ERR",0)))</f>
        <v>Fredrikson</v>
      </c>
      <c r="F158" s="81" t="str">
        <f ca="1">LOWER(TRIM(_xlfn.XLOOKUP($A158,Строчный!$A:$A,Строчный!F:F,"ERR",0)))</f>
        <v>всесезон</v>
      </c>
      <c r="G158" s="81" t="str">
        <f ca="1">UPPER(TRIM(_xlfn.XLOOKUP($A158,Строчный!$A:$A,Строчный!G:G,"ERR",0)))</f>
        <v>FREDRIKSON</v>
      </c>
      <c r="H158" s="81" t="str">
        <f ca="1">LOWER(TRIM(_xlfn.XLOOKUP($A158,Строчный!$A:$A,Строчный!H:H,"ERR",0)))</f>
        <v>624/91</v>
      </c>
      <c r="I158" s="81" t="str">
        <f ca="1">LOWER(TRIM(_xlfn.XLOOKUP($A158,Строчный!$A:$A,Строчный!I:I,"ERR",0)))</f>
        <v>черный</v>
      </c>
      <c r="J158" s="81" t="str">
        <f ca="1">SUBSTITUTE(LOWER(TRIM(_xlfn.XLOOKUP($A158,Строчный!$A:$A,Строчный!J:J,"ERR",0))),"подклад","Подклад")</f>
        <v>80% шерсть - 20% полиамид / Подклад: 100% вискоза</v>
      </c>
      <c r="K158" s="81" t="str">
        <f ca="1">LOWER(TRIM(_xlfn.XLOOKUP($A158,Строчный!$A:$A,Строчный!K:K,"ERR",0)))</f>
        <v>шерстяные</v>
      </c>
      <c r="L158" s="81" t="str">
        <f ca="1">PROPER(TRIM(_xlfn.XLOOKUP($A158,Строчный!$A:$A,Строчный!L:L,"ERR",0)))</f>
        <v>Унисекс</v>
      </c>
      <c r="M158" s="113" t="str">
        <f ca="1">PROPER(TRIM(_xlfn.XLOOKUP($A158,Строчный!$A:$A,Строчный!M:M,"ERR",0)))</f>
        <v>Россия</v>
      </c>
      <c r="N158" s="81" t="str">
        <f ca="1">UPPER(TRIM(_xlfn.XLOOKUP($A158,Строчный!$A:$A,Строчный!O:O,"ERR",0)))</f>
        <v/>
      </c>
      <c r="O158" s="102" t="str">
        <f ca="1">PROPER(TRIM(_xlfn.XLOOKUP($A158,Строчный!$A:$A,Строчный!P:P,"ERR",0)))</f>
        <v/>
      </c>
      <c r="P158" s="81" t="str">
        <f ca="1">PROPER(TRIM(_xlfn.XLOOKUP($A158,Строчный!$A:$A,Строчный!R:R,"ERR",0)))</f>
        <v/>
      </c>
      <c r="Q158" s="90">
        <f ca="1">VALUE(_xlfn.XLOOKUP($A158,Строчный!$A:$A,Строчный!N:N,"ERR",0))</f>
        <v>975.8</v>
      </c>
      <c r="R158" s="89" t="str">
        <f ca="1">_xlfn.XLOOKUP($G158,Фабрика!A:A,Фабрика!B:B,"ERR",0)</f>
        <v>ООО "ФРЭДРИКСОН" Россия 192029, С-Петербург, пр. Обуховской обороны, д.86, лит М</v>
      </c>
      <c r="S158" s="80" t="str">
        <f ca="1">_xlfn.XLOOKUP(RIGHT(AA158,2),Размеры!D:D,Размеры!A:A,"ERR",0)</f>
        <v>58</v>
      </c>
      <c r="T158" s="80">
        <f ca="1">VALUE(_xlfn.XLOOKUP($AA158,Строчный!$S:$S,Строчный!U:U,"ERR",0))</f>
        <v>3</v>
      </c>
      <c r="U158" s="14" t="s">
        <v>265</v>
      </c>
      <c r="V158" s="101" t="str">
        <f t="shared" ref="V158:V221" ca="1" si="16">TRIM(CONCATENATE(AB158," ",G158," арт. ",B158," (",I158,")"))</f>
        <v>Кепка FREDRIKSON арт. 3122 (черный)</v>
      </c>
      <c r="W158" s="100" t="str">
        <f t="shared" ref="W158:W221" ca="1" si="17">TRIM(CONCATENATE(AB158," ",G158," арт. ",B158," (",I158,") {",H158,"}"))</f>
        <v>Кепка FREDRIKSON арт. 3122 (черный) {624/91}</v>
      </c>
      <c r="X158" s="18" t="str">
        <f t="shared" ref="X158:X221" ca="1" si="18">IFERROR(MID(I158,FIND("-",I158)+1,LEN(I158)),IFERROR(MID(I158,1,FIND("/",I158)-2),I158))</f>
        <v>черный</v>
      </c>
      <c r="Y158" s="18" t="str">
        <f t="shared" ref="Y158:Y221" ca="1" si="19">IFERROR(MID(I158,FIND("-",I158)+1,LEN(I158)),IFERROR(MID(I158,FIND("/",I158)+2,LEN(I158)),I158))</f>
        <v>черный</v>
      </c>
      <c r="Z158" s="117" t="str">
        <f ca="1">_xlfn.LET(_xlpm.FormColors,_xlfn.XLOOKUP(A158,Строчный!A:A,Строчный!Q:Q,"",0),IF(_xlpm.FormColors=0,IFERROR(MID(I158,FIND("-",I158)+1,LEN(I158)),IFERROR(MID(I158,1,FIND("/",I158)-2),I158)),_xlpm.FormColors))</f>
        <v>черный</v>
      </c>
      <c r="AA158" s="73" t="str">
        <f ca="1"/>
        <v>95-009-09-58</v>
      </c>
      <c r="AB158" s="75" t="str">
        <f ca="1">VLOOKUP(C158,Группа!A:B,2,FALSE)</f>
        <v>Кепка</v>
      </c>
      <c r="AC158" s="97" t="str">
        <f ca="1">IFERROR(VLOOKUP(S158,Размеры!A:C,3,FALSE),"")</f>
        <v>58 M/L</v>
      </c>
      <c r="AD158" s="97" t="str">
        <f ca="1">VLOOKUP(I158,ЦветПолный!A:B,2,FALSE)</f>
        <v>09</v>
      </c>
      <c r="AE158" s="97" t="str">
        <f ca="1">IFERROR(VLOOKUP(S158,Размеры!A:D,4,FALSE),"")</f>
        <v>58</v>
      </c>
      <c r="AF158" s="97">
        <f ca="1">IF(LEFT(IFERROR(VLOOKUP(LOOKUP(2,1/SEARCH(B158,Товары!A:A),Товары!A:A),Товары!A:B,2,0),""),6)=MID(AA158,1,6),1,0)</f>
        <v>0</v>
      </c>
      <c r="AH158" s="97">
        <f ca="1">SUMIF(Группа!A:A,C158,Группа!C:C)</f>
        <v>1</v>
      </c>
      <c r="AI158" s="97">
        <f ca="1">SUMIF(Группа!B:B,AB158,Группа!C:C)</f>
        <v>1</v>
      </c>
      <c r="AJ158" s="97">
        <f ca="1">SUMIF(Формы!A:A,D158,Формы!B:B)</f>
        <v>1</v>
      </c>
      <c r="AK158" s="97">
        <f ca="1">SUMIF(Материал!A:A,K158,Материал!B:B)</f>
        <v>1</v>
      </c>
      <c r="AL158" s="97">
        <f ca="1">SUMIF(Размеры!A:A,S158,Размеры!E:E)</f>
        <v>1</v>
      </c>
      <c r="AM158" s="97">
        <f ca="1">SUMIF(Сезон!A:A,F158,Сезон!B:B)</f>
        <v>1</v>
      </c>
      <c r="AN158" s="97">
        <f ca="1">SUMIF(Состав!A:A,J158,Состав!B:B)</f>
        <v>0</v>
      </c>
      <c r="AO158" s="97">
        <f ca="1">VLOOKUP(I158,ЦветПолный!A:C,3,0)</f>
        <v>1</v>
      </c>
      <c r="AP158" s="97">
        <f ca="1">SUMIF(Цвет!A:A,Z158,Цвет!B:B)</f>
        <v>1</v>
      </c>
      <c r="AQ158" s="97">
        <f ca="1">_xlfn.XLOOKUP(L158,Пол!A:A,Пол!B:B,0,0)</f>
        <v>1</v>
      </c>
      <c r="AR158" s="97">
        <f ca="1">SUMIF(Бренд!A:A,G158,Бренд!B:B)</f>
        <v>1</v>
      </c>
      <c r="AS158" s="97">
        <f ca="1">SUMIF(Страна!A:A,M158,Страна!B:B)</f>
        <v>1</v>
      </c>
      <c r="AT158" s="64" t="e">
        <f ca="1">IF(VLOOKUP(W158,Товары!A:B,2,FALSE)=A158,"Есть в 1С","ERR")</f>
        <v>#N/A</v>
      </c>
      <c r="AU158" s="65" t="e">
        <f ca="1">IF(VLOOKUP(A158,Товары!B:B,1,FALSE)=A158,"Есть в 1С","ERR")</f>
        <v>#N/A</v>
      </c>
      <c r="AV158" s="96" t="e">
        <f ca="1">VLOOKUP(W158,Товары!A:B,2,FALSE)</f>
        <v>#N/A</v>
      </c>
      <c r="AW158" s="94" t="e">
        <f ca="1">VLOOKUP(W158,Товары!A:B,1,FALSE)</f>
        <v>#N/A</v>
      </c>
    </row>
    <row r="159" spans="1:49" x14ac:dyDescent="0.25">
      <c r="A159" s="110" t="str">
        <f t="shared" ca="1" si="15"/>
        <v>95-009-09</v>
      </c>
      <c r="B159" s="107" t="str">
        <f ca="1">_xlfn.LET(_xlpm.CAPS,0,_xlpm.Style,TRIM(_xlfn.XLOOKUP($A159,Строчный!$A:$A,Строчный!B:B,"ERR",0)),IF(_xlpm.CAPS=0,_xlpm.Style,LOWER(_xlpm.Style)))</f>
        <v>3122</v>
      </c>
      <c r="C159" s="81" t="str">
        <f ca="1">TRIM(PROPER(_xlfn.XLOOKUP($A159,Строчный!$A:$A,Строчный!C:C,"ERR",0)))</f>
        <v>Кепки</v>
      </c>
      <c r="D159" s="81" t="str">
        <f ca="1">_xlfn.LET(_xlpm.DATA,TRIM(_xlfn.XLOOKUP($A159,Строчный!$A:$A,Строчный!D:D,"ERR",0)),UPPER(MID(_xlpm.DATA,1,1))&amp;LOWER(MID(_xlpm.DATA,2,LEN(_xlpm.DATA)-1)))</f>
        <v>Кепка плоская</v>
      </c>
      <c r="E159" s="81" t="str">
        <f ca="1">PROPER(TRIM(_xlfn.XLOOKUP($A159,Строчный!$A:$A,Строчный!E:E,"ERR",0)))</f>
        <v>Fredrikson</v>
      </c>
      <c r="F159" s="81" t="str">
        <f ca="1">LOWER(TRIM(_xlfn.XLOOKUP($A159,Строчный!$A:$A,Строчный!F:F,"ERR",0)))</f>
        <v>всесезон</v>
      </c>
      <c r="G159" s="81" t="str">
        <f ca="1">UPPER(TRIM(_xlfn.XLOOKUP($A159,Строчный!$A:$A,Строчный!G:G,"ERR",0)))</f>
        <v>FREDRIKSON</v>
      </c>
      <c r="H159" s="81" t="str">
        <f ca="1">LOWER(TRIM(_xlfn.XLOOKUP($A159,Строчный!$A:$A,Строчный!H:H,"ERR",0)))</f>
        <v>624/91</v>
      </c>
      <c r="I159" s="81" t="str">
        <f ca="1">LOWER(TRIM(_xlfn.XLOOKUP($A159,Строчный!$A:$A,Строчный!I:I,"ERR",0)))</f>
        <v>черный</v>
      </c>
      <c r="J159" s="81" t="str">
        <f ca="1">SUBSTITUTE(LOWER(TRIM(_xlfn.XLOOKUP($A159,Строчный!$A:$A,Строчный!J:J,"ERR",0))),"подклад","Подклад")</f>
        <v>80% шерсть - 20% полиамид / Подклад: 100% вискоза</v>
      </c>
      <c r="K159" s="81" t="str">
        <f ca="1">LOWER(TRIM(_xlfn.XLOOKUP($A159,Строчный!$A:$A,Строчный!K:K,"ERR",0)))</f>
        <v>шерстяные</v>
      </c>
      <c r="L159" s="81" t="str">
        <f ca="1">PROPER(TRIM(_xlfn.XLOOKUP($A159,Строчный!$A:$A,Строчный!L:L,"ERR",0)))</f>
        <v>Унисекс</v>
      </c>
      <c r="M159" s="113" t="str">
        <f ca="1">PROPER(TRIM(_xlfn.XLOOKUP($A159,Строчный!$A:$A,Строчный!M:M,"ERR",0)))</f>
        <v>Россия</v>
      </c>
      <c r="N159" s="81" t="str">
        <f ca="1">UPPER(TRIM(_xlfn.XLOOKUP($A159,Строчный!$A:$A,Строчный!O:O,"ERR",0)))</f>
        <v/>
      </c>
      <c r="O159" s="102" t="str">
        <f ca="1">PROPER(TRIM(_xlfn.XLOOKUP($A159,Строчный!$A:$A,Строчный!P:P,"ERR",0)))</f>
        <v/>
      </c>
      <c r="P159" s="81" t="str">
        <f ca="1">PROPER(TRIM(_xlfn.XLOOKUP($A159,Строчный!$A:$A,Строчный!R:R,"ERR",0)))</f>
        <v/>
      </c>
      <c r="Q159" s="90">
        <f ca="1">VALUE(_xlfn.XLOOKUP($A159,Строчный!$A:$A,Строчный!N:N,"ERR",0))</f>
        <v>975.8</v>
      </c>
      <c r="R159" s="89" t="str">
        <f ca="1">_xlfn.XLOOKUP($G159,Фабрика!A:A,Фабрика!B:B,"ERR",0)</f>
        <v>ООО "ФРЭДРИКСОН" Россия 192029, С-Петербург, пр. Обуховской обороны, д.86, лит М</v>
      </c>
      <c r="S159" s="80" t="str">
        <f ca="1">_xlfn.XLOOKUP(RIGHT(AA159,2),Размеры!D:D,Размеры!A:A,"ERR",0)</f>
        <v>57</v>
      </c>
      <c r="T159" s="80">
        <f ca="1">VALUE(_xlfn.XLOOKUP($AA159,Строчный!$S:$S,Строчный!U:U,"ERR",0))</f>
        <v>2</v>
      </c>
      <c r="U159" s="14" t="s">
        <v>265</v>
      </c>
      <c r="V159" s="101" t="str">
        <f t="shared" ca="1" si="16"/>
        <v>Кепка FREDRIKSON арт. 3122 (черный)</v>
      </c>
      <c r="W159" s="100" t="str">
        <f t="shared" ca="1" si="17"/>
        <v>Кепка FREDRIKSON арт. 3122 (черный) {624/91}</v>
      </c>
      <c r="X159" s="18" t="str">
        <f t="shared" ca="1" si="18"/>
        <v>черный</v>
      </c>
      <c r="Y159" s="18" t="str">
        <f t="shared" ca="1" si="19"/>
        <v>черный</v>
      </c>
      <c r="Z159" s="117" t="str">
        <f ca="1">_xlfn.LET(_xlpm.FormColors,_xlfn.XLOOKUP(A159,Строчный!A:A,Строчный!Q:Q,"",0),IF(_xlpm.FormColors=0,IFERROR(MID(I159,FIND("-",I159)+1,LEN(I159)),IFERROR(MID(I159,1,FIND("/",I159)-2),I159)),_xlpm.FormColors))</f>
        <v>черный</v>
      </c>
      <c r="AA159" s="73" t="str">
        <f ca="1"/>
        <v>95-009-09-57</v>
      </c>
      <c r="AB159" s="75" t="str">
        <f ca="1">VLOOKUP(C159,Группа!A:B,2,FALSE)</f>
        <v>Кепка</v>
      </c>
      <c r="AC159" s="97" t="str">
        <f ca="1">IFERROR(VLOOKUP(S159,Размеры!A:C,3,FALSE),"")</f>
        <v>57 M</v>
      </c>
      <c r="AD159" s="97" t="str">
        <f ca="1">VLOOKUP(I159,ЦветПолный!A:B,2,FALSE)</f>
        <v>09</v>
      </c>
      <c r="AE159" s="97" t="str">
        <f ca="1">IFERROR(VLOOKUP(S159,Размеры!A:D,4,FALSE),"")</f>
        <v>57</v>
      </c>
      <c r="AF159" s="97">
        <f ca="1">IF(LEFT(IFERROR(VLOOKUP(LOOKUP(2,1/SEARCH(B159,Товары!A:A),Товары!A:A),Товары!A:B,2,0),""),6)=MID(AA159,1,6),1,0)</f>
        <v>0</v>
      </c>
      <c r="AH159" s="97">
        <f ca="1">SUMIF(Группа!A:A,C159,Группа!C:C)</f>
        <v>1</v>
      </c>
      <c r="AI159" s="97">
        <f ca="1">SUMIF(Группа!B:B,AB159,Группа!C:C)</f>
        <v>1</v>
      </c>
      <c r="AJ159" s="97">
        <f ca="1">SUMIF(Формы!A:A,D159,Формы!B:B)</f>
        <v>1</v>
      </c>
      <c r="AK159" s="97">
        <f ca="1">SUMIF(Материал!A:A,K159,Материал!B:B)</f>
        <v>1</v>
      </c>
      <c r="AL159" s="97">
        <f ca="1">SUMIF(Размеры!A:A,S159,Размеры!E:E)</f>
        <v>1</v>
      </c>
      <c r="AM159" s="97">
        <f ca="1">SUMIF(Сезон!A:A,F159,Сезон!B:B)</f>
        <v>1</v>
      </c>
      <c r="AN159" s="97">
        <f ca="1">SUMIF(Состав!A:A,J159,Состав!B:B)</f>
        <v>0</v>
      </c>
      <c r="AO159" s="97">
        <f ca="1">VLOOKUP(I159,ЦветПолный!A:C,3,0)</f>
        <v>1</v>
      </c>
      <c r="AP159" s="97">
        <f ca="1">SUMIF(Цвет!A:A,Z159,Цвет!B:B)</f>
        <v>1</v>
      </c>
      <c r="AQ159" s="97">
        <f ca="1">_xlfn.XLOOKUP(L159,Пол!A:A,Пол!B:B,0,0)</f>
        <v>1</v>
      </c>
      <c r="AR159" s="97">
        <f ca="1">SUMIF(Бренд!A:A,G159,Бренд!B:B)</f>
        <v>1</v>
      </c>
      <c r="AS159" s="97">
        <f ca="1">SUMIF(Страна!A:A,M159,Страна!B:B)</f>
        <v>1</v>
      </c>
      <c r="AT159" s="64" t="e">
        <f ca="1">IF(VLOOKUP(W159,Товары!A:B,2,FALSE)=A159,"Есть в 1С","ERR")</f>
        <v>#N/A</v>
      </c>
      <c r="AU159" s="65" t="e">
        <f ca="1">IF(VLOOKUP(A159,Товары!B:B,1,FALSE)=A159,"Есть в 1С","ERR")</f>
        <v>#N/A</v>
      </c>
      <c r="AV159" s="96" t="e">
        <f ca="1">VLOOKUP(W159,Товары!A:B,2,FALSE)</f>
        <v>#N/A</v>
      </c>
      <c r="AW159" s="94" t="e">
        <f ca="1">VLOOKUP(W159,Товары!A:B,1,FALSE)</f>
        <v>#N/A</v>
      </c>
    </row>
    <row r="160" spans="1:49" x14ac:dyDescent="0.25">
      <c r="A160" s="110" t="str">
        <f t="shared" ca="1" si="15"/>
        <v>95-009-09</v>
      </c>
      <c r="B160" s="107" t="str">
        <f ca="1">_xlfn.LET(_xlpm.CAPS,0,_xlpm.Style,TRIM(_xlfn.XLOOKUP($A160,Строчный!$A:$A,Строчный!B:B,"ERR",0)),IF(_xlpm.CAPS=0,_xlpm.Style,LOWER(_xlpm.Style)))</f>
        <v>3122</v>
      </c>
      <c r="C160" s="81" t="str">
        <f ca="1">TRIM(PROPER(_xlfn.XLOOKUP($A160,Строчный!$A:$A,Строчный!C:C,"ERR",0)))</f>
        <v>Кепки</v>
      </c>
      <c r="D160" s="81" t="str">
        <f ca="1">_xlfn.LET(_xlpm.DATA,TRIM(_xlfn.XLOOKUP($A160,Строчный!$A:$A,Строчный!D:D,"ERR",0)),UPPER(MID(_xlpm.DATA,1,1))&amp;LOWER(MID(_xlpm.DATA,2,LEN(_xlpm.DATA)-1)))</f>
        <v>Кепка плоская</v>
      </c>
      <c r="E160" s="81" t="str">
        <f ca="1">PROPER(TRIM(_xlfn.XLOOKUP($A160,Строчный!$A:$A,Строчный!E:E,"ERR",0)))</f>
        <v>Fredrikson</v>
      </c>
      <c r="F160" s="81" t="str">
        <f ca="1">LOWER(TRIM(_xlfn.XLOOKUP($A160,Строчный!$A:$A,Строчный!F:F,"ERR",0)))</f>
        <v>всесезон</v>
      </c>
      <c r="G160" s="81" t="str">
        <f ca="1">UPPER(TRIM(_xlfn.XLOOKUP($A160,Строчный!$A:$A,Строчный!G:G,"ERR",0)))</f>
        <v>FREDRIKSON</v>
      </c>
      <c r="H160" s="81" t="str">
        <f ca="1">LOWER(TRIM(_xlfn.XLOOKUP($A160,Строчный!$A:$A,Строчный!H:H,"ERR",0)))</f>
        <v>624/91</v>
      </c>
      <c r="I160" s="81" t="str">
        <f ca="1">LOWER(TRIM(_xlfn.XLOOKUP($A160,Строчный!$A:$A,Строчный!I:I,"ERR",0)))</f>
        <v>черный</v>
      </c>
      <c r="J160" s="81" t="str">
        <f ca="1">SUBSTITUTE(LOWER(TRIM(_xlfn.XLOOKUP($A160,Строчный!$A:$A,Строчный!J:J,"ERR",0))),"подклад","Подклад")</f>
        <v>80% шерсть - 20% полиамид / Подклад: 100% вискоза</v>
      </c>
      <c r="K160" s="81" t="str">
        <f ca="1">LOWER(TRIM(_xlfn.XLOOKUP($A160,Строчный!$A:$A,Строчный!K:K,"ERR",0)))</f>
        <v>шерстяные</v>
      </c>
      <c r="L160" s="81" t="str">
        <f ca="1">PROPER(TRIM(_xlfn.XLOOKUP($A160,Строчный!$A:$A,Строчный!L:L,"ERR",0)))</f>
        <v>Унисекс</v>
      </c>
      <c r="M160" s="113" t="str">
        <f ca="1">PROPER(TRIM(_xlfn.XLOOKUP($A160,Строчный!$A:$A,Строчный!M:M,"ERR",0)))</f>
        <v>Россия</v>
      </c>
      <c r="N160" s="81" t="str">
        <f ca="1">UPPER(TRIM(_xlfn.XLOOKUP($A160,Строчный!$A:$A,Строчный!O:O,"ERR",0)))</f>
        <v/>
      </c>
      <c r="O160" s="102" t="str">
        <f ca="1">PROPER(TRIM(_xlfn.XLOOKUP($A160,Строчный!$A:$A,Строчный!P:P,"ERR",0)))</f>
        <v/>
      </c>
      <c r="P160" s="81" t="str">
        <f ca="1">PROPER(TRIM(_xlfn.XLOOKUP($A160,Строчный!$A:$A,Строчный!R:R,"ERR",0)))</f>
        <v/>
      </c>
      <c r="Q160" s="90">
        <f ca="1">VALUE(_xlfn.XLOOKUP($A160,Строчный!$A:$A,Строчный!N:N,"ERR",0))</f>
        <v>975.8</v>
      </c>
      <c r="R160" s="89" t="str">
        <f ca="1">_xlfn.XLOOKUP($G160,Фабрика!A:A,Фабрика!B:B,"ERR",0)</f>
        <v>ООО "ФРЭДРИКСОН" Россия 192029, С-Петербург, пр. Обуховской обороны, д.86, лит М</v>
      </c>
      <c r="S160" s="80" t="str">
        <f ca="1">_xlfn.XLOOKUP(RIGHT(AA160,2),Размеры!D:D,Размеры!A:A,"ERR",0)</f>
        <v>56</v>
      </c>
      <c r="T160" s="80">
        <f ca="1">VALUE(_xlfn.XLOOKUP($AA160,Строчный!$S:$S,Строчный!U:U,"ERR",0))</f>
        <v>1</v>
      </c>
      <c r="U160" s="14" t="s">
        <v>265</v>
      </c>
      <c r="V160" s="101" t="str">
        <f t="shared" ca="1" si="16"/>
        <v>Кепка FREDRIKSON арт. 3122 (черный)</v>
      </c>
      <c r="W160" s="100" t="str">
        <f t="shared" ca="1" si="17"/>
        <v>Кепка FREDRIKSON арт. 3122 (черный) {624/91}</v>
      </c>
      <c r="X160" s="18" t="str">
        <f t="shared" ca="1" si="18"/>
        <v>черный</v>
      </c>
      <c r="Y160" s="18" t="str">
        <f t="shared" ca="1" si="19"/>
        <v>черный</v>
      </c>
      <c r="Z160" s="117" t="str">
        <f ca="1">_xlfn.LET(_xlpm.FormColors,_xlfn.XLOOKUP(A160,Строчный!A:A,Строчный!Q:Q,"",0),IF(_xlpm.FormColors=0,IFERROR(MID(I160,FIND("-",I160)+1,LEN(I160)),IFERROR(MID(I160,1,FIND("/",I160)-2),I160)),_xlpm.FormColors))</f>
        <v>черный</v>
      </c>
      <c r="AA160" s="73" t="str">
        <f ca="1"/>
        <v>95-009-09-56</v>
      </c>
      <c r="AB160" s="75" t="str">
        <f ca="1">VLOOKUP(C160,Группа!A:B,2,FALSE)</f>
        <v>Кепка</v>
      </c>
      <c r="AC160" s="97" t="str">
        <f ca="1">IFERROR(VLOOKUP(S160,Размеры!A:C,3,FALSE),"")</f>
        <v>56 S/M</v>
      </c>
      <c r="AD160" s="97" t="str">
        <f ca="1">VLOOKUP(I160,ЦветПолный!A:B,2,FALSE)</f>
        <v>09</v>
      </c>
      <c r="AE160" s="97" t="str">
        <f ca="1">IFERROR(VLOOKUP(S160,Размеры!A:D,4,FALSE),"")</f>
        <v>56</v>
      </c>
      <c r="AF160" s="97">
        <f ca="1">IF(LEFT(IFERROR(VLOOKUP(LOOKUP(2,1/SEARCH(B160,Товары!A:A),Товары!A:A),Товары!A:B,2,0),""),6)=MID(AA160,1,6),1,0)</f>
        <v>0</v>
      </c>
      <c r="AH160" s="97">
        <f ca="1">SUMIF(Группа!A:A,C160,Группа!C:C)</f>
        <v>1</v>
      </c>
      <c r="AI160" s="97">
        <f ca="1">SUMIF(Группа!B:B,AB160,Группа!C:C)</f>
        <v>1</v>
      </c>
      <c r="AJ160" s="97">
        <f ca="1">SUMIF(Формы!A:A,D160,Формы!B:B)</f>
        <v>1</v>
      </c>
      <c r="AK160" s="97">
        <f ca="1">SUMIF(Материал!A:A,K160,Материал!B:B)</f>
        <v>1</v>
      </c>
      <c r="AL160" s="97">
        <f ca="1">SUMIF(Размеры!A:A,S160,Размеры!E:E)</f>
        <v>1</v>
      </c>
      <c r="AM160" s="97">
        <f ca="1">SUMIF(Сезон!A:A,F160,Сезон!B:B)</f>
        <v>1</v>
      </c>
      <c r="AN160" s="97">
        <f ca="1">SUMIF(Состав!A:A,J160,Состав!B:B)</f>
        <v>0</v>
      </c>
      <c r="AO160" s="97">
        <f ca="1">VLOOKUP(I160,ЦветПолный!A:C,3,0)</f>
        <v>1</v>
      </c>
      <c r="AP160" s="97">
        <f ca="1">SUMIF(Цвет!A:A,Z160,Цвет!B:B)</f>
        <v>1</v>
      </c>
      <c r="AQ160" s="97">
        <f ca="1">_xlfn.XLOOKUP(L160,Пол!A:A,Пол!B:B,0,0)</f>
        <v>1</v>
      </c>
      <c r="AR160" s="97">
        <f ca="1">SUMIF(Бренд!A:A,G160,Бренд!B:B)</f>
        <v>1</v>
      </c>
      <c r="AS160" s="97">
        <f ca="1">SUMIF(Страна!A:A,M160,Страна!B:B)</f>
        <v>1</v>
      </c>
      <c r="AT160" s="64" t="e">
        <f ca="1">IF(VLOOKUP(W160,Товары!A:B,2,FALSE)=A160,"Есть в 1С","ERR")</f>
        <v>#N/A</v>
      </c>
      <c r="AU160" s="65" t="e">
        <f ca="1">IF(VLOOKUP(A160,Товары!B:B,1,FALSE)=A160,"Есть в 1С","ERR")</f>
        <v>#N/A</v>
      </c>
      <c r="AV160" s="96" t="e">
        <f ca="1">VLOOKUP(W160,Товары!A:B,2,FALSE)</f>
        <v>#N/A</v>
      </c>
      <c r="AW160" s="94" t="e">
        <f ca="1">VLOOKUP(W160,Товары!A:B,1,FALSE)</f>
        <v>#N/A</v>
      </c>
    </row>
    <row r="161" spans="1:49" x14ac:dyDescent="0.25">
      <c r="A161" s="110" t="str">
        <f t="shared" ca="1" si="15"/>
        <v>95-008-89</v>
      </c>
      <c r="B161" s="107" t="str">
        <f ca="1">_xlfn.LET(_xlpm.CAPS,0,_xlpm.Style,TRIM(_xlfn.XLOOKUP($A161,Строчный!$A:$A,Строчный!B:B,"ERR",0)),IF(_xlpm.CAPS=0,_xlpm.Style,LOWER(_xlpm.Style)))</f>
        <v>3190</v>
      </c>
      <c r="C161" s="81" t="str">
        <f ca="1">TRIM(PROPER(_xlfn.XLOOKUP($A161,Строчный!$A:$A,Строчный!C:C,"ERR",0)))</f>
        <v>Кепки</v>
      </c>
      <c r="D161" s="81" t="str">
        <f ca="1">_xlfn.LET(_xlpm.DATA,TRIM(_xlfn.XLOOKUP($A161,Строчный!$A:$A,Строчный!D:D,"ERR",0)),UPPER(MID(_xlpm.DATA,1,1))&amp;LOWER(MID(_xlpm.DATA,2,LEN(_xlpm.DATA)-1)))</f>
        <v>Кепка восьмиклинка</v>
      </c>
      <c r="E161" s="81" t="str">
        <f ca="1">PROPER(TRIM(_xlfn.XLOOKUP($A161,Строчный!$A:$A,Строчный!E:E,"ERR",0)))</f>
        <v>Fredrikson</v>
      </c>
      <c r="F161" s="81" t="str">
        <f ca="1">LOWER(TRIM(_xlfn.XLOOKUP($A161,Строчный!$A:$A,Строчный!F:F,"ERR",0)))</f>
        <v>всесезон</v>
      </c>
      <c r="G161" s="81" t="str">
        <f ca="1">UPPER(TRIM(_xlfn.XLOOKUP($A161,Строчный!$A:$A,Строчный!G:G,"ERR",0)))</f>
        <v>FREDRIKSON</v>
      </c>
      <c r="H161" s="81" t="str">
        <f ca="1">LOWER(TRIM(_xlfn.XLOOKUP($A161,Строчный!$A:$A,Строчный!H:H,"ERR",0)))</f>
        <v>630/23</v>
      </c>
      <c r="I161" s="81" t="str">
        <f ca="1">LOWER(TRIM(_xlfn.XLOOKUP($A161,Строчный!$A:$A,Строчный!I:I,"ERR",0)))</f>
        <v>голубой / серый</v>
      </c>
      <c r="J161" s="81" t="str">
        <f ca="1">SUBSTITUTE(LOWER(TRIM(_xlfn.XLOOKUP($A161,Строчный!$A:$A,Строчный!J:J,"ERR",0))),"подклад","Подклад")</f>
        <v>80% шерсть - 20% полиамид / Подклад: 100% вискоза</v>
      </c>
      <c r="K161" s="81" t="str">
        <f ca="1">LOWER(TRIM(_xlfn.XLOOKUP($A161,Строчный!$A:$A,Строчный!K:K,"ERR",0)))</f>
        <v>шерстяные</v>
      </c>
      <c r="L161" s="81" t="str">
        <f ca="1">PROPER(TRIM(_xlfn.XLOOKUP($A161,Строчный!$A:$A,Строчный!L:L,"ERR",0)))</f>
        <v>Унисекс</v>
      </c>
      <c r="M161" s="113" t="str">
        <f ca="1">PROPER(TRIM(_xlfn.XLOOKUP($A161,Строчный!$A:$A,Строчный!M:M,"ERR",0)))</f>
        <v>Россия</v>
      </c>
      <c r="N161" s="81" t="str">
        <f ca="1">UPPER(TRIM(_xlfn.XLOOKUP($A161,Строчный!$A:$A,Строчный!O:O,"ERR",0)))</f>
        <v/>
      </c>
      <c r="O161" s="102" t="str">
        <f ca="1">PROPER(TRIM(_xlfn.XLOOKUP($A161,Строчный!$A:$A,Строчный!P:P,"ERR",0)))</f>
        <v/>
      </c>
      <c r="P161" s="81" t="str">
        <f ca="1">PROPER(TRIM(_xlfn.XLOOKUP($A161,Строчный!$A:$A,Строчный!R:R,"ERR",0)))</f>
        <v/>
      </c>
      <c r="Q161" s="90">
        <f ca="1">VALUE(_xlfn.XLOOKUP($A161,Строчный!$A:$A,Строчный!N:N,"ERR",0))</f>
        <v>975.8</v>
      </c>
      <c r="R161" s="89" t="str">
        <f ca="1">_xlfn.XLOOKUP($G161,Фабрика!A:A,Фабрика!B:B,"ERR",0)</f>
        <v>ООО "ФРЭДРИКСОН" Россия 192029, С-Петербург, пр. Обуховской обороны, д.86, лит М</v>
      </c>
      <c r="S161" s="80" t="str">
        <f ca="1">_xlfn.XLOOKUP(RIGHT(AA161,2),Размеры!D:D,Размеры!A:A,"ERR",0)</f>
        <v>62</v>
      </c>
      <c r="T161" s="80">
        <f ca="1">VALUE(_xlfn.XLOOKUP($AA161,Строчный!$S:$S,Строчный!U:U,"ERR",0))</f>
        <v>9</v>
      </c>
      <c r="U161" s="14" t="s">
        <v>265</v>
      </c>
      <c r="V161" s="101" t="str">
        <f t="shared" ca="1" si="16"/>
        <v>Кепка FREDRIKSON арт. 3190 (голубой / серый)</v>
      </c>
      <c r="W161" s="100" t="str">
        <f t="shared" ca="1" si="17"/>
        <v>Кепка FREDRIKSON арт. 3190 (голубой / серый) {630/23}</v>
      </c>
      <c r="X161" s="18" t="str">
        <f t="shared" ca="1" si="18"/>
        <v>голубой</v>
      </c>
      <c r="Y161" s="18" t="str">
        <f t="shared" ca="1" si="19"/>
        <v>серый</v>
      </c>
      <c r="Z161" s="117" t="str">
        <f ca="1">_xlfn.LET(_xlpm.FormColors,_xlfn.XLOOKUP(A161,Строчный!A:A,Строчный!Q:Q,"",0),IF(_xlpm.FormColors=0,IFERROR(MID(I161,FIND("-",I161)+1,LEN(I161)),IFERROR(MID(I161,1,FIND("/",I161)-2),I161)),_xlpm.FormColors))</f>
        <v>голубой</v>
      </c>
      <c r="AA161" s="73" t="str">
        <f ca="1"/>
        <v>95-008-89-62</v>
      </c>
      <c r="AB161" s="75" t="str">
        <f ca="1">VLOOKUP(C161,Группа!A:B,2,FALSE)</f>
        <v>Кепка</v>
      </c>
      <c r="AC161" s="97" t="str">
        <f ca="1">IFERROR(VLOOKUP(S161,Размеры!A:C,3,FALSE),"")</f>
        <v>62 XL/XXL</v>
      </c>
      <c r="AD161" s="97" t="str">
        <f ca="1">VLOOKUP(I161,ЦветПолный!A:B,2,FALSE)</f>
        <v>89</v>
      </c>
      <c r="AE161" s="97" t="str">
        <f ca="1">IFERROR(VLOOKUP(S161,Размеры!A:D,4,FALSE),"")</f>
        <v>62</v>
      </c>
      <c r="AF161" s="97">
        <f ca="1">IF(LEFT(IFERROR(VLOOKUP(LOOKUP(2,1/SEARCH(B161,Товары!A:A),Товары!A:A),Товары!A:B,2,0),""),6)=MID(AA161,1,6),1,0)</f>
        <v>0</v>
      </c>
      <c r="AH161" s="97">
        <f ca="1">SUMIF(Группа!A:A,C161,Группа!C:C)</f>
        <v>1</v>
      </c>
      <c r="AI161" s="97">
        <f ca="1">SUMIF(Группа!B:B,AB161,Группа!C:C)</f>
        <v>1</v>
      </c>
      <c r="AJ161" s="97">
        <f ca="1">SUMIF(Формы!A:A,D161,Формы!B:B)</f>
        <v>1</v>
      </c>
      <c r="AK161" s="97">
        <f ca="1">SUMIF(Материал!A:A,K161,Материал!B:B)</f>
        <v>1</v>
      </c>
      <c r="AL161" s="97">
        <f ca="1">SUMIF(Размеры!A:A,S161,Размеры!E:E)</f>
        <v>1</v>
      </c>
      <c r="AM161" s="97">
        <f ca="1">SUMIF(Сезон!A:A,F161,Сезон!B:B)</f>
        <v>1</v>
      </c>
      <c r="AN161" s="97">
        <f ca="1">SUMIF(Состав!A:A,J161,Состав!B:B)</f>
        <v>0</v>
      </c>
      <c r="AO161" s="97">
        <f ca="1">VLOOKUP(I161,ЦветПолный!A:C,3,0)</f>
        <v>1</v>
      </c>
      <c r="AP161" s="97">
        <f ca="1">SUMIF(Цвет!A:A,Z161,Цвет!B:B)</f>
        <v>1</v>
      </c>
      <c r="AQ161" s="97">
        <f ca="1">_xlfn.XLOOKUP(L161,Пол!A:A,Пол!B:B,0,0)</f>
        <v>1</v>
      </c>
      <c r="AR161" s="97">
        <f ca="1">SUMIF(Бренд!A:A,G161,Бренд!B:B)</f>
        <v>1</v>
      </c>
      <c r="AS161" s="97">
        <f ca="1">SUMIF(Страна!A:A,M161,Страна!B:B)</f>
        <v>1</v>
      </c>
      <c r="AT161" s="64" t="e">
        <f ca="1">IF(VLOOKUP(W161,Товары!A:B,2,FALSE)=A161,"Есть в 1С","ERR")</f>
        <v>#N/A</v>
      </c>
      <c r="AU161" s="65" t="e">
        <f ca="1">IF(VLOOKUP(A161,Товары!B:B,1,FALSE)=A161,"Есть в 1С","ERR")</f>
        <v>#N/A</v>
      </c>
      <c r="AV161" s="96" t="e">
        <f ca="1">VLOOKUP(W161,Товары!A:B,2,FALSE)</f>
        <v>#N/A</v>
      </c>
      <c r="AW161" s="94" t="e">
        <f ca="1">VLOOKUP(W161,Товары!A:B,1,FALSE)</f>
        <v>#N/A</v>
      </c>
    </row>
    <row r="162" spans="1:49" x14ac:dyDescent="0.25">
      <c r="A162" s="110" t="str">
        <f t="shared" ca="1" si="15"/>
        <v>95-008-89</v>
      </c>
      <c r="B162" s="107" t="str">
        <f ca="1">_xlfn.LET(_xlpm.CAPS,0,_xlpm.Style,TRIM(_xlfn.XLOOKUP($A162,Строчный!$A:$A,Строчный!B:B,"ERR",0)),IF(_xlpm.CAPS=0,_xlpm.Style,LOWER(_xlpm.Style)))</f>
        <v>3190</v>
      </c>
      <c r="C162" s="81" t="str">
        <f ca="1">TRIM(PROPER(_xlfn.XLOOKUP($A162,Строчный!$A:$A,Строчный!C:C,"ERR",0)))</f>
        <v>Кепки</v>
      </c>
      <c r="D162" s="81" t="str">
        <f ca="1">_xlfn.LET(_xlpm.DATA,TRIM(_xlfn.XLOOKUP($A162,Строчный!$A:$A,Строчный!D:D,"ERR",0)),UPPER(MID(_xlpm.DATA,1,1))&amp;LOWER(MID(_xlpm.DATA,2,LEN(_xlpm.DATA)-1)))</f>
        <v>Кепка восьмиклинка</v>
      </c>
      <c r="E162" s="81" t="str">
        <f ca="1">PROPER(TRIM(_xlfn.XLOOKUP($A162,Строчный!$A:$A,Строчный!E:E,"ERR",0)))</f>
        <v>Fredrikson</v>
      </c>
      <c r="F162" s="81" t="str">
        <f ca="1">LOWER(TRIM(_xlfn.XLOOKUP($A162,Строчный!$A:$A,Строчный!F:F,"ERR",0)))</f>
        <v>всесезон</v>
      </c>
      <c r="G162" s="81" t="str">
        <f ca="1">UPPER(TRIM(_xlfn.XLOOKUP($A162,Строчный!$A:$A,Строчный!G:G,"ERR",0)))</f>
        <v>FREDRIKSON</v>
      </c>
      <c r="H162" s="81" t="str">
        <f ca="1">LOWER(TRIM(_xlfn.XLOOKUP($A162,Строчный!$A:$A,Строчный!H:H,"ERR",0)))</f>
        <v>630/23</v>
      </c>
      <c r="I162" s="81" t="str">
        <f ca="1">LOWER(TRIM(_xlfn.XLOOKUP($A162,Строчный!$A:$A,Строчный!I:I,"ERR",0)))</f>
        <v>голубой / серый</v>
      </c>
      <c r="J162" s="81" t="str">
        <f ca="1">SUBSTITUTE(LOWER(TRIM(_xlfn.XLOOKUP($A162,Строчный!$A:$A,Строчный!J:J,"ERR",0))),"подклад","Подклад")</f>
        <v>80% шерсть - 20% полиамид / Подклад: 100% вискоза</v>
      </c>
      <c r="K162" s="81" t="str">
        <f ca="1">LOWER(TRIM(_xlfn.XLOOKUP($A162,Строчный!$A:$A,Строчный!K:K,"ERR",0)))</f>
        <v>шерстяные</v>
      </c>
      <c r="L162" s="81" t="str">
        <f ca="1">PROPER(TRIM(_xlfn.XLOOKUP($A162,Строчный!$A:$A,Строчный!L:L,"ERR",0)))</f>
        <v>Унисекс</v>
      </c>
      <c r="M162" s="113" t="str">
        <f ca="1">PROPER(TRIM(_xlfn.XLOOKUP($A162,Строчный!$A:$A,Строчный!M:M,"ERR",0)))</f>
        <v>Россия</v>
      </c>
      <c r="N162" s="81" t="str">
        <f ca="1">UPPER(TRIM(_xlfn.XLOOKUP($A162,Строчный!$A:$A,Строчный!O:O,"ERR",0)))</f>
        <v/>
      </c>
      <c r="O162" s="102" t="str">
        <f ca="1">PROPER(TRIM(_xlfn.XLOOKUP($A162,Строчный!$A:$A,Строчный!P:P,"ERR",0)))</f>
        <v/>
      </c>
      <c r="P162" s="81" t="str">
        <f ca="1">PROPER(TRIM(_xlfn.XLOOKUP($A162,Строчный!$A:$A,Строчный!R:R,"ERR",0)))</f>
        <v/>
      </c>
      <c r="Q162" s="90">
        <f ca="1">VALUE(_xlfn.XLOOKUP($A162,Строчный!$A:$A,Строчный!N:N,"ERR",0))</f>
        <v>975.8</v>
      </c>
      <c r="R162" s="89" t="str">
        <f ca="1">_xlfn.XLOOKUP($G162,Фабрика!A:A,Фабрика!B:B,"ERR",0)</f>
        <v>ООО "ФРЭДРИКСОН" Россия 192029, С-Петербург, пр. Обуховской обороны, д.86, лит М</v>
      </c>
      <c r="S162" s="80" t="str">
        <f ca="1">_xlfn.XLOOKUP(RIGHT(AA162,2),Размеры!D:D,Размеры!A:A,"ERR",0)</f>
        <v>61</v>
      </c>
      <c r="T162" s="80">
        <f ca="1">VALUE(_xlfn.XLOOKUP($AA162,Строчный!$S:$S,Строчный!U:U,"ERR",0))</f>
        <v>16</v>
      </c>
      <c r="U162" s="14" t="s">
        <v>265</v>
      </c>
      <c r="V162" s="101" t="str">
        <f t="shared" ca="1" si="16"/>
        <v>Кепка FREDRIKSON арт. 3190 (голубой / серый)</v>
      </c>
      <c r="W162" s="100" t="str">
        <f t="shared" ca="1" si="17"/>
        <v>Кепка FREDRIKSON арт. 3190 (голубой / серый) {630/23}</v>
      </c>
      <c r="X162" s="18" t="str">
        <f t="shared" ca="1" si="18"/>
        <v>голубой</v>
      </c>
      <c r="Y162" s="18" t="str">
        <f t="shared" ca="1" si="19"/>
        <v>серый</v>
      </c>
      <c r="Z162" s="117" t="str">
        <f ca="1">_xlfn.LET(_xlpm.FormColors,_xlfn.XLOOKUP(A162,Строчный!A:A,Строчный!Q:Q,"",0),IF(_xlpm.FormColors=0,IFERROR(MID(I162,FIND("-",I162)+1,LEN(I162)),IFERROR(MID(I162,1,FIND("/",I162)-2),I162)),_xlpm.FormColors))</f>
        <v>голубой</v>
      </c>
      <c r="AA162" s="73" t="str">
        <f ca="1"/>
        <v>95-008-89-61</v>
      </c>
      <c r="AB162" s="75" t="str">
        <f ca="1">VLOOKUP(C162,Группа!A:B,2,FALSE)</f>
        <v>Кепка</v>
      </c>
      <c r="AC162" s="97" t="str">
        <f ca="1">IFERROR(VLOOKUP(S162,Размеры!A:C,3,FALSE),"")</f>
        <v>61 XL</v>
      </c>
      <c r="AD162" s="97" t="str">
        <f ca="1">VLOOKUP(I162,ЦветПолный!A:B,2,FALSE)</f>
        <v>89</v>
      </c>
      <c r="AE162" s="97" t="str">
        <f ca="1">IFERROR(VLOOKUP(S162,Размеры!A:D,4,FALSE),"")</f>
        <v>61</v>
      </c>
      <c r="AF162" s="97">
        <f ca="1">IF(LEFT(IFERROR(VLOOKUP(LOOKUP(2,1/SEARCH(B162,Товары!A:A),Товары!A:A),Товары!A:B,2,0),""),6)=MID(AA162,1,6),1,0)</f>
        <v>0</v>
      </c>
      <c r="AH162" s="97">
        <f ca="1">SUMIF(Группа!A:A,C162,Группа!C:C)</f>
        <v>1</v>
      </c>
      <c r="AI162" s="97">
        <f ca="1">SUMIF(Группа!B:B,AB162,Группа!C:C)</f>
        <v>1</v>
      </c>
      <c r="AJ162" s="97">
        <f ca="1">SUMIF(Формы!A:A,D162,Формы!B:B)</f>
        <v>1</v>
      </c>
      <c r="AK162" s="97">
        <f ca="1">SUMIF(Материал!A:A,K162,Материал!B:B)</f>
        <v>1</v>
      </c>
      <c r="AL162" s="97">
        <f ca="1">SUMIF(Размеры!A:A,S162,Размеры!E:E)</f>
        <v>1</v>
      </c>
      <c r="AM162" s="97">
        <f ca="1">SUMIF(Сезон!A:A,F162,Сезон!B:B)</f>
        <v>1</v>
      </c>
      <c r="AN162" s="97">
        <f ca="1">SUMIF(Состав!A:A,J162,Состав!B:B)</f>
        <v>0</v>
      </c>
      <c r="AO162" s="97">
        <f ca="1">VLOOKUP(I162,ЦветПолный!A:C,3,0)</f>
        <v>1</v>
      </c>
      <c r="AP162" s="97">
        <f ca="1">SUMIF(Цвет!A:A,Z162,Цвет!B:B)</f>
        <v>1</v>
      </c>
      <c r="AQ162" s="97">
        <f ca="1">_xlfn.XLOOKUP(L162,Пол!A:A,Пол!B:B,0,0)</f>
        <v>1</v>
      </c>
      <c r="AR162" s="97">
        <f ca="1">SUMIF(Бренд!A:A,G162,Бренд!B:B)</f>
        <v>1</v>
      </c>
      <c r="AS162" s="97">
        <f ca="1">SUMIF(Страна!A:A,M162,Страна!B:B)</f>
        <v>1</v>
      </c>
      <c r="AT162" s="64" t="e">
        <f ca="1">IF(VLOOKUP(W162,Товары!A:B,2,FALSE)=A162,"Есть в 1С","ERR")</f>
        <v>#N/A</v>
      </c>
      <c r="AU162" s="65" t="e">
        <f ca="1">IF(VLOOKUP(A162,Товары!B:B,1,FALSE)=A162,"Есть в 1С","ERR")</f>
        <v>#N/A</v>
      </c>
      <c r="AV162" s="96" t="e">
        <f ca="1">VLOOKUP(W162,Товары!A:B,2,FALSE)</f>
        <v>#N/A</v>
      </c>
      <c r="AW162" s="94" t="e">
        <f ca="1">VLOOKUP(W162,Товары!A:B,1,FALSE)</f>
        <v>#N/A</v>
      </c>
    </row>
    <row r="163" spans="1:49" x14ac:dyDescent="0.25">
      <c r="A163" s="110" t="str">
        <f t="shared" ca="1" si="15"/>
        <v>95-008-89</v>
      </c>
      <c r="B163" s="107" t="str">
        <f ca="1">_xlfn.LET(_xlpm.CAPS,0,_xlpm.Style,TRIM(_xlfn.XLOOKUP($A163,Строчный!$A:$A,Строчный!B:B,"ERR",0)),IF(_xlpm.CAPS=0,_xlpm.Style,LOWER(_xlpm.Style)))</f>
        <v>3190</v>
      </c>
      <c r="C163" s="81" t="str">
        <f ca="1">TRIM(PROPER(_xlfn.XLOOKUP($A163,Строчный!$A:$A,Строчный!C:C,"ERR",0)))</f>
        <v>Кепки</v>
      </c>
      <c r="D163" s="81" t="str">
        <f ca="1">_xlfn.LET(_xlpm.DATA,TRIM(_xlfn.XLOOKUP($A163,Строчный!$A:$A,Строчный!D:D,"ERR",0)),UPPER(MID(_xlpm.DATA,1,1))&amp;LOWER(MID(_xlpm.DATA,2,LEN(_xlpm.DATA)-1)))</f>
        <v>Кепка восьмиклинка</v>
      </c>
      <c r="E163" s="81" t="str">
        <f ca="1">PROPER(TRIM(_xlfn.XLOOKUP($A163,Строчный!$A:$A,Строчный!E:E,"ERR",0)))</f>
        <v>Fredrikson</v>
      </c>
      <c r="F163" s="81" t="str">
        <f ca="1">LOWER(TRIM(_xlfn.XLOOKUP($A163,Строчный!$A:$A,Строчный!F:F,"ERR",0)))</f>
        <v>всесезон</v>
      </c>
      <c r="G163" s="81" t="str">
        <f ca="1">UPPER(TRIM(_xlfn.XLOOKUP($A163,Строчный!$A:$A,Строчный!G:G,"ERR",0)))</f>
        <v>FREDRIKSON</v>
      </c>
      <c r="H163" s="81" t="str">
        <f ca="1">LOWER(TRIM(_xlfn.XLOOKUP($A163,Строчный!$A:$A,Строчный!H:H,"ERR",0)))</f>
        <v>630/23</v>
      </c>
      <c r="I163" s="81" t="str">
        <f ca="1">LOWER(TRIM(_xlfn.XLOOKUP($A163,Строчный!$A:$A,Строчный!I:I,"ERR",0)))</f>
        <v>голубой / серый</v>
      </c>
      <c r="J163" s="81" t="str">
        <f ca="1">SUBSTITUTE(LOWER(TRIM(_xlfn.XLOOKUP($A163,Строчный!$A:$A,Строчный!J:J,"ERR",0))),"подклад","Подклад")</f>
        <v>80% шерсть - 20% полиамид / Подклад: 100% вискоза</v>
      </c>
      <c r="K163" s="81" t="str">
        <f ca="1">LOWER(TRIM(_xlfn.XLOOKUP($A163,Строчный!$A:$A,Строчный!K:K,"ERR",0)))</f>
        <v>шерстяные</v>
      </c>
      <c r="L163" s="81" t="str">
        <f ca="1">PROPER(TRIM(_xlfn.XLOOKUP($A163,Строчный!$A:$A,Строчный!L:L,"ERR",0)))</f>
        <v>Унисекс</v>
      </c>
      <c r="M163" s="113" t="str">
        <f ca="1">PROPER(TRIM(_xlfn.XLOOKUP($A163,Строчный!$A:$A,Строчный!M:M,"ERR",0)))</f>
        <v>Россия</v>
      </c>
      <c r="N163" s="81" t="str">
        <f ca="1">UPPER(TRIM(_xlfn.XLOOKUP($A163,Строчный!$A:$A,Строчный!O:O,"ERR",0)))</f>
        <v/>
      </c>
      <c r="O163" s="102" t="str">
        <f ca="1">PROPER(TRIM(_xlfn.XLOOKUP($A163,Строчный!$A:$A,Строчный!P:P,"ERR",0)))</f>
        <v/>
      </c>
      <c r="P163" s="81" t="str">
        <f ca="1">PROPER(TRIM(_xlfn.XLOOKUP($A163,Строчный!$A:$A,Строчный!R:R,"ERR",0)))</f>
        <v/>
      </c>
      <c r="Q163" s="90">
        <f ca="1">VALUE(_xlfn.XLOOKUP($A163,Строчный!$A:$A,Строчный!N:N,"ERR",0))</f>
        <v>975.8</v>
      </c>
      <c r="R163" s="89" t="str">
        <f ca="1">_xlfn.XLOOKUP($G163,Фабрика!A:A,Фабрика!B:B,"ERR",0)</f>
        <v>ООО "ФРЭДРИКСОН" Россия 192029, С-Петербург, пр. Обуховской обороны, д.86, лит М</v>
      </c>
      <c r="S163" s="80" t="str">
        <f ca="1">_xlfn.XLOOKUP(RIGHT(AA163,2),Размеры!D:D,Размеры!A:A,"ERR",0)</f>
        <v>60</v>
      </c>
      <c r="T163" s="80">
        <f ca="1">VALUE(_xlfn.XLOOKUP($AA163,Строчный!$S:$S,Строчный!U:U,"ERR",0))</f>
        <v>30</v>
      </c>
      <c r="U163" s="14" t="s">
        <v>265</v>
      </c>
      <c r="V163" s="101" t="str">
        <f t="shared" ca="1" si="16"/>
        <v>Кепка FREDRIKSON арт. 3190 (голубой / серый)</v>
      </c>
      <c r="W163" s="100" t="str">
        <f t="shared" ca="1" si="17"/>
        <v>Кепка FREDRIKSON арт. 3190 (голубой / серый) {630/23}</v>
      </c>
      <c r="X163" s="18" t="str">
        <f t="shared" ca="1" si="18"/>
        <v>голубой</v>
      </c>
      <c r="Y163" s="18" t="str">
        <f t="shared" ca="1" si="19"/>
        <v>серый</v>
      </c>
      <c r="Z163" s="117" t="str">
        <f ca="1">_xlfn.LET(_xlpm.FormColors,_xlfn.XLOOKUP(A163,Строчный!A:A,Строчный!Q:Q,"",0),IF(_xlpm.FormColors=0,IFERROR(MID(I163,FIND("-",I163)+1,LEN(I163)),IFERROR(MID(I163,1,FIND("/",I163)-2),I163)),_xlpm.FormColors))</f>
        <v>голубой</v>
      </c>
      <c r="AA163" s="73" t="str">
        <f ca="1"/>
        <v>95-008-89-60</v>
      </c>
      <c r="AB163" s="75" t="str">
        <f ca="1">VLOOKUP(C163,Группа!A:B,2,FALSE)</f>
        <v>Кепка</v>
      </c>
      <c r="AC163" s="97" t="str">
        <f ca="1">IFERROR(VLOOKUP(S163,Размеры!A:C,3,FALSE),"")</f>
        <v>60 L/XL</v>
      </c>
      <c r="AD163" s="97" t="str">
        <f ca="1">VLOOKUP(I163,ЦветПолный!A:B,2,FALSE)</f>
        <v>89</v>
      </c>
      <c r="AE163" s="97" t="str">
        <f ca="1">IFERROR(VLOOKUP(S163,Размеры!A:D,4,FALSE),"")</f>
        <v>60</v>
      </c>
      <c r="AF163" s="97">
        <f ca="1">IF(LEFT(IFERROR(VLOOKUP(LOOKUP(2,1/SEARCH(B163,Товары!A:A),Товары!A:A),Товары!A:B,2,0),""),6)=MID(AA163,1,6),1,0)</f>
        <v>0</v>
      </c>
      <c r="AH163" s="97">
        <f ca="1">SUMIF(Группа!A:A,C163,Группа!C:C)</f>
        <v>1</v>
      </c>
      <c r="AI163" s="97">
        <f ca="1">SUMIF(Группа!B:B,AB163,Группа!C:C)</f>
        <v>1</v>
      </c>
      <c r="AJ163" s="97">
        <f ca="1">SUMIF(Формы!A:A,D163,Формы!B:B)</f>
        <v>1</v>
      </c>
      <c r="AK163" s="97">
        <f ca="1">SUMIF(Материал!A:A,K163,Материал!B:B)</f>
        <v>1</v>
      </c>
      <c r="AL163" s="97">
        <f ca="1">SUMIF(Размеры!A:A,S163,Размеры!E:E)</f>
        <v>1</v>
      </c>
      <c r="AM163" s="97">
        <f ca="1">SUMIF(Сезон!A:A,F163,Сезон!B:B)</f>
        <v>1</v>
      </c>
      <c r="AN163" s="97">
        <f ca="1">SUMIF(Состав!A:A,J163,Состав!B:B)</f>
        <v>0</v>
      </c>
      <c r="AO163" s="97">
        <f ca="1">VLOOKUP(I163,ЦветПолный!A:C,3,0)</f>
        <v>1</v>
      </c>
      <c r="AP163" s="97">
        <f ca="1">SUMIF(Цвет!A:A,Z163,Цвет!B:B)</f>
        <v>1</v>
      </c>
      <c r="AQ163" s="97">
        <f ca="1">_xlfn.XLOOKUP(L163,Пол!A:A,Пол!B:B,0,0)</f>
        <v>1</v>
      </c>
      <c r="AR163" s="97">
        <f ca="1">SUMIF(Бренд!A:A,G163,Бренд!B:B)</f>
        <v>1</v>
      </c>
      <c r="AS163" s="97">
        <f ca="1">SUMIF(Страна!A:A,M163,Страна!B:B)</f>
        <v>1</v>
      </c>
      <c r="AT163" s="64" t="e">
        <f ca="1">IF(VLOOKUP(W163,Товары!A:B,2,FALSE)=A163,"Есть в 1С","ERR")</f>
        <v>#N/A</v>
      </c>
      <c r="AU163" s="65" t="e">
        <f ca="1">IF(VLOOKUP(A163,Товары!B:B,1,FALSE)=A163,"Есть в 1С","ERR")</f>
        <v>#N/A</v>
      </c>
      <c r="AV163" s="96" t="e">
        <f ca="1">VLOOKUP(W163,Товары!A:B,2,FALSE)</f>
        <v>#N/A</v>
      </c>
      <c r="AW163" s="94" t="e">
        <f ca="1">VLOOKUP(W163,Товары!A:B,1,FALSE)</f>
        <v>#N/A</v>
      </c>
    </row>
    <row r="164" spans="1:49" x14ac:dyDescent="0.25">
      <c r="A164" s="110" t="str">
        <f t="shared" ca="1" si="15"/>
        <v>95-008-89</v>
      </c>
      <c r="B164" s="107" t="str">
        <f ca="1">_xlfn.LET(_xlpm.CAPS,0,_xlpm.Style,TRIM(_xlfn.XLOOKUP($A164,Строчный!$A:$A,Строчный!B:B,"ERR",0)),IF(_xlpm.CAPS=0,_xlpm.Style,LOWER(_xlpm.Style)))</f>
        <v>3190</v>
      </c>
      <c r="C164" s="81" t="str">
        <f ca="1">TRIM(PROPER(_xlfn.XLOOKUP($A164,Строчный!$A:$A,Строчный!C:C,"ERR",0)))</f>
        <v>Кепки</v>
      </c>
      <c r="D164" s="81" t="str">
        <f ca="1">_xlfn.LET(_xlpm.DATA,TRIM(_xlfn.XLOOKUP($A164,Строчный!$A:$A,Строчный!D:D,"ERR",0)),UPPER(MID(_xlpm.DATA,1,1))&amp;LOWER(MID(_xlpm.DATA,2,LEN(_xlpm.DATA)-1)))</f>
        <v>Кепка восьмиклинка</v>
      </c>
      <c r="E164" s="81" t="str">
        <f ca="1">PROPER(TRIM(_xlfn.XLOOKUP($A164,Строчный!$A:$A,Строчный!E:E,"ERR",0)))</f>
        <v>Fredrikson</v>
      </c>
      <c r="F164" s="81" t="str">
        <f ca="1">LOWER(TRIM(_xlfn.XLOOKUP($A164,Строчный!$A:$A,Строчный!F:F,"ERR",0)))</f>
        <v>всесезон</v>
      </c>
      <c r="G164" s="81" t="str">
        <f ca="1">UPPER(TRIM(_xlfn.XLOOKUP($A164,Строчный!$A:$A,Строчный!G:G,"ERR",0)))</f>
        <v>FREDRIKSON</v>
      </c>
      <c r="H164" s="81" t="str">
        <f ca="1">LOWER(TRIM(_xlfn.XLOOKUP($A164,Строчный!$A:$A,Строчный!H:H,"ERR",0)))</f>
        <v>630/23</v>
      </c>
      <c r="I164" s="81" t="str">
        <f ca="1">LOWER(TRIM(_xlfn.XLOOKUP($A164,Строчный!$A:$A,Строчный!I:I,"ERR",0)))</f>
        <v>голубой / серый</v>
      </c>
      <c r="J164" s="81" t="str">
        <f ca="1">SUBSTITUTE(LOWER(TRIM(_xlfn.XLOOKUP($A164,Строчный!$A:$A,Строчный!J:J,"ERR",0))),"подклад","Подклад")</f>
        <v>80% шерсть - 20% полиамид / Подклад: 100% вискоза</v>
      </c>
      <c r="K164" s="81" t="str">
        <f ca="1">LOWER(TRIM(_xlfn.XLOOKUP($A164,Строчный!$A:$A,Строчный!K:K,"ERR",0)))</f>
        <v>шерстяные</v>
      </c>
      <c r="L164" s="81" t="str">
        <f ca="1">PROPER(TRIM(_xlfn.XLOOKUP($A164,Строчный!$A:$A,Строчный!L:L,"ERR",0)))</f>
        <v>Унисекс</v>
      </c>
      <c r="M164" s="113" t="str">
        <f ca="1">PROPER(TRIM(_xlfn.XLOOKUP($A164,Строчный!$A:$A,Строчный!M:M,"ERR",0)))</f>
        <v>Россия</v>
      </c>
      <c r="N164" s="81" t="str">
        <f ca="1">UPPER(TRIM(_xlfn.XLOOKUP($A164,Строчный!$A:$A,Строчный!O:O,"ERR",0)))</f>
        <v/>
      </c>
      <c r="O164" s="102" t="str">
        <f ca="1">PROPER(TRIM(_xlfn.XLOOKUP($A164,Строчный!$A:$A,Строчный!P:P,"ERR",0)))</f>
        <v/>
      </c>
      <c r="P164" s="81" t="str">
        <f ca="1">PROPER(TRIM(_xlfn.XLOOKUP($A164,Строчный!$A:$A,Строчный!R:R,"ERR",0)))</f>
        <v/>
      </c>
      <c r="Q164" s="90">
        <f ca="1">VALUE(_xlfn.XLOOKUP($A164,Строчный!$A:$A,Строчный!N:N,"ERR",0))</f>
        <v>975.8</v>
      </c>
      <c r="R164" s="89" t="str">
        <f ca="1">_xlfn.XLOOKUP($G164,Фабрика!A:A,Фабрика!B:B,"ERR",0)</f>
        <v>ООО "ФРЭДРИКСОН" Россия 192029, С-Петербург, пр. Обуховской обороны, д.86, лит М</v>
      </c>
      <c r="S164" s="80" t="str">
        <f ca="1">_xlfn.XLOOKUP(RIGHT(AA164,2),Размеры!D:D,Размеры!A:A,"ERR",0)</f>
        <v>59</v>
      </c>
      <c r="T164" s="80">
        <f ca="1">VALUE(_xlfn.XLOOKUP($AA164,Строчный!$S:$S,Строчный!U:U,"ERR",0))</f>
        <v>36</v>
      </c>
      <c r="U164" s="14" t="s">
        <v>265</v>
      </c>
      <c r="V164" s="101" t="str">
        <f t="shared" ca="1" si="16"/>
        <v>Кепка FREDRIKSON арт. 3190 (голубой / серый)</v>
      </c>
      <c r="W164" s="100" t="str">
        <f t="shared" ca="1" si="17"/>
        <v>Кепка FREDRIKSON арт. 3190 (голубой / серый) {630/23}</v>
      </c>
      <c r="X164" s="18" t="str">
        <f t="shared" ca="1" si="18"/>
        <v>голубой</v>
      </c>
      <c r="Y164" s="18" t="str">
        <f t="shared" ca="1" si="19"/>
        <v>серый</v>
      </c>
      <c r="Z164" s="117" t="str">
        <f ca="1">_xlfn.LET(_xlpm.FormColors,_xlfn.XLOOKUP(A164,Строчный!A:A,Строчный!Q:Q,"",0),IF(_xlpm.FormColors=0,IFERROR(MID(I164,FIND("-",I164)+1,LEN(I164)),IFERROR(MID(I164,1,FIND("/",I164)-2),I164)),_xlpm.FormColors))</f>
        <v>голубой</v>
      </c>
      <c r="AA164" s="73" t="str">
        <f ca="1"/>
        <v>95-008-89-59</v>
      </c>
      <c r="AB164" s="75" t="str">
        <f ca="1">VLOOKUP(C164,Группа!A:B,2,FALSE)</f>
        <v>Кепка</v>
      </c>
      <c r="AC164" s="97" t="str">
        <f ca="1">IFERROR(VLOOKUP(S164,Размеры!A:C,3,FALSE),"")</f>
        <v>59 L</v>
      </c>
      <c r="AD164" s="97" t="str">
        <f ca="1">VLOOKUP(I164,ЦветПолный!A:B,2,FALSE)</f>
        <v>89</v>
      </c>
      <c r="AE164" s="97" t="str">
        <f ca="1">IFERROR(VLOOKUP(S164,Размеры!A:D,4,FALSE),"")</f>
        <v>59</v>
      </c>
      <c r="AF164" s="97">
        <f ca="1">IF(LEFT(IFERROR(VLOOKUP(LOOKUP(2,1/SEARCH(B164,Товары!A:A),Товары!A:A),Товары!A:B,2,0),""),6)=MID(AA164,1,6),1,0)</f>
        <v>0</v>
      </c>
      <c r="AH164" s="97">
        <f ca="1">SUMIF(Группа!A:A,C164,Группа!C:C)</f>
        <v>1</v>
      </c>
      <c r="AI164" s="97">
        <f ca="1">SUMIF(Группа!B:B,AB164,Группа!C:C)</f>
        <v>1</v>
      </c>
      <c r="AJ164" s="97">
        <f ca="1">SUMIF(Формы!A:A,D164,Формы!B:B)</f>
        <v>1</v>
      </c>
      <c r="AK164" s="97">
        <f ca="1">SUMIF(Материал!A:A,K164,Материал!B:B)</f>
        <v>1</v>
      </c>
      <c r="AL164" s="97">
        <f ca="1">SUMIF(Размеры!A:A,S164,Размеры!E:E)</f>
        <v>1</v>
      </c>
      <c r="AM164" s="97">
        <f ca="1">SUMIF(Сезон!A:A,F164,Сезон!B:B)</f>
        <v>1</v>
      </c>
      <c r="AN164" s="97">
        <f ca="1">SUMIF(Состав!A:A,J164,Состав!B:B)</f>
        <v>0</v>
      </c>
      <c r="AO164" s="97">
        <f ca="1">VLOOKUP(I164,ЦветПолный!A:C,3,0)</f>
        <v>1</v>
      </c>
      <c r="AP164" s="97">
        <f ca="1">SUMIF(Цвет!A:A,Z164,Цвет!B:B)</f>
        <v>1</v>
      </c>
      <c r="AQ164" s="97">
        <f ca="1">_xlfn.XLOOKUP(L164,Пол!A:A,Пол!B:B,0,0)</f>
        <v>1</v>
      </c>
      <c r="AR164" s="97">
        <f ca="1">SUMIF(Бренд!A:A,G164,Бренд!B:B)</f>
        <v>1</v>
      </c>
      <c r="AS164" s="97">
        <f ca="1">SUMIF(Страна!A:A,M164,Страна!B:B)</f>
        <v>1</v>
      </c>
      <c r="AT164" s="64" t="e">
        <f ca="1">IF(VLOOKUP(W164,Товары!A:B,2,FALSE)=A164,"Есть в 1С","ERR")</f>
        <v>#N/A</v>
      </c>
      <c r="AU164" s="65" t="e">
        <f ca="1">IF(VLOOKUP(A164,Товары!B:B,1,FALSE)=A164,"Есть в 1С","ERR")</f>
        <v>#N/A</v>
      </c>
      <c r="AV164" s="96" t="e">
        <f ca="1">VLOOKUP(W164,Товары!A:B,2,FALSE)</f>
        <v>#N/A</v>
      </c>
      <c r="AW164" s="94" t="e">
        <f ca="1">VLOOKUP(W164,Товары!A:B,1,FALSE)</f>
        <v>#N/A</v>
      </c>
    </row>
    <row r="165" spans="1:49" x14ac:dyDescent="0.25">
      <c r="A165" s="110" t="str">
        <f t="shared" ca="1" si="15"/>
        <v>95-008-89</v>
      </c>
      <c r="B165" s="107" t="str">
        <f ca="1">_xlfn.LET(_xlpm.CAPS,0,_xlpm.Style,TRIM(_xlfn.XLOOKUP($A165,Строчный!$A:$A,Строчный!B:B,"ERR",0)),IF(_xlpm.CAPS=0,_xlpm.Style,LOWER(_xlpm.Style)))</f>
        <v>3190</v>
      </c>
      <c r="C165" s="81" t="str">
        <f ca="1">TRIM(PROPER(_xlfn.XLOOKUP($A165,Строчный!$A:$A,Строчный!C:C,"ERR",0)))</f>
        <v>Кепки</v>
      </c>
      <c r="D165" s="81" t="str">
        <f ca="1">_xlfn.LET(_xlpm.DATA,TRIM(_xlfn.XLOOKUP($A165,Строчный!$A:$A,Строчный!D:D,"ERR",0)),UPPER(MID(_xlpm.DATA,1,1))&amp;LOWER(MID(_xlpm.DATA,2,LEN(_xlpm.DATA)-1)))</f>
        <v>Кепка восьмиклинка</v>
      </c>
      <c r="E165" s="81" t="str">
        <f ca="1">PROPER(TRIM(_xlfn.XLOOKUP($A165,Строчный!$A:$A,Строчный!E:E,"ERR",0)))</f>
        <v>Fredrikson</v>
      </c>
      <c r="F165" s="81" t="str">
        <f ca="1">LOWER(TRIM(_xlfn.XLOOKUP($A165,Строчный!$A:$A,Строчный!F:F,"ERR",0)))</f>
        <v>всесезон</v>
      </c>
      <c r="G165" s="81" t="str">
        <f ca="1">UPPER(TRIM(_xlfn.XLOOKUP($A165,Строчный!$A:$A,Строчный!G:G,"ERR",0)))</f>
        <v>FREDRIKSON</v>
      </c>
      <c r="H165" s="81" t="str">
        <f ca="1">LOWER(TRIM(_xlfn.XLOOKUP($A165,Строчный!$A:$A,Строчный!H:H,"ERR",0)))</f>
        <v>630/23</v>
      </c>
      <c r="I165" s="81" t="str">
        <f ca="1">LOWER(TRIM(_xlfn.XLOOKUP($A165,Строчный!$A:$A,Строчный!I:I,"ERR",0)))</f>
        <v>голубой / серый</v>
      </c>
      <c r="J165" s="81" t="str">
        <f ca="1">SUBSTITUTE(LOWER(TRIM(_xlfn.XLOOKUP($A165,Строчный!$A:$A,Строчный!J:J,"ERR",0))),"подклад","Подклад")</f>
        <v>80% шерсть - 20% полиамид / Подклад: 100% вискоза</v>
      </c>
      <c r="K165" s="81" t="str">
        <f ca="1">LOWER(TRIM(_xlfn.XLOOKUP($A165,Строчный!$A:$A,Строчный!K:K,"ERR",0)))</f>
        <v>шерстяные</v>
      </c>
      <c r="L165" s="81" t="str">
        <f ca="1">PROPER(TRIM(_xlfn.XLOOKUP($A165,Строчный!$A:$A,Строчный!L:L,"ERR",0)))</f>
        <v>Унисекс</v>
      </c>
      <c r="M165" s="113" t="str">
        <f ca="1">PROPER(TRIM(_xlfn.XLOOKUP($A165,Строчный!$A:$A,Строчный!M:M,"ERR",0)))</f>
        <v>Россия</v>
      </c>
      <c r="N165" s="81" t="str">
        <f ca="1">UPPER(TRIM(_xlfn.XLOOKUP($A165,Строчный!$A:$A,Строчный!O:O,"ERR",0)))</f>
        <v/>
      </c>
      <c r="O165" s="102" t="str">
        <f ca="1">PROPER(TRIM(_xlfn.XLOOKUP($A165,Строчный!$A:$A,Строчный!P:P,"ERR",0)))</f>
        <v/>
      </c>
      <c r="P165" s="81" t="str">
        <f ca="1">PROPER(TRIM(_xlfn.XLOOKUP($A165,Строчный!$A:$A,Строчный!R:R,"ERR",0)))</f>
        <v/>
      </c>
      <c r="Q165" s="90">
        <f ca="1">VALUE(_xlfn.XLOOKUP($A165,Строчный!$A:$A,Строчный!N:N,"ERR",0))</f>
        <v>975.8</v>
      </c>
      <c r="R165" s="89" t="str">
        <f ca="1">_xlfn.XLOOKUP($G165,Фабрика!A:A,Фабрика!B:B,"ERR",0)</f>
        <v>ООО "ФРЭДРИКСОН" Россия 192029, С-Петербург, пр. Обуховской обороны, д.86, лит М</v>
      </c>
      <c r="S165" s="80" t="str">
        <f ca="1">_xlfn.XLOOKUP(RIGHT(AA165,2),Размеры!D:D,Размеры!A:A,"ERR",0)</f>
        <v>58</v>
      </c>
      <c r="T165" s="80">
        <f ca="1">VALUE(_xlfn.XLOOKUP($AA165,Строчный!$S:$S,Строчный!U:U,"ERR",0))</f>
        <v>30</v>
      </c>
      <c r="U165" s="14" t="s">
        <v>265</v>
      </c>
      <c r="V165" s="101" t="str">
        <f t="shared" ca="1" si="16"/>
        <v>Кепка FREDRIKSON арт. 3190 (голубой / серый)</v>
      </c>
      <c r="W165" s="100" t="str">
        <f t="shared" ca="1" si="17"/>
        <v>Кепка FREDRIKSON арт. 3190 (голубой / серый) {630/23}</v>
      </c>
      <c r="X165" s="18" t="str">
        <f t="shared" ca="1" si="18"/>
        <v>голубой</v>
      </c>
      <c r="Y165" s="18" t="str">
        <f t="shared" ca="1" si="19"/>
        <v>серый</v>
      </c>
      <c r="Z165" s="117" t="str">
        <f ca="1">_xlfn.LET(_xlpm.FormColors,_xlfn.XLOOKUP(A165,Строчный!A:A,Строчный!Q:Q,"",0),IF(_xlpm.FormColors=0,IFERROR(MID(I165,FIND("-",I165)+1,LEN(I165)),IFERROR(MID(I165,1,FIND("/",I165)-2),I165)),_xlpm.FormColors))</f>
        <v>голубой</v>
      </c>
      <c r="AA165" s="73" t="str">
        <f ca="1"/>
        <v>95-008-89-58</v>
      </c>
      <c r="AB165" s="75" t="str">
        <f ca="1">VLOOKUP(C165,Группа!A:B,2,FALSE)</f>
        <v>Кепка</v>
      </c>
      <c r="AC165" s="97" t="str">
        <f ca="1">IFERROR(VLOOKUP(S165,Размеры!A:C,3,FALSE),"")</f>
        <v>58 M/L</v>
      </c>
      <c r="AD165" s="97" t="str">
        <f ca="1">VLOOKUP(I165,ЦветПолный!A:B,2,FALSE)</f>
        <v>89</v>
      </c>
      <c r="AE165" s="97" t="str">
        <f ca="1">IFERROR(VLOOKUP(S165,Размеры!A:D,4,FALSE),"")</f>
        <v>58</v>
      </c>
      <c r="AF165" s="97">
        <f ca="1">IF(LEFT(IFERROR(VLOOKUP(LOOKUP(2,1/SEARCH(B165,Товары!A:A),Товары!A:A),Товары!A:B,2,0),""),6)=MID(AA165,1,6),1,0)</f>
        <v>0</v>
      </c>
      <c r="AH165" s="97">
        <f ca="1">SUMIF(Группа!A:A,C165,Группа!C:C)</f>
        <v>1</v>
      </c>
      <c r="AI165" s="97">
        <f ca="1">SUMIF(Группа!B:B,AB165,Группа!C:C)</f>
        <v>1</v>
      </c>
      <c r="AJ165" s="97">
        <f ca="1">SUMIF(Формы!A:A,D165,Формы!B:B)</f>
        <v>1</v>
      </c>
      <c r="AK165" s="97">
        <f ca="1">SUMIF(Материал!A:A,K165,Материал!B:B)</f>
        <v>1</v>
      </c>
      <c r="AL165" s="97">
        <f ca="1">SUMIF(Размеры!A:A,S165,Размеры!E:E)</f>
        <v>1</v>
      </c>
      <c r="AM165" s="97">
        <f ca="1">SUMIF(Сезон!A:A,F165,Сезон!B:B)</f>
        <v>1</v>
      </c>
      <c r="AN165" s="97">
        <f ca="1">SUMIF(Состав!A:A,J165,Состав!B:B)</f>
        <v>0</v>
      </c>
      <c r="AO165" s="97">
        <f ca="1">VLOOKUP(I165,ЦветПолный!A:C,3,0)</f>
        <v>1</v>
      </c>
      <c r="AP165" s="97">
        <f ca="1">SUMIF(Цвет!A:A,Z165,Цвет!B:B)</f>
        <v>1</v>
      </c>
      <c r="AQ165" s="97">
        <f ca="1">_xlfn.XLOOKUP(L165,Пол!A:A,Пол!B:B,0,0)</f>
        <v>1</v>
      </c>
      <c r="AR165" s="97">
        <f ca="1">SUMIF(Бренд!A:A,G165,Бренд!B:B)</f>
        <v>1</v>
      </c>
      <c r="AS165" s="97">
        <f ca="1">SUMIF(Страна!A:A,M165,Страна!B:B)</f>
        <v>1</v>
      </c>
      <c r="AT165" s="64" t="e">
        <f ca="1">IF(VLOOKUP(W165,Товары!A:B,2,FALSE)=A165,"Есть в 1С","ERR")</f>
        <v>#N/A</v>
      </c>
      <c r="AU165" s="65" t="e">
        <f ca="1">IF(VLOOKUP(A165,Товары!B:B,1,FALSE)=A165,"Есть в 1С","ERR")</f>
        <v>#N/A</v>
      </c>
      <c r="AV165" s="96" t="e">
        <f ca="1">VLOOKUP(W165,Товары!A:B,2,FALSE)</f>
        <v>#N/A</v>
      </c>
      <c r="AW165" s="94" t="e">
        <f ca="1">VLOOKUP(W165,Товары!A:B,1,FALSE)</f>
        <v>#N/A</v>
      </c>
    </row>
    <row r="166" spans="1:49" x14ac:dyDescent="0.25">
      <c r="A166" s="110" t="str">
        <f t="shared" ca="1" si="15"/>
        <v>95-008-89</v>
      </c>
      <c r="B166" s="107" t="str">
        <f ca="1">_xlfn.LET(_xlpm.CAPS,0,_xlpm.Style,TRIM(_xlfn.XLOOKUP($A166,Строчный!$A:$A,Строчный!B:B,"ERR",0)),IF(_xlpm.CAPS=0,_xlpm.Style,LOWER(_xlpm.Style)))</f>
        <v>3190</v>
      </c>
      <c r="C166" s="81" t="str">
        <f ca="1">TRIM(PROPER(_xlfn.XLOOKUP($A166,Строчный!$A:$A,Строчный!C:C,"ERR",0)))</f>
        <v>Кепки</v>
      </c>
      <c r="D166" s="81" t="str">
        <f ca="1">_xlfn.LET(_xlpm.DATA,TRIM(_xlfn.XLOOKUP($A166,Строчный!$A:$A,Строчный!D:D,"ERR",0)),UPPER(MID(_xlpm.DATA,1,1))&amp;LOWER(MID(_xlpm.DATA,2,LEN(_xlpm.DATA)-1)))</f>
        <v>Кепка восьмиклинка</v>
      </c>
      <c r="E166" s="81" t="str">
        <f ca="1">PROPER(TRIM(_xlfn.XLOOKUP($A166,Строчный!$A:$A,Строчный!E:E,"ERR",0)))</f>
        <v>Fredrikson</v>
      </c>
      <c r="F166" s="81" t="str">
        <f ca="1">LOWER(TRIM(_xlfn.XLOOKUP($A166,Строчный!$A:$A,Строчный!F:F,"ERR",0)))</f>
        <v>всесезон</v>
      </c>
      <c r="G166" s="81" t="str">
        <f ca="1">UPPER(TRIM(_xlfn.XLOOKUP($A166,Строчный!$A:$A,Строчный!G:G,"ERR",0)))</f>
        <v>FREDRIKSON</v>
      </c>
      <c r="H166" s="81" t="str">
        <f ca="1">LOWER(TRIM(_xlfn.XLOOKUP($A166,Строчный!$A:$A,Строчный!H:H,"ERR",0)))</f>
        <v>630/23</v>
      </c>
      <c r="I166" s="81" t="str">
        <f ca="1">LOWER(TRIM(_xlfn.XLOOKUP($A166,Строчный!$A:$A,Строчный!I:I,"ERR",0)))</f>
        <v>голубой / серый</v>
      </c>
      <c r="J166" s="81" t="str">
        <f ca="1">SUBSTITUTE(LOWER(TRIM(_xlfn.XLOOKUP($A166,Строчный!$A:$A,Строчный!J:J,"ERR",0))),"подклад","Подклад")</f>
        <v>80% шерсть - 20% полиамид / Подклад: 100% вискоза</v>
      </c>
      <c r="K166" s="81" t="str">
        <f ca="1">LOWER(TRIM(_xlfn.XLOOKUP($A166,Строчный!$A:$A,Строчный!K:K,"ERR",0)))</f>
        <v>шерстяные</v>
      </c>
      <c r="L166" s="81" t="str">
        <f ca="1">PROPER(TRIM(_xlfn.XLOOKUP($A166,Строчный!$A:$A,Строчный!L:L,"ERR",0)))</f>
        <v>Унисекс</v>
      </c>
      <c r="M166" s="113" t="str">
        <f ca="1">PROPER(TRIM(_xlfn.XLOOKUP($A166,Строчный!$A:$A,Строчный!M:M,"ERR",0)))</f>
        <v>Россия</v>
      </c>
      <c r="N166" s="81" t="str">
        <f ca="1">UPPER(TRIM(_xlfn.XLOOKUP($A166,Строчный!$A:$A,Строчный!O:O,"ERR",0)))</f>
        <v/>
      </c>
      <c r="O166" s="102" t="str">
        <f ca="1">PROPER(TRIM(_xlfn.XLOOKUP($A166,Строчный!$A:$A,Строчный!P:P,"ERR",0)))</f>
        <v/>
      </c>
      <c r="P166" s="81" t="str">
        <f ca="1">PROPER(TRIM(_xlfn.XLOOKUP($A166,Строчный!$A:$A,Строчный!R:R,"ERR",0)))</f>
        <v/>
      </c>
      <c r="Q166" s="90">
        <f ca="1">VALUE(_xlfn.XLOOKUP($A166,Строчный!$A:$A,Строчный!N:N,"ERR",0))</f>
        <v>975.8</v>
      </c>
      <c r="R166" s="89" t="str">
        <f ca="1">_xlfn.XLOOKUP($G166,Фабрика!A:A,Фабрика!B:B,"ERR",0)</f>
        <v>ООО "ФРЭДРИКСОН" Россия 192029, С-Петербург, пр. Обуховской обороны, д.86, лит М</v>
      </c>
      <c r="S166" s="80" t="str">
        <f ca="1">_xlfn.XLOOKUP(RIGHT(AA166,2),Размеры!D:D,Размеры!A:A,"ERR",0)</f>
        <v>57</v>
      </c>
      <c r="T166" s="80">
        <f ca="1">VALUE(_xlfn.XLOOKUP($AA166,Строчный!$S:$S,Строчный!U:U,"ERR",0))</f>
        <v>20</v>
      </c>
      <c r="U166" s="14" t="s">
        <v>265</v>
      </c>
      <c r="V166" s="101" t="str">
        <f t="shared" ca="1" si="16"/>
        <v>Кепка FREDRIKSON арт. 3190 (голубой / серый)</v>
      </c>
      <c r="W166" s="100" t="str">
        <f t="shared" ca="1" si="17"/>
        <v>Кепка FREDRIKSON арт. 3190 (голубой / серый) {630/23}</v>
      </c>
      <c r="X166" s="18" t="str">
        <f t="shared" ca="1" si="18"/>
        <v>голубой</v>
      </c>
      <c r="Y166" s="18" t="str">
        <f t="shared" ca="1" si="19"/>
        <v>серый</v>
      </c>
      <c r="Z166" s="117" t="str">
        <f ca="1">_xlfn.LET(_xlpm.FormColors,_xlfn.XLOOKUP(A166,Строчный!A:A,Строчный!Q:Q,"",0),IF(_xlpm.FormColors=0,IFERROR(MID(I166,FIND("-",I166)+1,LEN(I166)),IFERROR(MID(I166,1,FIND("/",I166)-2),I166)),_xlpm.FormColors))</f>
        <v>голубой</v>
      </c>
      <c r="AA166" s="73" t="str">
        <f ca="1"/>
        <v>95-008-89-57</v>
      </c>
      <c r="AB166" s="75" t="str">
        <f ca="1">VLOOKUP(C166,Группа!A:B,2,FALSE)</f>
        <v>Кепка</v>
      </c>
      <c r="AC166" s="97" t="str">
        <f ca="1">IFERROR(VLOOKUP(S166,Размеры!A:C,3,FALSE),"")</f>
        <v>57 M</v>
      </c>
      <c r="AD166" s="97" t="str">
        <f ca="1">VLOOKUP(I166,ЦветПолный!A:B,2,FALSE)</f>
        <v>89</v>
      </c>
      <c r="AE166" s="97" t="str">
        <f ca="1">IFERROR(VLOOKUP(S166,Размеры!A:D,4,FALSE),"")</f>
        <v>57</v>
      </c>
      <c r="AF166" s="97">
        <f ca="1">IF(LEFT(IFERROR(VLOOKUP(LOOKUP(2,1/SEARCH(B166,Товары!A:A),Товары!A:A),Товары!A:B,2,0),""),6)=MID(AA166,1,6),1,0)</f>
        <v>0</v>
      </c>
      <c r="AH166" s="97">
        <f ca="1">SUMIF(Группа!A:A,C166,Группа!C:C)</f>
        <v>1</v>
      </c>
      <c r="AI166" s="97">
        <f ca="1">SUMIF(Группа!B:B,AB166,Группа!C:C)</f>
        <v>1</v>
      </c>
      <c r="AJ166" s="97">
        <f ca="1">SUMIF(Формы!A:A,D166,Формы!B:B)</f>
        <v>1</v>
      </c>
      <c r="AK166" s="97">
        <f ca="1">SUMIF(Материал!A:A,K166,Материал!B:B)</f>
        <v>1</v>
      </c>
      <c r="AL166" s="97">
        <f ca="1">SUMIF(Размеры!A:A,S166,Размеры!E:E)</f>
        <v>1</v>
      </c>
      <c r="AM166" s="97">
        <f ca="1">SUMIF(Сезон!A:A,F166,Сезон!B:B)</f>
        <v>1</v>
      </c>
      <c r="AN166" s="97">
        <f ca="1">SUMIF(Состав!A:A,J166,Состав!B:B)</f>
        <v>0</v>
      </c>
      <c r="AO166" s="97">
        <f ca="1">VLOOKUP(I166,ЦветПолный!A:C,3,0)</f>
        <v>1</v>
      </c>
      <c r="AP166" s="97">
        <f ca="1">SUMIF(Цвет!A:A,Z166,Цвет!B:B)</f>
        <v>1</v>
      </c>
      <c r="AQ166" s="97">
        <f ca="1">_xlfn.XLOOKUP(L166,Пол!A:A,Пол!B:B,0,0)</f>
        <v>1</v>
      </c>
      <c r="AR166" s="97">
        <f ca="1">SUMIF(Бренд!A:A,G166,Бренд!B:B)</f>
        <v>1</v>
      </c>
      <c r="AS166" s="97">
        <f ca="1">SUMIF(Страна!A:A,M166,Страна!B:B)</f>
        <v>1</v>
      </c>
      <c r="AT166" s="64" t="e">
        <f ca="1">IF(VLOOKUP(W166,Товары!A:B,2,FALSE)=A166,"Есть в 1С","ERR")</f>
        <v>#N/A</v>
      </c>
      <c r="AU166" s="65" t="e">
        <f ca="1">IF(VLOOKUP(A166,Товары!B:B,1,FALSE)=A166,"Есть в 1С","ERR")</f>
        <v>#N/A</v>
      </c>
      <c r="AV166" s="96" t="e">
        <f ca="1">VLOOKUP(W166,Товары!A:B,2,FALSE)</f>
        <v>#N/A</v>
      </c>
      <c r="AW166" s="94" t="e">
        <f ca="1">VLOOKUP(W166,Товары!A:B,1,FALSE)</f>
        <v>#N/A</v>
      </c>
    </row>
    <row r="167" spans="1:49" x14ac:dyDescent="0.25">
      <c r="A167" s="110" t="str">
        <f t="shared" ca="1" si="15"/>
        <v>95-008-89</v>
      </c>
      <c r="B167" s="107" t="str">
        <f ca="1">_xlfn.LET(_xlpm.CAPS,0,_xlpm.Style,TRIM(_xlfn.XLOOKUP($A167,Строчный!$A:$A,Строчный!B:B,"ERR",0)),IF(_xlpm.CAPS=0,_xlpm.Style,LOWER(_xlpm.Style)))</f>
        <v>3190</v>
      </c>
      <c r="C167" s="81" t="str">
        <f ca="1">TRIM(PROPER(_xlfn.XLOOKUP($A167,Строчный!$A:$A,Строчный!C:C,"ERR",0)))</f>
        <v>Кепки</v>
      </c>
      <c r="D167" s="81" t="str">
        <f ca="1">_xlfn.LET(_xlpm.DATA,TRIM(_xlfn.XLOOKUP($A167,Строчный!$A:$A,Строчный!D:D,"ERR",0)),UPPER(MID(_xlpm.DATA,1,1))&amp;LOWER(MID(_xlpm.DATA,2,LEN(_xlpm.DATA)-1)))</f>
        <v>Кепка восьмиклинка</v>
      </c>
      <c r="E167" s="81" t="str">
        <f ca="1">PROPER(TRIM(_xlfn.XLOOKUP($A167,Строчный!$A:$A,Строчный!E:E,"ERR",0)))</f>
        <v>Fredrikson</v>
      </c>
      <c r="F167" s="81" t="str">
        <f ca="1">LOWER(TRIM(_xlfn.XLOOKUP($A167,Строчный!$A:$A,Строчный!F:F,"ERR",0)))</f>
        <v>всесезон</v>
      </c>
      <c r="G167" s="81" t="str">
        <f ca="1">UPPER(TRIM(_xlfn.XLOOKUP($A167,Строчный!$A:$A,Строчный!G:G,"ERR",0)))</f>
        <v>FREDRIKSON</v>
      </c>
      <c r="H167" s="81" t="str">
        <f ca="1">LOWER(TRIM(_xlfn.XLOOKUP($A167,Строчный!$A:$A,Строчный!H:H,"ERR",0)))</f>
        <v>630/23</v>
      </c>
      <c r="I167" s="81" t="str">
        <f ca="1">LOWER(TRIM(_xlfn.XLOOKUP($A167,Строчный!$A:$A,Строчный!I:I,"ERR",0)))</f>
        <v>голубой / серый</v>
      </c>
      <c r="J167" s="81" t="str">
        <f ca="1">SUBSTITUTE(LOWER(TRIM(_xlfn.XLOOKUP($A167,Строчный!$A:$A,Строчный!J:J,"ERR",0))),"подклад","Подклад")</f>
        <v>80% шерсть - 20% полиамид / Подклад: 100% вискоза</v>
      </c>
      <c r="K167" s="81" t="str">
        <f ca="1">LOWER(TRIM(_xlfn.XLOOKUP($A167,Строчный!$A:$A,Строчный!K:K,"ERR",0)))</f>
        <v>шерстяные</v>
      </c>
      <c r="L167" s="81" t="str">
        <f ca="1">PROPER(TRIM(_xlfn.XLOOKUP($A167,Строчный!$A:$A,Строчный!L:L,"ERR",0)))</f>
        <v>Унисекс</v>
      </c>
      <c r="M167" s="113" t="str">
        <f ca="1">PROPER(TRIM(_xlfn.XLOOKUP($A167,Строчный!$A:$A,Строчный!M:M,"ERR",0)))</f>
        <v>Россия</v>
      </c>
      <c r="N167" s="81" t="str">
        <f ca="1">UPPER(TRIM(_xlfn.XLOOKUP($A167,Строчный!$A:$A,Строчный!O:O,"ERR",0)))</f>
        <v/>
      </c>
      <c r="O167" s="102" t="str">
        <f ca="1">PROPER(TRIM(_xlfn.XLOOKUP($A167,Строчный!$A:$A,Строчный!P:P,"ERR",0)))</f>
        <v/>
      </c>
      <c r="P167" s="81" t="str">
        <f ca="1">PROPER(TRIM(_xlfn.XLOOKUP($A167,Строчный!$A:$A,Строчный!R:R,"ERR",0)))</f>
        <v/>
      </c>
      <c r="Q167" s="90">
        <f ca="1">VALUE(_xlfn.XLOOKUP($A167,Строчный!$A:$A,Строчный!N:N,"ERR",0))</f>
        <v>975.8</v>
      </c>
      <c r="R167" s="89" t="str">
        <f ca="1">_xlfn.XLOOKUP($G167,Фабрика!A:A,Фабрика!B:B,"ERR",0)</f>
        <v>ООО "ФРЭДРИКСОН" Россия 192029, С-Петербург, пр. Обуховской обороны, д.86, лит М</v>
      </c>
      <c r="S167" s="80" t="str">
        <f ca="1">_xlfn.XLOOKUP(RIGHT(AA167,2),Размеры!D:D,Размеры!A:A,"ERR",0)</f>
        <v>56</v>
      </c>
      <c r="T167" s="80">
        <f ca="1">VALUE(_xlfn.XLOOKUP($AA167,Строчный!$S:$S,Строчный!U:U,"ERR",0))</f>
        <v>10</v>
      </c>
      <c r="U167" s="14" t="s">
        <v>265</v>
      </c>
      <c r="V167" s="101" t="str">
        <f t="shared" ca="1" si="16"/>
        <v>Кепка FREDRIKSON арт. 3190 (голубой / серый)</v>
      </c>
      <c r="W167" s="100" t="str">
        <f t="shared" ca="1" si="17"/>
        <v>Кепка FREDRIKSON арт. 3190 (голубой / серый) {630/23}</v>
      </c>
      <c r="X167" s="18" t="str">
        <f t="shared" ca="1" si="18"/>
        <v>голубой</v>
      </c>
      <c r="Y167" s="18" t="str">
        <f t="shared" ca="1" si="19"/>
        <v>серый</v>
      </c>
      <c r="Z167" s="117" t="str">
        <f ca="1">_xlfn.LET(_xlpm.FormColors,_xlfn.XLOOKUP(A167,Строчный!A:A,Строчный!Q:Q,"",0),IF(_xlpm.FormColors=0,IFERROR(MID(I167,FIND("-",I167)+1,LEN(I167)),IFERROR(MID(I167,1,FIND("/",I167)-2),I167)),_xlpm.FormColors))</f>
        <v>голубой</v>
      </c>
      <c r="AA167" s="73" t="str">
        <f ca="1"/>
        <v>95-008-89-56</v>
      </c>
      <c r="AB167" s="75" t="str">
        <f ca="1">VLOOKUP(C167,Группа!A:B,2,FALSE)</f>
        <v>Кепка</v>
      </c>
      <c r="AC167" s="97" t="str">
        <f ca="1">IFERROR(VLOOKUP(S167,Размеры!A:C,3,FALSE),"")</f>
        <v>56 S/M</v>
      </c>
      <c r="AD167" s="97" t="str">
        <f ca="1">VLOOKUP(I167,ЦветПолный!A:B,2,FALSE)</f>
        <v>89</v>
      </c>
      <c r="AE167" s="97" t="str">
        <f ca="1">IFERROR(VLOOKUP(S167,Размеры!A:D,4,FALSE),"")</f>
        <v>56</v>
      </c>
      <c r="AF167" s="97">
        <f ca="1">IF(LEFT(IFERROR(VLOOKUP(LOOKUP(2,1/SEARCH(B167,Товары!A:A),Товары!A:A),Товары!A:B,2,0),""),6)=MID(AA167,1,6),1,0)</f>
        <v>0</v>
      </c>
      <c r="AH167" s="97">
        <f ca="1">SUMIF(Группа!A:A,C167,Группа!C:C)</f>
        <v>1</v>
      </c>
      <c r="AI167" s="97">
        <f ca="1">SUMIF(Группа!B:B,AB167,Группа!C:C)</f>
        <v>1</v>
      </c>
      <c r="AJ167" s="97">
        <f ca="1">SUMIF(Формы!A:A,D167,Формы!B:B)</f>
        <v>1</v>
      </c>
      <c r="AK167" s="97">
        <f ca="1">SUMIF(Материал!A:A,K167,Материал!B:B)</f>
        <v>1</v>
      </c>
      <c r="AL167" s="97">
        <f ca="1">SUMIF(Размеры!A:A,S167,Размеры!E:E)</f>
        <v>1</v>
      </c>
      <c r="AM167" s="97">
        <f ca="1">SUMIF(Сезон!A:A,F167,Сезон!B:B)</f>
        <v>1</v>
      </c>
      <c r="AN167" s="97">
        <f ca="1">SUMIF(Состав!A:A,J167,Состав!B:B)</f>
        <v>0</v>
      </c>
      <c r="AO167" s="97">
        <f ca="1">VLOOKUP(I167,ЦветПолный!A:C,3,0)</f>
        <v>1</v>
      </c>
      <c r="AP167" s="97">
        <f ca="1">SUMIF(Цвет!A:A,Z167,Цвет!B:B)</f>
        <v>1</v>
      </c>
      <c r="AQ167" s="97">
        <f ca="1">_xlfn.XLOOKUP(L167,Пол!A:A,Пол!B:B,0,0)</f>
        <v>1</v>
      </c>
      <c r="AR167" s="97">
        <f ca="1">SUMIF(Бренд!A:A,G167,Бренд!B:B)</f>
        <v>1</v>
      </c>
      <c r="AS167" s="97">
        <f ca="1">SUMIF(Страна!A:A,M167,Страна!B:B)</f>
        <v>1</v>
      </c>
      <c r="AT167" s="64" t="e">
        <f ca="1">IF(VLOOKUP(W167,Товары!A:B,2,FALSE)=A167,"Есть в 1С","ERR")</f>
        <v>#N/A</v>
      </c>
      <c r="AU167" s="65" t="e">
        <f ca="1">IF(VLOOKUP(A167,Товары!B:B,1,FALSE)=A167,"Есть в 1С","ERR")</f>
        <v>#N/A</v>
      </c>
      <c r="AV167" s="96" t="e">
        <f ca="1">VLOOKUP(W167,Товары!A:B,2,FALSE)</f>
        <v>#N/A</v>
      </c>
      <c r="AW167" s="94" t="e">
        <f ca="1">VLOOKUP(W167,Товары!A:B,1,FALSE)</f>
        <v>#N/A</v>
      </c>
    </row>
    <row r="168" spans="1:49" x14ac:dyDescent="0.25">
      <c r="A168" s="110" t="str">
        <f t="shared" ca="1" si="15"/>
        <v>95-008-72</v>
      </c>
      <c r="B168" s="107" t="str">
        <f ca="1">_xlfn.LET(_xlpm.CAPS,0,_xlpm.Style,TRIM(_xlfn.XLOOKUP($A168,Строчный!$A:$A,Строчный!B:B,"ERR",0)),IF(_xlpm.CAPS=0,_xlpm.Style,LOWER(_xlpm.Style)))</f>
        <v>3190</v>
      </c>
      <c r="C168" s="81" t="str">
        <f ca="1">TRIM(PROPER(_xlfn.XLOOKUP($A168,Строчный!$A:$A,Строчный!C:C,"ERR",0)))</f>
        <v>Кепки</v>
      </c>
      <c r="D168" s="81" t="str">
        <f ca="1">_xlfn.LET(_xlpm.DATA,TRIM(_xlfn.XLOOKUP($A168,Строчный!$A:$A,Строчный!D:D,"ERR",0)),UPPER(MID(_xlpm.DATA,1,1))&amp;LOWER(MID(_xlpm.DATA,2,LEN(_xlpm.DATA)-1)))</f>
        <v>Кепка восьмиклинка</v>
      </c>
      <c r="E168" s="81" t="str">
        <f ca="1">PROPER(TRIM(_xlfn.XLOOKUP($A168,Строчный!$A:$A,Строчный!E:E,"ERR",0)))</f>
        <v>Fredrikson</v>
      </c>
      <c r="F168" s="81" t="str">
        <f ca="1">LOWER(TRIM(_xlfn.XLOOKUP($A168,Строчный!$A:$A,Строчный!F:F,"ERR",0)))</f>
        <v>всесезон</v>
      </c>
      <c r="G168" s="81" t="str">
        <f ca="1">UPPER(TRIM(_xlfn.XLOOKUP($A168,Строчный!$A:$A,Строчный!G:G,"ERR",0)))</f>
        <v>FREDRIKSON</v>
      </c>
      <c r="H168" s="81" t="str">
        <f ca="1">LOWER(TRIM(_xlfn.XLOOKUP($A168,Строчный!$A:$A,Строчный!H:H,"ERR",0)))</f>
        <v>652/72</v>
      </c>
      <c r="I168" s="81" t="str">
        <f ca="1">LOWER(TRIM(_xlfn.XLOOKUP($A168,Строчный!$A:$A,Строчный!I:I,"ERR",0)))</f>
        <v>черный / белый</v>
      </c>
      <c r="J168" s="81" t="str">
        <f ca="1">SUBSTITUTE(LOWER(TRIM(_xlfn.XLOOKUP($A168,Строчный!$A:$A,Строчный!J:J,"ERR",0))),"подклад","Подклад")</f>
        <v>80% шерсть - 20% полиамид / Подклад: 100% вискоза</v>
      </c>
      <c r="K168" s="81" t="str">
        <f ca="1">LOWER(TRIM(_xlfn.XLOOKUP($A168,Строчный!$A:$A,Строчный!K:K,"ERR",0)))</f>
        <v>шерстяные</v>
      </c>
      <c r="L168" s="81" t="str">
        <f ca="1">PROPER(TRIM(_xlfn.XLOOKUP($A168,Строчный!$A:$A,Строчный!L:L,"ERR",0)))</f>
        <v>Унисекс</v>
      </c>
      <c r="M168" s="113" t="str">
        <f ca="1">PROPER(TRIM(_xlfn.XLOOKUP($A168,Строчный!$A:$A,Строчный!M:M,"ERR",0)))</f>
        <v>Россия</v>
      </c>
      <c r="N168" s="81" t="str">
        <f ca="1">UPPER(TRIM(_xlfn.XLOOKUP($A168,Строчный!$A:$A,Строчный!O:O,"ERR",0)))</f>
        <v/>
      </c>
      <c r="O168" s="102" t="str">
        <f ca="1">PROPER(TRIM(_xlfn.XLOOKUP($A168,Строчный!$A:$A,Строчный!P:P,"ERR",0)))</f>
        <v/>
      </c>
      <c r="P168" s="81" t="str">
        <f ca="1">PROPER(TRIM(_xlfn.XLOOKUP($A168,Строчный!$A:$A,Строчный!R:R,"ERR",0)))</f>
        <v/>
      </c>
      <c r="Q168" s="90">
        <f ca="1">VALUE(_xlfn.XLOOKUP($A168,Строчный!$A:$A,Строчный!N:N,"ERR",0))</f>
        <v>975.8</v>
      </c>
      <c r="R168" s="89" t="str">
        <f ca="1">_xlfn.XLOOKUP($G168,Фабрика!A:A,Фабрика!B:B,"ERR",0)</f>
        <v>ООО "ФРЭДРИКСОН" Россия 192029, С-Петербург, пр. Обуховской обороны, д.86, лит М</v>
      </c>
      <c r="S168" s="80" t="str">
        <f ca="1">_xlfn.XLOOKUP(RIGHT(AA168,2),Размеры!D:D,Размеры!A:A,"ERR",0)</f>
        <v>59</v>
      </c>
      <c r="T168" s="80">
        <f ca="1">VALUE(_xlfn.XLOOKUP($AA168,Строчный!$S:$S,Строчный!U:U,"ERR",0))</f>
        <v>10</v>
      </c>
      <c r="U168" s="14" t="s">
        <v>265</v>
      </c>
      <c r="V168" s="101" t="str">
        <f t="shared" ca="1" si="16"/>
        <v>Кепка FREDRIKSON арт. 3190 (черный / белый)</v>
      </c>
      <c r="W168" s="100" t="str">
        <f t="shared" ca="1" si="17"/>
        <v>Кепка FREDRIKSON арт. 3190 (черный / белый) {652/72}</v>
      </c>
      <c r="X168" s="18" t="str">
        <f t="shared" ca="1" si="18"/>
        <v>черный</v>
      </c>
      <c r="Y168" s="18" t="str">
        <f t="shared" ca="1" si="19"/>
        <v>белый</v>
      </c>
      <c r="Z168" s="117" t="str">
        <f ca="1">_xlfn.LET(_xlpm.FormColors,_xlfn.XLOOKUP(A168,Строчный!A:A,Строчный!Q:Q,"",0),IF(_xlpm.FormColors=0,IFERROR(MID(I168,FIND("-",I168)+1,LEN(I168)),IFERROR(MID(I168,1,FIND("/",I168)-2),I168)),_xlpm.FormColors))</f>
        <v>черный</v>
      </c>
      <c r="AA168" s="73" t="str">
        <f ca="1"/>
        <v>95-008-72-59</v>
      </c>
      <c r="AB168" s="75" t="str">
        <f ca="1">VLOOKUP(C168,Группа!A:B,2,FALSE)</f>
        <v>Кепка</v>
      </c>
      <c r="AC168" s="97" t="str">
        <f ca="1">IFERROR(VLOOKUP(S168,Размеры!A:C,3,FALSE),"")</f>
        <v>59 L</v>
      </c>
      <c r="AD168" s="97" t="str">
        <f ca="1">VLOOKUP(I168,ЦветПолный!A:B,2,FALSE)</f>
        <v>72</v>
      </c>
      <c r="AE168" s="97" t="str">
        <f ca="1">IFERROR(VLOOKUP(S168,Размеры!A:D,4,FALSE),"")</f>
        <v>59</v>
      </c>
      <c r="AF168" s="97">
        <f ca="1">IF(LEFT(IFERROR(VLOOKUP(LOOKUP(2,1/SEARCH(B168,Товары!A:A),Товары!A:A),Товары!A:B,2,0),""),6)=MID(AA168,1,6),1,0)</f>
        <v>0</v>
      </c>
      <c r="AH168" s="97">
        <f ca="1">SUMIF(Группа!A:A,C168,Группа!C:C)</f>
        <v>1</v>
      </c>
      <c r="AI168" s="97">
        <f ca="1">SUMIF(Группа!B:B,AB168,Группа!C:C)</f>
        <v>1</v>
      </c>
      <c r="AJ168" s="97">
        <f ca="1">SUMIF(Формы!A:A,D168,Формы!B:B)</f>
        <v>1</v>
      </c>
      <c r="AK168" s="97">
        <f ca="1">SUMIF(Материал!A:A,K168,Материал!B:B)</f>
        <v>1</v>
      </c>
      <c r="AL168" s="97">
        <f ca="1">SUMIF(Размеры!A:A,S168,Размеры!E:E)</f>
        <v>1</v>
      </c>
      <c r="AM168" s="97">
        <f ca="1">SUMIF(Сезон!A:A,F168,Сезон!B:B)</f>
        <v>1</v>
      </c>
      <c r="AN168" s="97">
        <f ca="1">SUMIF(Состав!A:A,J168,Состав!B:B)</f>
        <v>0</v>
      </c>
      <c r="AO168" s="97">
        <f ca="1">VLOOKUP(I168,ЦветПолный!A:C,3,0)</f>
        <v>1</v>
      </c>
      <c r="AP168" s="97">
        <f ca="1">SUMIF(Цвет!A:A,Z168,Цвет!B:B)</f>
        <v>1</v>
      </c>
      <c r="AQ168" s="97">
        <f ca="1">_xlfn.XLOOKUP(L168,Пол!A:A,Пол!B:B,0,0)</f>
        <v>1</v>
      </c>
      <c r="AR168" s="97">
        <f ca="1">SUMIF(Бренд!A:A,G168,Бренд!B:B)</f>
        <v>1</v>
      </c>
      <c r="AS168" s="97">
        <f ca="1">SUMIF(Страна!A:A,M168,Страна!B:B)</f>
        <v>1</v>
      </c>
      <c r="AT168" s="64" t="e">
        <f ca="1">IF(VLOOKUP(W168,Товары!A:B,2,FALSE)=A168,"Есть в 1С","ERR")</f>
        <v>#N/A</v>
      </c>
      <c r="AU168" s="65" t="e">
        <f ca="1">IF(VLOOKUP(A168,Товары!B:B,1,FALSE)=A168,"Есть в 1С","ERR")</f>
        <v>#N/A</v>
      </c>
      <c r="AV168" s="96" t="e">
        <f ca="1">VLOOKUP(W168,Товары!A:B,2,FALSE)</f>
        <v>#N/A</v>
      </c>
      <c r="AW168" s="94" t="e">
        <f ca="1">VLOOKUP(W168,Товары!A:B,1,FALSE)</f>
        <v>#N/A</v>
      </c>
    </row>
    <row r="169" spans="1:49" x14ac:dyDescent="0.25">
      <c r="A169" s="110" t="str">
        <f t="shared" ca="1" si="15"/>
        <v>95-008-72</v>
      </c>
      <c r="B169" s="107" t="str">
        <f ca="1">_xlfn.LET(_xlpm.CAPS,0,_xlpm.Style,TRIM(_xlfn.XLOOKUP($A169,Строчный!$A:$A,Строчный!B:B,"ERR",0)),IF(_xlpm.CAPS=0,_xlpm.Style,LOWER(_xlpm.Style)))</f>
        <v>3190</v>
      </c>
      <c r="C169" s="81" t="str">
        <f ca="1">TRIM(PROPER(_xlfn.XLOOKUP($A169,Строчный!$A:$A,Строчный!C:C,"ERR",0)))</f>
        <v>Кепки</v>
      </c>
      <c r="D169" s="81" t="str">
        <f ca="1">_xlfn.LET(_xlpm.DATA,TRIM(_xlfn.XLOOKUP($A169,Строчный!$A:$A,Строчный!D:D,"ERR",0)),UPPER(MID(_xlpm.DATA,1,1))&amp;LOWER(MID(_xlpm.DATA,2,LEN(_xlpm.DATA)-1)))</f>
        <v>Кепка восьмиклинка</v>
      </c>
      <c r="E169" s="81" t="str">
        <f ca="1">PROPER(TRIM(_xlfn.XLOOKUP($A169,Строчный!$A:$A,Строчный!E:E,"ERR",0)))</f>
        <v>Fredrikson</v>
      </c>
      <c r="F169" s="81" t="str">
        <f ca="1">LOWER(TRIM(_xlfn.XLOOKUP($A169,Строчный!$A:$A,Строчный!F:F,"ERR",0)))</f>
        <v>всесезон</v>
      </c>
      <c r="G169" s="81" t="str">
        <f ca="1">UPPER(TRIM(_xlfn.XLOOKUP($A169,Строчный!$A:$A,Строчный!G:G,"ERR",0)))</f>
        <v>FREDRIKSON</v>
      </c>
      <c r="H169" s="81" t="str">
        <f ca="1">LOWER(TRIM(_xlfn.XLOOKUP($A169,Строчный!$A:$A,Строчный!H:H,"ERR",0)))</f>
        <v>652/72</v>
      </c>
      <c r="I169" s="81" t="str">
        <f ca="1">LOWER(TRIM(_xlfn.XLOOKUP($A169,Строчный!$A:$A,Строчный!I:I,"ERR",0)))</f>
        <v>черный / белый</v>
      </c>
      <c r="J169" s="81" t="str">
        <f ca="1">SUBSTITUTE(LOWER(TRIM(_xlfn.XLOOKUP($A169,Строчный!$A:$A,Строчный!J:J,"ERR",0))),"подклад","Подклад")</f>
        <v>80% шерсть - 20% полиамид / Подклад: 100% вискоза</v>
      </c>
      <c r="K169" s="81" t="str">
        <f ca="1">LOWER(TRIM(_xlfn.XLOOKUP($A169,Строчный!$A:$A,Строчный!K:K,"ERR",0)))</f>
        <v>шерстяные</v>
      </c>
      <c r="L169" s="81" t="str">
        <f ca="1">PROPER(TRIM(_xlfn.XLOOKUP($A169,Строчный!$A:$A,Строчный!L:L,"ERR",0)))</f>
        <v>Унисекс</v>
      </c>
      <c r="M169" s="113" t="str">
        <f ca="1">PROPER(TRIM(_xlfn.XLOOKUP($A169,Строчный!$A:$A,Строчный!M:M,"ERR",0)))</f>
        <v>Россия</v>
      </c>
      <c r="N169" s="81" t="str">
        <f ca="1">UPPER(TRIM(_xlfn.XLOOKUP($A169,Строчный!$A:$A,Строчный!O:O,"ERR",0)))</f>
        <v/>
      </c>
      <c r="O169" s="102" t="str">
        <f ca="1">PROPER(TRIM(_xlfn.XLOOKUP($A169,Строчный!$A:$A,Строчный!P:P,"ERR",0)))</f>
        <v/>
      </c>
      <c r="P169" s="81" t="str">
        <f ca="1">PROPER(TRIM(_xlfn.XLOOKUP($A169,Строчный!$A:$A,Строчный!R:R,"ERR",0)))</f>
        <v/>
      </c>
      <c r="Q169" s="90">
        <f ca="1">VALUE(_xlfn.XLOOKUP($A169,Строчный!$A:$A,Строчный!N:N,"ERR",0))</f>
        <v>975.8</v>
      </c>
      <c r="R169" s="89" t="str">
        <f ca="1">_xlfn.XLOOKUP($G169,Фабрика!A:A,Фабрика!B:B,"ERR",0)</f>
        <v>ООО "ФРЭДРИКСОН" Россия 192029, С-Петербург, пр. Обуховской обороны, д.86, лит М</v>
      </c>
      <c r="S169" s="80" t="str">
        <f ca="1">_xlfn.XLOOKUP(RIGHT(AA169,2),Размеры!D:D,Размеры!A:A,"ERR",0)</f>
        <v>58</v>
      </c>
      <c r="T169" s="80">
        <f ca="1">VALUE(_xlfn.XLOOKUP($AA169,Строчный!$S:$S,Строчный!U:U,"ERR",0))</f>
        <v>8</v>
      </c>
      <c r="U169" s="14" t="s">
        <v>265</v>
      </c>
      <c r="V169" s="101" t="str">
        <f t="shared" ca="1" si="16"/>
        <v>Кепка FREDRIKSON арт. 3190 (черный / белый)</v>
      </c>
      <c r="W169" s="100" t="str">
        <f t="shared" ca="1" si="17"/>
        <v>Кепка FREDRIKSON арт. 3190 (черный / белый) {652/72}</v>
      </c>
      <c r="X169" s="18" t="str">
        <f t="shared" ca="1" si="18"/>
        <v>черный</v>
      </c>
      <c r="Y169" s="18" t="str">
        <f t="shared" ca="1" si="19"/>
        <v>белый</v>
      </c>
      <c r="Z169" s="117" t="str">
        <f ca="1">_xlfn.LET(_xlpm.FormColors,_xlfn.XLOOKUP(A169,Строчный!A:A,Строчный!Q:Q,"",0),IF(_xlpm.FormColors=0,IFERROR(MID(I169,FIND("-",I169)+1,LEN(I169)),IFERROR(MID(I169,1,FIND("/",I169)-2),I169)),_xlpm.FormColors))</f>
        <v>черный</v>
      </c>
      <c r="AA169" s="73" t="str">
        <f ca="1"/>
        <v>95-008-72-58</v>
      </c>
      <c r="AB169" s="75" t="str">
        <f ca="1">VLOOKUP(C169,Группа!A:B,2,FALSE)</f>
        <v>Кепка</v>
      </c>
      <c r="AC169" s="97" t="str">
        <f ca="1">IFERROR(VLOOKUP(S169,Размеры!A:C,3,FALSE),"")</f>
        <v>58 M/L</v>
      </c>
      <c r="AD169" s="97" t="str">
        <f ca="1">VLOOKUP(I169,ЦветПолный!A:B,2,FALSE)</f>
        <v>72</v>
      </c>
      <c r="AE169" s="97" t="str">
        <f ca="1">IFERROR(VLOOKUP(S169,Размеры!A:D,4,FALSE),"")</f>
        <v>58</v>
      </c>
      <c r="AF169" s="97">
        <f ca="1">IF(LEFT(IFERROR(VLOOKUP(LOOKUP(2,1/SEARCH(B169,Товары!A:A),Товары!A:A),Товары!A:B,2,0),""),6)=MID(AA169,1,6),1,0)</f>
        <v>0</v>
      </c>
      <c r="AH169" s="97">
        <f ca="1">SUMIF(Группа!A:A,C169,Группа!C:C)</f>
        <v>1</v>
      </c>
      <c r="AI169" s="97">
        <f ca="1">SUMIF(Группа!B:B,AB169,Группа!C:C)</f>
        <v>1</v>
      </c>
      <c r="AJ169" s="97">
        <f ca="1">SUMIF(Формы!A:A,D169,Формы!B:B)</f>
        <v>1</v>
      </c>
      <c r="AK169" s="97">
        <f ca="1">SUMIF(Материал!A:A,K169,Материал!B:B)</f>
        <v>1</v>
      </c>
      <c r="AL169" s="97">
        <f ca="1">SUMIF(Размеры!A:A,S169,Размеры!E:E)</f>
        <v>1</v>
      </c>
      <c r="AM169" s="97">
        <f ca="1">SUMIF(Сезон!A:A,F169,Сезон!B:B)</f>
        <v>1</v>
      </c>
      <c r="AN169" s="97">
        <f ca="1">SUMIF(Состав!A:A,J169,Состав!B:B)</f>
        <v>0</v>
      </c>
      <c r="AO169" s="97">
        <f ca="1">VLOOKUP(I169,ЦветПолный!A:C,3,0)</f>
        <v>1</v>
      </c>
      <c r="AP169" s="97">
        <f ca="1">SUMIF(Цвет!A:A,Z169,Цвет!B:B)</f>
        <v>1</v>
      </c>
      <c r="AQ169" s="97">
        <f ca="1">_xlfn.XLOOKUP(L169,Пол!A:A,Пол!B:B,0,0)</f>
        <v>1</v>
      </c>
      <c r="AR169" s="97">
        <f ca="1">SUMIF(Бренд!A:A,G169,Бренд!B:B)</f>
        <v>1</v>
      </c>
      <c r="AS169" s="97">
        <f ca="1">SUMIF(Страна!A:A,M169,Страна!B:B)</f>
        <v>1</v>
      </c>
      <c r="AT169" s="64" t="e">
        <f ca="1">IF(VLOOKUP(W169,Товары!A:B,2,FALSE)=A169,"Есть в 1С","ERR")</f>
        <v>#N/A</v>
      </c>
      <c r="AU169" s="65" t="e">
        <f ca="1">IF(VLOOKUP(A169,Товары!B:B,1,FALSE)=A169,"Есть в 1С","ERR")</f>
        <v>#N/A</v>
      </c>
      <c r="AV169" s="96" t="e">
        <f ca="1">VLOOKUP(W169,Товары!A:B,2,FALSE)</f>
        <v>#N/A</v>
      </c>
      <c r="AW169" s="94" t="e">
        <f ca="1">VLOOKUP(W169,Товары!A:B,1,FALSE)</f>
        <v>#N/A</v>
      </c>
    </row>
    <row r="170" spans="1:49" x14ac:dyDescent="0.25">
      <c r="A170" s="110" t="str">
        <f t="shared" ca="1" si="15"/>
        <v>95-008-70</v>
      </c>
      <c r="B170" s="107" t="str">
        <f ca="1">_xlfn.LET(_xlpm.CAPS,0,_xlpm.Style,TRIM(_xlfn.XLOOKUP($A170,Строчный!$A:$A,Строчный!B:B,"ERR",0)),IF(_xlpm.CAPS=0,_xlpm.Style,LOWER(_xlpm.Style)))</f>
        <v>3190</v>
      </c>
      <c r="C170" s="81" t="str">
        <f ca="1">TRIM(PROPER(_xlfn.XLOOKUP($A170,Строчный!$A:$A,Строчный!C:C,"ERR",0)))</f>
        <v>Кепки</v>
      </c>
      <c r="D170" s="81" t="str">
        <f ca="1">_xlfn.LET(_xlpm.DATA,TRIM(_xlfn.XLOOKUP($A170,Строчный!$A:$A,Строчный!D:D,"ERR",0)),UPPER(MID(_xlpm.DATA,1,1))&amp;LOWER(MID(_xlpm.DATA,2,LEN(_xlpm.DATA)-1)))</f>
        <v>Кепка восьмиклинка</v>
      </c>
      <c r="E170" s="81" t="str">
        <f ca="1">PROPER(TRIM(_xlfn.XLOOKUP($A170,Строчный!$A:$A,Строчный!E:E,"ERR",0)))</f>
        <v>Fredrikson</v>
      </c>
      <c r="F170" s="81" t="str">
        <f ca="1">LOWER(TRIM(_xlfn.XLOOKUP($A170,Строчный!$A:$A,Строчный!F:F,"ERR",0)))</f>
        <v>всесезон</v>
      </c>
      <c r="G170" s="81" t="str">
        <f ca="1">UPPER(TRIM(_xlfn.XLOOKUP($A170,Строчный!$A:$A,Строчный!G:G,"ERR",0)))</f>
        <v>FREDRIKSON</v>
      </c>
      <c r="H170" s="81" t="str">
        <f ca="1">LOWER(TRIM(_xlfn.XLOOKUP($A170,Строчный!$A:$A,Строчный!H:H,"ERR",0)))</f>
        <v>657/27</v>
      </c>
      <c r="I170" s="81" t="str">
        <f ca="1">LOWER(TRIM(_xlfn.XLOOKUP($A170,Строчный!$A:$A,Строчный!I:I,"ERR",0)))</f>
        <v>темно-синий / темно-серый</v>
      </c>
      <c r="J170" s="81" t="str">
        <f ca="1">SUBSTITUTE(LOWER(TRIM(_xlfn.XLOOKUP($A170,Строчный!$A:$A,Строчный!J:J,"ERR",0))),"подклад","Подклад")</f>
        <v>80% шерсть - 20% полиамид / Подклад: 100% вискоза</v>
      </c>
      <c r="K170" s="81" t="str">
        <f ca="1">LOWER(TRIM(_xlfn.XLOOKUP($A170,Строчный!$A:$A,Строчный!K:K,"ERR",0)))</f>
        <v>шерстяные</v>
      </c>
      <c r="L170" s="81" t="str">
        <f ca="1">PROPER(TRIM(_xlfn.XLOOKUP($A170,Строчный!$A:$A,Строчный!L:L,"ERR",0)))</f>
        <v>Унисекс</v>
      </c>
      <c r="M170" s="113" t="str">
        <f ca="1">PROPER(TRIM(_xlfn.XLOOKUP($A170,Строчный!$A:$A,Строчный!M:M,"ERR",0)))</f>
        <v>Россия</v>
      </c>
      <c r="N170" s="81" t="str">
        <f ca="1">UPPER(TRIM(_xlfn.XLOOKUP($A170,Строчный!$A:$A,Строчный!O:O,"ERR",0)))</f>
        <v/>
      </c>
      <c r="O170" s="102" t="str">
        <f ca="1">PROPER(TRIM(_xlfn.XLOOKUP($A170,Строчный!$A:$A,Строчный!P:P,"ERR",0)))</f>
        <v/>
      </c>
      <c r="P170" s="81" t="str">
        <f ca="1">PROPER(TRIM(_xlfn.XLOOKUP($A170,Строчный!$A:$A,Строчный!R:R,"ERR",0)))</f>
        <v/>
      </c>
      <c r="Q170" s="90">
        <f ca="1">VALUE(_xlfn.XLOOKUP($A170,Строчный!$A:$A,Строчный!N:N,"ERR",0))</f>
        <v>975.8</v>
      </c>
      <c r="R170" s="89" t="str">
        <f ca="1">_xlfn.XLOOKUP($G170,Фабрика!A:A,Фабрика!B:B,"ERR",0)</f>
        <v>ООО "ФРЭДРИКСОН" Россия 192029, С-Петербург, пр. Обуховской обороны, д.86, лит М</v>
      </c>
      <c r="S170" s="80" t="str">
        <f ca="1">_xlfn.XLOOKUP(RIGHT(AA170,2),Размеры!D:D,Размеры!A:A,"ERR",0)</f>
        <v>62</v>
      </c>
      <c r="T170" s="80">
        <f ca="1">VALUE(_xlfn.XLOOKUP($AA170,Строчный!$S:$S,Строчный!U:U,"ERR",0))</f>
        <v>2</v>
      </c>
      <c r="U170" s="14" t="s">
        <v>265</v>
      </c>
      <c r="V170" s="101" t="str">
        <f t="shared" ca="1" si="16"/>
        <v>Кепка FREDRIKSON арт. 3190 (темно-синий / темно-серый)</v>
      </c>
      <c r="W170" s="100" t="str">
        <f t="shared" ca="1" si="17"/>
        <v>Кепка FREDRIKSON арт. 3190 (темно-синий / темно-серый) {657/27}</v>
      </c>
      <c r="X170" s="18" t="str">
        <f t="shared" ca="1" si="18"/>
        <v>синий / темно-серый</v>
      </c>
      <c r="Y170" s="18" t="str">
        <f t="shared" ca="1" si="19"/>
        <v>синий / темно-серый</v>
      </c>
      <c r="Z170" s="117" t="s">
        <v>27</v>
      </c>
      <c r="AA170" s="73" t="str">
        <f ca="1"/>
        <v>95-008-70-62</v>
      </c>
      <c r="AB170" s="75" t="str">
        <f ca="1">VLOOKUP(C170,Группа!A:B,2,FALSE)</f>
        <v>Кепка</v>
      </c>
      <c r="AC170" s="97" t="str">
        <f ca="1">IFERROR(VLOOKUP(S170,Размеры!A:C,3,FALSE),"")</f>
        <v>62 XL/XXL</v>
      </c>
      <c r="AD170" s="97" t="str">
        <f ca="1">VLOOKUP(I170,ЦветПолный!A:B,2,FALSE)</f>
        <v>70</v>
      </c>
      <c r="AE170" s="97" t="str">
        <f ca="1">IFERROR(VLOOKUP(S170,Размеры!A:D,4,FALSE),"")</f>
        <v>62</v>
      </c>
      <c r="AF170" s="97">
        <f ca="1">IF(LEFT(IFERROR(VLOOKUP(LOOKUP(2,1/SEARCH(B170,Товары!A:A),Товары!A:A),Товары!A:B,2,0),""),6)=MID(AA170,1,6),1,0)</f>
        <v>0</v>
      </c>
      <c r="AH170" s="97">
        <f ca="1">SUMIF(Группа!A:A,C170,Группа!C:C)</f>
        <v>1</v>
      </c>
      <c r="AI170" s="97">
        <f ca="1">SUMIF(Группа!B:B,AB170,Группа!C:C)</f>
        <v>1</v>
      </c>
      <c r="AJ170" s="97">
        <f ca="1">SUMIF(Формы!A:A,D170,Формы!B:B)</f>
        <v>1</v>
      </c>
      <c r="AK170" s="97">
        <f ca="1">SUMIF(Материал!A:A,K170,Материал!B:B)</f>
        <v>1</v>
      </c>
      <c r="AL170" s="97">
        <f ca="1">SUMIF(Размеры!A:A,S170,Размеры!E:E)</f>
        <v>1</v>
      </c>
      <c r="AM170" s="97">
        <f ca="1">SUMIF(Сезон!A:A,F170,Сезон!B:B)</f>
        <v>1</v>
      </c>
      <c r="AN170" s="97">
        <f ca="1">SUMIF(Состав!A:A,J170,Состав!B:B)</f>
        <v>0</v>
      </c>
      <c r="AO170" s="97">
        <f ca="1">VLOOKUP(I170,ЦветПолный!A:C,3,0)</f>
        <v>1</v>
      </c>
      <c r="AP170" s="97">
        <f>SUMIF(Цвет!A:A,Z170,Цвет!B:B)</f>
        <v>1</v>
      </c>
      <c r="AQ170" s="97">
        <f ca="1">_xlfn.XLOOKUP(L170,Пол!A:A,Пол!B:B,0,0)</f>
        <v>1</v>
      </c>
      <c r="AR170" s="97">
        <f ca="1">SUMIF(Бренд!A:A,G170,Бренд!B:B)</f>
        <v>1</v>
      </c>
      <c r="AS170" s="97">
        <f ca="1">SUMIF(Страна!A:A,M170,Страна!B:B)</f>
        <v>1</v>
      </c>
      <c r="AT170" s="64" t="e">
        <f ca="1">IF(VLOOKUP(W170,Товары!A:B,2,FALSE)=A170,"Есть в 1С","ERR")</f>
        <v>#N/A</v>
      </c>
      <c r="AU170" s="65" t="e">
        <f ca="1">IF(VLOOKUP(A170,Товары!B:B,1,FALSE)=A170,"Есть в 1С","ERR")</f>
        <v>#N/A</v>
      </c>
      <c r="AV170" s="96" t="e">
        <f ca="1">VLOOKUP(W170,Товары!A:B,2,FALSE)</f>
        <v>#N/A</v>
      </c>
      <c r="AW170" s="94" t="e">
        <f ca="1">VLOOKUP(W170,Товары!A:B,1,FALSE)</f>
        <v>#N/A</v>
      </c>
    </row>
    <row r="171" spans="1:49" x14ac:dyDescent="0.25">
      <c r="A171" s="110" t="str">
        <f t="shared" ca="1" si="15"/>
        <v>95-008-70</v>
      </c>
      <c r="B171" s="107" t="str">
        <f ca="1">_xlfn.LET(_xlpm.CAPS,0,_xlpm.Style,TRIM(_xlfn.XLOOKUP($A171,Строчный!$A:$A,Строчный!B:B,"ERR",0)),IF(_xlpm.CAPS=0,_xlpm.Style,LOWER(_xlpm.Style)))</f>
        <v>3190</v>
      </c>
      <c r="C171" s="81" t="str">
        <f ca="1">TRIM(PROPER(_xlfn.XLOOKUP($A171,Строчный!$A:$A,Строчный!C:C,"ERR",0)))</f>
        <v>Кепки</v>
      </c>
      <c r="D171" s="81" t="str">
        <f ca="1">_xlfn.LET(_xlpm.DATA,TRIM(_xlfn.XLOOKUP($A171,Строчный!$A:$A,Строчный!D:D,"ERR",0)),UPPER(MID(_xlpm.DATA,1,1))&amp;LOWER(MID(_xlpm.DATA,2,LEN(_xlpm.DATA)-1)))</f>
        <v>Кепка восьмиклинка</v>
      </c>
      <c r="E171" s="81" t="str">
        <f ca="1">PROPER(TRIM(_xlfn.XLOOKUP($A171,Строчный!$A:$A,Строчный!E:E,"ERR",0)))</f>
        <v>Fredrikson</v>
      </c>
      <c r="F171" s="81" t="str">
        <f ca="1">LOWER(TRIM(_xlfn.XLOOKUP($A171,Строчный!$A:$A,Строчный!F:F,"ERR",0)))</f>
        <v>всесезон</v>
      </c>
      <c r="G171" s="81" t="str">
        <f ca="1">UPPER(TRIM(_xlfn.XLOOKUP($A171,Строчный!$A:$A,Строчный!G:G,"ERR",0)))</f>
        <v>FREDRIKSON</v>
      </c>
      <c r="H171" s="81" t="str">
        <f ca="1">LOWER(TRIM(_xlfn.XLOOKUP($A171,Строчный!$A:$A,Строчный!H:H,"ERR",0)))</f>
        <v>657/27</v>
      </c>
      <c r="I171" s="81" t="str">
        <f ca="1">LOWER(TRIM(_xlfn.XLOOKUP($A171,Строчный!$A:$A,Строчный!I:I,"ERR",0)))</f>
        <v>темно-синий / темно-серый</v>
      </c>
      <c r="J171" s="81" t="str">
        <f ca="1">SUBSTITUTE(LOWER(TRIM(_xlfn.XLOOKUP($A171,Строчный!$A:$A,Строчный!J:J,"ERR",0))),"подклад","Подклад")</f>
        <v>80% шерсть - 20% полиамид / Подклад: 100% вискоза</v>
      </c>
      <c r="K171" s="81" t="str">
        <f ca="1">LOWER(TRIM(_xlfn.XLOOKUP($A171,Строчный!$A:$A,Строчный!K:K,"ERR",0)))</f>
        <v>шерстяные</v>
      </c>
      <c r="L171" s="81" t="str">
        <f ca="1">PROPER(TRIM(_xlfn.XLOOKUP($A171,Строчный!$A:$A,Строчный!L:L,"ERR",0)))</f>
        <v>Унисекс</v>
      </c>
      <c r="M171" s="113" t="str">
        <f ca="1">PROPER(TRIM(_xlfn.XLOOKUP($A171,Строчный!$A:$A,Строчный!M:M,"ERR",0)))</f>
        <v>Россия</v>
      </c>
      <c r="N171" s="81" t="str">
        <f ca="1">UPPER(TRIM(_xlfn.XLOOKUP($A171,Строчный!$A:$A,Строчный!O:O,"ERR",0)))</f>
        <v/>
      </c>
      <c r="O171" s="102" t="str">
        <f ca="1">PROPER(TRIM(_xlfn.XLOOKUP($A171,Строчный!$A:$A,Строчный!P:P,"ERR",0)))</f>
        <v/>
      </c>
      <c r="P171" s="81" t="str">
        <f ca="1">PROPER(TRIM(_xlfn.XLOOKUP($A171,Строчный!$A:$A,Строчный!R:R,"ERR",0)))</f>
        <v/>
      </c>
      <c r="Q171" s="90">
        <f ca="1">VALUE(_xlfn.XLOOKUP($A171,Строчный!$A:$A,Строчный!N:N,"ERR",0))</f>
        <v>975.8</v>
      </c>
      <c r="R171" s="89" t="str">
        <f ca="1">_xlfn.XLOOKUP($G171,Фабрика!A:A,Фабрика!B:B,"ERR",0)</f>
        <v>ООО "ФРЭДРИКСОН" Россия 192029, С-Петербург, пр. Обуховской обороны, д.86, лит М</v>
      </c>
      <c r="S171" s="80" t="str">
        <f ca="1">_xlfn.XLOOKUP(RIGHT(AA171,2),Размеры!D:D,Размеры!A:A,"ERR",0)</f>
        <v>61</v>
      </c>
      <c r="T171" s="80">
        <f ca="1">VALUE(_xlfn.XLOOKUP($AA171,Строчный!$S:$S,Строчный!U:U,"ERR",0))</f>
        <v>3</v>
      </c>
      <c r="U171" s="14" t="s">
        <v>265</v>
      </c>
      <c r="V171" s="101" t="str">
        <f t="shared" ca="1" si="16"/>
        <v>Кепка FREDRIKSON арт. 3190 (темно-синий / темно-серый)</v>
      </c>
      <c r="W171" s="100" t="str">
        <f t="shared" ca="1" si="17"/>
        <v>Кепка FREDRIKSON арт. 3190 (темно-синий / темно-серый) {657/27}</v>
      </c>
      <c r="X171" s="18" t="str">
        <f t="shared" ca="1" si="18"/>
        <v>синий / темно-серый</v>
      </c>
      <c r="Y171" s="18" t="str">
        <f t="shared" ca="1" si="19"/>
        <v>синий / темно-серый</v>
      </c>
      <c r="Z171" s="117" t="s">
        <v>27</v>
      </c>
      <c r="AA171" s="73" t="str">
        <f ca="1"/>
        <v>95-008-70-61</v>
      </c>
      <c r="AB171" s="75" t="str">
        <f ca="1">VLOOKUP(C171,Группа!A:B,2,FALSE)</f>
        <v>Кепка</v>
      </c>
      <c r="AC171" s="97" t="str">
        <f ca="1">IFERROR(VLOOKUP(S171,Размеры!A:C,3,FALSE),"")</f>
        <v>61 XL</v>
      </c>
      <c r="AD171" s="97" t="str">
        <f ca="1">VLOOKUP(I171,ЦветПолный!A:B,2,FALSE)</f>
        <v>70</v>
      </c>
      <c r="AE171" s="97" t="str">
        <f ca="1">IFERROR(VLOOKUP(S171,Размеры!A:D,4,FALSE),"")</f>
        <v>61</v>
      </c>
      <c r="AF171" s="97">
        <f ca="1">IF(LEFT(IFERROR(VLOOKUP(LOOKUP(2,1/SEARCH(B171,Товары!A:A),Товары!A:A),Товары!A:B,2,0),""),6)=MID(AA171,1,6),1,0)</f>
        <v>0</v>
      </c>
      <c r="AH171" s="97">
        <f ca="1">SUMIF(Группа!A:A,C171,Группа!C:C)</f>
        <v>1</v>
      </c>
      <c r="AI171" s="97">
        <f ca="1">SUMIF(Группа!B:B,AB171,Группа!C:C)</f>
        <v>1</v>
      </c>
      <c r="AJ171" s="97">
        <f ca="1">SUMIF(Формы!A:A,D171,Формы!B:B)</f>
        <v>1</v>
      </c>
      <c r="AK171" s="97">
        <f ca="1">SUMIF(Материал!A:A,K171,Материал!B:B)</f>
        <v>1</v>
      </c>
      <c r="AL171" s="97">
        <f ca="1">SUMIF(Размеры!A:A,S171,Размеры!E:E)</f>
        <v>1</v>
      </c>
      <c r="AM171" s="97">
        <f ca="1">SUMIF(Сезон!A:A,F171,Сезон!B:B)</f>
        <v>1</v>
      </c>
      <c r="AN171" s="97">
        <f ca="1">SUMIF(Состав!A:A,J171,Состав!B:B)</f>
        <v>0</v>
      </c>
      <c r="AO171" s="97">
        <f ca="1">VLOOKUP(I171,ЦветПолный!A:C,3,0)</f>
        <v>1</v>
      </c>
      <c r="AP171" s="97">
        <f>SUMIF(Цвет!A:A,Z171,Цвет!B:B)</f>
        <v>1</v>
      </c>
      <c r="AQ171" s="97">
        <f ca="1">_xlfn.XLOOKUP(L171,Пол!A:A,Пол!B:B,0,0)</f>
        <v>1</v>
      </c>
      <c r="AR171" s="97">
        <f ca="1">SUMIF(Бренд!A:A,G171,Бренд!B:B)</f>
        <v>1</v>
      </c>
      <c r="AS171" s="97">
        <f ca="1">SUMIF(Страна!A:A,M171,Страна!B:B)</f>
        <v>1</v>
      </c>
      <c r="AT171" s="64" t="e">
        <f ca="1">IF(VLOOKUP(W171,Товары!A:B,2,FALSE)=A171,"Есть в 1С","ERR")</f>
        <v>#N/A</v>
      </c>
      <c r="AU171" s="65" t="e">
        <f ca="1">IF(VLOOKUP(A171,Товары!B:B,1,FALSE)=A171,"Есть в 1С","ERR")</f>
        <v>#N/A</v>
      </c>
      <c r="AV171" s="96" t="e">
        <f ca="1">VLOOKUP(W171,Товары!A:B,2,FALSE)</f>
        <v>#N/A</v>
      </c>
      <c r="AW171" s="94" t="e">
        <f ca="1">VLOOKUP(W171,Товары!A:B,1,FALSE)</f>
        <v>#N/A</v>
      </c>
    </row>
    <row r="172" spans="1:49" x14ac:dyDescent="0.25">
      <c r="A172" s="110" t="str">
        <f t="shared" ca="1" si="15"/>
        <v>95-008-70</v>
      </c>
      <c r="B172" s="107" t="str">
        <f ca="1">_xlfn.LET(_xlpm.CAPS,0,_xlpm.Style,TRIM(_xlfn.XLOOKUP($A172,Строчный!$A:$A,Строчный!B:B,"ERR",0)),IF(_xlpm.CAPS=0,_xlpm.Style,LOWER(_xlpm.Style)))</f>
        <v>3190</v>
      </c>
      <c r="C172" s="81" t="str">
        <f ca="1">TRIM(PROPER(_xlfn.XLOOKUP($A172,Строчный!$A:$A,Строчный!C:C,"ERR",0)))</f>
        <v>Кепки</v>
      </c>
      <c r="D172" s="81" t="str">
        <f ca="1">_xlfn.LET(_xlpm.DATA,TRIM(_xlfn.XLOOKUP($A172,Строчный!$A:$A,Строчный!D:D,"ERR",0)),UPPER(MID(_xlpm.DATA,1,1))&amp;LOWER(MID(_xlpm.DATA,2,LEN(_xlpm.DATA)-1)))</f>
        <v>Кепка восьмиклинка</v>
      </c>
      <c r="E172" s="81" t="str">
        <f ca="1">PROPER(TRIM(_xlfn.XLOOKUP($A172,Строчный!$A:$A,Строчный!E:E,"ERR",0)))</f>
        <v>Fredrikson</v>
      </c>
      <c r="F172" s="81" t="str">
        <f ca="1">LOWER(TRIM(_xlfn.XLOOKUP($A172,Строчный!$A:$A,Строчный!F:F,"ERR",0)))</f>
        <v>всесезон</v>
      </c>
      <c r="G172" s="81" t="str">
        <f ca="1">UPPER(TRIM(_xlfn.XLOOKUP($A172,Строчный!$A:$A,Строчный!G:G,"ERR",0)))</f>
        <v>FREDRIKSON</v>
      </c>
      <c r="H172" s="81" t="str">
        <f ca="1">LOWER(TRIM(_xlfn.XLOOKUP($A172,Строчный!$A:$A,Строчный!H:H,"ERR",0)))</f>
        <v>657/27</v>
      </c>
      <c r="I172" s="81" t="str">
        <f ca="1">LOWER(TRIM(_xlfn.XLOOKUP($A172,Строчный!$A:$A,Строчный!I:I,"ERR",0)))</f>
        <v>темно-синий / темно-серый</v>
      </c>
      <c r="J172" s="81" t="str">
        <f ca="1">SUBSTITUTE(LOWER(TRIM(_xlfn.XLOOKUP($A172,Строчный!$A:$A,Строчный!J:J,"ERR",0))),"подклад","Подклад")</f>
        <v>80% шерсть - 20% полиамид / Подклад: 100% вискоза</v>
      </c>
      <c r="K172" s="81" t="str">
        <f ca="1">LOWER(TRIM(_xlfn.XLOOKUP($A172,Строчный!$A:$A,Строчный!K:K,"ERR",0)))</f>
        <v>шерстяные</v>
      </c>
      <c r="L172" s="81" t="str">
        <f ca="1">PROPER(TRIM(_xlfn.XLOOKUP($A172,Строчный!$A:$A,Строчный!L:L,"ERR",0)))</f>
        <v>Унисекс</v>
      </c>
      <c r="M172" s="113" t="str">
        <f ca="1">PROPER(TRIM(_xlfn.XLOOKUP($A172,Строчный!$A:$A,Строчный!M:M,"ERR",0)))</f>
        <v>Россия</v>
      </c>
      <c r="N172" s="81" t="str">
        <f ca="1">UPPER(TRIM(_xlfn.XLOOKUP($A172,Строчный!$A:$A,Строчный!O:O,"ERR",0)))</f>
        <v/>
      </c>
      <c r="O172" s="102" t="str">
        <f ca="1">PROPER(TRIM(_xlfn.XLOOKUP($A172,Строчный!$A:$A,Строчный!P:P,"ERR",0)))</f>
        <v/>
      </c>
      <c r="P172" s="81" t="str">
        <f ca="1">PROPER(TRIM(_xlfn.XLOOKUP($A172,Строчный!$A:$A,Строчный!R:R,"ERR",0)))</f>
        <v/>
      </c>
      <c r="Q172" s="90">
        <f ca="1">VALUE(_xlfn.XLOOKUP($A172,Строчный!$A:$A,Строчный!N:N,"ERR",0))</f>
        <v>975.8</v>
      </c>
      <c r="R172" s="89" t="str">
        <f ca="1">_xlfn.XLOOKUP($G172,Фабрика!A:A,Фабрика!B:B,"ERR",0)</f>
        <v>ООО "ФРЭДРИКСОН" Россия 192029, С-Петербург, пр. Обуховской обороны, д.86, лит М</v>
      </c>
      <c r="S172" s="80" t="str">
        <f ca="1">_xlfn.XLOOKUP(RIGHT(AA172,2),Размеры!D:D,Размеры!A:A,"ERR",0)</f>
        <v>60</v>
      </c>
      <c r="T172" s="80">
        <f ca="1">VALUE(_xlfn.XLOOKUP($AA172,Строчный!$S:$S,Строчный!U:U,"ERR",0))</f>
        <v>6</v>
      </c>
      <c r="U172" s="14" t="s">
        <v>265</v>
      </c>
      <c r="V172" s="101" t="str">
        <f t="shared" ca="1" si="16"/>
        <v>Кепка FREDRIKSON арт. 3190 (темно-синий / темно-серый)</v>
      </c>
      <c r="W172" s="100" t="str">
        <f t="shared" ca="1" si="17"/>
        <v>Кепка FREDRIKSON арт. 3190 (темно-синий / темно-серый) {657/27}</v>
      </c>
      <c r="X172" s="18" t="str">
        <f t="shared" ca="1" si="18"/>
        <v>синий / темно-серый</v>
      </c>
      <c r="Y172" s="18" t="str">
        <f t="shared" ca="1" si="19"/>
        <v>синий / темно-серый</v>
      </c>
      <c r="Z172" s="117" t="s">
        <v>27</v>
      </c>
      <c r="AA172" s="73" t="str">
        <f ca="1"/>
        <v>95-008-70-60</v>
      </c>
      <c r="AB172" s="75" t="str">
        <f ca="1">VLOOKUP(C172,Группа!A:B,2,FALSE)</f>
        <v>Кепка</v>
      </c>
      <c r="AC172" s="97" t="str">
        <f ca="1">IFERROR(VLOOKUP(S172,Размеры!A:C,3,FALSE),"")</f>
        <v>60 L/XL</v>
      </c>
      <c r="AD172" s="97" t="str">
        <f ca="1">VLOOKUP(I172,ЦветПолный!A:B,2,FALSE)</f>
        <v>70</v>
      </c>
      <c r="AE172" s="97" t="str">
        <f ca="1">IFERROR(VLOOKUP(S172,Размеры!A:D,4,FALSE),"")</f>
        <v>60</v>
      </c>
      <c r="AF172" s="97">
        <f ca="1">IF(LEFT(IFERROR(VLOOKUP(LOOKUP(2,1/SEARCH(B172,Товары!A:A),Товары!A:A),Товары!A:B,2,0),""),6)=MID(AA172,1,6),1,0)</f>
        <v>0</v>
      </c>
      <c r="AH172" s="97">
        <f ca="1">SUMIF(Группа!A:A,C172,Группа!C:C)</f>
        <v>1</v>
      </c>
      <c r="AI172" s="97">
        <f ca="1">SUMIF(Группа!B:B,AB172,Группа!C:C)</f>
        <v>1</v>
      </c>
      <c r="AJ172" s="97">
        <f ca="1">SUMIF(Формы!A:A,D172,Формы!B:B)</f>
        <v>1</v>
      </c>
      <c r="AK172" s="97">
        <f ca="1">SUMIF(Материал!A:A,K172,Материал!B:B)</f>
        <v>1</v>
      </c>
      <c r="AL172" s="97">
        <f ca="1">SUMIF(Размеры!A:A,S172,Размеры!E:E)</f>
        <v>1</v>
      </c>
      <c r="AM172" s="97">
        <f ca="1">SUMIF(Сезон!A:A,F172,Сезон!B:B)</f>
        <v>1</v>
      </c>
      <c r="AN172" s="97">
        <f ca="1">SUMIF(Состав!A:A,J172,Состав!B:B)</f>
        <v>0</v>
      </c>
      <c r="AO172" s="97">
        <f ca="1">VLOOKUP(I172,ЦветПолный!A:C,3,0)</f>
        <v>1</v>
      </c>
      <c r="AP172" s="97">
        <f>SUMIF(Цвет!A:A,Z172,Цвет!B:B)</f>
        <v>1</v>
      </c>
      <c r="AQ172" s="97">
        <f ca="1">_xlfn.XLOOKUP(L172,Пол!A:A,Пол!B:B,0,0)</f>
        <v>1</v>
      </c>
      <c r="AR172" s="97">
        <f ca="1">SUMIF(Бренд!A:A,G172,Бренд!B:B)</f>
        <v>1</v>
      </c>
      <c r="AS172" s="97">
        <f ca="1">SUMIF(Страна!A:A,M172,Страна!B:B)</f>
        <v>1</v>
      </c>
      <c r="AT172" s="64" t="e">
        <f ca="1">IF(VLOOKUP(W172,Товары!A:B,2,FALSE)=A172,"Есть в 1С","ERR")</f>
        <v>#N/A</v>
      </c>
      <c r="AU172" s="65" t="e">
        <f ca="1">IF(VLOOKUP(A172,Товары!B:B,1,FALSE)=A172,"Есть в 1С","ERR")</f>
        <v>#N/A</v>
      </c>
      <c r="AV172" s="96" t="e">
        <f ca="1">VLOOKUP(W172,Товары!A:B,2,FALSE)</f>
        <v>#N/A</v>
      </c>
      <c r="AW172" s="94" t="e">
        <f ca="1">VLOOKUP(W172,Товары!A:B,1,FALSE)</f>
        <v>#N/A</v>
      </c>
    </row>
    <row r="173" spans="1:49" x14ac:dyDescent="0.25">
      <c r="A173" s="110" t="str">
        <f t="shared" ca="1" si="15"/>
        <v>95-008-70</v>
      </c>
      <c r="B173" s="107" t="str">
        <f ca="1">_xlfn.LET(_xlpm.CAPS,0,_xlpm.Style,TRIM(_xlfn.XLOOKUP($A173,Строчный!$A:$A,Строчный!B:B,"ERR",0)),IF(_xlpm.CAPS=0,_xlpm.Style,LOWER(_xlpm.Style)))</f>
        <v>3190</v>
      </c>
      <c r="C173" s="81" t="str">
        <f ca="1">TRIM(PROPER(_xlfn.XLOOKUP($A173,Строчный!$A:$A,Строчный!C:C,"ERR",0)))</f>
        <v>Кепки</v>
      </c>
      <c r="D173" s="81" t="str">
        <f ca="1">_xlfn.LET(_xlpm.DATA,TRIM(_xlfn.XLOOKUP($A173,Строчный!$A:$A,Строчный!D:D,"ERR",0)),UPPER(MID(_xlpm.DATA,1,1))&amp;LOWER(MID(_xlpm.DATA,2,LEN(_xlpm.DATA)-1)))</f>
        <v>Кепка восьмиклинка</v>
      </c>
      <c r="E173" s="81" t="str">
        <f ca="1">PROPER(TRIM(_xlfn.XLOOKUP($A173,Строчный!$A:$A,Строчный!E:E,"ERR",0)))</f>
        <v>Fredrikson</v>
      </c>
      <c r="F173" s="81" t="str">
        <f ca="1">LOWER(TRIM(_xlfn.XLOOKUP($A173,Строчный!$A:$A,Строчный!F:F,"ERR",0)))</f>
        <v>всесезон</v>
      </c>
      <c r="G173" s="81" t="str">
        <f ca="1">UPPER(TRIM(_xlfn.XLOOKUP($A173,Строчный!$A:$A,Строчный!G:G,"ERR",0)))</f>
        <v>FREDRIKSON</v>
      </c>
      <c r="H173" s="81" t="str">
        <f ca="1">LOWER(TRIM(_xlfn.XLOOKUP($A173,Строчный!$A:$A,Строчный!H:H,"ERR",0)))</f>
        <v>657/27</v>
      </c>
      <c r="I173" s="81" t="str">
        <f ca="1">LOWER(TRIM(_xlfn.XLOOKUP($A173,Строчный!$A:$A,Строчный!I:I,"ERR",0)))</f>
        <v>темно-синий / темно-серый</v>
      </c>
      <c r="J173" s="81" t="str">
        <f ca="1">SUBSTITUTE(LOWER(TRIM(_xlfn.XLOOKUP($A173,Строчный!$A:$A,Строчный!J:J,"ERR",0))),"подклад","Подклад")</f>
        <v>80% шерсть - 20% полиамид / Подклад: 100% вискоза</v>
      </c>
      <c r="K173" s="81" t="str">
        <f ca="1">LOWER(TRIM(_xlfn.XLOOKUP($A173,Строчный!$A:$A,Строчный!K:K,"ERR",0)))</f>
        <v>шерстяные</v>
      </c>
      <c r="L173" s="81" t="str">
        <f ca="1">PROPER(TRIM(_xlfn.XLOOKUP($A173,Строчный!$A:$A,Строчный!L:L,"ERR",0)))</f>
        <v>Унисекс</v>
      </c>
      <c r="M173" s="113" t="str">
        <f ca="1">PROPER(TRIM(_xlfn.XLOOKUP($A173,Строчный!$A:$A,Строчный!M:M,"ERR",0)))</f>
        <v>Россия</v>
      </c>
      <c r="N173" s="81" t="str">
        <f ca="1">UPPER(TRIM(_xlfn.XLOOKUP($A173,Строчный!$A:$A,Строчный!O:O,"ERR",0)))</f>
        <v/>
      </c>
      <c r="O173" s="102" t="str">
        <f ca="1">PROPER(TRIM(_xlfn.XLOOKUP($A173,Строчный!$A:$A,Строчный!P:P,"ERR",0)))</f>
        <v/>
      </c>
      <c r="P173" s="81" t="str">
        <f ca="1">PROPER(TRIM(_xlfn.XLOOKUP($A173,Строчный!$A:$A,Строчный!R:R,"ERR",0)))</f>
        <v/>
      </c>
      <c r="Q173" s="90">
        <f ca="1">VALUE(_xlfn.XLOOKUP($A173,Строчный!$A:$A,Строчный!N:N,"ERR",0))</f>
        <v>975.8</v>
      </c>
      <c r="R173" s="89" t="str">
        <f ca="1">_xlfn.XLOOKUP($G173,Фабрика!A:A,Фабрика!B:B,"ERR",0)</f>
        <v>ООО "ФРЭДРИКСОН" Россия 192029, С-Петербург, пр. Обуховской обороны, д.86, лит М</v>
      </c>
      <c r="S173" s="80" t="str">
        <f ca="1">_xlfn.XLOOKUP(RIGHT(AA173,2),Размеры!D:D,Размеры!A:A,"ERR",0)</f>
        <v>59</v>
      </c>
      <c r="T173" s="80">
        <f ca="1">VALUE(_xlfn.XLOOKUP($AA173,Строчный!$S:$S,Строчный!U:U,"ERR",0))</f>
        <v>8</v>
      </c>
      <c r="U173" s="14" t="s">
        <v>265</v>
      </c>
      <c r="V173" s="101" t="str">
        <f t="shared" ca="1" si="16"/>
        <v>Кепка FREDRIKSON арт. 3190 (темно-синий / темно-серый)</v>
      </c>
      <c r="W173" s="100" t="str">
        <f t="shared" ca="1" si="17"/>
        <v>Кепка FREDRIKSON арт. 3190 (темно-синий / темно-серый) {657/27}</v>
      </c>
      <c r="X173" s="18" t="str">
        <f t="shared" ca="1" si="18"/>
        <v>синий / темно-серый</v>
      </c>
      <c r="Y173" s="18" t="str">
        <f t="shared" ca="1" si="19"/>
        <v>синий / темно-серый</v>
      </c>
      <c r="Z173" s="117" t="s">
        <v>27</v>
      </c>
      <c r="AA173" s="73" t="str">
        <f ca="1"/>
        <v>95-008-70-59</v>
      </c>
      <c r="AB173" s="75" t="str">
        <f ca="1">VLOOKUP(C173,Группа!A:B,2,FALSE)</f>
        <v>Кепка</v>
      </c>
      <c r="AC173" s="97" t="str">
        <f ca="1">IFERROR(VLOOKUP(S173,Размеры!A:C,3,FALSE),"")</f>
        <v>59 L</v>
      </c>
      <c r="AD173" s="97" t="str">
        <f ca="1">VLOOKUP(I173,ЦветПолный!A:B,2,FALSE)</f>
        <v>70</v>
      </c>
      <c r="AE173" s="97" t="str">
        <f ca="1">IFERROR(VLOOKUP(S173,Размеры!A:D,4,FALSE),"")</f>
        <v>59</v>
      </c>
      <c r="AF173" s="97">
        <f ca="1">IF(LEFT(IFERROR(VLOOKUP(LOOKUP(2,1/SEARCH(B173,Товары!A:A),Товары!A:A),Товары!A:B,2,0),""),6)=MID(AA173,1,6),1,0)</f>
        <v>0</v>
      </c>
      <c r="AH173" s="97">
        <f ca="1">SUMIF(Группа!A:A,C173,Группа!C:C)</f>
        <v>1</v>
      </c>
      <c r="AI173" s="97">
        <f ca="1">SUMIF(Группа!B:B,AB173,Группа!C:C)</f>
        <v>1</v>
      </c>
      <c r="AJ173" s="97">
        <f ca="1">SUMIF(Формы!A:A,D173,Формы!B:B)</f>
        <v>1</v>
      </c>
      <c r="AK173" s="97">
        <f ca="1">SUMIF(Материал!A:A,K173,Материал!B:B)</f>
        <v>1</v>
      </c>
      <c r="AL173" s="97">
        <f ca="1">SUMIF(Размеры!A:A,S173,Размеры!E:E)</f>
        <v>1</v>
      </c>
      <c r="AM173" s="97">
        <f ca="1">SUMIF(Сезон!A:A,F173,Сезон!B:B)</f>
        <v>1</v>
      </c>
      <c r="AN173" s="97">
        <f ca="1">SUMIF(Состав!A:A,J173,Состав!B:B)</f>
        <v>0</v>
      </c>
      <c r="AO173" s="97">
        <f ca="1">VLOOKUP(I173,ЦветПолный!A:C,3,0)</f>
        <v>1</v>
      </c>
      <c r="AP173" s="97">
        <f>SUMIF(Цвет!A:A,Z173,Цвет!B:B)</f>
        <v>1</v>
      </c>
      <c r="AQ173" s="97">
        <f ca="1">_xlfn.XLOOKUP(L173,Пол!A:A,Пол!B:B,0,0)</f>
        <v>1</v>
      </c>
      <c r="AR173" s="97">
        <f ca="1">SUMIF(Бренд!A:A,G173,Бренд!B:B)</f>
        <v>1</v>
      </c>
      <c r="AS173" s="97">
        <f ca="1">SUMIF(Страна!A:A,M173,Страна!B:B)</f>
        <v>1</v>
      </c>
      <c r="AT173" s="64" t="e">
        <f ca="1">IF(VLOOKUP(W173,Товары!A:B,2,FALSE)=A173,"Есть в 1С","ERR")</f>
        <v>#N/A</v>
      </c>
      <c r="AU173" s="65" t="e">
        <f ca="1">IF(VLOOKUP(A173,Товары!B:B,1,FALSE)=A173,"Есть в 1С","ERR")</f>
        <v>#N/A</v>
      </c>
      <c r="AV173" s="96" t="e">
        <f ca="1">VLOOKUP(W173,Товары!A:B,2,FALSE)</f>
        <v>#N/A</v>
      </c>
      <c r="AW173" s="94" t="e">
        <f ca="1">VLOOKUP(W173,Товары!A:B,1,FALSE)</f>
        <v>#N/A</v>
      </c>
    </row>
    <row r="174" spans="1:49" x14ac:dyDescent="0.25">
      <c r="A174" s="110" t="str">
        <f t="shared" ca="1" si="15"/>
        <v>95-008-70</v>
      </c>
      <c r="B174" s="107" t="str">
        <f ca="1">_xlfn.LET(_xlpm.CAPS,0,_xlpm.Style,TRIM(_xlfn.XLOOKUP($A174,Строчный!$A:$A,Строчный!B:B,"ERR",0)),IF(_xlpm.CAPS=0,_xlpm.Style,LOWER(_xlpm.Style)))</f>
        <v>3190</v>
      </c>
      <c r="C174" s="81" t="str">
        <f ca="1">TRIM(PROPER(_xlfn.XLOOKUP($A174,Строчный!$A:$A,Строчный!C:C,"ERR",0)))</f>
        <v>Кепки</v>
      </c>
      <c r="D174" s="81" t="str">
        <f ca="1">_xlfn.LET(_xlpm.DATA,TRIM(_xlfn.XLOOKUP($A174,Строчный!$A:$A,Строчный!D:D,"ERR",0)),UPPER(MID(_xlpm.DATA,1,1))&amp;LOWER(MID(_xlpm.DATA,2,LEN(_xlpm.DATA)-1)))</f>
        <v>Кепка восьмиклинка</v>
      </c>
      <c r="E174" s="81" t="str">
        <f ca="1">PROPER(TRIM(_xlfn.XLOOKUP($A174,Строчный!$A:$A,Строчный!E:E,"ERR",0)))</f>
        <v>Fredrikson</v>
      </c>
      <c r="F174" s="81" t="str">
        <f ca="1">LOWER(TRIM(_xlfn.XLOOKUP($A174,Строчный!$A:$A,Строчный!F:F,"ERR",0)))</f>
        <v>всесезон</v>
      </c>
      <c r="G174" s="81" t="str">
        <f ca="1">UPPER(TRIM(_xlfn.XLOOKUP($A174,Строчный!$A:$A,Строчный!G:G,"ERR",0)))</f>
        <v>FREDRIKSON</v>
      </c>
      <c r="H174" s="81" t="str">
        <f ca="1">LOWER(TRIM(_xlfn.XLOOKUP($A174,Строчный!$A:$A,Строчный!H:H,"ERR",0)))</f>
        <v>657/27</v>
      </c>
      <c r="I174" s="81" t="str">
        <f ca="1">LOWER(TRIM(_xlfn.XLOOKUP($A174,Строчный!$A:$A,Строчный!I:I,"ERR",0)))</f>
        <v>темно-синий / темно-серый</v>
      </c>
      <c r="J174" s="81" t="str">
        <f ca="1">SUBSTITUTE(LOWER(TRIM(_xlfn.XLOOKUP($A174,Строчный!$A:$A,Строчный!J:J,"ERR",0))),"подклад","Подклад")</f>
        <v>80% шерсть - 20% полиамид / Подклад: 100% вискоза</v>
      </c>
      <c r="K174" s="81" t="str">
        <f ca="1">LOWER(TRIM(_xlfn.XLOOKUP($A174,Строчный!$A:$A,Строчный!K:K,"ERR",0)))</f>
        <v>шерстяные</v>
      </c>
      <c r="L174" s="81" t="str">
        <f ca="1">PROPER(TRIM(_xlfn.XLOOKUP($A174,Строчный!$A:$A,Строчный!L:L,"ERR",0)))</f>
        <v>Унисекс</v>
      </c>
      <c r="M174" s="113" t="str">
        <f ca="1">PROPER(TRIM(_xlfn.XLOOKUP($A174,Строчный!$A:$A,Строчный!M:M,"ERR",0)))</f>
        <v>Россия</v>
      </c>
      <c r="N174" s="81" t="str">
        <f ca="1">UPPER(TRIM(_xlfn.XLOOKUP($A174,Строчный!$A:$A,Строчный!O:O,"ERR",0)))</f>
        <v/>
      </c>
      <c r="O174" s="102" t="str">
        <f ca="1">PROPER(TRIM(_xlfn.XLOOKUP($A174,Строчный!$A:$A,Строчный!P:P,"ERR",0)))</f>
        <v/>
      </c>
      <c r="P174" s="81" t="str">
        <f ca="1">PROPER(TRIM(_xlfn.XLOOKUP($A174,Строчный!$A:$A,Строчный!R:R,"ERR",0)))</f>
        <v/>
      </c>
      <c r="Q174" s="90">
        <f ca="1">VALUE(_xlfn.XLOOKUP($A174,Строчный!$A:$A,Строчный!N:N,"ERR",0))</f>
        <v>975.8</v>
      </c>
      <c r="R174" s="89" t="str">
        <f ca="1">_xlfn.XLOOKUP($G174,Фабрика!A:A,Фабрика!B:B,"ERR",0)</f>
        <v>ООО "ФРЭДРИКСОН" Россия 192029, С-Петербург, пр. Обуховской обороны, д.86, лит М</v>
      </c>
      <c r="S174" s="80" t="str">
        <f ca="1">_xlfn.XLOOKUP(RIGHT(AA174,2),Размеры!D:D,Размеры!A:A,"ERR",0)</f>
        <v>58</v>
      </c>
      <c r="T174" s="80">
        <f ca="1">VALUE(_xlfn.XLOOKUP($AA174,Строчный!$S:$S,Строчный!U:U,"ERR",0))</f>
        <v>6</v>
      </c>
      <c r="U174" s="14" t="s">
        <v>265</v>
      </c>
      <c r="V174" s="101" t="str">
        <f t="shared" ca="1" si="16"/>
        <v>Кепка FREDRIKSON арт. 3190 (темно-синий / темно-серый)</v>
      </c>
      <c r="W174" s="100" t="str">
        <f t="shared" ca="1" si="17"/>
        <v>Кепка FREDRIKSON арт. 3190 (темно-синий / темно-серый) {657/27}</v>
      </c>
      <c r="X174" s="18" t="str">
        <f t="shared" ca="1" si="18"/>
        <v>синий / темно-серый</v>
      </c>
      <c r="Y174" s="18" t="str">
        <f t="shared" ca="1" si="19"/>
        <v>синий / темно-серый</v>
      </c>
      <c r="Z174" s="117" t="s">
        <v>27</v>
      </c>
      <c r="AA174" s="73" t="str">
        <f ca="1"/>
        <v>95-008-70-58</v>
      </c>
      <c r="AB174" s="75" t="str">
        <f ca="1">VLOOKUP(C174,Группа!A:B,2,FALSE)</f>
        <v>Кепка</v>
      </c>
      <c r="AC174" s="97" t="str">
        <f ca="1">IFERROR(VLOOKUP(S174,Размеры!A:C,3,FALSE),"")</f>
        <v>58 M/L</v>
      </c>
      <c r="AD174" s="97" t="str">
        <f ca="1">VLOOKUP(I174,ЦветПолный!A:B,2,FALSE)</f>
        <v>70</v>
      </c>
      <c r="AE174" s="97" t="str">
        <f ca="1">IFERROR(VLOOKUP(S174,Размеры!A:D,4,FALSE),"")</f>
        <v>58</v>
      </c>
      <c r="AF174" s="97">
        <f ca="1">IF(LEFT(IFERROR(VLOOKUP(LOOKUP(2,1/SEARCH(B174,Товары!A:A),Товары!A:A),Товары!A:B,2,0),""),6)=MID(AA174,1,6),1,0)</f>
        <v>0</v>
      </c>
      <c r="AH174" s="97">
        <f ca="1">SUMIF(Группа!A:A,C174,Группа!C:C)</f>
        <v>1</v>
      </c>
      <c r="AI174" s="97">
        <f ca="1">SUMIF(Группа!B:B,AB174,Группа!C:C)</f>
        <v>1</v>
      </c>
      <c r="AJ174" s="97">
        <f ca="1">SUMIF(Формы!A:A,D174,Формы!B:B)</f>
        <v>1</v>
      </c>
      <c r="AK174" s="97">
        <f ca="1">SUMIF(Материал!A:A,K174,Материал!B:B)</f>
        <v>1</v>
      </c>
      <c r="AL174" s="97">
        <f ca="1">SUMIF(Размеры!A:A,S174,Размеры!E:E)</f>
        <v>1</v>
      </c>
      <c r="AM174" s="97">
        <f ca="1">SUMIF(Сезон!A:A,F174,Сезон!B:B)</f>
        <v>1</v>
      </c>
      <c r="AN174" s="97">
        <f ca="1">SUMIF(Состав!A:A,J174,Состав!B:B)</f>
        <v>0</v>
      </c>
      <c r="AO174" s="97">
        <f ca="1">VLOOKUP(I174,ЦветПолный!A:C,3,0)</f>
        <v>1</v>
      </c>
      <c r="AP174" s="97">
        <f>SUMIF(Цвет!A:A,Z174,Цвет!B:B)</f>
        <v>1</v>
      </c>
      <c r="AQ174" s="97">
        <f ca="1">_xlfn.XLOOKUP(L174,Пол!A:A,Пол!B:B,0,0)</f>
        <v>1</v>
      </c>
      <c r="AR174" s="97">
        <f ca="1">SUMIF(Бренд!A:A,G174,Бренд!B:B)</f>
        <v>1</v>
      </c>
      <c r="AS174" s="97">
        <f ca="1">SUMIF(Страна!A:A,M174,Страна!B:B)</f>
        <v>1</v>
      </c>
      <c r="AT174" s="64" t="e">
        <f ca="1">IF(VLOOKUP(W174,Товары!A:B,2,FALSE)=A174,"Есть в 1С","ERR")</f>
        <v>#N/A</v>
      </c>
      <c r="AU174" s="65" t="e">
        <f ca="1">IF(VLOOKUP(A174,Товары!B:B,1,FALSE)=A174,"Есть в 1С","ERR")</f>
        <v>#N/A</v>
      </c>
      <c r="AV174" s="96" t="e">
        <f ca="1">VLOOKUP(W174,Товары!A:B,2,FALSE)</f>
        <v>#N/A</v>
      </c>
      <c r="AW174" s="94" t="e">
        <f ca="1">VLOOKUP(W174,Товары!A:B,1,FALSE)</f>
        <v>#N/A</v>
      </c>
    </row>
    <row r="175" spans="1:49" x14ac:dyDescent="0.25">
      <c r="A175" s="110" t="str">
        <f t="shared" ca="1" si="15"/>
        <v>95-008-70</v>
      </c>
      <c r="B175" s="107" t="str">
        <f ca="1">_xlfn.LET(_xlpm.CAPS,0,_xlpm.Style,TRIM(_xlfn.XLOOKUP($A175,Строчный!$A:$A,Строчный!B:B,"ERR",0)),IF(_xlpm.CAPS=0,_xlpm.Style,LOWER(_xlpm.Style)))</f>
        <v>3190</v>
      </c>
      <c r="C175" s="81" t="str">
        <f ca="1">TRIM(PROPER(_xlfn.XLOOKUP($A175,Строчный!$A:$A,Строчный!C:C,"ERR",0)))</f>
        <v>Кепки</v>
      </c>
      <c r="D175" s="81" t="str">
        <f ca="1">_xlfn.LET(_xlpm.DATA,TRIM(_xlfn.XLOOKUP($A175,Строчный!$A:$A,Строчный!D:D,"ERR",0)),UPPER(MID(_xlpm.DATA,1,1))&amp;LOWER(MID(_xlpm.DATA,2,LEN(_xlpm.DATA)-1)))</f>
        <v>Кепка восьмиклинка</v>
      </c>
      <c r="E175" s="81" t="str">
        <f ca="1">PROPER(TRIM(_xlfn.XLOOKUP($A175,Строчный!$A:$A,Строчный!E:E,"ERR",0)))</f>
        <v>Fredrikson</v>
      </c>
      <c r="F175" s="81" t="str">
        <f ca="1">LOWER(TRIM(_xlfn.XLOOKUP($A175,Строчный!$A:$A,Строчный!F:F,"ERR",0)))</f>
        <v>всесезон</v>
      </c>
      <c r="G175" s="81" t="str">
        <f ca="1">UPPER(TRIM(_xlfn.XLOOKUP($A175,Строчный!$A:$A,Строчный!G:G,"ERR",0)))</f>
        <v>FREDRIKSON</v>
      </c>
      <c r="H175" s="81" t="str">
        <f ca="1">LOWER(TRIM(_xlfn.XLOOKUP($A175,Строчный!$A:$A,Строчный!H:H,"ERR",0)))</f>
        <v>657/27</v>
      </c>
      <c r="I175" s="81" t="str">
        <f ca="1">LOWER(TRIM(_xlfn.XLOOKUP($A175,Строчный!$A:$A,Строчный!I:I,"ERR",0)))</f>
        <v>темно-синий / темно-серый</v>
      </c>
      <c r="J175" s="81" t="str">
        <f ca="1">SUBSTITUTE(LOWER(TRIM(_xlfn.XLOOKUP($A175,Строчный!$A:$A,Строчный!J:J,"ERR",0))),"подклад","Подклад")</f>
        <v>80% шерсть - 20% полиамид / Подклад: 100% вискоза</v>
      </c>
      <c r="K175" s="81" t="str">
        <f ca="1">LOWER(TRIM(_xlfn.XLOOKUP($A175,Строчный!$A:$A,Строчный!K:K,"ERR",0)))</f>
        <v>шерстяные</v>
      </c>
      <c r="L175" s="81" t="str">
        <f ca="1">PROPER(TRIM(_xlfn.XLOOKUP($A175,Строчный!$A:$A,Строчный!L:L,"ERR",0)))</f>
        <v>Унисекс</v>
      </c>
      <c r="M175" s="113" t="str">
        <f ca="1">PROPER(TRIM(_xlfn.XLOOKUP($A175,Строчный!$A:$A,Строчный!M:M,"ERR",0)))</f>
        <v>Россия</v>
      </c>
      <c r="N175" s="81" t="str">
        <f ca="1">UPPER(TRIM(_xlfn.XLOOKUP($A175,Строчный!$A:$A,Строчный!O:O,"ERR",0)))</f>
        <v/>
      </c>
      <c r="O175" s="102" t="str">
        <f ca="1">PROPER(TRIM(_xlfn.XLOOKUP($A175,Строчный!$A:$A,Строчный!P:P,"ERR",0)))</f>
        <v/>
      </c>
      <c r="P175" s="81" t="str">
        <f ca="1">PROPER(TRIM(_xlfn.XLOOKUP($A175,Строчный!$A:$A,Строчный!R:R,"ERR",0)))</f>
        <v/>
      </c>
      <c r="Q175" s="90">
        <f ca="1">VALUE(_xlfn.XLOOKUP($A175,Строчный!$A:$A,Строчный!N:N,"ERR",0))</f>
        <v>975.8</v>
      </c>
      <c r="R175" s="89" t="str">
        <f ca="1">_xlfn.XLOOKUP($G175,Фабрика!A:A,Фабрика!B:B,"ERR",0)</f>
        <v>ООО "ФРЭДРИКСОН" Россия 192029, С-Петербург, пр. Обуховской обороны, д.86, лит М</v>
      </c>
      <c r="S175" s="80" t="str">
        <f ca="1">_xlfn.XLOOKUP(RIGHT(AA175,2),Размеры!D:D,Размеры!A:A,"ERR",0)</f>
        <v>57</v>
      </c>
      <c r="T175" s="80">
        <f ca="1">VALUE(_xlfn.XLOOKUP($AA175,Строчный!$S:$S,Строчный!U:U,"ERR",0))</f>
        <v>4</v>
      </c>
      <c r="U175" s="14" t="s">
        <v>265</v>
      </c>
      <c r="V175" s="101" t="str">
        <f t="shared" ca="1" si="16"/>
        <v>Кепка FREDRIKSON арт. 3190 (темно-синий / темно-серый)</v>
      </c>
      <c r="W175" s="100" t="str">
        <f t="shared" ca="1" si="17"/>
        <v>Кепка FREDRIKSON арт. 3190 (темно-синий / темно-серый) {657/27}</v>
      </c>
      <c r="X175" s="18" t="str">
        <f t="shared" ca="1" si="18"/>
        <v>синий / темно-серый</v>
      </c>
      <c r="Y175" s="18" t="str">
        <f t="shared" ca="1" si="19"/>
        <v>синий / темно-серый</v>
      </c>
      <c r="Z175" s="117" t="s">
        <v>27</v>
      </c>
      <c r="AA175" s="73" t="str">
        <f ca="1"/>
        <v>95-008-70-57</v>
      </c>
      <c r="AB175" s="75" t="str">
        <f ca="1">VLOOKUP(C175,Группа!A:B,2,FALSE)</f>
        <v>Кепка</v>
      </c>
      <c r="AC175" s="97" t="str">
        <f ca="1">IFERROR(VLOOKUP(S175,Размеры!A:C,3,FALSE),"")</f>
        <v>57 M</v>
      </c>
      <c r="AD175" s="97" t="str">
        <f ca="1">VLOOKUP(I175,ЦветПолный!A:B,2,FALSE)</f>
        <v>70</v>
      </c>
      <c r="AE175" s="97" t="str">
        <f ca="1">IFERROR(VLOOKUP(S175,Размеры!A:D,4,FALSE),"")</f>
        <v>57</v>
      </c>
      <c r="AF175" s="97">
        <f ca="1">IF(LEFT(IFERROR(VLOOKUP(LOOKUP(2,1/SEARCH(B175,Товары!A:A),Товары!A:A),Товары!A:B,2,0),""),6)=MID(AA175,1,6),1,0)</f>
        <v>0</v>
      </c>
      <c r="AH175" s="97">
        <f ca="1">SUMIF(Группа!A:A,C175,Группа!C:C)</f>
        <v>1</v>
      </c>
      <c r="AI175" s="97">
        <f ca="1">SUMIF(Группа!B:B,AB175,Группа!C:C)</f>
        <v>1</v>
      </c>
      <c r="AJ175" s="97">
        <f ca="1">SUMIF(Формы!A:A,D175,Формы!B:B)</f>
        <v>1</v>
      </c>
      <c r="AK175" s="97">
        <f ca="1">SUMIF(Материал!A:A,K175,Материал!B:B)</f>
        <v>1</v>
      </c>
      <c r="AL175" s="97">
        <f ca="1">SUMIF(Размеры!A:A,S175,Размеры!E:E)</f>
        <v>1</v>
      </c>
      <c r="AM175" s="97">
        <f ca="1">SUMIF(Сезон!A:A,F175,Сезон!B:B)</f>
        <v>1</v>
      </c>
      <c r="AN175" s="97">
        <f ca="1">SUMIF(Состав!A:A,J175,Состав!B:B)</f>
        <v>0</v>
      </c>
      <c r="AO175" s="97">
        <f ca="1">VLOOKUP(I175,ЦветПолный!A:C,3,0)</f>
        <v>1</v>
      </c>
      <c r="AP175" s="97">
        <f>SUMIF(Цвет!A:A,Z175,Цвет!B:B)</f>
        <v>1</v>
      </c>
      <c r="AQ175" s="97">
        <f ca="1">_xlfn.XLOOKUP(L175,Пол!A:A,Пол!B:B,0,0)</f>
        <v>1</v>
      </c>
      <c r="AR175" s="97">
        <f ca="1">SUMIF(Бренд!A:A,G175,Бренд!B:B)</f>
        <v>1</v>
      </c>
      <c r="AS175" s="97">
        <f ca="1">SUMIF(Страна!A:A,M175,Страна!B:B)</f>
        <v>1</v>
      </c>
      <c r="AT175" s="64" t="e">
        <f ca="1">IF(VLOOKUP(W175,Товары!A:B,2,FALSE)=A175,"Есть в 1С","ERR")</f>
        <v>#N/A</v>
      </c>
      <c r="AU175" s="65" t="e">
        <f ca="1">IF(VLOOKUP(A175,Товары!B:B,1,FALSE)=A175,"Есть в 1С","ERR")</f>
        <v>#N/A</v>
      </c>
      <c r="AV175" s="96" t="e">
        <f ca="1">VLOOKUP(W175,Товары!A:B,2,FALSE)</f>
        <v>#N/A</v>
      </c>
      <c r="AW175" s="94" t="e">
        <f ca="1">VLOOKUP(W175,Товары!A:B,1,FALSE)</f>
        <v>#N/A</v>
      </c>
    </row>
    <row r="176" spans="1:49" x14ac:dyDescent="0.25">
      <c r="A176" s="110" t="str">
        <f t="shared" ca="1" si="15"/>
        <v>95-008-70</v>
      </c>
      <c r="B176" s="107" t="str">
        <f ca="1">_xlfn.LET(_xlpm.CAPS,0,_xlpm.Style,TRIM(_xlfn.XLOOKUP($A176,Строчный!$A:$A,Строчный!B:B,"ERR",0)),IF(_xlpm.CAPS=0,_xlpm.Style,LOWER(_xlpm.Style)))</f>
        <v>3190</v>
      </c>
      <c r="C176" s="81" t="str">
        <f ca="1">TRIM(PROPER(_xlfn.XLOOKUP($A176,Строчный!$A:$A,Строчный!C:C,"ERR",0)))</f>
        <v>Кепки</v>
      </c>
      <c r="D176" s="81" t="str">
        <f ca="1">_xlfn.LET(_xlpm.DATA,TRIM(_xlfn.XLOOKUP($A176,Строчный!$A:$A,Строчный!D:D,"ERR",0)),UPPER(MID(_xlpm.DATA,1,1))&amp;LOWER(MID(_xlpm.DATA,2,LEN(_xlpm.DATA)-1)))</f>
        <v>Кепка восьмиклинка</v>
      </c>
      <c r="E176" s="81" t="str">
        <f ca="1">PROPER(TRIM(_xlfn.XLOOKUP($A176,Строчный!$A:$A,Строчный!E:E,"ERR",0)))</f>
        <v>Fredrikson</v>
      </c>
      <c r="F176" s="81" t="str">
        <f ca="1">LOWER(TRIM(_xlfn.XLOOKUP($A176,Строчный!$A:$A,Строчный!F:F,"ERR",0)))</f>
        <v>всесезон</v>
      </c>
      <c r="G176" s="81" t="str">
        <f ca="1">UPPER(TRIM(_xlfn.XLOOKUP($A176,Строчный!$A:$A,Строчный!G:G,"ERR",0)))</f>
        <v>FREDRIKSON</v>
      </c>
      <c r="H176" s="81" t="str">
        <f ca="1">LOWER(TRIM(_xlfn.XLOOKUP($A176,Строчный!$A:$A,Строчный!H:H,"ERR",0)))</f>
        <v>657/27</v>
      </c>
      <c r="I176" s="81" t="str">
        <f ca="1">LOWER(TRIM(_xlfn.XLOOKUP($A176,Строчный!$A:$A,Строчный!I:I,"ERR",0)))</f>
        <v>темно-синий / темно-серый</v>
      </c>
      <c r="J176" s="81" t="str">
        <f ca="1">SUBSTITUTE(LOWER(TRIM(_xlfn.XLOOKUP($A176,Строчный!$A:$A,Строчный!J:J,"ERR",0))),"подклад","Подклад")</f>
        <v>80% шерсть - 20% полиамид / Подклад: 100% вискоза</v>
      </c>
      <c r="K176" s="81" t="str">
        <f ca="1">LOWER(TRIM(_xlfn.XLOOKUP($A176,Строчный!$A:$A,Строчный!K:K,"ERR",0)))</f>
        <v>шерстяные</v>
      </c>
      <c r="L176" s="81" t="str">
        <f ca="1">PROPER(TRIM(_xlfn.XLOOKUP($A176,Строчный!$A:$A,Строчный!L:L,"ERR",0)))</f>
        <v>Унисекс</v>
      </c>
      <c r="M176" s="113" t="str">
        <f ca="1">PROPER(TRIM(_xlfn.XLOOKUP($A176,Строчный!$A:$A,Строчный!M:M,"ERR",0)))</f>
        <v>Россия</v>
      </c>
      <c r="N176" s="81" t="str">
        <f ca="1">UPPER(TRIM(_xlfn.XLOOKUP($A176,Строчный!$A:$A,Строчный!O:O,"ERR",0)))</f>
        <v/>
      </c>
      <c r="O176" s="102" t="str">
        <f ca="1">PROPER(TRIM(_xlfn.XLOOKUP($A176,Строчный!$A:$A,Строчный!P:P,"ERR",0)))</f>
        <v/>
      </c>
      <c r="P176" s="81" t="str">
        <f ca="1">PROPER(TRIM(_xlfn.XLOOKUP($A176,Строчный!$A:$A,Строчный!R:R,"ERR",0)))</f>
        <v/>
      </c>
      <c r="Q176" s="90">
        <f ca="1">VALUE(_xlfn.XLOOKUP($A176,Строчный!$A:$A,Строчный!N:N,"ERR",0))</f>
        <v>975.8</v>
      </c>
      <c r="R176" s="89" t="str">
        <f ca="1">_xlfn.XLOOKUP($G176,Фабрика!A:A,Фабрика!B:B,"ERR",0)</f>
        <v>ООО "ФРЭДРИКСОН" Россия 192029, С-Петербург, пр. Обуховской обороны, д.86, лит М</v>
      </c>
      <c r="S176" s="80" t="str">
        <f ca="1">_xlfn.XLOOKUP(RIGHT(AA176,2),Размеры!D:D,Размеры!A:A,"ERR",0)</f>
        <v>56</v>
      </c>
      <c r="T176" s="80">
        <f ca="1">VALUE(_xlfn.XLOOKUP($AA176,Строчный!$S:$S,Строчный!U:U,"ERR",0))</f>
        <v>2</v>
      </c>
      <c r="U176" s="14" t="s">
        <v>265</v>
      </c>
      <c r="V176" s="101" t="str">
        <f t="shared" ca="1" si="16"/>
        <v>Кепка FREDRIKSON арт. 3190 (темно-синий / темно-серый)</v>
      </c>
      <c r="W176" s="100" t="str">
        <f t="shared" ca="1" si="17"/>
        <v>Кепка FREDRIKSON арт. 3190 (темно-синий / темно-серый) {657/27}</v>
      </c>
      <c r="X176" s="18" t="str">
        <f t="shared" ca="1" si="18"/>
        <v>синий / темно-серый</v>
      </c>
      <c r="Y176" s="18" t="str">
        <f t="shared" ca="1" si="19"/>
        <v>синий / темно-серый</v>
      </c>
      <c r="Z176" s="117" t="s">
        <v>27</v>
      </c>
      <c r="AA176" s="73" t="str">
        <f ca="1"/>
        <v>95-008-70-56</v>
      </c>
      <c r="AB176" s="75" t="str">
        <f ca="1">VLOOKUP(C176,Группа!A:B,2,FALSE)</f>
        <v>Кепка</v>
      </c>
      <c r="AC176" s="97" t="str">
        <f ca="1">IFERROR(VLOOKUP(S176,Размеры!A:C,3,FALSE),"")</f>
        <v>56 S/M</v>
      </c>
      <c r="AD176" s="97" t="str">
        <f ca="1">VLOOKUP(I176,ЦветПолный!A:B,2,FALSE)</f>
        <v>70</v>
      </c>
      <c r="AE176" s="97" t="str">
        <f ca="1">IFERROR(VLOOKUP(S176,Размеры!A:D,4,FALSE),"")</f>
        <v>56</v>
      </c>
      <c r="AF176" s="97">
        <f ca="1">IF(LEFT(IFERROR(VLOOKUP(LOOKUP(2,1/SEARCH(B176,Товары!A:A),Товары!A:A),Товары!A:B,2,0),""),6)=MID(AA176,1,6),1,0)</f>
        <v>0</v>
      </c>
      <c r="AH176" s="97">
        <f ca="1">SUMIF(Группа!A:A,C176,Группа!C:C)</f>
        <v>1</v>
      </c>
      <c r="AI176" s="97">
        <f ca="1">SUMIF(Группа!B:B,AB176,Группа!C:C)</f>
        <v>1</v>
      </c>
      <c r="AJ176" s="97">
        <f ca="1">SUMIF(Формы!A:A,D176,Формы!B:B)</f>
        <v>1</v>
      </c>
      <c r="AK176" s="97">
        <f ca="1">SUMIF(Материал!A:A,K176,Материал!B:B)</f>
        <v>1</v>
      </c>
      <c r="AL176" s="97">
        <f ca="1">SUMIF(Размеры!A:A,S176,Размеры!E:E)</f>
        <v>1</v>
      </c>
      <c r="AM176" s="97">
        <f ca="1">SUMIF(Сезон!A:A,F176,Сезон!B:B)</f>
        <v>1</v>
      </c>
      <c r="AN176" s="97">
        <f ca="1">SUMIF(Состав!A:A,J176,Состав!B:B)</f>
        <v>0</v>
      </c>
      <c r="AO176" s="97">
        <f ca="1">VLOOKUP(I176,ЦветПолный!A:C,3,0)</f>
        <v>1</v>
      </c>
      <c r="AP176" s="97">
        <f>SUMIF(Цвет!A:A,Z176,Цвет!B:B)</f>
        <v>1</v>
      </c>
      <c r="AQ176" s="97">
        <f ca="1">_xlfn.XLOOKUP(L176,Пол!A:A,Пол!B:B,0,0)</f>
        <v>1</v>
      </c>
      <c r="AR176" s="97">
        <f ca="1">SUMIF(Бренд!A:A,G176,Бренд!B:B)</f>
        <v>1</v>
      </c>
      <c r="AS176" s="97">
        <f ca="1">SUMIF(Страна!A:A,M176,Страна!B:B)</f>
        <v>1</v>
      </c>
      <c r="AT176" s="64" t="e">
        <f ca="1">IF(VLOOKUP(W176,Товары!A:B,2,FALSE)=A176,"Есть в 1С","ERR")</f>
        <v>#N/A</v>
      </c>
      <c r="AU176" s="65" t="e">
        <f ca="1">IF(VLOOKUP(A176,Товары!B:B,1,FALSE)=A176,"Есть в 1С","ERR")</f>
        <v>#N/A</v>
      </c>
      <c r="AV176" s="96" t="e">
        <f ca="1">VLOOKUP(W176,Товары!A:B,2,FALSE)</f>
        <v>#N/A</v>
      </c>
      <c r="AW176" s="94" t="e">
        <f ca="1">VLOOKUP(W176,Товары!A:B,1,FALSE)</f>
        <v>#N/A</v>
      </c>
    </row>
    <row r="177" spans="1:49" x14ac:dyDescent="0.25">
      <c r="A177" s="110" t="str">
        <f t="shared" ca="1" si="15"/>
        <v>95-008-69</v>
      </c>
      <c r="B177" s="107" t="str">
        <f ca="1">_xlfn.LET(_xlpm.CAPS,0,_xlpm.Style,TRIM(_xlfn.XLOOKUP($A177,Строчный!$A:$A,Строчный!B:B,"ERR",0)),IF(_xlpm.CAPS=0,_xlpm.Style,LOWER(_xlpm.Style)))</f>
        <v>3190</v>
      </c>
      <c r="C177" s="81" t="str">
        <f ca="1">TRIM(PROPER(_xlfn.XLOOKUP($A177,Строчный!$A:$A,Строчный!C:C,"ERR",0)))</f>
        <v>Кепки</v>
      </c>
      <c r="D177" s="81" t="str">
        <f ca="1">_xlfn.LET(_xlpm.DATA,TRIM(_xlfn.XLOOKUP($A177,Строчный!$A:$A,Строчный!D:D,"ERR",0)),UPPER(MID(_xlpm.DATA,1,1))&amp;LOWER(MID(_xlpm.DATA,2,LEN(_xlpm.DATA)-1)))</f>
        <v>Кепка восьмиклинка</v>
      </c>
      <c r="E177" s="81" t="str">
        <f ca="1">PROPER(TRIM(_xlfn.XLOOKUP($A177,Строчный!$A:$A,Строчный!E:E,"ERR",0)))</f>
        <v>Fredrikson</v>
      </c>
      <c r="F177" s="81" t="str">
        <f ca="1">LOWER(TRIM(_xlfn.XLOOKUP($A177,Строчный!$A:$A,Строчный!F:F,"ERR",0)))</f>
        <v>всесезон</v>
      </c>
      <c r="G177" s="81" t="str">
        <f ca="1">UPPER(TRIM(_xlfn.XLOOKUP($A177,Строчный!$A:$A,Строчный!G:G,"ERR",0)))</f>
        <v>FREDRIKSON</v>
      </c>
      <c r="H177" s="81" t="str">
        <f ca="1">LOWER(TRIM(_xlfn.XLOOKUP($A177,Строчный!$A:$A,Строчный!H:H,"ERR",0)))</f>
        <v>630/77</v>
      </c>
      <c r="I177" s="81" t="str">
        <f ca="1">LOWER(TRIM(_xlfn.XLOOKUP($A177,Строчный!$A:$A,Строчный!I:I,"ERR",0)))</f>
        <v>серый / темно-серый</v>
      </c>
      <c r="J177" s="81" t="str">
        <f ca="1">SUBSTITUTE(LOWER(TRIM(_xlfn.XLOOKUP($A177,Строчный!$A:$A,Строчный!J:J,"ERR",0))),"подклад","Подклад")</f>
        <v>80% шерсть - 20% полиамид / Подклад: 100% вискоза</v>
      </c>
      <c r="K177" s="81" t="str">
        <f ca="1">LOWER(TRIM(_xlfn.XLOOKUP($A177,Строчный!$A:$A,Строчный!K:K,"ERR",0)))</f>
        <v>шерстяные</v>
      </c>
      <c r="L177" s="81" t="str">
        <f ca="1">PROPER(TRIM(_xlfn.XLOOKUP($A177,Строчный!$A:$A,Строчный!L:L,"ERR",0)))</f>
        <v>Унисекс</v>
      </c>
      <c r="M177" s="113" t="str">
        <f ca="1">PROPER(TRIM(_xlfn.XLOOKUP($A177,Строчный!$A:$A,Строчный!M:M,"ERR",0)))</f>
        <v>Россия</v>
      </c>
      <c r="N177" s="81" t="str">
        <f ca="1">UPPER(TRIM(_xlfn.XLOOKUP($A177,Строчный!$A:$A,Строчный!O:O,"ERR",0)))</f>
        <v/>
      </c>
      <c r="O177" s="102" t="str">
        <f ca="1">PROPER(TRIM(_xlfn.XLOOKUP($A177,Строчный!$A:$A,Строчный!P:P,"ERR",0)))</f>
        <v/>
      </c>
      <c r="P177" s="81" t="str">
        <f ca="1">PROPER(TRIM(_xlfn.XLOOKUP($A177,Строчный!$A:$A,Строчный!R:R,"ERR",0)))</f>
        <v/>
      </c>
      <c r="Q177" s="90">
        <f ca="1">VALUE(_xlfn.XLOOKUP($A177,Строчный!$A:$A,Строчный!N:N,"ERR",0))</f>
        <v>975.8</v>
      </c>
      <c r="R177" s="89" t="str">
        <f ca="1">_xlfn.XLOOKUP($G177,Фабрика!A:A,Фабрика!B:B,"ERR",0)</f>
        <v>ООО "ФРЭДРИКСОН" Россия 192029, С-Петербург, пр. Обуховской обороны, д.86, лит М</v>
      </c>
      <c r="S177" s="80" t="str">
        <f ca="1">_xlfn.XLOOKUP(RIGHT(AA177,2),Размеры!D:D,Размеры!A:A,"ERR",0)</f>
        <v>62</v>
      </c>
      <c r="T177" s="80">
        <f ca="1">VALUE(_xlfn.XLOOKUP($AA177,Строчный!$S:$S,Строчный!U:U,"ERR",0))</f>
        <v>1</v>
      </c>
      <c r="U177" s="14" t="s">
        <v>265</v>
      </c>
      <c r="V177" s="101" t="str">
        <f t="shared" ca="1" si="16"/>
        <v>Кепка FREDRIKSON арт. 3190 (серый / темно-серый)</v>
      </c>
      <c r="W177" s="100" t="str">
        <f t="shared" ca="1" si="17"/>
        <v>Кепка FREDRIKSON арт. 3190 (серый / темно-серый) {630/77}</v>
      </c>
      <c r="X177" s="18" t="str">
        <f t="shared" ca="1" si="18"/>
        <v>серый</v>
      </c>
      <c r="Y177" s="18" t="str">
        <f t="shared" ca="1" si="19"/>
        <v>серый</v>
      </c>
      <c r="Z177" s="117" t="str">
        <f ca="1">_xlfn.LET(_xlpm.FormColors,_xlfn.XLOOKUP(A177,Строчный!A:A,Строчный!Q:Q,"",0),IF(_xlpm.FormColors=0,IFERROR(MID(I177,FIND("-",I177)+1,LEN(I177)),IFERROR(MID(I177,1,FIND("/",I177)-2),I177)),_xlpm.FormColors))</f>
        <v>серый</v>
      </c>
      <c r="AA177" s="73" t="str">
        <f ca="1"/>
        <v>95-008-69-62</v>
      </c>
      <c r="AB177" s="75" t="str">
        <f ca="1">VLOOKUP(C177,Группа!A:B,2,FALSE)</f>
        <v>Кепка</v>
      </c>
      <c r="AC177" s="97" t="str">
        <f ca="1">IFERROR(VLOOKUP(S177,Размеры!A:C,3,FALSE),"")</f>
        <v>62 XL/XXL</v>
      </c>
      <c r="AD177" s="97" t="str">
        <f ca="1">VLOOKUP(I177,ЦветПолный!A:B,2,FALSE)</f>
        <v>69</v>
      </c>
      <c r="AE177" s="97" t="str">
        <f ca="1">IFERROR(VLOOKUP(S177,Размеры!A:D,4,FALSE),"")</f>
        <v>62</v>
      </c>
      <c r="AF177" s="97">
        <f ca="1">IF(LEFT(IFERROR(VLOOKUP(LOOKUP(2,1/SEARCH(B177,Товары!A:A),Товары!A:A),Товары!A:B,2,0),""),6)=MID(AA177,1,6),1,0)</f>
        <v>0</v>
      </c>
      <c r="AH177" s="97">
        <f ca="1">SUMIF(Группа!A:A,C177,Группа!C:C)</f>
        <v>1</v>
      </c>
      <c r="AI177" s="97">
        <f ca="1">SUMIF(Группа!B:B,AB177,Группа!C:C)</f>
        <v>1</v>
      </c>
      <c r="AJ177" s="97">
        <f ca="1">SUMIF(Формы!A:A,D177,Формы!B:B)</f>
        <v>1</v>
      </c>
      <c r="AK177" s="97">
        <f ca="1">SUMIF(Материал!A:A,K177,Материал!B:B)</f>
        <v>1</v>
      </c>
      <c r="AL177" s="97">
        <f ca="1">SUMIF(Размеры!A:A,S177,Размеры!E:E)</f>
        <v>1</v>
      </c>
      <c r="AM177" s="97">
        <f ca="1">SUMIF(Сезон!A:A,F177,Сезон!B:B)</f>
        <v>1</v>
      </c>
      <c r="AN177" s="97">
        <f ca="1">SUMIF(Состав!A:A,J177,Состав!B:B)</f>
        <v>0</v>
      </c>
      <c r="AO177" s="97">
        <f ca="1">VLOOKUP(I177,ЦветПолный!A:C,3,0)</f>
        <v>1</v>
      </c>
      <c r="AP177" s="97">
        <f ca="1">SUMIF(Цвет!A:A,Z177,Цвет!B:B)</f>
        <v>1</v>
      </c>
      <c r="AQ177" s="97">
        <f ca="1">_xlfn.XLOOKUP(L177,Пол!A:A,Пол!B:B,0,0)</f>
        <v>1</v>
      </c>
      <c r="AR177" s="97">
        <f ca="1">SUMIF(Бренд!A:A,G177,Бренд!B:B)</f>
        <v>1</v>
      </c>
      <c r="AS177" s="97">
        <f ca="1">SUMIF(Страна!A:A,M177,Страна!B:B)</f>
        <v>1</v>
      </c>
      <c r="AT177" s="64" t="e">
        <f ca="1">IF(VLOOKUP(W177,Товары!A:B,2,FALSE)=A177,"Есть в 1С","ERR")</f>
        <v>#N/A</v>
      </c>
      <c r="AU177" s="65" t="e">
        <f ca="1">IF(VLOOKUP(A177,Товары!B:B,1,FALSE)=A177,"Есть в 1С","ERR")</f>
        <v>#N/A</v>
      </c>
      <c r="AV177" s="96" t="e">
        <f ca="1">VLOOKUP(W177,Товары!A:B,2,FALSE)</f>
        <v>#N/A</v>
      </c>
      <c r="AW177" s="94" t="e">
        <f ca="1">VLOOKUP(W177,Товары!A:B,1,FALSE)</f>
        <v>#N/A</v>
      </c>
    </row>
    <row r="178" spans="1:49" x14ac:dyDescent="0.25">
      <c r="A178" s="110" t="str">
        <f t="shared" ca="1" si="15"/>
        <v>95-008-69</v>
      </c>
      <c r="B178" s="107" t="str">
        <f ca="1">_xlfn.LET(_xlpm.CAPS,0,_xlpm.Style,TRIM(_xlfn.XLOOKUP($A178,Строчный!$A:$A,Строчный!B:B,"ERR",0)),IF(_xlpm.CAPS=0,_xlpm.Style,LOWER(_xlpm.Style)))</f>
        <v>3190</v>
      </c>
      <c r="C178" s="81" t="str">
        <f ca="1">TRIM(PROPER(_xlfn.XLOOKUP($A178,Строчный!$A:$A,Строчный!C:C,"ERR",0)))</f>
        <v>Кепки</v>
      </c>
      <c r="D178" s="81" t="str">
        <f ca="1">_xlfn.LET(_xlpm.DATA,TRIM(_xlfn.XLOOKUP($A178,Строчный!$A:$A,Строчный!D:D,"ERR",0)),UPPER(MID(_xlpm.DATA,1,1))&amp;LOWER(MID(_xlpm.DATA,2,LEN(_xlpm.DATA)-1)))</f>
        <v>Кепка восьмиклинка</v>
      </c>
      <c r="E178" s="81" t="str">
        <f ca="1">PROPER(TRIM(_xlfn.XLOOKUP($A178,Строчный!$A:$A,Строчный!E:E,"ERR",0)))</f>
        <v>Fredrikson</v>
      </c>
      <c r="F178" s="81" t="str">
        <f ca="1">LOWER(TRIM(_xlfn.XLOOKUP($A178,Строчный!$A:$A,Строчный!F:F,"ERR",0)))</f>
        <v>всесезон</v>
      </c>
      <c r="G178" s="81" t="str">
        <f ca="1">UPPER(TRIM(_xlfn.XLOOKUP($A178,Строчный!$A:$A,Строчный!G:G,"ERR",0)))</f>
        <v>FREDRIKSON</v>
      </c>
      <c r="H178" s="81" t="str">
        <f ca="1">LOWER(TRIM(_xlfn.XLOOKUP($A178,Строчный!$A:$A,Строчный!H:H,"ERR",0)))</f>
        <v>630/77</v>
      </c>
      <c r="I178" s="81" t="str">
        <f ca="1">LOWER(TRIM(_xlfn.XLOOKUP($A178,Строчный!$A:$A,Строчный!I:I,"ERR",0)))</f>
        <v>серый / темно-серый</v>
      </c>
      <c r="J178" s="81" t="str">
        <f ca="1">SUBSTITUTE(LOWER(TRIM(_xlfn.XLOOKUP($A178,Строчный!$A:$A,Строчный!J:J,"ERR",0))),"подклад","Подклад")</f>
        <v>80% шерсть - 20% полиамид / Подклад: 100% вискоза</v>
      </c>
      <c r="K178" s="81" t="str">
        <f ca="1">LOWER(TRIM(_xlfn.XLOOKUP($A178,Строчный!$A:$A,Строчный!K:K,"ERR",0)))</f>
        <v>шерстяные</v>
      </c>
      <c r="L178" s="81" t="str">
        <f ca="1">PROPER(TRIM(_xlfn.XLOOKUP($A178,Строчный!$A:$A,Строчный!L:L,"ERR",0)))</f>
        <v>Унисекс</v>
      </c>
      <c r="M178" s="113" t="str">
        <f ca="1">PROPER(TRIM(_xlfn.XLOOKUP($A178,Строчный!$A:$A,Строчный!M:M,"ERR",0)))</f>
        <v>Россия</v>
      </c>
      <c r="N178" s="81" t="str">
        <f ca="1">UPPER(TRIM(_xlfn.XLOOKUP($A178,Строчный!$A:$A,Строчный!O:O,"ERR",0)))</f>
        <v/>
      </c>
      <c r="O178" s="102" t="str">
        <f ca="1">PROPER(TRIM(_xlfn.XLOOKUP($A178,Строчный!$A:$A,Строчный!P:P,"ERR",0)))</f>
        <v/>
      </c>
      <c r="P178" s="81" t="str">
        <f ca="1">PROPER(TRIM(_xlfn.XLOOKUP($A178,Строчный!$A:$A,Строчный!R:R,"ERR",0)))</f>
        <v/>
      </c>
      <c r="Q178" s="90">
        <f ca="1">VALUE(_xlfn.XLOOKUP($A178,Строчный!$A:$A,Строчный!N:N,"ERR",0))</f>
        <v>975.8</v>
      </c>
      <c r="R178" s="89" t="str">
        <f ca="1">_xlfn.XLOOKUP($G178,Фабрика!A:A,Фабрика!B:B,"ERR",0)</f>
        <v>ООО "ФРЭДРИКСОН" Россия 192029, С-Петербург, пр. Обуховской обороны, д.86, лит М</v>
      </c>
      <c r="S178" s="80" t="str">
        <f ca="1">_xlfn.XLOOKUP(RIGHT(AA178,2),Размеры!D:D,Размеры!A:A,"ERR",0)</f>
        <v>61</v>
      </c>
      <c r="T178" s="80">
        <f ca="1">VALUE(_xlfn.XLOOKUP($AA178,Строчный!$S:$S,Строчный!U:U,"ERR",0))</f>
        <v>1</v>
      </c>
      <c r="U178" s="14" t="s">
        <v>265</v>
      </c>
      <c r="V178" s="101" t="str">
        <f t="shared" ca="1" si="16"/>
        <v>Кепка FREDRIKSON арт. 3190 (серый / темно-серый)</v>
      </c>
      <c r="W178" s="100" t="str">
        <f t="shared" ca="1" si="17"/>
        <v>Кепка FREDRIKSON арт. 3190 (серый / темно-серый) {630/77}</v>
      </c>
      <c r="X178" s="18" t="str">
        <f t="shared" ca="1" si="18"/>
        <v>серый</v>
      </c>
      <c r="Y178" s="18" t="str">
        <f t="shared" ca="1" si="19"/>
        <v>серый</v>
      </c>
      <c r="Z178" s="117" t="str">
        <f ca="1">_xlfn.LET(_xlpm.FormColors,_xlfn.XLOOKUP(A178,Строчный!A:A,Строчный!Q:Q,"",0),IF(_xlpm.FormColors=0,IFERROR(MID(I178,FIND("-",I178)+1,LEN(I178)),IFERROR(MID(I178,1,FIND("/",I178)-2),I178)),_xlpm.FormColors))</f>
        <v>серый</v>
      </c>
      <c r="AA178" s="73" t="str">
        <f ca="1"/>
        <v>95-008-69-61</v>
      </c>
      <c r="AB178" s="75" t="str">
        <f ca="1">VLOOKUP(C178,Группа!A:B,2,FALSE)</f>
        <v>Кепка</v>
      </c>
      <c r="AC178" s="97" t="str">
        <f ca="1">IFERROR(VLOOKUP(S178,Размеры!A:C,3,FALSE),"")</f>
        <v>61 XL</v>
      </c>
      <c r="AD178" s="97" t="str">
        <f ca="1">VLOOKUP(I178,ЦветПолный!A:B,2,FALSE)</f>
        <v>69</v>
      </c>
      <c r="AE178" s="97" t="str">
        <f ca="1">IFERROR(VLOOKUP(S178,Размеры!A:D,4,FALSE),"")</f>
        <v>61</v>
      </c>
      <c r="AF178" s="97">
        <f ca="1">IF(LEFT(IFERROR(VLOOKUP(LOOKUP(2,1/SEARCH(B178,Товары!A:A),Товары!A:A),Товары!A:B,2,0),""),6)=MID(AA178,1,6),1,0)</f>
        <v>0</v>
      </c>
      <c r="AH178" s="97">
        <f ca="1">SUMIF(Группа!A:A,C178,Группа!C:C)</f>
        <v>1</v>
      </c>
      <c r="AI178" s="97">
        <f ca="1">SUMIF(Группа!B:B,AB178,Группа!C:C)</f>
        <v>1</v>
      </c>
      <c r="AJ178" s="97">
        <f ca="1">SUMIF(Формы!A:A,D178,Формы!B:B)</f>
        <v>1</v>
      </c>
      <c r="AK178" s="97">
        <f ca="1">SUMIF(Материал!A:A,K178,Материал!B:B)</f>
        <v>1</v>
      </c>
      <c r="AL178" s="97">
        <f ca="1">SUMIF(Размеры!A:A,S178,Размеры!E:E)</f>
        <v>1</v>
      </c>
      <c r="AM178" s="97">
        <f ca="1">SUMIF(Сезон!A:A,F178,Сезон!B:B)</f>
        <v>1</v>
      </c>
      <c r="AN178" s="97">
        <f ca="1">SUMIF(Состав!A:A,J178,Состав!B:B)</f>
        <v>0</v>
      </c>
      <c r="AO178" s="97">
        <f ca="1">VLOOKUP(I178,ЦветПолный!A:C,3,0)</f>
        <v>1</v>
      </c>
      <c r="AP178" s="97">
        <f ca="1">SUMIF(Цвет!A:A,Z178,Цвет!B:B)</f>
        <v>1</v>
      </c>
      <c r="AQ178" s="97">
        <f ca="1">_xlfn.XLOOKUP(L178,Пол!A:A,Пол!B:B,0,0)</f>
        <v>1</v>
      </c>
      <c r="AR178" s="97">
        <f ca="1">SUMIF(Бренд!A:A,G178,Бренд!B:B)</f>
        <v>1</v>
      </c>
      <c r="AS178" s="97">
        <f ca="1">SUMIF(Страна!A:A,M178,Страна!B:B)</f>
        <v>1</v>
      </c>
      <c r="AT178" s="64" t="e">
        <f ca="1">IF(VLOOKUP(W178,Товары!A:B,2,FALSE)=A178,"Есть в 1С","ERR")</f>
        <v>#N/A</v>
      </c>
      <c r="AU178" s="65" t="e">
        <f ca="1">IF(VLOOKUP(A178,Товары!B:B,1,FALSE)=A178,"Есть в 1С","ERR")</f>
        <v>#N/A</v>
      </c>
      <c r="AV178" s="96" t="e">
        <f ca="1">VLOOKUP(W178,Товары!A:B,2,FALSE)</f>
        <v>#N/A</v>
      </c>
      <c r="AW178" s="94" t="e">
        <f ca="1">VLOOKUP(W178,Товары!A:B,1,FALSE)</f>
        <v>#N/A</v>
      </c>
    </row>
    <row r="179" spans="1:49" x14ac:dyDescent="0.25">
      <c r="A179" s="110" t="str">
        <f t="shared" ca="1" si="15"/>
        <v>95-008-69</v>
      </c>
      <c r="B179" s="107" t="str">
        <f ca="1">_xlfn.LET(_xlpm.CAPS,0,_xlpm.Style,TRIM(_xlfn.XLOOKUP($A179,Строчный!$A:$A,Строчный!B:B,"ERR",0)),IF(_xlpm.CAPS=0,_xlpm.Style,LOWER(_xlpm.Style)))</f>
        <v>3190</v>
      </c>
      <c r="C179" s="81" t="str">
        <f ca="1">TRIM(PROPER(_xlfn.XLOOKUP($A179,Строчный!$A:$A,Строчный!C:C,"ERR",0)))</f>
        <v>Кепки</v>
      </c>
      <c r="D179" s="81" t="str">
        <f ca="1">_xlfn.LET(_xlpm.DATA,TRIM(_xlfn.XLOOKUP($A179,Строчный!$A:$A,Строчный!D:D,"ERR",0)),UPPER(MID(_xlpm.DATA,1,1))&amp;LOWER(MID(_xlpm.DATA,2,LEN(_xlpm.DATA)-1)))</f>
        <v>Кепка восьмиклинка</v>
      </c>
      <c r="E179" s="81" t="str">
        <f ca="1">PROPER(TRIM(_xlfn.XLOOKUP($A179,Строчный!$A:$A,Строчный!E:E,"ERR",0)))</f>
        <v>Fredrikson</v>
      </c>
      <c r="F179" s="81" t="str">
        <f ca="1">LOWER(TRIM(_xlfn.XLOOKUP($A179,Строчный!$A:$A,Строчный!F:F,"ERR",0)))</f>
        <v>всесезон</v>
      </c>
      <c r="G179" s="81" t="str">
        <f ca="1">UPPER(TRIM(_xlfn.XLOOKUP($A179,Строчный!$A:$A,Строчный!G:G,"ERR",0)))</f>
        <v>FREDRIKSON</v>
      </c>
      <c r="H179" s="81" t="str">
        <f ca="1">LOWER(TRIM(_xlfn.XLOOKUP($A179,Строчный!$A:$A,Строчный!H:H,"ERR",0)))</f>
        <v>630/77</v>
      </c>
      <c r="I179" s="81" t="str">
        <f ca="1">LOWER(TRIM(_xlfn.XLOOKUP($A179,Строчный!$A:$A,Строчный!I:I,"ERR",0)))</f>
        <v>серый / темно-серый</v>
      </c>
      <c r="J179" s="81" t="str">
        <f ca="1">SUBSTITUTE(LOWER(TRIM(_xlfn.XLOOKUP($A179,Строчный!$A:$A,Строчный!J:J,"ERR",0))),"подклад","Подклад")</f>
        <v>80% шерсть - 20% полиамид / Подклад: 100% вискоза</v>
      </c>
      <c r="K179" s="81" t="str">
        <f ca="1">LOWER(TRIM(_xlfn.XLOOKUP($A179,Строчный!$A:$A,Строчный!K:K,"ERR",0)))</f>
        <v>шерстяные</v>
      </c>
      <c r="L179" s="81" t="str">
        <f ca="1">PROPER(TRIM(_xlfn.XLOOKUP($A179,Строчный!$A:$A,Строчный!L:L,"ERR",0)))</f>
        <v>Унисекс</v>
      </c>
      <c r="M179" s="113" t="str">
        <f ca="1">PROPER(TRIM(_xlfn.XLOOKUP($A179,Строчный!$A:$A,Строчный!M:M,"ERR",0)))</f>
        <v>Россия</v>
      </c>
      <c r="N179" s="81" t="str">
        <f ca="1">UPPER(TRIM(_xlfn.XLOOKUP($A179,Строчный!$A:$A,Строчный!O:O,"ERR",0)))</f>
        <v/>
      </c>
      <c r="O179" s="102" t="str">
        <f ca="1">PROPER(TRIM(_xlfn.XLOOKUP($A179,Строчный!$A:$A,Строчный!P:P,"ERR",0)))</f>
        <v/>
      </c>
      <c r="P179" s="81" t="str">
        <f ca="1">PROPER(TRIM(_xlfn.XLOOKUP($A179,Строчный!$A:$A,Строчный!R:R,"ERR",0)))</f>
        <v/>
      </c>
      <c r="Q179" s="90">
        <f ca="1">VALUE(_xlfn.XLOOKUP($A179,Строчный!$A:$A,Строчный!N:N,"ERR",0))</f>
        <v>975.8</v>
      </c>
      <c r="R179" s="89" t="str">
        <f ca="1">_xlfn.XLOOKUP($G179,Фабрика!A:A,Фабрика!B:B,"ERR",0)</f>
        <v>ООО "ФРЭДРИКСОН" Россия 192029, С-Петербург, пр. Обуховской обороны, д.86, лит М</v>
      </c>
      <c r="S179" s="80" t="str">
        <f ca="1">_xlfn.XLOOKUP(RIGHT(AA179,2),Размеры!D:D,Размеры!A:A,"ERR",0)</f>
        <v>60</v>
      </c>
      <c r="T179" s="80">
        <f ca="1">VALUE(_xlfn.XLOOKUP($AA179,Строчный!$S:$S,Строчный!U:U,"ERR",0))</f>
        <v>2</v>
      </c>
      <c r="U179" s="14" t="s">
        <v>265</v>
      </c>
      <c r="V179" s="101" t="str">
        <f t="shared" ca="1" si="16"/>
        <v>Кепка FREDRIKSON арт. 3190 (серый / темно-серый)</v>
      </c>
      <c r="W179" s="100" t="str">
        <f t="shared" ca="1" si="17"/>
        <v>Кепка FREDRIKSON арт. 3190 (серый / темно-серый) {630/77}</v>
      </c>
      <c r="X179" s="18" t="str">
        <f t="shared" ca="1" si="18"/>
        <v>серый</v>
      </c>
      <c r="Y179" s="18" t="str">
        <f t="shared" ca="1" si="19"/>
        <v>серый</v>
      </c>
      <c r="Z179" s="117" t="str">
        <f ca="1">_xlfn.LET(_xlpm.FormColors,_xlfn.XLOOKUP(A179,Строчный!A:A,Строчный!Q:Q,"",0),IF(_xlpm.FormColors=0,IFERROR(MID(I179,FIND("-",I179)+1,LEN(I179)),IFERROR(MID(I179,1,FIND("/",I179)-2),I179)),_xlpm.FormColors))</f>
        <v>серый</v>
      </c>
      <c r="AA179" s="73" t="str">
        <f ca="1"/>
        <v>95-008-69-60</v>
      </c>
      <c r="AB179" s="75" t="str">
        <f ca="1">VLOOKUP(C179,Группа!A:B,2,FALSE)</f>
        <v>Кепка</v>
      </c>
      <c r="AC179" s="97" t="str">
        <f ca="1">IFERROR(VLOOKUP(S179,Размеры!A:C,3,FALSE),"")</f>
        <v>60 L/XL</v>
      </c>
      <c r="AD179" s="97" t="str">
        <f ca="1">VLOOKUP(I179,ЦветПолный!A:B,2,FALSE)</f>
        <v>69</v>
      </c>
      <c r="AE179" s="97" t="str">
        <f ca="1">IFERROR(VLOOKUP(S179,Размеры!A:D,4,FALSE),"")</f>
        <v>60</v>
      </c>
      <c r="AF179" s="97">
        <f ca="1">IF(LEFT(IFERROR(VLOOKUP(LOOKUP(2,1/SEARCH(B179,Товары!A:A),Товары!A:A),Товары!A:B,2,0),""),6)=MID(AA179,1,6),1,0)</f>
        <v>0</v>
      </c>
      <c r="AH179" s="97">
        <f ca="1">SUMIF(Группа!A:A,C179,Группа!C:C)</f>
        <v>1</v>
      </c>
      <c r="AI179" s="97">
        <f ca="1">SUMIF(Группа!B:B,AB179,Группа!C:C)</f>
        <v>1</v>
      </c>
      <c r="AJ179" s="97">
        <f ca="1">SUMIF(Формы!A:A,D179,Формы!B:B)</f>
        <v>1</v>
      </c>
      <c r="AK179" s="97">
        <f ca="1">SUMIF(Материал!A:A,K179,Материал!B:B)</f>
        <v>1</v>
      </c>
      <c r="AL179" s="97">
        <f ca="1">SUMIF(Размеры!A:A,S179,Размеры!E:E)</f>
        <v>1</v>
      </c>
      <c r="AM179" s="97">
        <f ca="1">SUMIF(Сезон!A:A,F179,Сезон!B:B)</f>
        <v>1</v>
      </c>
      <c r="AN179" s="97">
        <f ca="1">SUMIF(Состав!A:A,J179,Состав!B:B)</f>
        <v>0</v>
      </c>
      <c r="AO179" s="97">
        <f ca="1">VLOOKUP(I179,ЦветПолный!A:C,3,0)</f>
        <v>1</v>
      </c>
      <c r="AP179" s="97">
        <f ca="1">SUMIF(Цвет!A:A,Z179,Цвет!B:B)</f>
        <v>1</v>
      </c>
      <c r="AQ179" s="97">
        <f ca="1">_xlfn.XLOOKUP(L179,Пол!A:A,Пол!B:B,0,0)</f>
        <v>1</v>
      </c>
      <c r="AR179" s="97">
        <f ca="1">SUMIF(Бренд!A:A,G179,Бренд!B:B)</f>
        <v>1</v>
      </c>
      <c r="AS179" s="97">
        <f ca="1">SUMIF(Страна!A:A,M179,Страна!B:B)</f>
        <v>1</v>
      </c>
      <c r="AT179" s="64" t="e">
        <f ca="1">IF(VLOOKUP(W179,Товары!A:B,2,FALSE)=A179,"Есть в 1С","ERR")</f>
        <v>#N/A</v>
      </c>
      <c r="AU179" s="65" t="e">
        <f ca="1">IF(VLOOKUP(A179,Товары!B:B,1,FALSE)=A179,"Есть в 1С","ERR")</f>
        <v>#N/A</v>
      </c>
      <c r="AV179" s="96" t="e">
        <f ca="1">VLOOKUP(W179,Товары!A:B,2,FALSE)</f>
        <v>#N/A</v>
      </c>
      <c r="AW179" s="94" t="e">
        <f ca="1">VLOOKUP(W179,Товары!A:B,1,FALSE)</f>
        <v>#N/A</v>
      </c>
    </row>
    <row r="180" spans="1:49" x14ac:dyDescent="0.25">
      <c r="A180" s="110" t="str">
        <f t="shared" ca="1" si="15"/>
        <v>95-008-69</v>
      </c>
      <c r="B180" s="107" t="str">
        <f ca="1">_xlfn.LET(_xlpm.CAPS,0,_xlpm.Style,TRIM(_xlfn.XLOOKUP($A180,Строчный!$A:$A,Строчный!B:B,"ERR",0)),IF(_xlpm.CAPS=0,_xlpm.Style,LOWER(_xlpm.Style)))</f>
        <v>3190</v>
      </c>
      <c r="C180" s="81" t="str">
        <f ca="1">TRIM(PROPER(_xlfn.XLOOKUP($A180,Строчный!$A:$A,Строчный!C:C,"ERR",0)))</f>
        <v>Кепки</v>
      </c>
      <c r="D180" s="81" t="str">
        <f ca="1">_xlfn.LET(_xlpm.DATA,TRIM(_xlfn.XLOOKUP($A180,Строчный!$A:$A,Строчный!D:D,"ERR",0)),UPPER(MID(_xlpm.DATA,1,1))&amp;LOWER(MID(_xlpm.DATA,2,LEN(_xlpm.DATA)-1)))</f>
        <v>Кепка восьмиклинка</v>
      </c>
      <c r="E180" s="81" t="str">
        <f ca="1">PROPER(TRIM(_xlfn.XLOOKUP($A180,Строчный!$A:$A,Строчный!E:E,"ERR",0)))</f>
        <v>Fredrikson</v>
      </c>
      <c r="F180" s="81" t="str">
        <f ca="1">LOWER(TRIM(_xlfn.XLOOKUP($A180,Строчный!$A:$A,Строчный!F:F,"ERR",0)))</f>
        <v>всесезон</v>
      </c>
      <c r="G180" s="81" t="str">
        <f ca="1">UPPER(TRIM(_xlfn.XLOOKUP($A180,Строчный!$A:$A,Строчный!G:G,"ERR",0)))</f>
        <v>FREDRIKSON</v>
      </c>
      <c r="H180" s="81" t="str">
        <f ca="1">LOWER(TRIM(_xlfn.XLOOKUP($A180,Строчный!$A:$A,Строчный!H:H,"ERR",0)))</f>
        <v>630/77</v>
      </c>
      <c r="I180" s="81" t="str">
        <f ca="1">LOWER(TRIM(_xlfn.XLOOKUP($A180,Строчный!$A:$A,Строчный!I:I,"ERR",0)))</f>
        <v>серый / темно-серый</v>
      </c>
      <c r="J180" s="81" t="str">
        <f ca="1">SUBSTITUTE(LOWER(TRIM(_xlfn.XLOOKUP($A180,Строчный!$A:$A,Строчный!J:J,"ERR",0))),"подклад","Подклад")</f>
        <v>80% шерсть - 20% полиамид / Подклад: 100% вискоза</v>
      </c>
      <c r="K180" s="81" t="str">
        <f ca="1">LOWER(TRIM(_xlfn.XLOOKUP($A180,Строчный!$A:$A,Строчный!K:K,"ERR",0)))</f>
        <v>шерстяные</v>
      </c>
      <c r="L180" s="81" t="str">
        <f ca="1">PROPER(TRIM(_xlfn.XLOOKUP($A180,Строчный!$A:$A,Строчный!L:L,"ERR",0)))</f>
        <v>Унисекс</v>
      </c>
      <c r="M180" s="113" t="str">
        <f ca="1">PROPER(TRIM(_xlfn.XLOOKUP($A180,Строчный!$A:$A,Строчный!M:M,"ERR",0)))</f>
        <v>Россия</v>
      </c>
      <c r="N180" s="81" t="str">
        <f ca="1">UPPER(TRIM(_xlfn.XLOOKUP($A180,Строчный!$A:$A,Строчный!O:O,"ERR",0)))</f>
        <v/>
      </c>
      <c r="O180" s="102" t="str">
        <f ca="1">PROPER(TRIM(_xlfn.XLOOKUP($A180,Строчный!$A:$A,Строчный!P:P,"ERR",0)))</f>
        <v/>
      </c>
      <c r="P180" s="81" t="str">
        <f ca="1">PROPER(TRIM(_xlfn.XLOOKUP($A180,Строчный!$A:$A,Строчный!R:R,"ERR",0)))</f>
        <v/>
      </c>
      <c r="Q180" s="90">
        <f ca="1">VALUE(_xlfn.XLOOKUP($A180,Строчный!$A:$A,Строчный!N:N,"ERR",0))</f>
        <v>975.8</v>
      </c>
      <c r="R180" s="89" t="str">
        <f ca="1">_xlfn.XLOOKUP($G180,Фабрика!A:A,Фабрика!B:B,"ERR",0)</f>
        <v>ООО "ФРЭДРИКСОН" Россия 192029, С-Петербург, пр. Обуховской обороны, д.86, лит М</v>
      </c>
      <c r="S180" s="80" t="str">
        <f ca="1">_xlfn.XLOOKUP(RIGHT(AA180,2),Размеры!D:D,Размеры!A:A,"ERR",0)</f>
        <v>59</v>
      </c>
      <c r="T180" s="80">
        <f ca="1">VALUE(_xlfn.XLOOKUP($AA180,Строчный!$S:$S,Строчный!U:U,"ERR",0))</f>
        <v>3</v>
      </c>
      <c r="U180" s="14" t="s">
        <v>265</v>
      </c>
      <c r="V180" s="101" t="str">
        <f t="shared" ca="1" si="16"/>
        <v>Кепка FREDRIKSON арт. 3190 (серый / темно-серый)</v>
      </c>
      <c r="W180" s="100" t="str">
        <f t="shared" ca="1" si="17"/>
        <v>Кепка FREDRIKSON арт. 3190 (серый / темно-серый) {630/77}</v>
      </c>
      <c r="X180" s="18" t="str">
        <f t="shared" ca="1" si="18"/>
        <v>серый</v>
      </c>
      <c r="Y180" s="18" t="str">
        <f t="shared" ca="1" si="19"/>
        <v>серый</v>
      </c>
      <c r="Z180" s="117" t="str">
        <f ca="1">_xlfn.LET(_xlpm.FormColors,_xlfn.XLOOKUP(A180,Строчный!A:A,Строчный!Q:Q,"",0),IF(_xlpm.FormColors=0,IFERROR(MID(I180,FIND("-",I180)+1,LEN(I180)),IFERROR(MID(I180,1,FIND("/",I180)-2),I180)),_xlpm.FormColors))</f>
        <v>серый</v>
      </c>
      <c r="AA180" s="73" t="str">
        <f ca="1"/>
        <v>95-008-69-59</v>
      </c>
      <c r="AB180" s="75" t="str">
        <f ca="1">VLOOKUP(C180,Группа!A:B,2,FALSE)</f>
        <v>Кепка</v>
      </c>
      <c r="AC180" s="97" t="str">
        <f ca="1">IFERROR(VLOOKUP(S180,Размеры!A:C,3,FALSE),"")</f>
        <v>59 L</v>
      </c>
      <c r="AD180" s="97" t="str">
        <f ca="1">VLOOKUP(I180,ЦветПолный!A:B,2,FALSE)</f>
        <v>69</v>
      </c>
      <c r="AE180" s="97" t="str">
        <f ca="1">IFERROR(VLOOKUP(S180,Размеры!A:D,4,FALSE),"")</f>
        <v>59</v>
      </c>
      <c r="AF180" s="97">
        <f ca="1">IF(LEFT(IFERROR(VLOOKUP(LOOKUP(2,1/SEARCH(B180,Товары!A:A),Товары!A:A),Товары!A:B,2,0),""),6)=MID(AA180,1,6),1,0)</f>
        <v>0</v>
      </c>
      <c r="AH180" s="97">
        <f ca="1">SUMIF(Группа!A:A,C180,Группа!C:C)</f>
        <v>1</v>
      </c>
      <c r="AI180" s="97">
        <f ca="1">SUMIF(Группа!B:B,AB180,Группа!C:C)</f>
        <v>1</v>
      </c>
      <c r="AJ180" s="97">
        <f ca="1">SUMIF(Формы!A:A,D180,Формы!B:B)</f>
        <v>1</v>
      </c>
      <c r="AK180" s="97">
        <f ca="1">SUMIF(Материал!A:A,K180,Материал!B:B)</f>
        <v>1</v>
      </c>
      <c r="AL180" s="97">
        <f ca="1">SUMIF(Размеры!A:A,S180,Размеры!E:E)</f>
        <v>1</v>
      </c>
      <c r="AM180" s="97">
        <f ca="1">SUMIF(Сезон!A:A,F180,Сезон!B:B)</f>
        <v>1</v>
      </c>
      <c r="AN180" s="97">
        <f ca="1">SUMIF(Состав!A:A,J180,Состав!B:B)</f>
        <v>0</v>
      </c>
      <c r="AO180" s="97">
        <f ca="1">VLOOKUP(I180,ЦветПолный!A:C,3,0)</f>
        <v>1</v>
      </c>
      <c r="AP180" s="97">
        <f ca="1">SUMIF(Цвет!A:A,Z180,Цвет!B:B)</f>
        <v>1</v>
      </c>
      <c r="AQ180" s="97">
        <f ca="1">_xlfn.XLOOKUP(L180,Пол!A:A,Пол!B:B,0,0)</f>
        <v>1</v>
      </c>
      <c r="AR180" s="97">
        <f ca="1">SUMIF(Бренд!A:A,G180,Бренд!B:B)</f>
        <v>1</v>
      </c>
      <c r="AS180" s="97">
        <f ca="1">SUMIF(Страна!A:A,M180,Страна!B:B)</f>
        <v>1</v>
      </c>
      <c r="AT180" s="64" t="e">
        <f ca="1">IF(VLOOKUP(W180,Товары!A:B,2,FALSE)=A180,"Есть в 1С","ERR")</f>
        <v>#N/A</v>
      </c>
      <c r="AU180" s="65" t="e">
        <f ca="1">IF(VLOOKUP(A180,Товары!B:B,1,FALSE)=A180,"Есть в 1С","ERR")</f>
        <v>#N/A</v>
      </c>
      <c r="AV180" s="96" t="e">
        <f ca="1">VLOOKUP(W180,Товары!A:B,2,FALSE)</f>
        <v>#N/A</v>
      </c>
      <c r="AW180" s="94" t="e">
        <f ca="1">VLOOKUP(W180,Товары!A:B,1,FALSE)</f>
        <v>#N/A</v>
      </c>
    </row>
    <row r="181" spans="1:49" x14ac:dyDescent="0.25">
      <c r="A181" s="110" t="str">
        <f t="shared" ca="1" si="15"/>
        <v>95-008-69</v>
      </c>
      <c r="B181" s="107" t="str">
        <f ca="1">_xlfn.LET(_xlpm.CAPS,0,_xlpm.Style,TRIM(_xlfn.XLOOKUP($A181,Строчный!$A:$A,Строчный!B:B,"ERR",0)),IF(_xlpm.CAPS=0,_xlpm.Style,LOWER(_xlpm.Style)))</f>
        <v>3190</v>
      </c>
      <c r="C181" s="81" t="str">
        <f ca="1">TRIM(PROPER(_xlfn.XLOOKUP($A181,Строчный!$A:$A,Строчный!C:C,"ERR",0)))</f>
        <v>Кепки</v>
      </c>
      <c r="D181" s="81" t="str">
        <f ca="1">_xlfn.LET(_xlpm.DATA,TRIM(_xlfn.XLOOKUP($A181,Строчный!$A:$A,Строчный!D:D,"ERR",0)),UPPER(MID(_xlpm.DATA,1,1))&amp;LOWER(MID(_xlpm.DATA,2,LEN(_xlpm.DATA)-1)))</f>
        <v>Кепка восьмиклинка</v>
      </c>
      <c r="E181" s="81" t="str">
        <f ca="1">PROPER(TRIM(_xlfn.XLOOKUP($A181,Строчный!$A:$A,Строчный!E:E,"ERR",0)))</f>
        <v>Fredrikson</v>
      </c>
      <c r="F181" s="81" t="str">
        <f ca="1">LOWER(TRIM(_xlfn.XLOOKUP($A181,Строчный!$A:$A,Строчный!F:F,"ERR",0)))</f>
        <v>всесезон</v>
      </c>
      <c r="G181" s="81" t="str">
        <f ca="1">UPPER(TRIM(_xlfn.XLOOKUP($A181,Строчный!$A:$A,Строчный!G:G,"ERR",0)))</f>
        <v>FREDRIKSON</v>
      </c>
      <c r="H181" s="81" t="str">
        <f ca="1">LOWER(TRIM(_xlfn.XLOOKUP($A181,Строчный!$A:$A,Строчный!H:H,"ERR",0)))</f>
        <v>630/77</v>
      </c>
      <c r="I181" s="81" t="str">
        <f ca="1">LOWER(TRIM(_xlfn.XLOOKUP($A181,Строчный!$A:$A,Строчный!I:I,"ERR",0)))</f>
        <v>серый / темно-серый</v>
      </c>
      <c r="J181" s="81" t="str">
        <f ca="1">SUBSTITUTE(LOWER(TRIM(_xlfn.XLOOKUP($A181,Строчный!$A:$A,Строчный!J:J,"ERR",0))),"подклад","Подклад")</f>
        <v>80% шерсть - 20% полиамид / Подклад: 100% вискоза</v>
      </c>
      <c r="K181" s="81" t="str">
        <f ca="1">LOWER(TRIM(_xlfn.XLOOKUP($A181,Строчный!$A:$A,Строчный!K:K,"ERR",0)))</f>
        <v>шерстяные</v>
      </c>
      <c r="L181" s="81" t="str">
        <f ca="1">PROPER(TRIM(_xlfn.XLOOKUP($A181,Строчный!$A:$A,Строчный!L:L,"ERR",0)))</f>
        <v>Унисекс</v>
      </c>
      <c r="M181" s="113" t="str">
        <f ca="1">PROPER(TRIM(_xlfn.XLOOKUP($A181,Строчный!$A:$A,Строчный!M:M,"ERR",0)))</f>
        <v>Россия</v>
      </c>
      <c r="N181" s="81" t="str">
        <f ca="1">UPPER(TRIM(_xlfn.XLOOKUP($A181,Строчный!$A:$A,Строчный!O:O,"ERR",0)))</f>
        <v/>
      </c>
      <c r="O181" s="102" t="str">
        <f ca="1">PROPER(TRIM(_xlfn.XLOOKUP($A181,Строчный!$A:$A,Строчный!P:P,"ERR",0)))</f>
        <v/>
      </c>
      <c r="P181" s="81" t="str">
        <f ca="1">PROPER(TRIM(_xlfn.XLOOKUP($A181,Строчный!$A:$A,Строчный!R:R,"ERR",0)))</f>
        <v/>
      </c>
      <c r="Q181" s="90">
        <f ca="1">VALUE(_xlfn.XLOOKUP($A181,Строчный!$A:$A,Строчный!N:N,"ERR",0))</f>
        <v>975.8</v>
      </c>
      <c r="R181" s="89" t="str">
        <f ca="1">_xlfn.XLOOKUP($G181,Фабрика!A:A,Фабрика!B:B,"ERR",0)</f>
        <v>ООО "ФРЭДРИКСОН" Россия 192029, С-Петербург, пр. Обуховской обороны, д.86, лит М</v>
      </c>
      <c r="S181" s="80" t="str">
        <f ca="1">_xlfn.XLOOKUP(RIGHT(AA181,2),Размеры!D:D,Размеры!A:A,"ERR",0)</f>
        <v>58</v>
      </c>
      <c r="T181" s="80">
        <f ca="1">VALUE(_xlfn.XLOOKUP($AA181,Строчный!$S:$S,Строчный!U:U,"ERR",0))</f>
        <v>2</v>
      </c>
      <c r="U181" s="14" t="s">
        <v>265</v>
      </c>
      <c r="V181" s="101" t="str">
        <f t="shared" ca="1" si="16"/>
        <v>Кепка FREDRIKSON арт. 3190 (серый / темно-серый)</v>
      </c>
      <c r="W181" s="100" t="str">
        <f t="shared" ca="1" si="17"/>
        <v>Кепка FREDRIKSON арт. 3190 (серый / темно-серый) {630/77}</v>
      </c>
      <c r="X181" s="18" t="str">
        <f t="shared" ca="1" si="18"/>
        <v>серый</v>
      </c>
      <c r="Y181" s="18" t="str">
        <f t="shared" ca="1" si="19"/>
        <v>серый</v>
      </c>
      <c r="Z181" s="117" t="str">
        <f ca="1">_xlfn.LET(_xlpm.FormColors,_xlfn.XLOOKUP(A181,Строчный!A:A,Строчный!Q:Q,"",0),IF(_xlpm.FormColors=0,IFERROR(MID(I181,FIND("-",I181)+1,LEN(I181)),IFERROR(MID(I181,1,FIND("/",I181)-2),I181)),_xlpm.FormColors))</f>
        <v>серый</v>
      </c>
      <c r="AA181" s="73" t="str">
        <f ca="1"/>
        <v>95-008-69-58</v>
      </c>
      <c r="AB181" s="75" t="str">
        <f ca="1">VLOOKUP(C181,Группа!A:B,2,FALSE)</f>
        <v>Кепка</v>
      </c>
      <c r="AC181" s="97" t="str">
        <f ca="1">IFERROR(VLOOKUP(S181,Размеры!A:C,3,FALSE),"")</f>
        <v>58 M/L</v>
      </c>
      <c r="AD181" s="97" t="str">
        <f ca="1">VLOOKUP(I181,ЦветПолный!A:B,2,FALSE)</f>
        <v>69</v>
      </c>
      <c r="AE181" s="97" t="str">
        <f ca="1">IFERROR(VLOOKUP(S181,Размеры!A:D,4,FALSE),"")</f>
        <v>58</v>
      </c>
      <c r="AF181" s="97">
        <f ca="1">IF(LEFT(IFERROR(VLOOKUP(LOOKUP(2,1/SEARCH(B181,Товары!A:A),Товары!A:A),Товары!A:B,2,0),""),6)=MID(AA181,1,6),1,0)</f>
        <v>0</v>
      </c>
      <c r="AH181" s="97">
        <f ca="1">SUMIF(Группа!A:A,C181,Группа!C:C)</f>
        <v>1</v>
      </c>
      <c r="AI181" s="97">
        <f ca="1">SUMIF(Группа!B:B,AB181,Группа!C:C)</f>
        <v>1</v>
      </c>
      <c r="AJ181" s="97">
        <f ca="1">SUMIF(Формы!A:A,D181,Формы!B:B)</f>
        <v>1</v>
      </c>
      <c r="AK181" s="97">
        <f ca="1">SUMIF(Материал!A:A,K181,Материал!B:B)</f>
        <v>1</v>
      </c>
      <c r="AL181" s="97">
        <f ca="1">SUMIF(Размеры!A:A,S181,Размеры!E:E)</f>
        <v>1</v>
      </c>
      <c r="AM181" s="97">
        <f ca="1">SUMIF(Сезон!A:A,F181,Сезон!B:B)</f>
        <v>1</v>
      </c>
      <c r="AN181" s="97">
        <f ca="1">SUMIF(Состав!A:A,J181,Состав!B:B)</f>
        <v>0</v>
      </c>
      <c r="AO181" s="97">
        <f ca="1">VLOOKUP(I181,ЦветПолный!A:C,3,0)</f>
        <v>1</v>
      </c>
      <c r="AP181" s="97">
        <f ca="1">SUMIF(Цвет!A:A,Z181,Цвет!B:B)</f>
        <v>1</v>
      </c>
      <c r="AQ181" s="97">
        <f ca="1">_xlfn.XLOOKUP(L181,Пол!A:A,Пол!B:B,0,0)</f>
        <v>1</v>
      </c>
      <c r="AR181" s="97">
        <f ca="1">SUMIF(Бренд!A:A,G181,Бренд!B:B)</f>
        <v>1</v>
      </c>
      <c r="AS181" s="97">
        <f ca="1">SUMIF(Страна!A:A,M181,Страна!B:B)</f>
        <v>1</v>
      </c>
      <c r="AT181" s="64" t="e">
        <f ca="1">IF(VLOOKUP(W181,Товары!A:B,2,FALSE)=A181,"Есть в 1С","ERR")</f>
        <v>#N/A</v>
      </c>
      <c r="AU181" s="65" t="e">
        <f ca="1">IF(VLOOKUP(A181,Товары!B:B,1,FALSE)=A181,"Есть в 1С","ERR")</f>
        <v>#N/A</v>
      </c>
      <c r="AV181" s="96" t="e">
        <f ca="1">VLOOKUP(W181,Товары!A:B,2,FALSE)</f>
        <v>#N/A</v>
      </c>
      <c r="AW181" s="94" t="e">
        <f ca="1">VLOOKUP(W181,Товары!A:B,1,FALSE)</f>
        <v>#N/A</v>
      </c>
    </row>
    <row r="182" spans="1:49" x14ac:dyDescent="0.25">
      <c r="A182" s="110" t="str">
        <f t="shared" ca="1" si="15"/>
        <v>95-008-69</v>
      </c>
      <c r="B182" s="107" t="str">
        <f ca="1">_xlfn.LET(_xlpm.CAPS,0,_xlpm.Style,TRIM(_xlfn.XLOOKUP($A182,Строчный!$A:$A,Строчный!B:B,"ERR",0)),IF(_xlpm.CAPS=0,_xlpm.Style,LOWER(_xlpm.Style)))</f>
        <v>3190</v>
      </c>
      <c r="C182" s="81" t="str">
        <f ca="1">TRIM(PROPER(_xlfn.XLOOKUP($A182,Строчный!$A:$A,Строчный!C:C,"ERR",0)))</f>
        <v>Кепки</v>
      </c>
      <c r="D182" s="81" t="str">
        <f ca="1">_xlfn.LET(_xlpm.DATA,TRIM(_xlfn.XLOOKUP($A182,Строчный!$A:$A,Строчный!D:D,"ERR",0)),UPPER(MID(_xlpm.DATA,1,1))&amp;LOWER(MID(_xlpm.DATA,2,LEN(_xlpm.DATA)-1)))</f>
        <v>Кепка восьмиклинка</v>
      </c>
      <c r="E182" s="81" t="str">
        <f ca="1">PROPER(TRIM(_xlfn.XLOOKUP($A182,Строчный!$A:$A,Строчный!E:E,"ERR",0)))</f>
        <v>Fredrikson</v>
      </c>
      <c r="F182" s="81" t="str">
        <f ca="1">LOWER(TRIM(_xlfn.XLOOKUP($A182,Строчный!$A:$A,Строчный!F:F,"ERR",0)))</f>
        <v>всесезон</v>
      </c>
      <c r="G182" s="81" t="str">
        <f ca="1">UPPER(TRIM(_xlfn.XLOOKUP($A182,Строчный!$A:$A,Строчный!G:G,"ERR",0)))</f>
        <v>FREDRIKSON</v>
      </c>
      <c r="H182" s="81" t="str">
        <f ca="1">LOWER(TRIM(_xlfn.XLOOKUP($A182,Строчный!$A:$A,Строчный!H:H,"ERR",0)))</f>
        <v>630/77</v>
      </c>
      <c r="I182" s="81" t="str">
        <f ca="1">LOWER(TRIM(_xlfn.XLOOKUP($A182,Строчный!$A:$A,Строчный!I:I,"ERR",0)))</f>
        <v>серый / темно-серый</v>
      </c>
      <c r="J182" s="81" t="str">
        <f ca="1">SUBSTITUTE(LOWER(TRIM(_xlfn.XLOOKUP($A182,Строчный!$A:$A,Строчный!J:J,"ERR",0))),"подклад","Подклад")</f>
        <v>80% шерсть - 20% полиамид / Подклад: 100% вискоза</v>
      </c>
      <c r="K182" s="81" t="str">
        <f ca="1">LOWER(TRIM(_xlfn.XLOOKUP($A182,Строчный!$A:$A,Строчный!K:K,"ERR",0)))</f>
        <v>шерстяные</v>
      </c>
      <c r="L182" s="81" t="str">
        <f ca="1">PROPER(TRIM(_xlfn.XLOOKUP($A182,Строчный!$A:$A,Строчный!L:L,"ERR",0)))</f>
        <v>Унисекс</v>
      </c>
      <c r="M182" s="113" t="str">
        <f ca="1">PROPER(TRIM(_xlfn.XLOOKUP($A182,Строчный!$A:$A,Строчный!M:M,"ERR",0)))</f>
        <v>Россия</v>
      </c>
      <c r="N182" s="81" t="str">
        <f ca="1">UPPER(TRIM(_xlfn.XLOOKUP($A182,Строчный!$A:$A,Строчный!O:O,"ERR",0)))</f>
        <v/>
      </c>
      <c r="O182" s="102" t="str">
        <f ca="1">PROPER(TRIM(_xlfn.XLOOKUP($A182,Строчный!$A:$A,Строчный!P:P,"ERR",0)))</f>
        <v/>
      </c>
      <c r="P182" s="81" t="str">
        <f ca="1">PROPER(TRIM(_xlfn.XLOOKUP($A182,Строчный!$A:$A,Строчный!R:R,"ERR",0)))</f>
        <v/>
      </c>
      <c r="Q182" s="90">
        <f ca="1">VALUE(_xlfn.XLOOKUP($A182,Строчный!$A:$A,Строчный!N:N,"ERR",0))</f>
        <v>975.8</v>
      </c>
      <c r="R182" s="89" t="str">
        <f ca="1">_xlfn.XLOOKUP($G182,Фабрика!A:A,Фабрика!B:B,"ERR",0)</f>
        <v>ООО "ФРЭДРИКСОН" Россия 192029, С-Петербург, пр. Обуховской обороны, д.86, лит М</v>
      </c>
      <c r="S182" s="80" t="str">
        <f ca="1">_xlfn.XLOOKUP(RIGHT(AA182,2),Размеры!D:D,Размеры!A:A,"ERR",0)</f>
        <v>57</v>
      </c>
      <c r="T182" s="80">
        <f ca="1">VALUE(_xlfn.XLOOKUP($AA182,Строчный!$S:$S,Строчный!U:U,"ERR",0))</f>
        <v>1</v>
      </c>
      <c r="U182" s="14" t="s">
        <v>265</v>
      </c>
      <c r="V182" s="101" t="str">
        <f t="shared" ca="1" si="16"/>
        <v>Кепка FREDRIKSON арт. 3190 (серый / темно-серый)</v>
      </c>
      <c r="W182" s="100" t="str">
        <f t="shared" ca="1" si="17"/>
        <v>Кепка FREDRIKSON арт. 3190 (серый / темно-серый) {630/77}</v>
      </c>
      <c r="X182" s="18" t="str">
        <f t="shared" ca="1" si="18"/>
        <v>серый</v>
      </c>
      <c r="Y182" s="18" t="str">
        <f t="shared" ca="1" si="19"/>
        <v>серый</v>
      </c>
      <c r="Z182" s="117" t="str">
        <f ca="1">_xlfn.LET(_xlpm.FormColors,_xlfn.XLOOKUP(A182,Строчный!A:A,Строчный!Q:Q,"",0),IF(_xlpm.FormColors=0,IFERROR(MID(I182,FIND("-",I182)+1,LEN(I182)),IFERROR(MID(I182,1,FIND("/",I182)-2),I182)),_xlpm.FormColors))</f>
        <v>серый</v>
      </c>
      <c r="AA182" s="73" t="str">
        <f ca="1"/>
        <v>95-008-69-57</v>
      </c>
      <c r="AB182" s="75" t="str">
        <f ca="1">VLOOKUP(C182,Группа!A:B,2,FALSE)</f>
        <v>Кепка</v>
      </c>
      <c r="AC182" s="97" t="str">
        <f ca="1">IFERROR(VLOOKUP(S182,Размеры!A:C,3,FALSE),"")</f>
        <v>57 M</v>
      </c>
      <c r="AD182" s="97" t="str">
        <f ca="1">VLOOKUP(I182,ЦветПолный!A:B,2,FALSE)</f>
        <v>69</v>
      </c>
      <c r="AE182" s="97" t="str">
        <f ca="1">IFERROR(VLOOKUP(S182,Размеры!A:D,4,FALSE),"")</f>
        <v>57</v>
      </c>
      <c r="AF182" s="97">
        <f ca="1">IF(LEFT(IFERROR(VLOOKUP(LOOKUP(2,1/SEARCH(B182,Товары!A:A),Товары!A:A),Товары!A:B,2,0),""),6)=MID(AA182,1,6),1,0)</f>
        <v>0</v>
      </c>
      <c r="AH182" s="97">
        <f ca="1">SUMIF(Группа!A:A,C182,Группа!C:C)</f>
        <v>1</v>
      </c>
      <c r="AI182" s="97">
        <f ca="1">SUMIF(Группа!B:B,AB182,Группа!C:C)</f>
        <v>1</v>
      </c>
      <c r="AJ182" s="97">
        <f ca="1">SUMIF(Формы!A:A,D182,Формы!B:B)</f>
        <v>1</v>
      </c>
      <c r="AK182" s="97">
        <f ca="1">SUMIF(Материал!A:A,K182,Материал!B:B)</f>
        <v>1</v>
      </c>
      <c r="AL182" s="97">
        <f ca="1">SUMIF(Размеры!A:A,S182,Размеры!E:E)</f>
        <v>1</v>
      </c>
      <c r="AM182" s="97">
        <f ca="1">SUMIF(Сезон!A:A,F182,Сезон!B:B)</f>
        <v>1</v>
      </c>
      <c r="AN182" s="97">
        <f ca="1">SUMIF(Состав!A:A,J182,Состав!B:B)</f>
        <v>0</v>
      </c>
      <c r="AO182" s="97">
        <f ca="1">VLOOKUP(I182,ЦветПолный!A:C,3,0)</f>
        <v>1</v>
      </c>
      <c r="AP182" s="97">
        <f ca="1">SUMIF(Цвет!A:A,Z182,Цвет!B:B)</f>
        <v>1</v>
      </c>
      <c r="AQ182" s="97">
        <f ca="1">_xlfn.XLOOKUP(L182,Пол!A:A,Пол!B:B,0,0)</f>
        <v>1</v>
      </c>
      <c r="AR182" s="97">
        <f ca="1">SUMIF(Бренд!A:A,G182,Бренд!B:B)</f>
        <v>1</v>
      </c>
      <c r="AS182" s="97">
        <f ca="1">SUMIF(Страна!A:A,M182,Страна!B:B)</f>
        <v>1</v>
      </c>
      <c r="AT182" s="64" t="e">
        <f ca="1">IF(VLOOKUP(W182,Товары!A:B,2,FALSE)=A182,"Есть в 1С","ERR")</f>
        <v>#N/A</v>
      </c>
      <c r="AU182" s="65" t="e">
        <f ca="1">IF(VLOOKUP(A182,Товары!B:B,1,FALSE)=A182,"Есть в 1С","ERR")</f>
        <v>#N/A</v>
      </c>
      <c r="AV182" s="96" t="e">
        <f ca="1">VLOOKUP(W182,Товары!A:B,2,FALSE)</f>
        <v>#N/A</v>
      </c>
      <c r="AW182" s="94" t="e">
        <f ca="1">VLOOKUP(W182,Товары!A:B,1,FALSE)</f>
        <v>#N/A</v>
      </c>
    </row>
    <row r="183" spans="1:49" x14ac:dyDescent="0.25">
      <c r="A183" s="110" t="str">
        <f t="shared" ca="1" si="15"/>
        <v>95-008-68</v>
      </c>
      <c r="B183" s="107" t="str">
        <f ca="1">_xlfn.LET(_xlpm.CAPS,0,_xlpm.Style,TRIM(_xlfn.XLOOKUP($A183,Строчный!$A:$A,Строчный!B:B,"ERR",0)),IF(_xlpm.CAPS=0,_xlpm.Style,LOWER(_xlpm.Style)))</f>
        <v>3190</v>
      </c>
      <c r="C183" s="81" t="str">
        <f ca="1">TRIM(PROPER(_xlfn.XLOOKUP($A183,Строчный!$A:$A,Строчный!C:C,"ERR",0)))</f>
        <v>Кепки</v>
      </c>
      <c r="D183" s="81" t="str">
        <f ca="1">_xlfn.LET(_xlpm.DATA,TRIM(_xlfn.XLOOKUP($A183,Строчный!$A:$A,Строчный!D:D,"ERR",0)),UPPER(MID(_xlpm.DATA,1,1))&amp;LOWER(MID(_xlpm.DATA,2,LEN(_xlpm.DATA)-1)))</f>
        <v>Кепка восьмиклинка</v>
      </c>
      <c r="E183" s="81" t="str">
        <f ca="1">PROPER(TRIM(_xlfn.XLOOKUP($A183,Строчный!$A:$A,Строчный!E:E,"ERR",0)))</f>
        <v>Fredrikson</v>
      </c>
      <c r="F183" s="81" t="str">
        <f ca="1">LOWER(TRIM(_xlfn.XLOOKUP($A183,Строчный!$A:$A,Строчный!F:F,"ERR",0)))</f>
        <v>всесезон</v>
      </c>
      <c r="G183" s="81" t="str">
        <f ca="1">UPPER(TRIM(_xlfn.XLOOKUP($A183,Строчный!$A:$A,Строчный!G:G,"ERR",0)))</f>
        <v>FREDRIKSON</v>
      </c>
      <c r="H183" s="81" t="str">
        <f ca="1">LOWER(TRIM(_xlfn.XLOOKUP($A183,Строчный!$A:$A,Строчный!H:H,"ERR",0)))</f>
        <v>79</v>
      </c>
      <c r="I183" s="81" t="str">
        <f ca="1">LOWER(TRIM(_xlfn.XLOOKUP($A183,Строчный!$A:$A,Строчный!I:I,"ERR",0)))</f>
        <v>темно-серый / темно-серый</v>
      </c>
      <c r="J183" s="81" t="str">
        <f ca="1">SUBSTITUTE(LOWER(TRIM(_xlfn.XLOOKUP($A183,Строчный!$A:$A,Строчный!J:J,"ERR",0))),"подклад","Подклад")</f>
        <v>80% шерсть - 20% полиамид / Подклад: 100% вискоза</v>
      </c>
      <c r="K183" s="81" t="str">
        <f ca="1">LOWER(TRIM(_xlfn.XLOOKUP($A183,Строчный!$A:$A,Строчный!K:K,"ERR",0)))</f>
        <v>шерстяные</v>
      </c>
      <c r="L183" s="81" t="str">
        <f ca="1">PROPER(TRIM(_xlfn.XLOOKUP($A183,Строчный!$A:$A,Строчный!L:L,"ERR",0)))</f>
        <v>Унисекс</v>
      </c>
      <c r="M183" s="113" t="str">
        <f ca="1">PROPER(TRIM(_xlfn.XLOOKUP($A183,Строчный!$A:$A,Строчный!M:M,"ERR",0)))</f>
        <v>Россия</v>
      </c>
      <c r="N183" s="81" t="str">
        <f ca="1">UPPER(TRIM(_xlfn.XLOOKUP($A183,Строчный!$A:$A,Строчный!O:O,"ERR",0)))</f>
        <v/>
      </c>
      <c r="O183" s="102" t="str">
        <f ca="1">PROPER(TRIM(_xlfn.XLOOKUP($A183,Строчный!$A:$A,Строчный!P:P,"ERR",0)))</f>
        <v/>
      </c>
      <c r="P183" s="81" t="str">
        <f ca="1">PROPER(TRIM(_xlfn.XLOOKUP($A183,Строчный!$A:$A,Строчный!R:R,"ERR",0)))</f>
        <v/>
      </c>
      <c r="Q183" s="90">
        <f ca="1">VALUE(_xlfn.XLOOKUP($A183,Строчный!$A:$A,Строчный!N:N,"ERR",0))</f>
        <v>975.8</v>
      </c>
      <c r="R183" s="89" t="str">
        <f ca="1">_xlfn.XLOOKUP($G183,Фабрика!A:A,Фабрика!B:B,"ERR",0)</f>
        <v>ООО "ФРЭДРИКСОН" Россия 192029, С-Петербург, пр. Обуховской обороны, д.86, лит М</v>
      </c>
      <c r="S183" s="80" t="str">
        <f ca="1">_xlfn.XLOOKUP(RIGHT(AA183,2),Размеры!D:D,Размеры!A:A,"ERR",0)</f>
        <v>62</v>
      </c>
      <c r="T183" s="80">
        <f ca="1">VALUE(_xlfn.XLOOKUP($AA183,Строчный!$S:$S,Строчный!U:U,"ERR",0))</f>
        <v>2</v>
      </c>
      <c r="U183" s="14" t="s">
        <v>265</v>
      </c>
      <c r="V183" s="101" t="str">
        <f t="shared" ca="1" si="16"/>
        <v>Кепка FREDRIKSON арт. 3190 (темно-серый / темно-серый)</v>
      </c>
      <c r="W183" s="100" t="str">
        <f t="shared" ca="1" si="17"/>
        <v>Кепка FREDRIKSON арт. 3190 (темно-серый / темно-серый) {79}</v>
      </c>
      <c r="X183" s="18" t="str">
        <f t="shared" ca="1" si="18"/>
        <v>серый / темно-серый</v>
      </c>
      <c r="Y183" s="18" t="str">
        <f t="shared" ca="1" si="19"/>
        <v>серый / темно-серый</v>
      </c>
      <c r="Z183" s="117" t="s">
        <v>28</v>
      </c>
      <c r="AA183" s="73" t="str">
        <f ca="1"/>
        <v>95-008-68-62</v>
      </c>
      <c r="AB183" s="75" t="str">
        <f ca="1">VLOOKUP(C183,Группа!A:B,2,FALSE)</f>
        <v>Кепка</v>
      </c>
      <c r="AC183" s="97" t="str">
        <f ca="1">IFERROR(VLOOKUP(S183,Размеры!A:C,3,FALSE),"")</f>
        <v>62 XL/XXL</v>
      </c>
      <c r="AD183" s="97" t="str">
        <f ca="1">VLOOKUP(I183,ЦветПолный!A:B,2,FALSE)</f>
        <v>68</v>
      </c>
      <c r="AE183" s="97" t="str">
        <f ca="1">IFERROR(VLOOKUP(S183,Размеры!A:D,4,FALSE),"")</f>
        <v>62</v>
      </c>
      <c r="AF183" s="97">
        <f ca="1">IF(LEFT(IFERROR(VLOOKUP(LOOKUP(2,1/SEARCH(B183,Товары!A:A),Товары!A:A),Товары!A:B,2,0),""),6)=MID(AA183,1,6),1,0)</f>
        <v>0</v>
      </c>
      <c r="AH183" s="97">
        <f ca="1">SUMIF(Группа!A:A,C183,Группа!C:C)</f>
        <v>1</v>
      </c>
      <c r="AI183" s="97">
        <f ca="1">SUMIF(Группа!B:B,AB183,Группа!C:C)</f>
        <v>1</v>
      </c>
      <c r="AJ183" s="97">
        <f ca="1">SUMIF(Формы!A:A,D183,Формы!B:B)</f>
        <v>1</v>
      </c>
      <c r="AK183" s="97">
        <f ca="1">SUMIF(Материал!A:A,K183,Материал!B:B)</f>
        <v>1</v>
      </c>
      <c r="AL183" s="97">
        <f ca="1">SUMIF(Размеры!A:A,S183,Размеры!E:E)</f>
        <v>1</v>
      </c>
      <c r="AM183" s="97">
        <f ca="1">SUMIF(Сезон!A:A,F183,Сезон!B:B)</f>
        <v>1</v>
      </c>
      <c r="AN183" s="97">
        <f ca="1">SUMIF(Состав!A:A,J183,Состав!B:B)</f>
        <v>0</v>
      </c>
      <c r="AO183" s="97">
        <f ca="1">VLOOKUP(I183,ЦветПолный!A:C,3,0)</f>
        <v>1</v>
      </c>
      <c r="AP183" s="97">
        <f>SUMIF(Цвет!A:A,Z183,Цвет!B:B)</f>
        <v>1</v>
      </c>
      <c r="AQ183" s="97">
        <f ca="1">_xlfn.XLOOKUP(L183,Пол!A:A,Пол!B:B,0,0)</f>
        <v>1</v>
      </c>
      <c r="AR183" s="97">
        <f ca="1">SUMIF(Бренд!A:A,G183,Бренд!B:B)</f>
        <v>1</v>
      </c>
      <c r="AS183" s="97">
        <f ca="1">SUMIF(Страна!A:A,M183,Страна!B:B)</f>
        <v>1</v>
      </c>
      <c r="AT183" s="64" t="e">
        <f ca="1">IF(VLOOKUP(W183,Товары!A:B,2,FALSE)=A183,"Есть в 1С","ERR")</f>
        <v>#N/A</v>
      </c>
      <c r="AU183" s="65" t="e">
        <f ca="1">IF(VLOOKUP(A183,Товары!B:B,1,FALSE)=A183,"Есть в 1С","ERR")</f>
        <v>#N/A</v>
      </c>
      <c r="AV183" s="96" t="e">
        <f ca="1">VLOOKUP(W183,Товары!A:B,2,FALSE)</f>
        <v>#N/A</v>
      </c>
      <c r="AW183" s="94" t="e">
        <f ca="1">VLOOKUP(W183,Товары!A:B,1,FALSE)</f>
        <v>#N/A</v>
      </c>
    </row>
    <row r="184" spans="1:49" x14ac:dyDescent="0.25">
      <c r="A184" s="110" t="str">
        <f t="shared" ca="1" si="15"/>
        <v>95-008-68</v>
      </c>
      <c r="B184" s="107" t="str">
        <f ca="1">_xlfn.LET(_xlpm.CAPS,0,_xlpm.Style,TRIM(_xlfn.XLOOKUP($A184,Строчный!$A:$A,Строчный!B:B,"ERR",0)),IF(_xlpm.CAPS=0,_xlpm.Style,LOWER(_xlpm.Style)))</f>
        <v>3190</v>
      </c>
      <c r="C184" s="81" t="str">
        <f ca="1">TRIM(PROPER(_xlfn.XLOOKUP($A184,Строчный!$A:$A,Строчный!C:C,"ERR",0)))</f>
        <v>Кепки</v>
      </c>
      <c r="D184" s="81" t="str">
        <f ca="1">_xlfn.LET(_xlpm.DATA,TRIM(_xlfn.XLOOKUP($A184,Строчный!$A:$A,Строчный!D:D,"ERR",0)),UPPER(MID(_xlpm.DATA,1,1))&amp;LOWER(MID(_xlpm.DATA,2,LEN(_xlpm.DATA)-1)))</f>
        <v>Кепка восьмиклинка</v>
      </c>
      <c r="E184" s="81" t="str">
        <f ca="1">PROPER(TRIM(_xlfn.XLOOKUP($A184,Строчный!$A:$A,Строчный!E:E,"ERR",0)))</f>
        <v>Fredrikson</v>
      </c>
      <c r="F184" s="81" t="str">
        <f ca="1">LOWER(TRIM(_xlfn.XLOOKUP($A184,Строчный!$A:$A,Строчный!F:F,"ERR",0)))</f>
        <v>всесезон</v>
      </c>
      <c r="G184" s="81" t="str">
        <f ca="1">UPPER(TRIM(_xlfn.XLOOKUP($A184,Строчный!$A:$A,Строчный!G:G,"ERR",0)))</f>
        <v>FREDRIKSON</v>
      </c>
      <c r="H184" s="81" t="str">
        <f ca="1">LOWER(TRIM(_xlfn.XLOOKUP($A184,Строчный!$A:$A,Строчный!H:H,"ERR",0)))</f>
        <v>79</v>
      </c>
      <c r="I184" s="81" t="str">
        <f ca="1">LOWER(TRIM(_xlfn.XLOOKUP($A184,Строчный!$A:$A,Строчный!I:I,"ERR",0)))</f>
        <v>темно-серый / темно-серый</v>
      </c>
      <c r="J184" s="81" t="str">
        <f ca="1">SUBSTITUTE(LOWER(TRIM(_xlfn.XLOOKUP($A184,Строчный!$A:$A,Строчный!J:J,"ERR",0))),"подклад","Подклад")</f>
        <v>80% шерсть - 20% полиамид / Подклад: 100% вискоза</v>
      </c>
      <c r="K184" s="81" t="str">
        <f ca="1">LOWER(TRIM(_xlfn.XLOOKUP($A184,Строчный!$A:$A,Строчный!K:K,"ERR",0)))</f>
        <v>шерстяные</v>
      </c>
      <c r="L184" s="81" t="str">
        <f ca="1">PROPER(TRIM(_xlfn.XLOOKUP($A184,Строчный!$A:$A,Строчный!L:L,"ERR",0)))</f>
        <v>Унисекс</v>
      </c>
      <c r="M184" s="113" t="str">
        <f ca="1">PROPER(TRIM(_xlfn.XLOOKUP($A184,Строчный!$A:$A,Строчный!M:M,"ERR",0)))</f>
        <v>Россия</v>
      </c>
      <c r="N184" s="81" t="str">
        <f ca="1">UPPER(TRIM(_xlfn.XLOOKUP($A184,Строчный!$A:$A,Строчный!O:O,"ERR",0)))</f>
        <v/>
      </c>
      <c r="O184" s="102" t="str">
        <f ca="1">PROPER(TRIM(_xlfn.XLOOKUP($A184,Строчный!$A:$A,Строчный!P:P,"ERR",0)))</f>
        <v/>
      </c>
      <c r="P184" s="81" t="str">
        <f ca="1">PROPER(TRIM(_xlfn.XLOOKUP($A184,Строчный!$A:$A,Строчный!R:R,"ERR",0)))</f>
        <v/>
      </c>
      <c r="Q184" s="90">
        <f ca="1">VALUE(_xlfn.XLOOKUP($A184,Строчный!$A:$A,Строчный!N:N,"ERR",0))</f>
        <v>975.8</v>
      </c>
      <c r="R184" s="89" t="str">
        <f ca="1">_xlfn.XLOOKUP($G184,Фабрика!A:A,Фабрика!B:B,"ERR",0)</f>
        <v>ООО "ФРЭДРИКСОН" Россия 192029, С-Петербург, пр. Обуховской обороны, д.86, лит М</v>
      </c>
      <c r="S184" s="80" t="str">
        <f ca="1">_xlfn.XLOOKUP(RIGHT(AA184,2),Размеры!D:D,Размеры!A:A,"ERR",0)</f>
        <v>61</v>
      </c>
      <c r="T184" s="80">
        <f ca="1">VALUE(_xlfn.XLOOKUP($AA184,Строчный!$S:$S,Строчный!U:U,"ERR",0))</f>
        <v>3</v>
      </c>
      <c r="U184" s="14" t="s">
        <v>265</v>
      </c>
      <c r="V184" s="101" t="str">
        <f t="shared" ca="1" si="16"/>
        <v>Кепка FREDRIKSON арт. 3190 (темно-серый / темно-серый)</v>
      </c>
      <c r="W184" s="100" t="str">
        <f t="shared" ca="1" si="17"/>
        <v>Кепка FREDRIKSON арт. 3190 (темно-серый / темно-серый) {79}</v>
      </c>
      <c r="X184" s="18" t="str">
        <f t="shared" ca="1" si="18"/>
        <v>серый / темно-серый</v>
      </c>
      <c r="Y184" s="18" t="str">
        <f t="shared" ca="1" si="19"/>
        <v>серый / темно-серый</v>
      </c>
      <c r="Z184" s="117" t="s">
        <v>28</v>
      </c>
      <c r="AA184" s="73" t="str">
        <f ca="1"/>
        <v>95-008-68-61</v>
      </c>
      <c r="AB184" s="75" t="str">
        <f ca="1">VLOOKUP(C184,Группа!A:B,2,FALSE)</f>
        <v>Кепка</v>
      </c>
      <c r="AC184" s="97" t="str">
        <f ca="1">IFERROR(VLOOKUP(S184,Размеры!A:C,3,FALSE),"")</f>
        <v>61 XL</v>
      </c>
      <c r="AD184" s="97" t="str">
        <f ca="1">VLOOKUP(I184,ЦветПолный!A:B,2,FALSE)</f>
        <v>68</v>
      </c>
      <c r="AE184" s="97" t="str">
        <f ca="1">IFERROR(VLOOKUP(S184,Размеры!A:D,4,FALSE),"")</f>
        <v>61</v>
      </c>
      <c r="AF184" s="97">
        <f ca="1">IF(LEFT(IFERROR(VLOOKUP(LOOKUP(2,1/SEARCH(B184,Товары!A:A),Товары!A:A),Товары!A:B,2,0),""),6)=MID(AA184,1,6),1,0)</f>
        <v>0</v>
      </c>
      <c r="AH184" s="97">
        <f ca="1">SUMIF(Группа!A:A,C184,Группа!C:C)</f>
        <v>1</v>
      </c>
      <c r="AI184" s="97">
        <f ca="1">SUMIF(Группа!B:B,AB184,Группа!C:C)</f>
        <v>1</v>
      </c>
      <c r="AJ184" s="97">
        <f ca="1">SUMIF(Формы!A:A,D184,Формы!B:B)</f>
        <v>1</v>
      </c>
      <c r="AK184" s="97">
        <f ca="1">SUMIF(Материал!A:A,K184,Материал!B:B)</f>
        <v>1</v>
      </c>
      <c r="AL184" s="97">
        <f ca="1">SUMIF(Размеры!A:A,S184,Размеры!E:E)</f>
        <v>1</v>
      </c>
      <c r="AM184" s="97">
        <f ca="1">SUMIF(Сезон!A:A,F184,Сезон!B:B)</f>
        <v>1</v>
      </c>
      <c r="AN184" s="97">
        <f ca="1">SUMIF(Состав!A:A,J184,Состав!B:B)</f>
        <v>0</v>
      </c>
      <c r="AO184" s="97">
        <f ca="1">VLOOKUP(I184,ЦветПолный!A:C,3,0)</f>
        <v>1</v>
      </c>
      <c r="AP184" s="97">
        <f>SUMIF(Цвет!A:A,Z184,Цвет!B:B)</f>
        <v>1</v>
      </c>
      <c r="AQ184" s="97">
        <f ca="1">_xlfn.XLOOKUP(L184,Пол!A:A,Пол!B:B,0,0)</f>
        <v>1</v>
      </c>
      <c r="AR184" s="97">
        <f ca="1">SUMIF(Бренд!A:A,G184,Бренд!B:B)</f>
        <v>1</v>
      </c>
      <c r="AS184" s="97">
        <f ca="1">SUMIF(Страна!A:A,M184,Страна!B:B)</f>
        <v>1</v>
      </c>
      <c r="AT184" s="64" t="e">
        <f ca="1">IF(VLOOKUP(W184,Товары!A:B,2,FALSE)=A184,"Есть в 1С","ERR")</f>
        <v>#N/A</v>
      </c>
      <c r="AU184" s="65" t="e">
        <f ca="1">IF(VLOOKUP(A184,Товары!B:B,1,FALSE)=A184,"Есть в 1С","ERR")</f>
        <v>#N/A</v>
      </c>
      <c r="AV184" s="96" t="e">
        <f ca="1">VLOOKUP(W184,Товары!A:B,2,FALSE)</f>
        <v>#N/A</v>
      </c>
      <c r="AW184" s="94" t="e">
        <f ca="1">VLOOKUP(W184,Товары!A:B,1,FALSE)</f>
        <v>#N/A</v>
      </c>
    </row>
    <row r="185" spans="1:49" x14ac:dyDescent="0.25">
      <c r="A185" s="110" t="str">
        <f t="shared" ca="1" si="15"/>
        <v>95-008-68</v>
      </c>
      <c r="B185" s="107" t="str">
        <f ca="1">_xlfn.LET(_xlpm.CAPS,0,_xlpm.Style,TRIM(_xlfn.XLOOKUP($A185,Строчный!$A:$A,Строчный!B:B,"ERR",0)),IF(_xlpm.CAPS=0,_xlpm.Style,LOWER(_xlpm.Style)))</f>
        <v>3190</v>
      </c>
      <c r="C185" s="81" t="str">
        <f ca="1">TRIM(PROPER(_xlfn.XLOOKUP($A185,Строчный!$A:$A,Строчный!C:C,"ERR",0)))</f>
        <v>Кепки</v>
      </c>
      <c r="D185" s="81" t="str">
        <f ca="1">_xlfn.LET(_xlpm.DATA,TRIM(_xlfn.XLOOKUP($A185,Строчный!$A:$A,Строчный!D:D,"ERR",0)),UPPER(MID(_xlpm.DATA,1,1))&amp;LOWER(MID(_xlpm.DATA,2,LEN(_xlpm.DATA)-1)))</f>
        <v>Кепка восьмиклинка</v>
      </c>
      <c r="E185" s="81" t="str">
        <f ca="1">PROPER(TRIM(_xlfn.XLOOKUP($A185,Строчный!$A:$A,Строчный!E:E,"ERR",0)))</f>
        <v>Fredrikson</v>
      </c>
      <c r="F185" s="81" t="str">
        <f ca="1">LOWER(TRIM(_xlfn.XLOOKUP($A185,Строчный!$A:$A,Строчный!F:F,"ERR",0)))</f>
        <v>всесезон</v>
      </c>
      <c r="G185" s="81" t="str">
        <f ca="1">UPPER(TRIM(_xlfn.XLOOKUP($A185,Строчный!$A:$A,Строчный!G:G,"ERR",0)))</f>
        <v>FREDRIKSON</v>
      </c>
      <c r="H185" s="81" t="str">
        <f ca="1">LOWER(TRIM(_xlfn.XLOOKUP($A185,Строчный!$A:$A,Строчный!H:H,"ERR",0)))</f>
        <v>79</v>
      </c>
      <c r="I185" s="81" t="str">
        <f ca="1">LOWER(TRIM(_xlfn.XLOOKUP($A185,Строчный!$A:$A,Строчный!I:I,"ERR",0)))</f>
        <v>темно-серый / темно-серый</v>
      </c>
      <c r="J185" s="81" t="str">
        <f ca="1">SUBSTITUTE(LOWER(TRIM(_xlfn.XLOOKUP($A185,Строчный!$A:$A,Строчный!J:J,"ERR",0))),"подклад","Подклад")</f>
        <v>80% шерсть - 20% полиамид / Подклад: 100% вискоза</v>
      </c>
      <c r="K185" s="81" t="str">
        <f ca="1">LOWER(TRIM(_xlfn.XLOOKUP($A185,Строчный!$A:$A,Строчный!K:K,"ERR",0)))</f>
        <v>шерстяные</v>
      </c>
      <c r="L185" s="81" t="str">
        <f ca="1">PROPER(TRIM(_xlfn.XLOOKUP($A185,Строчный!$A:$A,Строчный!L:L,"ERR",0)))</f>
        <v>Унисекс</v>
      </c>
      <c r="M185" s="113" t="str">
        <f ca="1">PROPER(TRIM(_xlfn.XLOOKUP($A185,Строчный!$A:$A,Строчный!M:M,"ERR",0)))</f>
        <v>Россия</v>
      </c>
      <c r="N185" s="81" t="str">
        <f ca="1">UPPER(TRIM(_xlfn.XLOOKUP($A185,Строчный!$A:$A,Строчный!O:O,"ERR",0)))</f>
        <v/>
      </c>
      <c r="O185" s="102" t="str">
        <f ca="1">PROPER(TRIM(_xlfn.XLOOKUP($A185,Строчный!$A:$A,Строчный!P:P,"ERR",0)))</f>
        <v/>
      </c>
      <c r="P185" s="81" t="str">
        <f ca="1">PROPER(TRIM(_xlfn.XLOOKUP($A185,Строчный!$A:$A,Строчный!R:R,"ERR",0)))</f>
        <v/>
      </c>
      <c r="Q185" s="90">
        <f ca="1">VALUE(_xlfn.XLOOKUP($A185,Строчный!$A:$A,Строчный!N:N,"ERR",0))</f>
        <v>975.8</v>
      </c>
      <c r="R185" s="89" t="str">
        <f ca="1">_xlfn.XLOOKUP($G185,Фабрика!A:A,Фабрика!B:B,"ERR",0)</f>
        <v>ООО "ФРЭДРИКСОН" Россия 192029, С-Петербург, пр. Обуховской обороны, д.86, лит М</v>
      </c>
      <c r="S185" s="80" t="str">
        <f ca="1">_xlfn.XLOOKUP(RIGHT(AA185,2),Размеры!D:D,Размеры!A:A,"ERR",0)</f>
        <v>60</v>
      </c>
      <c r="T185" s="80">
        <f ca="1">VALUE(_xlfn.XLOOKUP($AA185,Строчный!$S:$S,Строчный!U:U,"ERR",0))</f>
        <v>5</v>
      </c>
      <c r="U185" s="14" t="s">
        <v>265</v>
      </c>
      <c r="V185" s="101" t="str">
        <f t="shared" ca="1" si="16"/>
        <v>Кепка FREDRIKSON арт. 3190 (темно-серый / темно-серый)</v>
      </c>
      <c r="W185" s="100" t="str">
        <f t="shared" ca="1" si="17"/>
        <v>Кепка FREDRIKSON арт. 3190 (темно-серый / темно-серый) {79}</v>
      </c>
      <c r="X185" s="18" t="str">
        <f t="shared" ca="1" si="18"/>
        <v>серый / темно-серый</v>
      </c>
      <c r="Y185" s="18" t="str">
        <f t="shared" ca="1" si="19"/>
        <v>серый / темно-серый</v>
      </c>
      <c r="Z185" s="117" t="s">
        <v>28</v>
      </c>
      <c r="AA185" s="73" t="str">
        <f ca="1"/>
        <v>95-008-68-60</v>
      </c>
      <c r="AB185" s="75" t="str">
        <f ca="1">VLOOKUP(C185,Группа!A:B,2,FALSE)</f>
        <v>Кепка</v>
      </c>
      <c r="AC185" s="97" t="str">
        <f ca="1">IFERROR(VLOOKUP(S185,Размеры!A:C,3,FALSE),"")</f>
        <v>60 L/XL</v>
      </c>
      <c r="AD185" s="97" t="str">
        <f ca="1">VLOOKUP(I185,ЦветПолный!A:B,2,FALSE)</f>
        <v>68</v>
      </c>
      <c r="AE185" s="97" t="str">
        <f ca="1">IFERROR(VLOOKUP(S185,Размеры!A:D,4,FALSE),"")</f>
        <v>60</v>
      </c>
      <c r="AF185" s="97">
        <f ca="1">IF(LEFT(IFERROR(VLOOKUP(LOOKUP(2,1/SEARCH(B185,Товары!A:A),Товары!A:A),Товары!A:B,2,0),""),6)=MID(AA185,1,6),1,0)</f>
        <v>0</v>
      </c>
      <c r="AH185" s="97">
        <f ca="1">SUMIF(Группа!A:A,C185,Группа!C:C)</f>
        <v>1</v>
      </c>
      <c r="AI185" s="97">
        <f ca="1">SUMIF(Группа!B:B,AB185,Группа!C:C)</f>
        <v>1</v>
      </c>
      <c r="AJ185" s="97">
        <f ca="1">SUMIF(Формы!A:A,D185,Формы!B:B)</f>
        <v>1</v>
      </c>
      <c r="AK185" s="97">
        <f ca="1">SUMIF(Материал!A:A,K185,Материал!B:B)</f>
        <v>1</v>
      </c>
      <c r="AL185" s="97">
        <f ca="1">SUMIF(Размеры!A:A,S185,Размеры!E:E)</f>
        <v>1</v>
      </c>
      <c r="AM185" s="97">
        <f ca="1">SUMIF(Сезон!A:A,F185,Сезон!B:B)</f>
        <v>1</v>
      </c>
      <c r="AN185" s="97">
        <f ca="1">SUMIF(Состав!A:A,J185,Состав!B:B)</f>
        <v>0</v>
      </c>
      <c r="AO185" s="97">
        <f ca="1">VLOOKUP(I185,ЦветПолный!A:C,3,0)</f>
        <v>1</v>
      </c>
      <c r="AP185" s="97">
        <f>SUMIF(Цвет!A:A,Z185,Цвет!B:B)</f>
        <v>1</v>
      </c>
      <c r="AQ185" s="97">
        <f ca="1">_xlfn.XLOOKUP(L185,Пол!A:A,Пол!B:B,0,0)</f>
        <v>1</v>
      </c>
      <c r="AR185" s="97">
        <f ca="1">SUMIF(Бренд!A:A,G185,Бренд!B:B)</f>
        <v>1</v>
      </c>
      <c r="AS185" s="97">
        <f ca="1">SUMIF(Страна!A:A,M185,Страна!B:B)</f>
        <v>1</v>
      </c>
      <c r="AT185" s="64" t="e">
        <f ca="1">IF(VLOOKUP(W185,Товары!A:B,2,FALSE)=A185,"Есть в 1С","ERR")</f>
        <v>#N/A</v>
      </c>
      <c r="AU185" s="65" t="e">
        <f ca="1">IF(VLOOKUP(A185,Товары!B:B,1,FALSE)=A185,"Есть в 1С","ERR")</f>
        <v>#N/A</v>
      </c>
      <c r="AV185" s="96" t="e">
        <f ca="1">VLOOKUP(W185,Товары!A:B,2,FALSE)</f>
        <v>#N/A</v>
      </c>
      <c r="AW185" s="94" t="e">
        <f ca="1">VLOOKUP(W185,Товары!A:B,1,FALSE)</f>
        <v>#N/A</v>
      </c>
    </row>
    <row r="186" spans="1:49" x14ac:dyDescent="0.25">
      <c r="A186" s="110" t="str">
        <f t="shared" ca="1" si="15"/>
        <v>95-008-68</v>
      </c>
      <c r="B186" s="107" t="str">
        <f ca="1">_xlfn.LET(_xlpm.CAPS,0,_xlpm.Style,TRIM(_xlfn.XLOOKUP($A186,Строчный!$A:$A,Строчный!B:B,"ERR",0)),IF(_xlpm.CAPS=0,_xlpm.Style,LOWER(_xlpm.Style)))</f>
        <v>3190</v>
      </c>
      <c r="C186" s="81" t="str">
        <f ca="1">TRIM(PROPER(_xlfn.XLOOKUP($A186,Строчный!$A:$A,Строчный!C:C,"ERR",0)))</f>
        <v>Кепки</v>
      </c>
      <c r="D186" s="81" t="str">
        <f ca="1">_xlfn.LET(_xlpm.DATA,TRIM(_xlfn.XLOOKUP($A186,Строчный!$A:$A,Строчный!D:D,"ERR",0)),UPPER(MID(_xlpm.DATA,1,1))&amp;LOWER(MID(_xlpm.DATA,2,LEN(_xlpm.DATA)-1)))</f>
        <v>Кепка восьмиклинка</v>
      </c>
      <c r="E186" s="81" t="str">
        <f ca="1">PROPER(TRIM(_xlfn.XLOOKUP($A186,Строчный!$A:$A,Строчный!E:E,"ERR",0)))</f>
        <v>Fredrikson</v>
      </c>
      <c r="F186" s="81" t="str">
        <f ca="1">LOWER(TRIM(_xlfn.XLOOKUP($A186,Строчный!$A:$A,Строчный!F:F,"ERR",0)))</f>
        <v>всесезон</v>
      </c>
      <c r="G186" s="81" t="str">
        <f ca="1">UPPER(TRIM(_xlfn.XLOOKUP($A186,Строчный!$A:$A,Строчный!G:G,"ERR",0)))</f>
        <v>FREDRIKSON</v>
      </c>
      <c r="H186" s="81" t="str">
        <f ca="1">LOWER(TRIM(_xlfn.XLOOKUP($A186,Строчный!$A:$A,Строчный!H:H,"ERR",0)))</f>
        <v>79</v>
      </c>
      <c r="I186" s="81" t="str">
        <f ca="1">LOWER(TRIM(_xlfn.XLOOKUP($A186,Строчный!$A:$A,Строчный!I:I,"ERR",0)))</f>
        <v>темно-серый / темно-серый</v>
      </c>
      <c r="J186" s="81" t="str">
        <f ca="1">SUBSTITUTE(LOWER(TRIM(_xlfn.XLOOKUP($A186,Строчный!$A:$A,Строчный!J:J,"ERR",0))),"подклад","Подклад")</f>
        <v>80% шерсть - 20% полиамид / Подклад: 100% вискоза</v>
      </c>
      <c r="K186" s="81" t="str">
        <f ca="1">LOWER(TRIM(_xlfn.XLOOKUP($A186,Строчный!$A:$A,Строчный!K:K,"ERR",0)))</f>
        <v>шерстяные</v>
      </c>
      <c r="L186" s="81" t="str">
        <f ca="1">PROPER(TRIM(_xlfn.XLOOKUP($A186,Строчный!$A:$A,Строчный!L:L,"ERR",0)))</f>
        <v>Унисекс</v>
      </c>
      <c r="M186" s="113" t="str">
        <f ca="1">PROPER(TRIM(_xlfn.XLOOKUP($A186,Строчный!$A:$A,Строчный!M:M,"ERR",0)))</f>
        <v>Россия</v>
      </c>
      <c r="N186" s="81" t="str">
        <f ca="1">UPPER(TRIM(_xlfn.XLOOKUP($A186,Строчный!$A:$A,Строчный!O:O,"ERR",0)))</f>
        <v/>
      </c>
      <c r="O186" s="102" t="str">
        <f ca="1">PROPER(TRIM(_xlfn.XLOOKUP($A186,Строчный!$A:$A,Строчный!P:P,"ERR",0)))</f>
        <v/>
      </c>
      <c r="P186" s="81" t="str">
        <f ca="1">PROPER(TRIM(_xlfn.XLOOKUP($A186,Строчный!$A:$A,Строчный!R:R,"ERR",0)))</f>
        <v/>
      </c>
      <c r="Q186" s="90">
        <f ca="1">VALUE(_xlfn.XLOOKUP($A186,Строчный!$A:$A,Строчный!N:N,"ERR",0))</f>
        <v>975.8</v>
      </c>
      <c r="R186" s="89" t="str">
        <f ca="1">_xlfn.XLOOKUP($G186,Фабрика!A:A,Фабрика!B:B,"ERR",0)</f>
        <v>ООО "ФРЭДРИКСОН" Россия 192029, С-Петербург, пр. Обуховской обороны, д.86, лит М</v>
      </c>
      <c r="S186" s="80" t="str">
        <f ca="1">_xlfn.XLOOKUP(RIGHT(AA186,2),Размеры!D:D,Размеры!A:A,"ERR",0)</f>
        <v>59</v>
      </c>
      <c r="T186" s="80">
        <f ca="1">VALUE(_xlfn.XLOOKUP($AA186,Строчный!$S:$S,Строчный!U:U,"ERR",0))</f>
        <v>7</v>
      </c>
      <c r="U186" s="14" t="s">
        <v>265</v>
      </c>
      <c r="V186" s="101" t="str">
        <f t="shared" ca="1" si="16"/>
        <v>Кепка FREDRIKSON арт. 3190 (темно-серый / темно-серый)</v>
      </c>
      <c r="W186" s="100" t="str">
        <f t="shared" ca="1" si="17"/>
        <v>Кепка FREDRIKSON арт. 3190 (темно-серый / темно-серый) {79}</v>
      </c>
      <c r="X186" s="18" t="str">
        <f t="shared" ca="1" si="18"/>
        <v>серый / темно-серый</v>
      </c>
      <c r="Y186" s="18" t="str">
        <f t="shared" ca="1" si="19"/>
        <v>серый / темно-серый</v>
      </c>
      <c r="Z186" s="117" t="s">
        <v>28</v>
      </c>
      <c r="AA186" s="73" t="str">
        <f ca="1"/>
        <v>95-008-68-59</v>
      </c>
      <c r="AB186" s="75" t="str">
        <f ca="1">VLOOKUP(C186,Группа!A:B,2,FALSE)</f>
        <v>Кепка</v>
      </c>
      <c r="AC186" s="97" t="str">
        <f ca="1">IFERROR(VLOOKUP(S186,Размеры!A:C,3,FALSE),"")</f>
        <v>59 L</v>
      </c>
      <c r="AD186" s="97" t="str">
        <f ca="1">VLOOKUP(I186,ЦветПолный!A:B,2,FALSE)</f>
        <v>68</v>
      </c>
      <c r="AE186" s="97" t="str">
        <f ca="1">IFERROR(VLOOKUP(S186,Размеры!A:D,4,FALSE),"")</f>
        <v>59</v>
      </c>
      <c r="AF186" s="97">
        <f ca="1">IF(LEFT(IFERROR(VLOOKUP(LOOKUP(2,1/SEARCH(B186,Товары!A:A),Товары!A:A),Товары!A:B,2,0),""),6)=MID(AA186,1,6),1,0)</f>
        <v>0</v>
      </c>
      <c r="AH186" s="97">
        <f ca="1">SUMIF(Группа!A:A,C186,Группа!C:C)</f>
        <v>1</v>
      </c>
      <c r="AI186" s="97">
        <f ca="1">SUMIF(Группа!B:B,AB186,Группа!C:C)</f>
        <v>1</v>
      </c>
      <c r="AJ186" s="97">
        <f ca="1">SUMIF(Формы!A:A,D186,Формы!B:B)</f>
        <v>1</v>
      </c>
      <c r="AK186" s="97">
        <f ca="1">SUMIF(Материал!A:A,K186,Материал!B:B)</f>
        <v>1</v>
      </c>
      <c r="AL186" s="97">
        <f ca="1">SUMIF(Размеры!A:A,S186,Размеры!E:E)</f>
        <v>1</v>
      </c>
      <c r="AM186" s="97">
        <f ca="1">SUMIF(Сезон!A:A,F186,Сезон!B:B)</f>
        <v>1</v>
      </c>
      <c r="AN186" s="97">
        <f ca="1">SUMIF(Состав!A:A,J186,Состав!B:B)</f>
        <v>0</v>
      </c>
      <c r="AO186" s="97">
        <f ca="1">VLOOKUP(I186,ЦветПолный!A:C,3,0)</f>
        <v>1</v>
      </c>
      <c r="AP186" s="97">
        <f>SUMIF(Цвет!A:A,Z186,Цвет!B:B)</f>
        <v>1</v>
      </c>
      <c r="AQ186" s="97">
        <f ca="1">_xlfn.XLOOKUP(L186,Пол!A:A,Пол!B:B,0,0)</f>
        <v>1</v>
      </c>
      <c r="AR186" s="97">
        <f ca="1">SUMIF(Бренд!A:A,G186,Бренд!B:B)</f>
        <v>1</v>
      </c>
      <c r="AS186" s="97">
        <f ca="1">SUMIF(Страна!A:A,M186,Страна!B:B)</f>
        <v>1</v>
      </c>
      <c r="AT186" s="64" t="e">
        <f ca="1">IF(VLOOKUP(W186,Товары!A:B,2,FALSE)=A186,"Есть в 1С","ERR")</f>
        <v>#N/A</v>
      </c>
      <c r="AU186" s="65" t="e">
        <f ca="1">IF(VLOOKUP(A186,Товары!B:B,1,FALSE)=A186,"Есть в 1С","ERR")</f>
        <v>#N/A</v>
      </c>
      <c r="AV186" s="96" t="e">
        <f ca="1">VLOOKUP(W186,Товары!A:B,2,FALSE)</f>
        <v>#N/A</v>
      </c>
      <c r="AW186" s="94" t="e">
        <f ca="1">VLOOKUP(W186,Товары!A:B,1,FALSE)</f>
        <v>#N/A</v>
      </c>
    </row>
    <row r="187" spans="1:49" x14ac:dyDescent="0.25">
      <c r="A187" s="110" t="str">
        <f t="shared" ca="1" si="15"/>
        <v>95-008-68</v>
      </c>
      <c r="B187" s="107" t="str">
        <f ca="1">_xlfn.LET(_xlpm.CAPS,0,_xlpm.Style,TRIM(_xlfn.XLOOKUP($A187,Строчный!$A:$A,Строчный!B:B,"ERR",0)),IF(_xlpm.CAPS=0,_xlpm.Style,LOWER(_xlpm.Style)))</f>
        <v>3190</v>
      </c>
      <c r="C187" s="81" t="str">
        <f ca="1">TRIM(PROPER(_xlfn.XLOOKUP($A187,Строчный!$A:$A,Строчный!C:C,"ERR",0)))</f>
        <v>Кепки</v>
      </c>
      <c r="D187" s="81" t="str">
        <f ca="1">_xlfn.LET(_xlpm.DATA,TRIM(_xlfn.XLOOKUP($A187,Строчный!$A:$A,Строчный!D:D,"ERR",0)),UPPER(MID(_xlpm.DATA,1,1))&amp;LOWER(MID(_xlpm.DATA,2,LEN(_xlpm.DATA)-1)))</f>
        <v>Кепка восьмиклинка</v>
      </c>
      <c r="E187" s="81" t="str">
        <f ca="1">PROPER(TRIM(_xlfn.XLOOKUP($A187,Строчный!$A:$A,Строчный!E:E,"ERR",0)))</f>
        <v>Fredrikson</v>
      </c>
      <c r="F187" s="81" t="str">
        <f ca="1">LOWER(TRIM(_xlfn.XLOOKUP($A187,Строчный!$A:$A,Строчный!F:F,"ERR",0)))</f>
        <v>всесезон</v>
      </c>
      <c r="G187" s="81" t="str">
        <f ca="1">UPPER(TRIM(_xlfn.XLOOKUP($A187,Строчный!$A:$A,Строчный!G:G,"ERR",0)))</f>
        <v>FREDRIKSON</v>
      </c>
      <c r="H187" s="81" t="str">
        <f ca="1">LOWER(TRIM(_xlfn.XLOOKUP($A187,Строчный!$A:$A,Строчный!H:H,"ERR",0)))</f>
        <v>79</v>
      </c>
      <c r="I187" s="81" t="str">
        <f ca="1">LOWER(TRIM(_xlfn.XLOOKUP($A187,Строчный!$A:$A,Строчный!I:I,"ERR",0)))</f>
        <v>темно-серый / темно-серый</v>
      </c>
      <c r="J187" s="81" t="str">
        <f ca="1">SUBSTITUTE(LOWER(TRIM(_xlfn.XLOOKUP($A187,Строчный!$A:$A,Строчный!J:J,"ERR",0))),"подклад","Подклад")</f>
        <v>80% шерсть - 20% полиамид / Подклад: 100% вискоза</v>
      </c>
      <c r="K187" s="81" t="str">
        <f ca="1">LOWER(TRIM(_xlfn.XLOOKUP($A187,Строчный!$A:$A,Строчный!K:K,"ERR",0)))</f>
        <v>шерстяные</v>
      </c>
      <c r="L187" s="81" t="str">
        <f ca="1">PROPER(TRIM(_xlfn.XLOOKUP($A187,Строчный!$A:$A,Строчный!L:L,"ERR",0)))</f>
        <v>Унисекс</v>
      </c>
      <c r="M187" s="113" t="str">
        <f ca="1">PROPER(TRIM(_xlfn.XLOOKUP($A187,Строчный!$A:$A,Строчный!M:M,"ERR",0)))</f>
        <v>Россия</v>
      </c>
      <c r="N187" s="81" t="str">
        <f ca="1">UPPER(TRIM(_xlfn.XLOOKUP($A187,Строчный!$A:$A,Строчный!O:O,"ERR",0)))</f>
        <v/>
      </c>
      <c r="O187" s="102" t="str">
        <f ca="1">PROPER(TRIM(_xlfn.XLOOKUP($A187,Строчный!$A:$A,Строчный!P:P,"ERR",0)))</f>
        <v/>
      </c>
      <c r="P187" s="81" t="str">
        <f ca="1">PROPER(TRIM(_xlfn.XLOOKUP($A187,Строчный!$A:$A,Строчный!R:R,"ERR",0)))</f>
        <v/>
      </c>
      <c r="Q187" s="90">
        <f ca="1">VALUE(_xlfn.XLOOKUP($A187,Строчный!$A:$A,Строчный!N:N,"ERR",0))</f>
        <v>975.8</v>
      </c>
      <c r="R187" s="89" t="str">
        <f ca="1">_xlfn.XLOOKUP($G187,Фабрика!A:A,Фабрика!B:B,"ERR",0)</f>
        <v>ООО "ФРЭДРИКСОН" Россия 192029, С-Петербург, пр. Обуховской обороны, д.86, лит М</v>
      </c>
      <c r="S187" s="80" t="str">
        <f ca="1">_xlfn.XLOOKUP(RIGHT(AA187,2),Размеры!D:D,Размеры!A:A,"ERR",0)</f>
        <v>58</v>
      </c>
      <c r="T187" s="80">
        <f ca="1">VALUE(_xlfn.XLOOKUP($AA187,Строчный!$S:$S,Строчный!U:U,"ERR",0))</f>
        <v>5</v>
      </c>
      <c r="U187" s="14" t="s">
        <v>265</v>
      </c>
      <c r="V187" s="101" t="str">
        <f t="shared" ca="1" si="16"/>
        <v>Кепка FREDRIKSON арт. 3190 (темно-серый / темно-серый)</v>
      </c>
      <c r="W187" s="100" t="str">
        <f t="shared" ca="1" si="17"/>
        <v>Кепка FREDRIKSON арт. 3190 (темно-серый / темно-серый) {79}</v>
      </c>
      <c r="X187" s="18" t="str">
        <f t="shared" ca="1" si="18"/>
        <v>серый / темно-серый</v>
      </c>
      <c r="Y187" s="18" t="str">
        <f t="shared" ca="1" si="19"/>
        <v>серый / темно-серый</v>
      </c>
      <c r="Z187" s="117" t="s">
        <v>28</v>
      </c>
      <c r="AA187" s="73" t="str">
        <f ca="1"/>
        <v>95-008-68-58</v>
      </c>
      <c r="AB187" s="75" t="str">
        <f ca="1">VLOOKUP(C187,Группа!A:B,2,FALSE)</f>
        <v>Кепка</v>
      </c>
      <c r="AC187" s="97" t="str">
        <f ca="1">IFERROR(VLOOKUP(S187,Размеры!A:C,3,FALSE),"")</f>
        <v>58 M/L</v>
      </c>
      <c r="AD187" s="97" t="str">
        <f ca="1">VLOOKUP(I187,ЦветПолный!A:B,2,FALSE)</f>
        <v>68</v>
      </c>
      <c r="AE187" s="97" t="str">
        <f ca="1">IFERROR(VLOOKUP(S187,Размеры!A:D,4,FALSE),"")</f>
        <v>58</v>
      </c>
      <c r="AF187" s="97">
        <f ca="1">IF(LEFT(IFERROR(VLOOKUP(LOOKUP(2,1/SEARCH(B187,Товары!A:A),Товары!A:A),Товары!A:B,2,0),""),6)=MID(AA187,1,6),1,0)</f>
        <v>0</v>
      </c>
      <c r="AH187" s="97">
        <f ca="1">SUMIF(Группа!A:A,C187,Группа!C:C)</f>
        <v>1</v>
      </c>
      <c r="AI187" s="97">
        <f ca="1">SUMIF(Группа!B:B,AB187,Группа!C:C)</f>
        <v>1</v>
      </c>
      <c r="AJ187" s="97">
        <f ca="1">SUMIF(Формы!A:A,D187,Формы!B:B)</f>
        <v>1</v>
      </c>
      <c r="AK187" s="97">
        <f ca="1">SUMIF(Материал!A:A,K187,Материал!B:B)</f>
        <v>1</v>
      </c>
      <c r="AL187" s="97">
        <f ca="1">SUMIF(Размеры!A:A,S187,Размеры!E:E)</f>
        <v>1</v>
      </c>
      <c r="AM187" s="97">
        <f ca="1">SUMIF(Сезон!A:A,F187,Сезон!B:B)</f>
        <v>1</v>
      </c>
      <c r="AN187" s="97">
        <f ca="1">SUMIF(Состав!A:A,J187,Состав!B:B)</f>
        <v>0</v>
      </c>
      <c r="AO187" s="97">
        <f ca="1">VLOOKUP(I187,ЦветПолный!A:C,3,0)</f>
        <v>1</v>
      </c>
      <c r="AP187" s="97">
        <f>SUMIF(Цвет!A:A,Z187,Цвет!B:B)</f>
        <v>1</v>
      </c>
      <c r="AQ187" s="97">
        <f ca="1">_xlfn.XLOOKUP(L187,Пол!A:A,Пол!B:B,0,0)</f>
        <v>1</v>
      </c>
      <c r="AR187" s="97">
        <f ca="1">SUMIF(Бренд!A:A,G187,Бренд!B:B)</f>
        <v>1</v>
      </c>
      <c r="AS187" s="97">
        <f ca="1">SUMIF(Страна!A:A,M187,Страна!B:B)</f>
        <v>1</v>
      </c>
      <c r="AT187" s="64" t="e">
        <f ca="1">IF(VLOOKUP(W187,Товары!A:B,2,FALSE)=A187,"Есть в 1С","ERR")</f>
        <v>#N/A</v>
      </c>
      <c r="AU187" s="65" t="e">
        <f ca="1">IF(VLOOKUP(A187,Товары!B:B,1,FALSE)=A187,"Есть в 1С","ERR")</f>
        <v>#N/A</v>
      </c>
      <c r="AV187" s="96" t="e">
        <f ca="1">VLOOKUP(W187,Товары!A:B,2,FALSE)</f>
        <v>#N/A</v>
      </c>
      <c r="AW187" s="94" t="e">
        <f ca="1">VLOOKUP(W187,Товары!A:B,1,FALSE)</f>
        <v>#N/A</v>
      </c>
    </row>
    <row r="188" spans="1:49" x14ac:dyDescent="0.25">
      <c r="A188" s="110" t="str">
        <f t="shared" ca="1" si="15"/>
        <v>95-008-68</v>
      </c>
      <c r="B188" s="107" t="str">
        <f ca="1">_xlfn.LET(_xlpm.CAPS,0,_xlpm.Style,TRIM(_xlfn.XLOOKUP($A188,Строчный!$A:$A,Строчный!B:B,"ERR",0)),IF(_xlpm.CAPS=0,_xlpm.Style,LOWER(_xlpm.Style)))</f>
        <v>3190</v>
      </c>
      <c r="C188" s="81" t="str">
        <f ca="1">TRIM(PROPER(_xlfn.XLOOKUP($A188,Строчный!$A:$A,Строчный!C:C,"ERR",0)))</f>
        <v>Кепки</v>
      </c>
      <c r="D188" s="81" t="str">
        <f ca="1">_xlfn.LET(_xlpm.DATA,TRIM(_xlfn.XLOOKUP($A188,Строчный!$A:$A,Строчный!D:D,"ERR",0)),UPPER(MID(_xlpm.DATA,1,1))&amp;LOWER(MID(_xlpm.DATA,2,LEN(_xlpm.DATA)-1)))</f>
        <v>Кепка восьмиклинка</v>
      </c>
      <c r="E188" s="81" t="str">
        <f ca="1">PROPER(TRIM(_xlfn.XLOOKUP($A188,Строчный!$A:$A,Строчный!E:E,"ERR",0)))</f>
        <v>Fredrikson</v>
      </c>
      <c r="F188" s="81" t="str">
        <f ca="1">LOWER(TRIM(_xlfn.XLOOKUP($A188,Строчный!$A:$A,Строчный!F:F,"ERR",0)))</f>
        <v>всесезон</v>
      </c>
      <c r="G188" s="81" t="str">
        <f ca="1">UPPER(TRIM(_xlfn.XLOOKUP($A188,Строчный!$A:$A,Строчный!G:G,"ERR",0)))</f>
        <v>FREDRIKSON</v>
      </c>
      <c r="H188" s="81" t="str">
        <f ca="1">LOWER(TRIM(_xlfn.XLOOKUP($A188,Строчный!$A:$A,Строчный!H:H,"ERR",0)))</f>
        <v>79</v>
      </c>
      <c r="I188" s="81" t="str">
        <f ca="1">LOWER(TRIM(_xlfn.XLOOKUP($A188,Строчный!$A:$A,Строчный!I:I,"ERR",0)))</f>
        <v>темно-серый / темно-серый</v>
      </c>
      <c r="J188" s="81" t="str">
        <f ca="1">SUBSTITUTE(LOWER(TRIM(_xlfn.XLOOKUP($A188,Строчный!$A:$A,Строчный!J:J,"ERR",0))),"подклад","Подклад")</f>
        <v>80% шерсть - 20% полиамид / Подклад: 100% вискоза</v>
      </c>
      <c r="K188" s="81" t="str">
        <f ca="1">LOWER(TRIM(_xlfn.XLOOKUP($A188,Строчный!$A:$A,Строчный!K:K,"ERR",0)))</f>
        <v>шерстяные</v>
      </c>
      <c r="L188" s="81" t="str">
        <f ca="1">PROPER(TRIM(_xlfn.XLOOKUP($A188,Строчный!$A:$A,Строчный!L:L,"ERR",0)))</f>
        <v>Унисекс</v>
      </c>
      <c r="M188" s="113" t="str">
        <f ca="1">PROPER(TRIM(_xlfn.XLOOKUP($A188,Строчный!$A:$A,Строчный!M:M,"ERR",0)))</f>
        <v>Россия</v>
      </c>
      <c r="N188" s="81" t="str">
        <f ca="1">UPPER(TRIM(_xlfn.XLOOKUP($A188,Строчный!$A:$A,Строчный!O:O,"ERR",0)))</f>
        <v/>
      </c>
      <c r="O188" s="102" t="str">
        <f ca="1">PROPER(TRIM(_xlfn.XLOOKUP($A188,Строчный!$A:$A,Строчный!P:P,"ERR",0)))</f>
        <v/>
      </c>
      <c r="P188" s="81" t="str">
        <f ca="1">PROPER(TRIM(_xlfn.XLOOKUP($A188,Строчный!$A:$A,Строчный!R:R,"ERR",0)))</f>
        <v/>
      </c>
      <c r="Q188" s="90">
        <f ca="1">VALUE(_xlfn.XLOOKUP($A188,Строчный!$A:$A,Строчный!N:N,"ERR",0))</f>
        <v>975.8</v>
      </c>
      <c r="R188" s="89" t="str">
        <f ca="1">_xlfn.XLOOKUP($G188,Фабрика!A:A,Фабрика!B:B,"ERR",0)</f>
        <v>ООО "ФРЭДРИКСОН" Россия 192029, С-Петербург, пр. Обуховской обороны, д.86, лит М</v>
      </c>
      <c r="S188" s="80" t="str">
        <f ca="1">_xlfn.XLOOKUP(RIGHT(AA188,2),Размеры!D:D,Размеры!A:A,"ERR",0)</f>
        <v>57</v>
      </c>
      <c r="T188" s="80">
        <f ca="1">VALUE(_xlfn.XLOOKUP($AA188,Строчный!$S:$S,Строчный!U:U,"ERR",0))</f>
        <v>3</v>
      </c>
      <c r="U188" s="14" t="s">
        <v>265</v>
      </c>
      <c r="V188" s="101" t="str">
        <f t="shared" ca="1" si="16"/>
        <v>Кепка FREDRIKSON арт. 3190 (темно-серый / темно-серый)</v>
      </c>
      <c r="W188" s="100" t="str">
        <f t="shared" ca="1" si="17"/>
        <v>Кепка FREDRIKSON арт. 3190 (темно-серый / темно-серый) {79}</v>
      </c>
      <c r="X188" s="18" t="str">
        <f t="shared" ca="1" si="18"/>
        <v>серый / темно-серый</v>
      </c>
      <c r="Y188" s="18" t="str">
        <f t="shared" ca="1" si="19"/>
        <v>серый / темно-серый</v>
      </c>
      <c r="Z188" s="117" t="s">
        <v>28</v>
      </c>
      <c r="AA188" s="73" t="str">
        <f ca="1"/>
        <v>95-008-68-57</v>
      </c>
      <c r="AB188" s="75" t="str">
        <f ca="1">VLOOKUP(C188,Группа!A:B,2,FALSE)</f>
        <v>Кепка</v>
      </c>
      <c r="AC188" s="97" t="str">
        <f ca="1">IFERROR(VLOOKUP(S188,Размеры!A:C,3,FALSE),"")</f>
        <v>57 M</v>
      </c>
      <c r="AD188" s="97" t="str">
        <f ca="1">VLOOKUP(I188,ЦветПолный!A:B,2,FALSE)</f>
        <v>68</v>
      </c>
      <c r="AE188" s="97" t="str">
        <f ca="1">IFERROR(VLOOKUP(S188,Размеры!A:D,4,FALSE),"")</f>
        <v>57</v>
      </c>
      <c r="AF188" s="97">
        <f ca="1">IF(LEFT(IFERROR(VLOOKUP(LOOKUP(2,1/SEARCH(B188,Товары!A:A),Товары!A:A),Товары!A:B,2,0),""),6)=MID(AA188,1,6),1,0)</f>
        <v>0</v>
      </c>
      <c r="AH188" s="97">
        <f ca="1">SUMIF(Группа!A:A,C188,Группа!C:C)</f>
        <v>1</v>
      </c>
      <c r="AI188" s="97">
        <f ca="1">SUMIF(Группа!B:B,AB188,Группа!C:C)</f>
        <v>1</v>
      </c>
      <c r="AJ188" s="97">
        <f ca="1">SUMIF(Формы!A:A,D188,Формы!B:B)</f>
        <v>1</v>
      </c>
      <c r="AK188" s="97">
        <f ca="1">SUMIF(Материал!A:A,K188,Материал!B:B)</f>
        <v>1</v>
      </c>
      <c r="AL188" s="97">
        <f ca="1">SUMIF(Размеры!A:A,S188,Размеры!E:E)</f>
        <v>1</v>
      </c>
      <c r="AM188" s="97">
        <f ca="1">SUMIF(Сезон!A:A,F188,Сезон!B:B)</f>
        <v>1</v>
      </c>
      <c r="AN188" s="97">
        <f ca="1">SUMIF(Состав!A:A,J188,Состав!B:B)</f>
        <v>0</v>
      </c>
      <c r="AO188" s="97">
        <f ca="1">VLOOKUP(I188,ЦветПолный!A:C,3,0)</f>
        <v>1</v>
      </c>
      <c r="AP188" s="97">
        <f>SUMIF(Цвет!A:A,Z188,Цвет!B:B)</f>
        <v>1</v>
      </c>
      <c r="AQ188" s="97">
        <f ca="1">_xlfn.XLOOKUP(L188,Пол!A:A,Пол!B:B,0,0)</f>
        <v>1</v>
      </c>
      <c r="AR188" s="97">
        <f ca="1">SUMIF(Бренд!A:A,G188,Бренд!B:B)</f>
        <v>1</v>
      </c>
      <c r="AS188" s="97">
        <f ca="1">SUMIF(Страна!A:A,M188,Страна!B:B)</f>
        <v>1</v>
      </c>
      <c r="AT188" s="64" t="e">
        <f ca="1">IF(VLOOKUP(W188,Товары!A:B,2,FALSE)=A188,"Есть в 1С","ERR")</f>
        <v>#N/A</v>
      </c>
      <c r="AU188" s="65" t="e">
        <f ca="1">IF(VLOOKUP(A188,Товары!B:B,1,FALSE)=A188,"Есть в 1С","ERR")</f>
        <v>#N/A</v>
      </c>
      <c r="AV188" s="96" t="e">
        <f ca="1">VLOOKUP(W188,Товары!A:B,2,FALSE)</f>
        <v>#N/A</v>
      </c>
      <c r="AW188" s="94" t="e">
        <f ca="1">VLOOKUP(W188,Товары!A:B,1,FALSE)</f>
        <v>#N/A</v>
      </c>
    </row>
    <row r="189" spans="1:49" x14ac:dyDescent="0.25">
      <c r="A189" s="110" t="str">
        <f t="shared" ca="1" si="15"/>
        <v>95-008-65</v>
      </c>
      <c r="B189" s="107" t="str">
        <f ca="1">_xlfn.LET(_xlpm.CAPS,0,_xlpm.Style,TRIM(_xlfn.XLOOKUP($A189,Строчный!$A:$A,Строчный!B:B,"ERR",0)),IF(_xlpm.CAPS=0,_xlpm.Style,LOWER(_xlpm.Style)))</f>
        <v>3190</v>
      </c>
      <c r="C189" s="81" t="str">
        <f ca="1">TRIM(PROPER(_xlfn.XLOOKUP($A189,Строчный!$A:$A,Строчный!C:C,"ERR",0)))</f>
        <v>Кепки</v>
      </c>
      <c r="D189" s="81" t="str">
        <f ca="1">_xlfn.LET(_xlpm.DATA,TRIM(_xlfn.XLOOKUP($A189,Строчный!$A:$A,Строчный!D:D,"ERR",0)),UPPER(MID(_xlpm.DATA,1,1))&amp;LOWER(MID(_xlpm.DATA,2,LEN(_xlpm.DATA)-1)))</f>
        <v>Кепка восьмиклинка</v>
      </c>
      <c r="E189" s="81" t="str">
        <f ca="1">PROPER(TRIM(_xlfn.XLOOKUP($A189,Строчный!$A:$A,Строчный!E:E,"ERR",0)))</f>
        <v>Fredrikson</v>
      </c>
      <c r="F189" s="81" t="str">
        <f ca="1">LOWER(TRIM(_xlfn.XLOOKUP($A189,Строчный!$A:$A,Строчный!F:F,"ERR",0)))</f>
        <v>всесезон</v>
      </c>
      <c r="G189" s="81" t="str">
        <f ca="1">UPPER(TRIM(_xlfn.XLOOKUP($A189,Строчный!$A:$A,Строчный!G:G,"ERR",0)))</f>
        <v>FREDRIKSON</v>
      </c>
      <c r="H189" s="81" t="str">
        <f ca="1">LOWER(TRIM(_xlfn.XLOOKUP($A189,Строчный!$A:$A,Строчный!H:H,"ERR",0)))</f>
        <v>709/21</v>
      </c>
      <c r="I189" s="81" t="str">
        <f ca="1">LOWER(TRIM(_xlfn.XLOOKUP($A189,Строчный!$A:$A,Строчный!I:I,"ERR",0)))</f>
        <v>темно-синий / белый</v>
      </c>
      <c r="J189" s="81" t="str">
        <f ca="1">SUBSTITUTE(LOWER(TRIM(_xlfn.XLOOKUP($A189,Строчный!$A:$A,Строчный!J:J,"ERR",0))),"подклад","Подклад")</f>
        <v>80% шерсть - 20% полиамид / Подклад: 100% вискоза</v>
      </c>
      <c r="K189" s="81" t="str">
        <f ca="1">LOWER(TRIM(_xlfn.XLOOKUP($A189,Строчный!$A:$A,Строчный!K:K,"ERR",0)))</f>
        <v>шерстяные</v>
      </c>
      <c r="L189" s="81" t="str">
        <f ca="1">PROPER(TRIM(_xlfn.XLOOKUP($A189,Строчный!$A:$A,Строчный!L:L,"ERR",0)))</f>
        <v>Унисекс</v>
      </c>
      <c r="M189" s="113" t="str">
        <f ca="1">PROPER(TRIM(_xlfn.XLOOKUP($A189,Строчный!$A:$A,Строчный!M:M,"ERR",0)))</f>
        <v>Россия</v>
      </c>
      <c r="N189" s="81" t="str">
        <f ca="1">UPPER(TRIM(_xlfn.XLOOKUP($A189,Строчный!$A:$A,Строчный!O:O,"ERR",0)))</f>
        <v/>
      </c>
      <c r="O189" s="102" t="str">
        <f ca="1">PROPER(TRIM(_xlfn.XLOOKUP($A189,Строчный!$A:$A,Строчный!P:P,"ERR",0)))</f>
        <v/>
      </c>
      <c r="P189" s="81" t="str">
        <f ca="1">PROPER(TRIM(_xlfn.XLOOKUP($A189,Строчный!$A:$A,Строчный!R:R,"ERR",0)))</f>
        <v/>
      </c>
      <c r="Q189" s="90">
        <f ca="1">VALUE(_xlfn.XLOOKUP($A189,Строчный!$A:$A,Строчный!N:N,"ERR",0))</f>
        <v>975.8</v>
      </c>
      <c r="R189" s="89" t="str">
        <f ca="1">_xlfn.XLOOKUP($G189,Фабрика!A:A,Фабрика!B:B,"ERR",0)</f>
        <v>ООО "ФРЭДРИКСОН" Россия 192029, С-Петербург, пр. Обуховской обороны, д.86, лит М</v>
      </c>
      <c r="S189" s="80" t="str">
        <f ca="1">_xlfn.XLOOKUP(RIGHT(AA189,2),Размеры!D:D,Размеры!A:A,"ERR",0)</f>
        <v>61</v>
      </c>
      <c r="T189" s="80">
        <f ca="1">VALUE(_xlfn.XLOOKUP($AA189,Строчный!$S:$S,Строчный!U:U,"ERR",0))</f>
        <v>5</v>
      </c>
      <c r="U189" s="14" t="s">
        <v>265</v>
      </c>
      <c r="V189" s="101" t="str">
        <f t="shared" ca="1" si="16"/>
        <v>Кепка FREDRIKSON арт. 3190 (темно-синий / белый)</v>
      </c>
      <c r="W189" s="100" t="str">
        <f t="shared" ca="1" si="17"/>
        <v>Кепка FREDRIKSON арт. 3190 (темно-синий / белый) {709/21}</v>
      </c>
      <c r="X189" s="18" t="str">
        <f t="shared" ca="1" si="18"/>
        <v>синий / белый</v>
      </c>
      <c r="Y189" s="18" t="str">
        <f t="shared" ca="1" si="19"/>
        <v>синий / белый</v>
      </c>
      <c r="Z189" s="117" t="s">
        <v>27</v>
      </c>
      <c r="AA189" s="73" t="str">
        <f ca="1"/>
        <v>95-008-65-61</v>
      </c>
      <c r="AB189" s="75" t="str">
        <f ca="1">VLOOKUP(C189,Группа!A:B,2,FALSE)</f>
        <v>Кепка</v>
      </c>
      <c r="AC189" s="97" t="str">
        <f ca="1">IFERROR(VLOOKUP(S189,Размеры!A:C,3,FALSE),"")</f>
        <v>61 XL</v>
      </c>
      <c r="AD189" s="97" t="str">
        <f ca="1">VLOOKUP(I189,ЦветПолный!A:B,2,FALSE)</f>
        <v>65</v>
      </c>
      <c r="AE189" s="97" t="str">
        <f ca="1">IFERROR(VLOOKUP(S189,Размеры!A:D,4,FALSE),"")</f>
        <v>61</v>
      </c>
      <c r="AF189" s="97">
        <f ca="1">IF(LEFT(IFERROR(VLOOKUP(LOOKUP(2,1/SEARCH(B189,Товары!A:A),Товары!A:A),Товары!A:B,2,0),""),6)=MID(AA189,1,6),1,0)</f>
        <v>0</v>
      </c>
      <c r="AH189" s="97">
        <f ca="1">SUMIF(Группа!A:A,C189,Группа!C:C)</f>
        <v>1</v>
      </c>
      <c r="AI189" s="97">
        <f ca="1">SUMIF(Группа!B:B,AB189,Группа!C:C)</f>
        <v>1</v>
      </c>
      <c r="AJ189" s="97">
        <f ca="1">SUMIF(Формы!A:A,D189,Формы!B:B)</f>
        <v>1</v>
      </c>
      <c r="AK189" s="97">
        <f ca="1">SUMIF(Материал!A:A,K189,Материал!B:B)</f>
        <v>1</v>
      </c>
      <c r="AL189" s="97">
        <f ca="1">SUMIF(Размеры!A:A,S189,Размеры!E:E)</f>
        <v>1</v>
      </c>
      <c r="AM189" s="97">
        <f ca="1">SUMIF(Сезон!A:A,F189,Сезон!B:B)</f>
        <v>1</v>
      </c>
      <c r="AN189" s="97">
        <f ca="1">SUMIF(Состав!A:A,J189,Состав!B:B)</f>
        <v>0</v>
      </c>
      <c r="AO189" s="97">
        <f ca="1">VLOOKUP(I189,ЦветПолный!A:C,3,0)</f>
        <v>1</v>
      </c>
      <c r="AP189" s="97">
        <f>SUMIF(Цвет!A:A,Z189,Цвет!B:B)</f>
        <v>1</v>
      </c>
      <c r="AQ189" s="97">
        <f ca="1">_xlfn.XLOOKUP(L189,Пол!A:A,Пол!B:B,0,0)</f>
        <v>1</v>
      </c>
      <c r="AR189" s="97">
        <f ca="1">SUMIF(Бренд!A:A,G189,Бренд!B:B)</f>
        <v>1</v>
      </c>
      <c r="AS189" s="97">
        <f ca="1">SUMIF(Страна!A:A,M189,Страна!B:B)</f>
        <v>1</v>
      </c>
      <c r="AT189" s="64" t="e">
        <f ca="1">IF(VLOOKUP(W189,Товары!A:B,2,FALSE)=A189,"Есть в 1С","ERR")</f>
        <v>#N/A</v>
      </c>
      <c r="AU189" s="65" t="e">
        <f ca="1">IF(VLOOKUP(A189,Товары!B:B,1,FALSE)=A189,"Есть в 1С","ERR")</f>
        <v>#N/A</v>
      </c>
      <c r="AV189" s="96" t="e">
        <f ca="1">VLOOKUP(W189,Товары!A:B,2,FALSE)</f>
        <v>#N/A</v>
      </c>
      <c r="AW189" s="94" t="e">
        <f ca="1">VLOOKUP(W189,Товары!A:B,1,FALSE)</f>
        <v>#N/A</v>
      </c>
    </row>
    <row r="190" spans="1:49" x14ac:dyDescent="0.25">
      <c r="A190" s="110" t="str">
        <f t="shared" ca="1" si="15"/>
        <v>95-008-65</v>
      </c>
      <c r="B190" s="107" t="str">
        <f ca="1">_xlfn.LET(_xlpm.CAPS,0,_xlpm.Style,TRIM(_xlfn.XLOOKUP($A190,Строчный!$A:$A,Строчный!B:B,"ERR",0)),IF(_xlpm.CAPS=0,_xlpm.Style,LOWER(_xlpm.Style)))</f>
        <v>3190</v>
      </c>
      <c r="C190" s="81" t="str">
        <f ca="1">TRIM(PROPER(_xlfn.XLOOKUP($A190,Строчный!$A:$A,Строчный!C:C,"ERR",0)))</f>
        <v>Кепки</v>
      </c>
      <c r="D190" s="81" t="str">
        <f ca="1">_xlfn.LET(_xlpm.DATA,TRIM(_xlfn.XLOOKUP($A190,Строчный!$A:$A,Строчный!D:D,"ERR",0)),UPPER(MID(_xlpm.DATA,1,1))&amp;LOWER(MID(_xlpm.DATA,2,LEN(_xlpm.DATA)-1)))</f>
        <v>Кепка восьмиклинка</v>
      </c>
      <c r="E190" s="81" t="str">
        <f ca="1">PROPER(TRIM(_xlfn.XLOOKUP($A190,Строчный!$A:$A,Строчный!E:E,"ERR",0)))</f>
        <v>Fredrikson</v>
      </c>
      <c r="F190" s="81" t="str">
        <f ca="1">LOWER(TRIM(_xlfn.XLOOKUP($A190,Строчный!$A:$A,Строчный!F:F,"ERR",0)))</f>
        <v>всесезон</v>
      </c>
      <c r="G190" s="81" t="str">
        <f ca="1">UPPER(TRIM(_xlfn.XLOOKUP($A190,Строчный!$A:$A,Строчный!G:G,"ERR",0)))</f>
        <v>FREDRIKSON</v>
      </c>
      <c r="H190" s="81" t="str">
        <f ca="1">LOWER(TRIM(_xlfn.XLOOKUP($A190,Строчный!$A:$A,Строчный!H:H,"ERR",0)))</f>
        <v>709/21</v>
      </c>
      <c r="I190" s="81" t="str">
        <f ca="1">LOWER(TRIM(_xlfn.XLOOKUP($A190,Строчный!$A:$A,Строчный!I:I,"ERR",0)))</f>
        <v>темно-синий / белый</v>
      </c>
      <c r="J190" s="81" t="str">
        <f ca="1">SUBSTITUTE(LOWER(TRIM(_xlfn.XLOOKUP($A190,Строчный!$A:$A,Строчный!J:J,"ERR",0))),"подклад","Подклад")</f>
        <v>80% шерсть - 20% полиамид / Подклад: 100% вискоза</v>
      </c>
      <c r="K190" s="81" t="str">
        <f ca="1">LOWER(TRIM(_xlfn.XLOOKUP($A190,Строчный!$A:$A,Строчный!K:K,"ERR",0)))</f>
        <v>шерстяные</v>
      </c>
      <c r="L190" s="81" t="str">
        <f ca="1">PROPER(TRIM(_xlfn.XLOOKUP($A190,Строчный!$A:$A,Строчный!L:L,"ERR",0)))</f>
        <v>Унисекс</v>
      </c>
      <c r="M190" s="113" t="str">
        <f ca="1">PROPER(TRIM(_xlfn.XLOOKUP($A190,Строчный!$A:$A,Строчный!M:M,"ERR",0)))</f>
        <v>Россия</v>
      </c>
      <c r="N190" s="81" t="str">
        <f ca="1">UPPER(TRIM(_xlfn.XLOOKUP($A190,Строчный!$A:$A,Строчный!O:O,"ERR",0)))</f>
        <v/>
      </c>
      <c r="O190" s="102" t="str">
        <f ca="1">PROPER(TRIM(_xlfn.XLOOKUP($A190,Строчный!$A:$A,Строчный!P:P,"ERR",0)))</f>
        <v/>
      </c>
      <c r="P190" s="81" t="str">
        <f ca="1">PROPER(TRIM(_xlfn.XLOOKUP($A190,Строчный!$A:$A,Строчный!R:R,"ERR",0)))</f>
        <v/>
      </c>
      <c r="Q190" s="90">
        <f ca="1">VALUE(_xlfn.XLOOKUP($A190,Строчный!$A:$A,Строчный!N:N,"ERR",0))</f>
        <v>975.8</v>
      </c>
      <c r="R190" s="89" t="str">
        <f ca="1">_xlfn.XLOOKUP($G190,Фабрика!A:A,Фабрика!B:B,"ERR",0)</f>
        <v>ООО "ФРЭДРИКСОН" Россия 192029, С-Петербург, пр. Обуховской обороны, д.86, лит М</v>
      </c>
      <c r="S190" s="80" t="str">
        <f ca="1">_xlfn.XLOOKUP(RIGHT(AA190,2),Размеры!D:D,Размеры!A:A,"ERR",0)</f>
        <v>60</v>
      </c>
      <c r="T190" s="80">
        <f ca="1">VALUE(_xlfn.XLOOKUP($AA190,Строчный!$S:$S,Строчный!U:U,"ERR",0))</f>
        <v>5</v>
      </c>
      <c r="U190" s="14" t="s">
        <v>265</v>
      </c>
      <c r="V190" s="101" t="str">
        <f t="shared" ca="1" si="16"/>
        <v>Кепка FREDRIKSON арт. 3190 (темно-синий / белый)</v>
      </c>
      <c r="W190" s="100" t="str">
        <f t="shared" ca="1" si="17"/>
        <v>Кепка FREDRIKSON арт. 3190 (темно-синий / белый) {709/21}</v>
      </c>
      <c r="X190" s="18" t="str">
        <f t="shared" ca="1" si="18"/>
        <v>синий / белый</v>
      </c>
      <c r="Y190" s="18" t="str">
        <f t="shared" ca="1" si="19"/>
        <v>синий / белый</v>
      </c>
      <c r="Z190" s="117" t="s">
        <v>27</v>
      </c>
      <c r="AA190" s="73" t="str">
        <f ca="1"/>
        <v>95-008-65-60</v>
      </c>
      <c r="AB190" s="75" t="str">
        <f ca="1">VLOOKUP(C190,Группа!A:B,2,FALSE)</f>
        <v>Кепка</v>
      </c>
      <c r="AC190" s="97" t="str">
        <f ca="1">IFERROR(VLOOKUP(S190,Размеры!A:C,3,FALSE),"")</f>
        <v>60 L/XL</v>
      </c>
      <c r="AD190" s="97" t="str">
        <f ca="1">VLOOKUP(I190,ЦветПолный!A:B,2,FALSE)</f>
        <v>65</v>
      </c>
      <c r="AE190" s="97" t="str">
        <f ca="1">IFERROR(VLOOKUP(S190,Размеры!A:D,4,FALSE),"")</f>
        <v>60</v>
      </c>
      <c r="AF190" s="97">
        <f ca="1">IF(LEFT(IFERROR(VLOOKUP(LOOKUP(2,1/SEARCH(B190,Товары!A:A),Товары!A:A),Товары!A:B,2,0),""),6)=MID(AA190,1,6),1,0)</f>
        <v>0</v>
      </c>
      <c r="AH190" s="97">
        <f ca="1">SUMIF(Группа!A:A,C190,Группа!C:C)</f>
        <v>1</v>
      </c>
      <c r="AI190" s="97">
        <f ca="1">SUMIF(Группа!B:B,AB190,Группа!C:C)</f>
        <v>1</v>
      </c>
      <c r="AJ190" s="97">
        <f ca="1">SUMIF(Формы!A:A,D190,Формы!B:B)</f>
        <v>1</v>
      </c>
      <c r="AK190" s="97">
        <f ca="1">SUMIF(Материал!A:A,K190,Материал!B:B)</f>
        <v>1</v>
      </c>
      <c r="AL190" s="97">
        <f ca="1">SUMIF(Размеры!A:A,S190,Размеры!E:E)</f>
        <v>1</v>
      </c>
      <c r="AM190" s="97">
        <f ca="1">SUMIF(Сезон!A:A,F190,Сезон!B:B)</f>
        <v>1</v>
      </c>
      <c r="AN190" s="97">
        <f ca="1">SUMIF(Состав!A:A,J190,Состав!B:B)</f>
        <v>0</v>
      </c>
      <c r="AO190" s="97">
        <f ca="1">VLOOKUP(I190,ЦветПолный!A:C,3,0)</f>
        <v>1</v>
      </c>
      <c r="AP190" s="97">
        <f>SUMIF(Цвет!A:A,Z190,Цвет!B:B)</f>
        <v>1</v>
      </c>
      <c r="AQ190" s="97">
        <f ca="1">_xlfn.XLOOKUP(L190,Пол!A:A,Пол!B:B,0,0)</f>
        <v>1</v>
      </c>
      <c r="AR190" s="97">
        <f ca="1">SUMIF(Бренд!A:A,G190,Бренд!B:B)</f>
        <v>1</v>
      </c>
      <c r="AS190" s="97">
        <f ca="1">SUMIF(Страна!A:A,M190,Страна!B:B)</f>
        <v>1</v>
      </c>
      <c r="AT190" s="64" t="e">
        <f ca="1">IF(VLOOKUP(W190,Товары!A:B,2,FALSE)=A190,"Есть в 1С","ERR")</f>
        <v>#N/A</v>
      </c>
      <c r="AU190" s="65" t="e">
        <f ca="1">IF(VLOOKUP(A190,Товары!B:B,1,FALSE)=A190,"Есть в 1С","ERR")</f>
        <v>#N/A</v>
      </c>
      <c r="AV190" s="96" t="e">
        <f ca="1">VLOOKUP(W190,Товары!A:B,2,FALSE)</f>
        <v>#N/A</v>
      </c>
      <c r="AW190" s="94" t="e">
        <f ca="1">VLOOKUP(W190,Товары!A:B,1,FALSE)</f>
        <v>#N/A</v>
      </c>
    </row>
    <row r="191" spans="1:49" x14ac:dyDescent="0.25">
      <c r="A191" s="110" t="str">
        <f t="shared" ca="1" si="15"/>
        <v>95-008-65</v>
      </c>
      <c r="B191" s="107" t="str">
        <f ca="1">_xlfn.LET(_xlpm.CAPS,0,_xlpm.Style,TRIM(_xlfn.XLOOKUP($A191,Строчный!$A:$A,Строчный!B:B,"ERR",0)),IF(_xlpm.CAPS=0,_xlpm.Style,LOWER(_xlpm.Style)))</f>
        <v>3190</v>
      </c>
      <c r="C191" s="81" t="str">
        <f ca="1">TRIM(PROPER(_xlfn.XLOOKUP($A191,Строчный!$A:$A,Строчный!C:C,"ERR",0)))</f>
        <v>Кепки</v>
      </c>
      <c r="D191" s="81" t="str">
        <f ca="1">_xlfn.LET(_xlpm.DATA,TRIM(_xlfn.XLOOKUP($A191,Строчный!$A:$A,Строчный!D:D,"ERR",0)),UPPER(MID(_xlpm.DATA,1,1))&amp;LOWER(MID(_xlpm.DATA,2,LEN(_xlpm.DATA)-1)))</f>
        <v>Кепка восьмиклинка</v>
      </c>
      <c r="E191" s="81" t="str">
        <f ca="1">PROPER(TRIM(_xlfn.XLOOKUP($A191,Строчный!$A:$A,Строчный!E:E,"ERR",0)))</f>
        <v>Fredrikson</v>
      </c>
      <c r="F191" s="81" t="str">
        <f ca="1">LOWER(TRIM(_xlfn.XLOOKUP($A191,Строчный!$A:$A,Строчный!F:F,"ERR",0)))</f>
        <v>всесезон</v>
      </c>
      <c r="G191" s="81" t="str">
        <f ca="1">UPPER(TRIM(_xlfn.XLOOKUP($A191,Строчный!$A:$A,Строчный!G:G,"ERR",0)))</f>
        <v>FREDRIKSON</v>
      </c>
      <c r="H191" s="81" t="str">
        <f ca="1">LOWER(TRIM(_xlfn.XLOOKUP($A191,Строчный!$A:$A,Строчный!H:H,"ERR",0)))</f>
        <v>709/21</v>
      </c>
      <c r="I191" s="81" t="str">
        <f ca="1">LOWER(TRIM(_xlfn.XLOOKUP($A191,Строчный!$A:$A,Строчный!I:I,"ERR",0)))</f>
        <v>темно-синий / белый</v>
      </c>
      <c r="J191" s="81" t="str">
        <f ca="1">SUBSTITUTE(LOWER(TRIM(_xlfn.XLOOKUP($A191,Строчный!$A:$A,Строчный!J:J,"ERR",0))),"подклад","Подклад")</f>
        <v>80% шерсть - 20% полиамид / Подклад: 100% вискоза</v>
      </c>
      <c r="K191" s="81" t="str">
        <f ca="1">LOWER(TRIM(_xlfn.XLOOKUP($A191,Строчный!$A:$A,Строчный!K:K,"ERR",0)))</f>
        <v>шерстяные</v>
      </c>
      <c r="L191" s="81" t="str">
        <f ca="1">PROPER(TRIM(_xlfn.XLOOKUP($A191,Строчный!$A:$A,Строчный!L:L,"ERR",0)))</f>
        <v>Унисекс</v>
      </c>
      <c r="M191" s="113" t="str">
        <f ca="1">PROPER(TRIM(_xlfn.XLOOKUP($A191,Строчный!$A:$A,Строчный!M:M,"ERR",0)))</f>
        <v>Россия</v>
      </c>
      <c r="N191" s="81" t="str">
        <f ca="1">UPPER(TRIM(_xlfn.XLOOKUP($A191,Строчный!$A:$A,Строчный!O:O,"ERR",0)))</f>
        <v/>
      </c>
      <c r="O191" s="102" t="str">
        <f ca="1">PROPER(TRIM(_xlfn.XLOOKUP($A191,Строчный!$A:$A,Строчный!P:P,"ERR",0)))</f>
        <v/>
      </c>
      <c r="P191" s="81" t="str">
        <f ca="1">PROPER(TRIM(_xlfn.XLOOKUP($A191,Строчный!$A:$A,Строчный!R:R,"ERR",0)))</f>
        <v/>
      </c>
      <c r="Q191" s="90">
        <f ca="1">VALUE(_xlfn.XLOOKUP($A191,Строчный!$A:$A,Строчный!N:N,"ERR",0))</f>
        <v>975.8</v>
      </c>
      <c r="R191" s="89" t="str">
        <f ca="1">_xlfn.XLOOKUP($G191,Фабрика!A:A,Фабрика!B:B,"ERR",0)</f>
        <v>ООО "ФРЭДРИКСОН" Россия 192029, С-Петербург, пр. Обуховской обороны, д.86, лит М</v>
      </c>
      <c r="S191" s="80" t="str">
        <f ca="1">_xlfn.XLOOKUP(RIGHT(AA191,2),Размеры!D:D,Размеры!A:A,"ERR",0)</f>
        <v>59</v>
      </c>
      <c r="T191" s="80">
        <f ca="1">VALUE(_xlfn.XLOOKUP($AA191,Строчный!$S:$S,Строчный!U:U,"ERR",0))</f>
        <v>8</v>
      </c>
      <c r="U191" s="14" t="s">
        <v>265</v>
      </c>
      <c r="V191" s="101" t="str">
        <f t="shared" ca="1" si="16"/>
        <v>Кепка FREDRIKSON арт. 3190 (темно-синий / белый)</v>
      </c>
      <c r="W191" s="100" t="str">
        <f t="shared" ca="1" si="17"/>
        <v>Кепка FREDRIKSON арт. 3190 (темно-синий / белый) {709/21}</v>
      </c>
      <c r="X191" s="18" t="str">
        <f t="shared" ca="1" si="18"/>
        <v>синий / белый</v>
      </c>
      <c r="Y191" s="18" t="str">
        <f t="shared" ca="1" si="19"/>
        <v>синий / белый</v>
      </c>
      <c r="Z191" s="117" t="s">
        <v>27</v>
      </c>
      <c r="AA191" s="73" t="str">
        <f ca="1"/>
        <v>95-008-65-59</v>
      </c>
      <c r="AB191" s="75" t="str">
        <f ca="1">VLOOKUP(C191,Группа!A:B,2,FALSE)</f>
        <v>Кепка</v>
      </c>
      <c r="AC191" s="97" t="str">
        <f ca="1">IFERROR(VLOOKUP(S191,Размеры!A:C,3,FALSE),"")</f>
        <v>59 L</v>
      </c>
      <c r="AD191" s="97" t="str">
        <f ca="1">VLOOKUP(I191,ЦветПолный!A:B,2,FALSE)</f>
        <v>65</v>
      </c>
      <c r="AE191" s="97" t="str">
        <f ca="1">IFERROR(VLOOKUP(S191,Размеры!A:D,4,FALSE),"")</f>
        <v>59</v>
      </c>
      <c r="AF191" s="97">
        <f ca="1">IF(LEFT(IFERROR(VLOOKUP(LOOKUP(2,1/SEARCH(B191,Товары!A:A),Товары!A:A),Товары!A:B,2,0),""),6)=MID(AA191,1,6),1,0)</f>
        <v>0</v>
      </c>
      <c r="AH191" s="97">
        <f ca="1">SUMIF(Группа!A:A,C191,Группа!C:C)</f>
        <v>1</v>
      </c>
      <c r="AI191" s="97">
        <f ca="1">SUMIF(Группа!B:B,AB191,Группа!C:C)</f>
        <v>1</v>
      </c>
      <c r="AJ191" s="97">
        <f ca="1">SUMIF(Формы!A:A,D191,Формы!B:B)</f>
        <v>1</v>
      </c>
      <c r="AK191" s="97">
        <f ca="1">SUMIF(Материал!A:A,K191,Материал!B:B)</f>
        <v>1</v>
      </c>
      <c r="AL191" s="97">
        <f ca="1">SUMIF(Размеры!A:A,S191,Размеры!E:E)</f>
        <v>1</v>
      </c>
      <c r="AM191" s="97">
        <f ca="1">SUMIF(Сезон!A:A,F191,Сезон!B:B)</f>
        <v>1</v>
      </c>
      <c r="AN191" s="97">
        <f ca="1">SUMIF(Состав!A:A,J191,Состав!B:B)</f>
        <v>0</v>
      </c>
      <c r="AO191" s="97">
        <f ca="1">VLOOKUP(I191,ЦветПолный!A:C,3,0)</f>
        <v>1</v>
      </c>
      <c r="AP191" s="97">
        <f>SUMIF(Цвет!A:A,Z191,Цвет!B:B)</f>
        <v>1</v>
      </c>
      <c r="AQ191" s="97">
        <f ca="1">_xlfn.XLOOKUP(L191,Пол!A:A,Пол!B:B,0,0)</f>
        <v>1</v>
      </c>
      <c r="AR191" s="97">
        <f ca="1">SUMIF(Бренд!A:A,G191,Бренд!B:B)</f>
        <v>1</v>
      </c>
      <c r="AS191" s="97">
        <f ca="1">SUMIF(Страна!A:A,M191,Страна!B:B)</f>
        <v>1</v>
      </c>
      <c r="AT191" s="64" t="e">
        <f ca="1">IF(VLOOKUP(W191,Товары!A:B,2,FALSE)=A191,"Есть в 1С","ERR")</f>
        <v>#N/A</v>
      </c>
      <c r="AU191" s="65" t="e">
        <f ca="1">IF(VLOOKUP(A191,Товары!B:B,1,FALSE)=A191,"Есть в 1С","ERR")</f>
        <v>#N/A</v>
      </c>
      <c r="AV191" s="96" t="e">
        <f ca="1">VLOOKUP(W191,Товары!A:B,2,FALSE)</f>
        <v>#N/A</v>
      </c>
      <c r="AW191" s="94" t="e">
        <f ca="1">VLOOKUP(W191,Товары!A:B,1,FALSE)</f>
        <v>#N/A</v>
      </c>
    </row>
    <row r="192" spans="1:49" x14ac:dyDescent="0.25">
      <c r="A192" s="110" t="str">
        <f t="shared" ca="1" si="15"/>
        <v>95-008-65</v>
      </c>
      <c r="B192" s="107" t="str">
        <f ca="1">_xlfn.LET(_xlpm.CAPS,0,_xlpm.Style,TRIM(_xlfn.XLOOKUP($A192,Строчный!$A:$A,Строчный!B:B,"ERR",0)),IF(_xlpm.CAPS=0,_xlpm.Style,LOWER(_xlpm.Style)))</f>
        <v>3190</v>
      </c>
      <c r="C192" s="81" t="str">
        <f ca="1">TRIM(PROPER(_xlfn.XLOOKUP($A192,Строчный!$A:$A,Строчный!C:C,"ERR",0)))</f>
        <v>Кепки</v>
      </c>
      <c r="D192" s="81" t="str">
        <f ca="1">_xlfn.LET(_xlpm.DATA,TRIM(_xlfn.XLOOKUP($A192,Строчный!$A:$A,Строчный!D:D,"ERR",0)),UPPER(MID(_xlpm.DATA,1,1))&amp;LOWER(MID(_xlpm.DATA,2,LEN(_xlpm.DATA)-1)))</f>
        <v>Кепка восьмиклинка</v>
      </c>
      <c r="E192" s="81" t="str">
        <f ca="1">PROPER(TRIM(_xlfn.XLOOKUP($A192,Строчный!$A:$A,Строчный!E:E,"ERR",0)))</f>
        <v>Fredrikson</v>
      </c>
      <c r="F192" s="81" t="str">
        <f ca="1">LOWER(TRIM(_xlfn.XLOOKUP($A192,Строчный!$A:$A,Строчный!F:F,"ERR",0)))</f>
        <v>всесезон</v>
      </c>
      <c r="G192" s="81" t="str">
        <f ca="1">UPPER(TRIM(_xlfn.XLOOKUP($A192,Строчный!$A:$A,Строчный!G:G,"ERR",0)))</f>
        <v>FREDRIKSON</v>
      </c>
      <c r="H192" s="81" t="str">
        <f ca="1">LOWER(TRIM(_xlfn.XLOOKUP($A192,Строчный!$A:$A,Строчный!H:H,"ERR",0)))</f>
        <v>709/21</v>
      </c>
      <c r="I192" s="81" t="str">
        <f ca="1">LOWER(TRIM(_xlfn.XLOOKUP($A192,Строчный!$A:$A,Строчный!I:I,"ERR",0)))</f>
        <v>темно-синий / белый</v>
      </c>
      <c r="J192" s="81" t="str">
        <f ca="1">SUBSTITUTE(LOWER(TRIM(_xlfn.XLOOKUP($A192,Строчный!$A:$A,Строчный!J:J,"ERR",0))),"подклад","Подклад")</f>
        <v>80% шерсть - 20% полиамид / Подклад: 100% вискоза</v>
      </c>
      <c r="K192" s="81" t="str">
        <f ca="1">LOWER(TRIM(_xlfn.XLOOKUP($A192,Строчный!$A:$A,Строчный!K:K,"ERR",0)))</f>
        <v>шерстяные</v>
      </c>
      <c r="L192" s="81" t="str">
        <f ca="1">PROPER(TRIM(_xlfn.XLOOKUP($A192,Строчный!$A:$A,Строчный!L:L,"ERR",0)))</f>
        <v>Унисекс</v>
      </c>
      <c r="M192" s="113" t="str">
        <f ca="1">PROPER(TRIM(_xlfn.XLOOKUP($A192,Строчный!$A:$A,Строчный!M:M,"ERR",0)))</f>
        <v>Россия</v>
      </c>
      <c r="N192" s="81" t="str">
        <f ca="1">UPPER(TRIM(_xlfn.XLOOKUP($A192,Строчный!$A:$A,Строчный!O:O,"ERR",0)))</f>
        <v/>
      </c>
      <c r="O192" s="102" t="str">
        <f ca="1">PROPER(TRIM(_xlfn.XLOOKUP($A192,Строчный!$A:$A,Строчный!P:P,"ERR",0)))</f>
        <v/>
      </c>
      <c r="P192" s="81" t="str">
        <f ca="1">PROPER(TRIM(_xlfn.XLOOKUP($A192,Строчный!$A:$A,Строчный!R:R,"ERR",0)))</f>
        <v/>
      </c>
      <c r="Q192" s="90">
        <f ca="1">VALUE(_xlfn.XLOOKUP($A192,Строчный!$A:$A,Строчный!N:N,"ERR",0))</f>
        <v>975.8</v>
      </c>
      <c r="R192" s="89" t="str">
        <f ca="1">_xlfn.XLOOKUP($G192,Фабрика!A:A,Фабрика!B:B,"ERR",0)</f>
        <v>ООО "ФРЭДРИКСОН" Россия 192029, С-Петербург, пр. Обуховской обороны, д.86, лит М</v>
      </c>
      <c r="S192" s="80" t="str">
        <f ca="1">_xlfn.XLOOKUP(RIGHT(AA192,2),Размеры!D:D,Размеры!A:A,"ERR",0)</f>
        <v>58</v>
      </c>
      <c r="T192" s="80">
        <f ca="1">VALUE(_xlfn.XLOOKUP($AA192,Строчный!$S:$S,Строчный!U:U,"ERR",0))</f>
        <v>5</v>
      </c>
      <c r="U192" s="14" t="s">
        <v>265</v>
      </c>
      <c r="V192" s="101" t="str">
        <f t="shared" ca="1" si="16"/>
        <v>Кепка FREDRIKSON арт. 3190 (темно-синий / белый)</v>
      </c>
      <c r="W192" s="100" t="str">
        <f t="shared" ca="1" si="17"/>
        <v>Кепка FREDRIKSON арт. 3190 (темно-синий / белый) {709/21}</v>
      </c>
      <c r="X192" s="18" t="str">
        <f t="shared" ca="1" si="18"/>
        <v>синий / белый</v>
      </c>
      <c r="Y192" s="18" t="str">
        <f t="shared" ca="1" si="19"/>
        <v>синий / белый</v>
      </c>
      <c r="Z192" s="117" t="s">
        <v>27</v>
      </c>
      <c r="AA192" s="73" t="str">
        <f ca="1"/>
        <v>95-008-65-58</v>
      </c>
      <c r="AB192" s="75" t="str">
        <f ca="1">VLOOKUP(C192,Группа!A:B,2,FALSE)</f>
        <v>Кепка</v>
      </c>
      <c r="AC192" s="97" t="str">
        <f ca="1">IFERROR(VLOOKUP(S192,Размеры!A:C,3,FALSE),"")</f>
        <v>58 M/L</v>
      </c>
      <c r="AD192" s="97" t="str">
        <f ca="1">VLOOKUP(I192,ЦветПолный!A:B,2,FALSE)</f>
        <v>65</v>
      </c>
      <c r="AE192" s="97" t="str">
        <f ca="1">IFERROR(VLOOKUP(S192,Размеры!A:D,4,FALSE),"")</f>
        <v>58</v>
      </c>
      <c r="AF192" s="97">
        <f ca="1">IF(LEFT(IFERROR(VLOOKUP(LOOKUP(2,1/SEARCH(B192,Товары!A:A),Товары!A:A),Товары!A:B,2,0),""),6)=MID(AA192,1,6),1,0)</f>
        <v>0</v>
      </c>
      <c r="AH192" s="97">
        <f ca="1">SUMIF(Группа!A:A,C192,Группа!C:C)</f>
        <v>1</v>
      </c>
      <c r="AI192" s="97">
        <f ca="1">SUMIF(Группа!B:B,AB192,Группа!C:C)</f>
        <v>1</v>
      </c>
      <c r="AJ192" s="97">
        <f ca="1">SUMIF(Формы!A:A,D192,Формы!B:B)</f>
        <v>1</v>
      </c>
      <c r="AK192" s="97">
        <f ca="1">SUMIF(Материал!A:A,K192,Материал!B:B)</f>
        <v>1</v>
      </c>
      <c r="AL192" s="97">
        <f ca="1">SUMIF(Размеры!A:A,S192,Размеры!E:E)</f>
        <v>1</v>
      </c>
      <c r="AM192" s="97">
        <f ca="1">SUMIF(Сезон!A:A,F192,Сезон!B:B)</f>
        <v>1</v>
      </c>
      <c r="AN192" s="97">
        <f ca="1">SUMIF(Состав!A:A,J192,Состав!B:B)</f>
        <v>0</v>
      </c>
      <c r="AO192" s="97">
        <f ca="1">VLOOKUP(I192,ЦветПолный!A:C,3,0)</f>
        <v>1</v>
      </c>
      <c r="AP192" s="97">
        <f>SUMIF(Цвет!A:A,Z192,Цвет!B:B)</f>
        <v>1</v>
      </c>
      <c r="AQ192" s="97">
        <f ca="1">_xlfn.XLOOKUP(L192,Пол!A:A,Пол!B:B,0,0)</f>
        <v>1</v>
      </c>
      <c r="AR192" s="97">
        <f ca="1">SUMIF(Бренд!A:A,G192,Бренд!B:B)</f>
        <v>1</v>
      </c>
      <c r="AS192" s="97">
        <f ca="1">SUMIF(Страна!A:A,M192,Страна!B:B)</f>
        <v>1</v>
      </c>
      <c r="AT192" s="64" t="e">
        <f ca="1">IF(VLOOKUP(W192,Товары!A:B,2,FALSE)=A192,"Есть в 1С","ERR")</f>
        <v>#N/A</v>
      </c>
      <c r="AU192" s="65" t="e">
        <f ca="1">IF(VLOOKUP(A192,Товары!B:B,1,FALSE)=A192,"Есть в 1С","ERR")</f>
        <v>#N/A</v>
      </c>
      <c r="AV192" s="96" t="e">
        <f ca="1">VLOOKUP(W192,Товары!A:B,2,FALSE)</f>
        <v>#N/A</v>
      </c>
      <c r="AW192" s="94" t="e">
        <f ca="1">VLOOKUP(W192,Товары!A:B,1,FALSE)</f>
        <v>#N/A</v>
      </c>
    </row>
    <row r="193" spans="1:49" x14ac:dyDescent="0.25">
      <c r="A193" s="110" t="str">
        <f t="shared" ca="1" si="15"/>
        <v>95-008-57</v>
      </c>
      <c r="B193" s="107" t="str">
        <f ca="1">_xlfn.LET(_xlpm.CAPS,0,_xlpm.Style,TRIM(_xlfn.XLOOKUP($A193,Строчный!$A:$A,Строчный!B:B,"ERR",0)),IF(_xlpm.CAPS=0,_xlpm.Style,LOWER(_xlpm.Style)))</f>
        <v>3190</v>
      </c>
      <c r="C193" s="81" t="str">
        <f ca="1">TRIM(PROPER(_xlfn.XLOOKUP($A193,Строчный!$A:$A,Строчный!C:C,"ERR",0)))</f>
        <v>Кепки</v>
      </c>
      <c r="D193" s="81" t="str">
        <f ca="1">_xlfn.LET(_xlpm.DATA,TRIM(_xlfn.XLOOKUP($A193,Строчный!$A:$A,Строчный!D:D,"ERR",0)),UPPER(MID(_xlpm.DATA,1,1))&amp;LOWER(MID(_xlpm.DATA,2,LEN(_xlpm.DATA)-1)))</f>
        <v>Кепка восьмиклинка</v>
      </c>
      <c r="E193" s="81" t="str">
        <f ca="1">PROPER(TRIM(_xlfn.XLOOKUP($A193,Строчный!$A:$A,Строчный!E:E,"ERR",0)))</f>
        <v>Fredrikson</v>
      </c>
      <c r="F193" s="81" t="str">
        <f ca="1">LOWER(TRIM(_xlfn.XLOOKUP($A193,Строчный!$A:$A,Строчный!F:F,"ERR",0)))</f>
        <v>всесезон</v>
      </c>
      <c r="G193" s="81" t="str">
        <f ca="1">UPPER(TRIM(_xlfn.XLOOKUP($A193,Строчный!$A:$A,Строчный!G:G,"ERR",0)))</f>
        <v>FREDRIKSON</v>
      </c>
      <c r="H193" s="81" t="str">
        <f ca="1">LOWER(TRIM(_xlfn.XLOOKUP($A193,Строчный!$A:$A,Строчный!H:H,"ERR",0)))</f>
        <v>685/55</v>
      </c>
      <c r="I193" s="81" t="str">
        <f ca="1">LOWER(TRIM(_xlfn.XLOOKUP($A193,Строчный!$A:$A,Строчный!I:I,"ERR",0)))</f>
        <v>светло-бежевый / черный</v>
      </c>
      <c r="J193" s="81" t="str">
        <f ca="1">SUBSTITUTE(LOWER(TRIM(_xlfn.XLOOKUP($A193,Строчный!$A:$A,Строчный!J:J,"ERR",0))),"подклад","Подклад")</f>
        <v>80% шерсть - 20% полиамид / Подклад: 100% вискоза</v>
      </c>
      <c r="K193" s="81" t="str">
        <f ca="1">LOWER(TRIM(_xlfn.XLOOKUP($A193,Строчный!$A:$A,Строчный!K:K,"ERR",0)))</f>
        <v>шерстяные</v>
      </c>
      <c r="L193" s="81" t="str">
        <f ca="1">PROPER(TRIM(_xlfn.XLOOKUP($A193,Строчный!$A:$A,Строчный!L:L,"ERR",0)))</f>
        <v>Унисекс</v>
      </c>
      <c r="M193" s="113" t="str">
        <f ca="1">PROPER(TRIM(_xlfn.XLOOKUP($A193,Строчный!$A:$A,Строчный!M:M,"ERR",0)))</f>
        <v>Россия</v>
      </c>
      <c r="N193" s="81" t="str">
        <f ca="1">UPPER(TRIM(_xlfn.XLOOKUP($A193,Строчный!$A:$A,Строчный!O:O,"ERR",0)))</f>
        <v/>
      </c>
      <c r="O193" s="102" t="str">
        <f ca="1">PROPER(TRIM(_xlfn.XLOOKUP($A193,Строчный!$A:$A,Строчный!P:P,"ERR",0)))</f>
        <v/>
      </c>
      <c r="P193" s="81" t="str">
        <f ca="1">PROPER(TRIM(_xlfn.XLOOKUP($A193,Строчный!$A:$A,Строчный!R:R,"ERR",0)))</f>
        <v/>
      </c>
      <c r="Q193" s="90">
        <f ca="1">VALUE(_xlfn.XLOOKUP($A193,Строчный!$A:$A,Строчный!N:N,"ERR",0))</f>
        <v>975.8</v>
      </c>
      <c r="R193" s="89" t="str">
        <f ca="1">_xlfn.XLOOKUP($G193,Фабрика!A:A,Фабрика!B:B,"ERR",0)</f>
        <v>ООО "ФРЭДРИКСОН" Россия 192029, С-Петербург, пр. Обуховской обороны, д.86, лит М</v>
      </c>
      <c r="S193" s="80" t="str">
        <f ca="1">_xlfn.XLOOKUP(RIGHT(AA193,2),Размеры!D:D,Размеры!A:A,"ERR",0)</f>
        <v>61</v>
      </c>
      <c r="T193" s="80">
        <f ca="1">VALUE(_xlfn.XLOOKUP($AA193,Строчный!$S:$S,Строчный!U:U,"ERR",0))</f>
        <v>1</v>
      </c>
      <c r="U193" s="14" t="s">
        <v>265</v>
      </c>
      <c r="V193" s="101" t="str">
        <f t="shared" ca="1" si="16"/>
        <v>Кепка FREDRIKSON арт. 3190 (светло-бежевый / черный)</v>
      </c>
      <c r="W193" s="100" t="str">
        <f t="shared" ca="1" si="17"/>
        <v>Кепка FREDRIKSON арт. 3190 (светло-бежевый / черный) {685/55}</v>
      </c>
      <c r="X193" s="18" t="str">
        <f t="shared" ca="1" si="18"/>
        <v>бежевый / черный</v>
      </c>
      <c r="Y193" s="18" t="str">
        <f t="shared" ca="1" si="19"/>
        <v>бежевый / черный</v>
      </c>
      <c r="Z193" s="117" t="s">
        <v>52</v>
      </c>
      <c r="AA193" s="73" t="str">
        <f ca="1"/>
        <v>95-008-57-61</v>
      </c>
      <c r="AB193" s="75" t="str">
        <f ca="1">VLOOKUP(C193,Группа!A:B,2,FALSE)</f>
        <v>Кепка</v>
      </c>
      <c r="AC193" s="97" t="str">
        <f ca="1">IFERROR(VLOOKUP(S193,Размеры!A:C,3,FALSE),"")</f>
        <v>61 XL</v>
      </c>
      <c r="AD193" s="97" t="str">
        <f ca="1">VLOOKUP(I193,ЦветПолный!A:B,2,FALSE)</f>
        <v>57</v>
      </c>
      <c r="AE193" s="97" t="str">
        <f ca="1">IFERROR(VLOOKUP(S193,Размеры!A:D,4,FALSE),"")</f>
        <v>61</v>
      </c>
      <c r="AF193" s="97">
        <f ca="1">IF(LEFT(IFERROR(VLOOKUP(LOOKUP(2,1/SEARCH(B193,Товары!A:A),Товары!A:A),Товары!A:B,2,0),""),6)=MID(AA193,1,6),1,0)</f>
        <v>0</v>
      </c>
      <c r="AH193" s="97">
        <f ca="1">SUMIF(Группа!A:A,C193,Группа!C:C)</f>
        <v>1</v>
      </c>
      <c r="AI193" s="97">
        <f ca="1">SUMIF(Группа!B:B,AB193,Группа!C:C)</f>
        <v>1</v>
      </c>
      <c r="AJ193" s="97">
        <f ca="1">SUMIF(Формы!A:A,D193,Формы!B:B)</f>
        <v>1</v>
      </c>
      <c r="AK193" s="97">
        <f ca="1">SUMIF(Материал!A:A,K193,Материал!B:B)</f>
        <v>1</v>
      </c>
      <c r="AL193" s="97">
        <f ca="1">SUMIF(Размеры!A:A,S193,Размеры!E:E)</f>
        <v>1</v>
      </c>
      <c r="AM193" s="97">
        <f ca="1">SUMIF(Сезон!A:A,F193,Сезон!B:B)</f>
        <v>1</v>
      </c>
      <c r="AN193" s="97">
        <f ca="1">SUMIF(Состав!A:A,J193,Состав!B:B)</f>
        <v>0</v>
      </c>
      <c r="AO193" s="97">
        <f ca="1">VLOOKUP(I193,ЦветПолный!A:C,3,0)</f>
        <v>1</v>
      </c>
      <c r="AP193" s="97">
        <f>SUMIF(Цвет!A:A,Z193,Цвет!B:B)</f>
        <v>1</v>
      </c>
      <c r="AQ193" s="97">
        <f ca="1">_xlfn.XLOOKUP(L193,Пол!A:A,Пол!B:B,0,0)</f>
        <v>1</v>
      </c>
      <c r="AR193" s="97">
        <f ca="1">SUMIF(Бренд!A:A,G193,Бренд!B:B)</f>
        <v>1</v>
      </c>
      <c r="AS193" s="97">
        <f ca="1">SUMIF(Страна!A:A,M193,Страна!B:B)</f>
        <v>1</v>
      </c>
      <c r="AT193" s="64" t="e">
        <f ca="1">IF(VLOOKUP(W193,Товары!A:B,2,FALSE)=A193,"Есть в 1С","ERR")</f>
        <v>#N/A</v>
      </c>
      <c r="AU193" s="65" t="e">
        <f ca="1">IF(VLOOKUP(A193,Товары!B:B,1,FALSE)=A193,"Есть в 1С","ERR")</f>
        <v>#N/A</v>
      </c>
      <c r="AV193" s="96" t="e">
        <f ca="1">VLOOKUP(W193,Товары!A:B,2,FALSE)</f>
        <v>#N/A</v>
      </c>
      <c r="AW193" s="94" t="e">
        <f ca="1">VLOOKUP(W193,Товары!A:B,1,FALSE)</f>
        <v>#N/A</v>
      </c>
    </row>
    <row r="194" spans="1:49" x14ac:dyDescent="0.25">
      <c r="A194" s="110" t="str">
        <f t="shared" ca="1" si="15"/>
        <v>95-008-57</v>
      </c>
      <c r="B194" s="107" t="str">
        <f ca="1">_xlfn.LET(_xlpm.CAPS,0,_xlpm.Style,TRIM(_xlfn.XLOOKUP($A194,Строчный!$A:$A,Строчный!B:B,"ERR",0)),IF(_xlpm.CAPS=0,_xlpm.Style,LOWER(_xlpm.Style)))</f>
        <v>3190</v>
      </c>
      <c r="C194" s="81" t="str">
        <f ca="1">TRIM(PROPER(_xlfn.XLOOKUP($A194,Строчный!$A:$A,Строчный!C:C,"ERR",0)))</f>
        <v>Кепки</v>
      </c>
      <c r="D194" s="81" t="str">
        <f ca="1">_xlfn.LET(_xlpm.DATA,TRIM(_xlfn.XLOOKUP($A194,Строчный!$A:$A,Строчный!D:D,"ERR",0)),UPPER(MID(_xlpm.DATA,1,1))&amp;LOWER(MID(_xlpm.DATA,2,LEN(_xlpm.DATA)-1)))</f>
        <v>Кепка восьмиклинка</v>
      </c>
      <c r="E194" s="81" t="str">
        <f ca="1">PROPER(TRIM(_xlfn.XLOOKUP($A194,Строчный!$A:$A,Строчный!E:E,"ERR",0)))</f>
        <v>Fredrikson</v>
      </c>
      <c r="F194" s="81" t="str">
        <f ca="1">LOWER(TRIM(_xlfn.XLOOKUP($A194,Строчный!$A:$A,Строчный!F:F,"ERR",0)))</f>
        <v>всесезон</v>
      </c>
      <c r="G194" s="81" t="str">
        <f ca="1">UPPER(TRIM(_xlfn.XLOOKUP($A194,Строчный!$A:$A,Строчный!G:G,"ERR",0)))</f>
        <v>FREDRIKSON</v>
      </c>
      <c r="H194" s="81" t="str">
        <f ca="1">LOWER(TRIM(_xlfn.XLOOKUP($A194,Строчный!$A:$A,Строчный!H:H,"ERR",0)))</f>
        <v>685/55</v>
      </c>
      <c r="I194" s="81" t="str">
        <f ca="1">LOWER(TRIM(_xlfn.XLOOKUP($A194,Строчный!$A:$A,Строчный!I:I,"ERR",0)))</f>
        <v>светло-бежевый / черный</v>
      </c>
      <c r="J194" s="81" t="str">
        <f ca="1">SUBSTITUTE(LOWER(TRIM(_xlfn.XLOOKUP($A194,Строчный!$A:$A,Строчный!J:J,"ERR",0))),"подклад","Подклад")</f>
        <v>80% шерсть - 20% полиамид / Подклад: 100% вискоза</v>
      </c>
      <c r="K194" s="81" t="str">
        <f ca="1">LOWER(TRIM(_xlfn.XLOOKUP($A194,Строчный!$A:$A,Строчный!K:K,"ERR",0)))</f>
        <v>шерстяные</v>
      </c>
      <c r="L194" s="81" t="str">
        <f ca="1">PROPER(TRIM(_xlfn.XLOOKUP($A194,Строчный!$A:$A,Строчный!L:L,"ERR",0)))</f>
        <v>Унисекс</v>
      </c>
      <c r="M194" s="113" t="str">
        <f ca="1">PROPER(TRIM(_xlfn.XLOOKUP($A194,Строчный!$A:$A,Строчный!M:M,"ERR",0)))</f>
        <v>Россия</v>
      </c>
      <c r="N194" s="81" t="str">
        <f ca="1">UPPER(TRIM(_xlfn.XLOOKUP($A194,Строчный!$A:$A,Строчный!O:O,"ERR",0)))</f>
        <v/>
      </c>
      <c r="O194" s="102" t="str">
        <f ca="1">PROPER(TRIM(_xlfn.XLOOKUP($A194,Строчный!$A:$A,Строчный!P:P,"ERR",0)))</f>
        <v/>
      </c>
      <c r="P194" s="81" t="str">
        <f ca="1">PROPER(TRIM(_xlfn.XLOOKUP($A194,Строчный!$A:$A,Строчный!R:R,"ERR",0)))</f>
        <v/>
      </c>
      <c r="Q194" s="90">
        <f ca="1">VALUE(_xlfn.XLOOKUP($A194,Строчный!$A:$A,Строчный!N:N,"ERR",0))</f>
        <v>975.8</v>
      </c>
      <c r="R194" s="89" t="str">
        <f ca="1">_xlfn.XLOOKUP($G194,Фабрика!A:A,Фабрика!B:B,"ERR",0)</f>
        <v>ООО "ФРЭДРИКСОН" Россия 192029, С-Петербург, пр. Обуховской обороны, д.86, лит М</v>
      </c>
      <c r="S194" s="80" t="str">
        <f ca="1">_xlfn.XLOOKUP(RIGHT(AA194,2),Размеры!D:D,Размеры!A:A,"ERR",0)</f>
        <v>60</v>
      </c>
      <c r="T194" s="80">
        <f ca="1">VALUE(_xlfn.XLOOKUP($AA194,Строчный!$S:$S,Строчный!U:U,"ERR",0))</f>
        <v>1</v>
      </c>
      <c r="U194" s="14" t="s">
        <v>265</v>
      </c>
      <c r="V194" s="101" t="str">
        <f t="shared" ca="1" si="16"/>
        <v>Кепка FREDRIKSON арт. 3190 (светло-бежевый / черный)</v>
      </c>
      <c r="W194" s="100" t="str">
        <f t="shared" ca="1" si="17"/>
        <v>Кепка FREDRIKSON арт. 3190 (светло-бежевый / черный) {685/55}</v>
      </c>
      <c r="X194" s="18" t="str">
        <f t="shared" ca="1" si="18"/>
        <v>бежевый / черный</v>
      </c>
      <c r="Y194" s="18" t="str">
        <f t="shared" ca="1" si="19"/>
        <v>бежевый / черный</v>
      </c>
      <c r="Z194" s="117" t="s">
        <v>52</v>
      </c>
      <c r="AA194" s="73" t="str">
        <f ca="1"/>
        <v>95-008-57-60</v>
      </c>
      <c r="AB194" s="75" t="str">
        <f ca="1">VLOOKUP(C194,Группа!A:B,2,FALSE)</f>
        <v>Кепка</v>
      </c>
      <c r="AC194" s="97" t="str">
        <f ca="1">IFERROR(VLOOKUP(S194,Размеры!A:C,3,FALSE),"")</f>
        <v>60 L/XL</v>
      </c>
      <c r="AD194" s="97" t="str">
        <f ca="1">VLOOKUP(I194,ЦветПолный!A:B,2,FALSE)</f>
        <v>57</v>
      </c>
      <c r="AE194" s="97" t="str">
        <f ca="1">IFERROR(VLOOKUP(S194,Размеры!A:D,4,FALSE),"")</f>
        <v>60</v>
      </c>
      <c r="AF194" s="97">
        <f ca="1">IF(LEFT(IFERROR(VLOOKUP(LOOKUP(2,1/SEARCH(B194,Товары!A:A),Товары!A:A),Товары!A:B,2,0),""),6)=MID(AA194,1,6),1,0)</f>
        <v>0</v>
      </c>
      <c r="AH194" s="97">
        <f ca="1">SUMIF(Группа!A:A,C194,Группа!C:C)</f>
        <v>1</v>
      </c>
      <c r="AI194" s="97">
        <f ca="1">SUMIF(Группа!B:B,AB194,Группа!C:C)</f>
        <v>1</v>
      </c>
      <c r="AJ194" s="97">
        <f ca="1">SUMIF(Формы!A:A,D194,Формы!B:B)</f>
        <v>1</v>
      </c>
      <c r="AK194" s="97">
        <f ca="1">SUMIF(Материал!A:A,K194,Материал!B:B)</f>
        <v>1</v>
      </c>
      <c r="AL194" s="97">
        <f ca="1">SUMIF(Размеры!A:A,S194,Размеры!E:E)</f>
        <v>1</v>
      </c>
      <c r="AM194" s="97">
        <f ca="1">SUMIF(Сезон!A:A,F194,Сезон!B:B)</f>
        <v>1</v>
      </c>
      <c r="AN194" s="97">
        <f ca="1">SUMIF(Состав!A:A,J194,Состав!B:B)</f>
        <v>0</v>
      </c>
      <c r="AO194" s="97">
        <f ca="1">VLOOKUP(I194,ЦветПолный!A:C,3,0)</f>
        <v>1</v>
      </c>
      <c r="AP194" s="97">
        <f>SUMIF(Цвет!A:A,Z194,Цвет!B:B)</f>
        <v>1</v>
      </c>
      <c r="AQ194" s="97">
        <f ca="1">_xlfn.XLOOKUP(L194,Пол!A:A,Пол!B:B,0,0)</f>
        <v>1</v>
      </c>
      <c r="AR194" s="97">
        <f ca="1">SUMIF(Бренд!A:A,G194,Бренд!B:B)</f>
        <v>1</v>
      </c>
      <c r="AS194" s="97">
        <f ca="1">SUMIF(Страна!A:A,M194,Страна!B:B)</f>
        <v>1</v>
      </c>
      <c r="AT194" s="64" t="e">
        <f ca="1">IF(VLOOKUP(W194,Товары!A:B,2,FALSE)=A194,"Есть в 1С","ERR")</f>
        <v>#N/A</v>
      </c>
      <c r="AU194" s="65" t="e">
        <f ca="1">IF(VLOOKUP(A194,Товары!B:B,1,FALSE)=A194,"Есть в 1С","ERR")</f>
        <v>#N/A</v>
      </c>
      <c r="AV194" s="96" t="e">
        <f ca="1">VLOOKUP(W194,Товары!A:B,2,FALSE)</f>
        <v>#N/A</v>
      </c>
      <c r="AW194" s="94" t="e">
        <f ca="1">VLOOKUP(W194,Товары!A:B,1,FALSE)</f>
        <v>#N/A</v>
      </c>
    </row>
    <row r="195" spans="1:49" x14ac:dyDescent="0.25">
      <c r="A195" s="110" t="str">
        <f t="shared" ca="1" si="15"/>
        <v>95-008-57</v>
      </c>
      <c r="B195" s="107" t="str">
        <f ca="1">_xlfn.LET(_xlpm.CAPS,0,_xlpm.Style,TRIM(_xlfn.XLOOKUP($A195,Строчный!$A:$A,Строчный!B:B,"ERR",0)),IF(_xlpm.CAPS=0,_xlpm.Style,LOWER(_xlpm.Style)))</f>
        <v>3190</v>
      </c>
      <c r="C195" s="81" t="str">
        <f ca="1">TRIM(PROPER(_xlfn.XLOOKUP($A195,Строчный!$A:$A,Строчный!C:C,"ERR",0)))</f>
        <v>Кепки</v>
      </c>
      <c r="D195" s="81" t="str">
        <f ca="1">_xlfn.LET(_xlpm.DATA,TRIM(_xlfn.XLOOKUP($A195,Строчный!$A:$A,Строчный!D:D,"ERR",0)),UPPER(MID(_xlpm.DATA,1,1))&amp;LOWER(MID(_xlpm.DATA,2,LEN(_xlpm.DATA)-1)))</f>
        <v>Кепка восьмиклинка</v>
      </c>
      <c r="E195" s="81" t="str">
        <f ca="1">PROPER(TRIM(_xlfn.XLOOKUP($A195,Строчный!$A:$A,Строчный!E:E,"ERR",0)))</f>
        <v>Fredrikson</v>
      </c>
      <c r="F195" s="81" t="str">
        <f ca="1">LOWER(TRIM(_xlfn.XLOOKUP($A195,Строчный!$A:$A,Строчный!F:F,"ERR",0)))</f>
        <v>всесезон</v>
      </c>
      <c r="G195" s="81" t="str">
        <f ca="1">UPPER(TRIM(_xlfn.XLOOKUP($A195,Строчный!$A:$A,Строчный!G:G,"ERR",0)))</f>
        <v>FREDRIKSON</v>
      </c>
      <c r="H195" s="81" t="str">
        <f ca="1">LOWER(TRIM(_xlfn.XLOOKUP($A195,Строчный!$A:$A,Строчный!H:H,"ERR",0)))</f>
        <v>685/55</v>
      </c>
      <c r="I195" s="81" t="str">
        <f ca="1">LOWER(TRIM(_xlfn.XLOOKUP($A195,Строчный!$A:$A,Строчный!I:I,"ERR",0)))</f>
        <v>светло-бежевый / черный</v>
      </c>
      <c r="J195" s="81" t="str">
        <f ca="1">SUBSTITUTE(LOWER(TRIM(_xlfn.XLOOKUP($A195,Строчный!$A:$A,Строчный!J:J,"ERR",0))),"подклад","Подклад")</f>
        <v>80% шерсть - 20% полиамид / Подклад: 100% вискоза</v>
      </c>
      <c r="K195" s="81" t="str">
        <f ca="1">LOWER(TRIM(_xlfn.XLOOKUP($A195,Строчный!$A:$A,Строчный!K:K,"ERR",0)))</f>
        <v>шерстяные</v>
      </c>
      <c r="L195" s="81" t="str">
        <f ca="1">PROPER(TRIM(_xlfn.XLOOKUP($A195,Строчный!$A:$A,Строчный!L:L,"ERR",0)))</f>
        <v>Унисекс</v>
      </c>
      <c r="M195" s="113" t="str">
        <f ca="1">PROPER(TRIM(_xlfn.XLOOKUP($A195,Строчный!$A:$A,Строчный!M:M,"ERR",0)))</f>
        <v>Россия</v>
      </c>
      <c r="N195" s="81" t="str">
        <f ca="1">UPPER(TRIM(_xlfn.XLOOKUP($A195,Строчный!$A:$A,Строчный!O:O,"ERR",0)))</f>
        <v/>
      </c>
      <c r="O195" s="102" t="str">
        <f ca="1">PROPER(TRIM(_xlfn.XLOOKUP($A195,Строчный!$A:$A,Строчный!P:P,"ERR",0)))</f>
        <v/>
      </c>
      <c r="P195" s="81" t="str">
        <f ca="1">PROPER(TRIM(_xlfn.XLOOKUP($A195,Строчный!$A:$A,Строчный!R:R,"ERR",0)))</f>
        <v/>
      </c>
      <c r="Q195" s="90">
        <f ca="1">VALUE(_xlfn.XLOOKUP($A195,Строчный!$A:$A,Строчный!N:N,"ERR",0))</f>
        <v>975.8</v>
      </c>
      <c r="R195" s="89" t="str">
        <f ca="1">_xlfn.XLOOKUP($G195,Фабрика!A:A,Фабрика!B:B,"ERR",0)</f>
        <v>ООО "ФРЭДРИКСОН" Россия 192029, С-Петербург, пр. Обуховской обороны, д.86, лит М</v>
      </c>
      <c r="S195" s="80" t="str">
        <f ca="1">_xlfn.XLOOKUP(RIGHT(AA195,2),Размеры!D:D,Размеры!A:A,"ERR",0)</f>
        <v>59</v>
      </c>
      <c r="T195" s="80">
        <f ca="1">VALUE(_xlfn.XLOOKUP($AA195,Строчный!$S:$S,Строчный!U:U,"ERR",0))</f>
        <v>2</v>
      </c>
      <c r="U195" s="14" t="s">
        <v>265</v>
      </c>
      <c r="V195" s="101" t="str">
        <f t="shared" ca="1" si="16"/>
        <v>Кепка FREDRIKSON арт. 3190 (светло-бежевый / черный)</v>
      </c>
      <c r="W195" s="100" t="str">
        <f t="shared" ca="1" si="17"/>
        <v>Кепка FREDRIKSON арт. 3190 (светло-бежевый / черный) {685/55}</v>
      </c>
      <c r="X195" s="18" t="str">
        <f t="shared" ca="1" si="18"/>
        <v>бежевый / черный</v>
      </c>
      <c r="Y195" s="18" t="str">
        <f t="shared" ca="1" si="19"/>
        <v>бежевый / черный</v>
      </c>
      <c r="Z195" s="117" t="s">
        <v>52</v>
      </c>
      <c r="AA195" s="73" t="str">
        <f ca="1"/>
        <v>95-008-57-59</v>
      </c>
      <c r="AB195" s="75" t="str">
        <f ca="1">VLOOKUP(C195,Группа!A:B,2,FALSE)</f>
        <v>Кепка</v>
      </c>
      <c r="AC195" s="97" t="str">
        <f ca="1">IFERROR(VLOOKUP(S195,Размеры!A:C,3,FALSE),"")</f>
        <v>59 L</v>
      </c>
      <c r="AD195" s="97" t="str">
        <f ca="1">VLOOKUP(I195,ЦветПолный!A:B,2,FALSE)</f>
        <v>57</v>
      </c>
      <c r="AE195" s="97" t="str">
        <f ca="1">IFERROR(VLOOKUP(S195,Размеры!A:D,4,FALSE),"")</f>
        <v>59</v>
      </c>
      <c r="AF195" s="97">
        <f ca="1">IF(LEFT(IFERROR(VLOOKUP(LOOKUP(2,1/SEARCH(B195,Товары!A:A),Товары!A:A),Товары!A:B,2,0),""),6)=MID(AA195,1,6),1,0)</f>
        <v>0</v>
      </c>
      <c r="AH195" s="97">
        <f ca="1">SUMIF(Группа!A:A,C195,Группа!C:C)</f>
        <v>1</v>
      </c>
      <c r="AI195" s="97">
        <f ca="1">SUMIF(Группа!B:B,AB195,Группа!C:C)</f>
        <v>1</v>
      </c>
      <c r="AJ195" s="97">
        <f ca="1">SUMIF(Формы!A:A,D195,Формы!B:B)</f>
        <v>1</v>
      </c>
      <c r="AK195" s="97">
        <f ca="1">SUMIF(Материал!A:A,K195,Материал!B:B)</f>
        <v>1</v>
      </c>
      <c r="AL195" s="97">
        <f ca="1">SUMIF(Размеры!A:A,S195,Размеры!E:E)</f>
        <v>1</v>
      </c>
      <c r="AM195" s="97">
        <f ca="1">SUMIF(Сезон!A:A,F195,Сезон!B:B)</f>
        <v>1</v>
      </c>
      <c r="AN195" s="97">
        <f ca="1">SUMIF(Состав!A:A,J195,Состав!B:B)</f>
        <v>0</v>
      </c>
      <c r="AO195" s="97">
        <f ca="1">VLOOKUP(I195,ЦветПолный!A:C,3,0)</f>
        <v>1</v>
      </c>
      <c r="AP195" s="97">
        <f>SUMIF(Цвет!A:A,Z195,Цвет!B:B)</f>
        <v>1</v>
      </c>
      <c r="AQ195" s="97">
        <f ca="1">_xlfn.XLOOKUP(L195,Пол!A:A,Пол!B:B,0,0)</f>
        <v>1</v>
      </c>
      <c r="AR195" s="97">
        <f ca="1">SUMIF(Бренд!A:A,G195,Бренд!B:B)</f>
        <v>1</v>
      </c>
      <c r="AS195" s="97">
        <f ca="1">SUMIF(Страна!A:A,M195,Страна!B:B)</f>
        <v>1</v>
      </c>
      <c r="AT195" s="64" t="e">
        <f ca="1">IF(VLOOKUP(W195,Товары!A:B,2,FALSE)=A195,"Есть в 1С","ERR")</f>
        <v>#N/A</v>
      </c>
      <c r="AU195" s="65" t="e">
        <f ca="1">IF(VLOOKUP(A195,Товары!B:B,1,FALSE)=A195,"Есть в 1С","ERR")</f>
        <v>#N/A</v>
      </c>
      <c r="AV195" s="96" t="e">
        <f ca="1">VLOOKUP(W195,Товары!A:B,2,FALSE)</f>
        <v>#N/A</v>
      </c>
      <c r="AW195" s="94" t="e">
        <f ca="1">VLOOKUP(W195,Товары!A:B,1,FALSE)</f>
        <v>#N/A</v>
      </c>
    </row>
    <row r="196" spans="1:49" x14ac:dyDescent="0.25">
      <c r="A196" s="110" t="str">
        <f t="shared" ca="1" si="15"/>
        <v>95-008-57</v>
      </c>
      <c r="B196" s="107" t="str">
        <f ca="1">_xlfn.LET(_xlpm.CAPS,0,_xlpm.Style,TRIM(_xlfn.XLOOKUP($A196,Строчный!$A:$A,Строчный!B:B,"ERR",0)),IF(_xlpm.CAPS=0,_xlpm.Style,LOWER(_xlpm.Style)))</f>
        <v>3190</v>
      </c>
      <c r="C196" s="81" t="str">
        <f ca="1">TRIM(PROPER(_xlfn.XLOOKUP($A196,Строчный!$A:$A,Строчный!C:C,"ERR",0)))</f>
        <v>Кепки</v>
      </c>
      <c r="D196" s="81" t="str">
        <f ca="1">_xlfn.LET(_xlpm.DATA,TRIM(_xlfn.XLOOKUP($A196,Строчный!$A:$A,Строчный!D:D,"ERR",0)),UPPER(MID(_xlpm.DATA,1,1))&amp;LOWER(MID(_xlpm.DATA,2,LEN(_xlpm.DATA)-1)))</f>
        <v>Кепка восьмиклинка</v>
      </c>
      <c r="E196" s="81" t="str">
        <f ca="1">PROPER(TRIM(_xlfn.XLOOKUP($A196,Строчный!$A:$A,Строчный!E:E,"ERR",0)))</f>
        <v>Fredrikson</v>
      </c>
      <c r="F196" s="81" t="str">
        <f ca="1">LOWER(TRIM(_xlfn.XLOOKUP($A196,Строчный!$A:$A,Строчный!F:F,"ERR",0)))</f>
        <v>всесезон</v>
      </c>
      <c r="G196" s="81" t="str">
        <f ca="1">UPPER(TRIM(_xlfn.XLOOKUP($A196,Строчный!$A:$A,Строчный!G:G,"ERR",0)))</f>
        <v>FREDRIKSON</v>
      </c>
      <c r="H196" s="81" t="str">
        <f ca="1">LOWER(TRIM(_xlfn.XLOOKUP($A196,Строчный!$A:$A,Строчный!H:H,"ERR",0)))</f>
        <v>685/55</v>
      </c>
      <c r="I196" s="81" t="str">
        <f ca="1">LOWER(TRIM(_xlfn.XLOOKUP($A196,Строчный!$A:$A,Строчный!I:I,"ERR",0)))</f>
        <v>светло-бежевый / черный</v>
      </c>
      <c r="J196" s="81" t="str">
        <f ca="1">SUBSTITUTE(LOWER(TRIM(_xlfn.XLOOKUP($A196,Строчный!$A:$A,Строчный!J:J,"ERR",0))),"подклад","Подклад")</f>
        <v>80% шерсть - 20% полиамид / Подклад: 100% вискоза</v>
      </c>
      <c r="K196" s="81" t="str">
        <f ca="1">LOWER(TRIM(_xlfn.XLOOKUP($A196,Строчный!$A:$A,Строчный!K:K,"ERR",0)))</f>
        <v>шерстяные</v>
      </c>
      <c r="L196" s="81" t="str">
        <f ca="1">PROPER(TRIM(_xlfn.XLOOKUP($A196,Строчный!$A:$A,Строчный!L:L,"ERR",0)))</f>
        <v>Унисекс</v>
      </c>
      <c r="M196" s="113" t="str">
        <f ca="1">PROPER(TRIM(_xlfn.XLOOKUP($A196,Строчный!$A:$A,Строчный!M:M,"ERR",0)))</f>
        <v>Россия</v>
      </c>
      <c r="N196" s="81" t="str">
        <f ca="1">UPPER(TRIM(_xlfn.XLOOKUP($A196,Строчный!$A:$A,Строчный!O:O,"ERR",0)))</f>
        <v/>
      </c>
      <c r="O196" s="102" t="str">
        <f ca="1">PROPER(TRIM(_xlfn.XLOOKUP($A196,Строчный!$A:$A,Строчный!P:P,"ERR",0)))</f>
        <v/>
      </c>
      <c r="P196" s="81" t="str">
        <f ca="1">PROPER(TRIM(_xlfn.XLOOKUP($A196,Строчный!$A:$A,Строчный!R:R,"ERR",0)))</f>
        <v/>
      </c>
      <c r="Q196" s="90">
        <f ca="1">VALUE(_xlfn.XLOOKUP($A196,Строчный!$A:$A,Строчный!N:N,"ERR",0))</f>
        <v>975.8</v>
      </c>
      <c r="R196" s="89" t="str">
        <f ca="1">_xlfn.XLOOKUP($G196,Фабрика!A:A,Фабрика!B:B,"ERR",0)</f>
        <v>ООО "ФРЭДРИКСОН" Россия 192029, С-Петербург, пр. Обуховской обороны, д.86, лит М</v>
      </c>
      <c r="S196" s="80" t="str">
        <f ca="1">_xlfn.XLOOKUP(RIGHT(AA196,2),Размеры!D:D,Размеры!A:A,"ERR",0)</f>
        <v>58</v>
      </c>
      <c r="T196" s="80">
        <f ca="1">VALUE(_xlfn.XLOOKUP($AA196,Строчный!$S:$S,Строчный!U:U,"ERR",0))</f>
        <v>1</v>
      </c>
      <c r="U196" s="14" t="s">
        <v>265</v>
      </c>
      <c r="V196" s="101" t="str">
        <f t="shared" ca="1" si="16"/>
        <v>Кепка FREDRIKSON арт. 3190 (светло-бежевый / черный)</v>
      </c>
      <c r="W196" s="100" t="str">
        <f t="shared" ca="1" si="17"/>
        <v>Кепка FREDRIKSON арт. 3190 (светло-бежевый / черный) {685/55}</v>
      </c>
      <c r="X196" s="18" t="str">
        <f t="shared" ca="1" si="18"/>
        <v>бежевый / черный</v>
      </c>
      <c r="Y196" s="18" t="str">
        <f t="shared" ca="1" si="19"/>
        <v>бежевый / черный</v>
      </c>
      <c r="Z196" s="117" t="s">
        <v>52</v>
      </c>
      <c r="AA196" s="73" t="str">
        <f ca="1"/>
        <v>95-008-57-58</v>
      </c>
      <c r="AB196" s="75" t="str">
        <f ca="1">VLOOKUP(C196,Группа!A:B,2,FALSE)</f>
        <v>Кепка</v>
      </c>
      <c r="AC196" s="97" t="str">
        <f ca="1">IFERROR(VLOOKUP(S196,Размеры!A:C,3,FALSE),"")</f>
        <v>58 M/L</v>
      </c>
      <c r="AD196" s="97" t="str">
        <f ca="1">VLOOKUP(I196,ЦветПолный!A:B,2,FALSE)</f>
        <v>57</v>
      </c>
      <c r="AE196" s="97" t="str">
        <f ca="1">IFERROR(VLOOKUP(S196,Размеры!A:D,4,FALSE),"")</f>
        <v>58</v>
      </c>
      <c r="AF196" s="97">
        <f ca="1">IF(LEFT(IFERROR(VLOOKUP(LOOKUP(2,1/SEARCH(B196,Товары!A:A),Товары!A:A),Товары!A:B,2,0),""),6)=MID(AA196,1,6),1,0)</f>
        <v>0</v>
      </c>
      <c r="AH196" s="97">
        <f ca="1">SUMIF(Группа!A:A,C196,Группа!C:C)</f>
        <v>1</v>
      </c>
      <c r="AI196" s="97">
        <f ca="1">SUMIF(Группа!B:B,AB196,Группа!C:C)</f>
        <v>1</v>
      </c>
      <c r="AJ196" s="97">
        <f ca="1">SUMIF(Формы!A:A,D196,Формы!B:B)</f>
        <v>1</v>
      </c>
      <c r="AK196" s="97">
        <f ca="1">SUMIF(Материал!A:A,K196,Материал!B:B)</f>
        <v>1</v>
      </c>
      <c r="AL196" s="97">
        <f ca="1">SUMIF(Размеры!A:A,S196,Размеры!E:E)</f>
        <v>1</v>
      </c>
      <c r="AM196" s="97">
        <f ca="1">SUMIF(Сезон!A:A,F196,Сезон!B:B)</f>
        <v>1</v>
      </c>
      <c r="AN196" s="97">
        <f ca="1">SUMIF(Состав!A:A,J196,Состав!B:B)</f>
        <v>0</v>
      </c>
      <c r="AO196" s="97">
        <f ca="1">VLOOKUP(I196,ЦветПолный!A:C,3,0)</f>
        <v>1</v>
      </c>
      <c r="AP196" s="97">
        <f>SUMIF(Цвет!A:A,Z196,Цвет!B:B)</f>
        <v>1</v>
      </c>
      <c r="AQ196" s="97">
        <f ca="1">_xlfn.XLOOKUP(L196,Пол!A:A,Пол!B:B,0,0)</f>
        <v>1</v>
      </c>
      <c r="AR196" s="97">
        <f ca="1">SUMIF(Бренд!A:A,G196,Бренд!B:B)</f>
        <v>1</v>
      </c>
      <c r="AS196" s="97">
        <f ca="1">SUMIF(Страна!A:A,M196,Страна!B:B)</f>
        <v>1</v>
      </c>
      <c r="AT196" s="64" t="e">
        <f ca="1">IF(VLOOKUP(W196,Товары!A:B,2,FALSE)=A196,"Есть в 1С","ERR")</f>
        <v>#N/A</v>
      </c>
      <c r="AU196" s="65" t="e">
        <f ca="1">IF(VLOOKUP(A196,Товары!B:B,1,FALSE)=A196,"Есть в 1С","ERR")</f>
        <v>#N/A</v>
      </c>
      <c r="AV196" s="96" t="e">
        <f ca="1">VLOOKUP(W196,Товары!A:B,2,FALSE)</f>
        <v>#N/A</v>
      </c>
      <c r="AW196" s="94" t="e">
        <f ca="1">VLOOKUP(W196,Товары!A:B,1,FALSE)</f>
        <v>#N/A</v>
      </c>
    </row>
    <row r="197" spans="1:49" x14ac:dyDescent="0.25">
      <c r="A197" s="110" t="str">
        <f t="shared" ca="1" si="15"/>
        <v>95-008-57</v>
      </c>
      <c r="B197" s="107" t="str">
        <f ca="1">_xlfn.LET(_xlpm.CAPS,0,_xlpm.Style,TRIM(_xlfn.XLOOKUP($A197,Строчный!$A:$A,Строчный!B:B,"ERR",0)),IF(_xlpm.CAPS=0,_xlpm.Style,LOWER(_xlpm.Style)))</f>
        <v>3190</v>
      </c>
      <c r="C197" s="81" t="str">
        <f ca="1">TRIM(PROPER(_xlfn.XLOOKUP($A197,Строчный!$A:$A,Строчный!C:C,"ERR",0)))</f>
        <v>Кепки</v>
      </c>
      <c r="D197" s="81" t="str">
        <f ca="1">_xlfn.LET(_xlpm.DATA,TRIM(_xlfn.XLOOKUP($A197,Строчный!$A:$A,Строчный!D:D,"ERR",0)),UPPER(MID(_xlpm.DATA,1,1))&amp;LOWER(MID(_xlpm.DATA,2,LEN(_xlpm.DATA)-1)))</f>
        <v>Кепка восьмиклинка</v>
      </c>
      <c r="E197" s="81" t="str">
        <f ca="1">PROPER(TRIM(_xlfn.XLOOKUP($A197,Строчный!$A:$A,Строчный!E:E,"ERR",0)))</f>
        <v>Fredrikson</v>
      </c>
      <c r="F197" s="81" t="str">
        <f ca="1">LOWER(TRIM(_xlfn.XLOOKUP($A197,Строчный!$A:$A,Строчный!F:F,"ERR",0)))</f>
        <v>всесезон</v>
      </c>
      <c r="G197" s="81" t="str">
        <f ca="1">UPPER(TRIM(_xlfn.XLOOKUP($A197,Строчный!$A:$A,Строчный!G:G,"ERR",0)))</f>
        <v>FREDRIKSON</v>
      </c>
      <c r="H197" s="81" t="str">
        <f ca="1">LOWER(TRIM(_xlfn.XLOOKUP($A197,Строчный!$A:$A,Строчный!H:H,"ERR",0)))</f>
        <v>685/55</v>
      </c>
      <c r="I197" s="81" t="str">
        <f ca="1">LOWER(TRIM(_xlfn.XLOOKUP($A197,Строчный!$A:$A,Строчный!I:I,"ERR",0)))</f>
        <v>светло-бежевый / черный</v>
      </c>
      <c r="J197" s="81" t="str">
        <f ca="1">SUBSTITUTE(LOWER(TRIM(_xlfn.XLOOKUP($A197,Строчный!$A:$A,Строчный!J:J,"ERR",0))),"подклад","Подклад")</f>
        <v>80% шерсть - 20% полиамид / Подклад: 100% вискоза</v>
      </c>
      <c r="K197" s="81" t="str">
        <f ca="1">LOWER(TRIM(_xlfn.XLOOKUP($A197,Строчный!$A:$A,Строчный!K:K,"ERR",0)))</f>
        <v>шерстяные</v>
      </c>
      <c r="L197" s="81" t="str">
        <f ca="1">PROPER(TRIM(_xlfn.XLOOKUP($A197,Строчный!$A:$A,Строчный!L:L,"ERR",0)))</f>
        <v>Унисекс</v>
      </c>
      <c r="M197" s="113" t="str">
        <f ca="1">PROPER(TRIM(_xlfn.XLOOKUP($A197,Строчный!$A:$A,Строчный!M:M,"ERR",0)))</f>
        <v>Россия</v>
      </c>
      <c r="N197" s="81" t="str">
        <f ca="1">UPPER(TRIM(_xlfn.XLOOKUP($A197,Строчный!$A:$A,Строчный!O:O,"ERR",0)))</f>
        <v/>
      </c>
      <c r="O197" s="102" t="str">
        <f ca="1">PROPER(TRIM(_xlfn.XLOOKUP($A197,Строчный!$A:$A,Строчный!P:P,"ERR",0)))</f>
        <v/>
      </c>
      <c r="P197" s="81" t="str">
        <f ca="1">PROPER(TRIM(_xlfn.XLOOKUP($A197,Строчный!$A:$A,Строчный!R:R,"ERR",0)))</f>
        <v/>
      </c>
      <c r="Q197" s="90">
        <f ca="1">VALUE(_xlfn.XLOOKUP($A197,Строчный!$A:$A,Строчный!N:N,"ERR",0))</f>
        <v>975.8</v>
      </c>
      <c r="R197" s="89" t="str">
        <f ca="1">_xlfn.XLOOKUP($G197,Фабрика!A:A,Фабрика!B:B,"ERR",0)</f>
        <v>ООО "ФРЭДРИКСОН" Россия 192029, С-Петербург, пр. Обуховской обороны, д.86, лит М</v>
      </c>
      <c r="S197" s="80" t="str">
        <f ca="1">_xlfn.XLOOKUP(RIGHT(AA197,2),Размеры!D:D,Размеры!A:A,"ERR",0)</f>
        <v>57</v>
      </c>
      <c r="T197" s="80">
        <f ca="1">VALUE(_xlfn.XLOOKUP($AA197,Строчный!$S:$S,Строчный!U:U,"ERR",0))</f>
        <v>1</v>
      </c>
      <c r="U197" s="14" t="s">
        <v>265</v>
      </c>
      <c r="V197" s="101" t="str">
        <f t="shared" ca="1" si="16"/>
        <v>Кепка FREDRIKSON арт. 3190 (светло-бежевый / черный)</v>
      </c>
      <c r="W197" s="100" t="str">
        <f t="shared" ca="1" si="17"/>
        <v>Кепка FREDRIKSON арт. 3190 (светло-бежевый / черный) {685/55}</v>
      </c>
      <c r="X197" s="18" t="str">
        <f t="shared" ca="1" si="18"/>
        <v>бежевый / черный</v>
      </c>
      <c r="Y197" s="18" t="str">
        <f t="shared" ca="1" si="19"/>
        <v>бежевый / черный</v>
      </c>
      <c r="Z197" s="117" t="s">
        <v>52</v>
      </c>
      <c r="AA197" s="73" t="str">
        <f ca="1"/>
        <v>95-008-57-57</v>
      </c>
      <c r="AB197" s="75" t="str">
        <f ca="1">VLOOKUP(C197,Группа!A:B,2,FALSE)</f>
        <v>Кепка</v>
      </c>
      <c r="AC197" s="97" t="str">
        <f ca="1">IFERROR(VLOOKUP(S197,Размеры!A:C,3,FALSE),"")</f>
        <v>57 M</v>
      </c>
      <c r="AD197" s="97" t="str">
        <f ca="1">VLOOKUP(I197,ЦветПолный!A:B,2,FALSE)</f>
        <v>57</v>
      </c>
      <c r="AE197" s="97" t="str">
        <f ca="1">IFERROR(VLOOKUP(S197,Размеры!A:D,4,FALSE),"")</f>
        <v>57</v>
      </c>
      <c r="AF197" s="97">
        <f ca="1">IF(LEFT(IFERROR(VLOOKUP(LOOKUP(2,1/SEARCH(B197,Товары!A:A),Товары!A:A),Товары!A:B,2,0),""),6)=MID(AA197,1,6),1,0)</f>
        <v>0</v>
      </c>
      <c r="AH197" s="97">
        <f ca="1">SUMIF(Группа!A:A,C197,Группа!C:C)</f>
        <v>1</v>
      </c>
      <c r="AI197" s="97">
        <f ca="1">SUMIF(Группа!B:B,AB197,Группа!C:C)</f>
        <v>1</v>
      </c>
      <c r="AJ197" s="97">
        <f ca="1">SUMIF(Формы!A:A,D197,Формы!B:B)</f>
        <v>1</v>
      </c>
      <c r="AK197" s="97">
        <f ca="1">SUMIF(Материал!A:A,K197,Материал!B:B)</f>
        <v>1</v>
      </c>
      <c r="AL197" s="97">
        <f ca="1">SUMIF(Размеры!A:A,S197,Размеры!E:E)</f>
        <v>1</v>
      </c>
      <c r="AM197" s="97">
        <f ca="1">SUMIF(Сезон!A:A,F197,Сезон!B:B)</f>
        <v>1</v>
      </c>
      <c r="AN197" s="97">
        <f ca="1">SUMIF(Состав!A:A,J197,Состав!B:B)</f>
        <v>0</v>
      </c>
      <c r="AO197" s="97">
        <f ca="1">VLOOKUP(I197,ЦветПолный!A:C,3,0)</f>
        <v>1</v>
      </c>
      <c r="AP197" s="97">
        <f>SUMIF(Цвет!A:A,Z197,Цвет!B:B)</f>
        <v>1</v>
      </c>
      <c r="AQ197" s="97">
        <f ca="1">_xlfn.XLOOKUP(L197,Пол!A:A,Пол!B:B,0,0)</f>
        <v>1</v>
      </c>
      <c r="AR197" s="97">
        <f ca="1">SUMIF(Бренд!A:A,G197,Бренд!B:B)</f>
        <v>1</v>
      </c>
      <c r="AS197" s="97">
        <f ca="1">SUMIF(Страна!A:A,M197,Страна!B:B)</f>
        <v>1</v>
      </c>
      <c r="AT197" s="64" t="e">
        <f ca="1">IF(VLOOKUP(W197,Товары!A:B,2,FALSE)=A197,"Есть в 1С","ERR")</f>
        <v>#N/A</v>
      </c>
      <c r="AU197" s="65" t="e">
        <f ca="1">IF(VLOOKUP(A197,Товары!B:B,1,FALSE)=A197,"Есть в 1С","ERR")</f>
        <v>#N/A</v>
      </c>
      <c r="AV197" s="96" t="e">
        <f ca="1">VLOOKUP(W197,Товары!A:B,2,FALSE)</f>
        <v>#N/A</v>
      </c>
      <c r="AW197" s="94" t="e">
        <f ca="1">VLOOKUP(W197,Товары!A:B,1,FALSE)</f>
        <v>#N/A</v>
      </c>
    </row>
    <row r="198" spans="1:49" x14ac:dyDescent="0.25">
      <c r="A198" s="110" t="str">
        <f t="shared" ca="1" si="15"/>
        <v>95-008-56</v>
      </c>
      <c r="B198" s="107" t="str">
        <f ca="1">_xlfn.LET(_xlpm.CAPS,0,_xlpm.Style,TRIM(_xlfn.XLOOKUP($A198,Строчный!$A:$A,Строчный!B:B,"ERR",0)),IF(_xlpm.CAPS=0,_xlpm.Style,LOWER(_xlpm.Style)))</f>
        <v>3190</v>
      </c>
      <c r="C198" s="81" t="str">
        <f ca="1">TRIM(PROPER(_xlfn.XLOOKUP($A198,Строчный!$A:$A,Строчный!C:C,"ERR",0)))</f>
        <v>Кепки</v>
      </c>
      <c r="D198" s="81" t="str">
        <f ca="1">_xlfn.LET(_xlpm.DATA,TRIM(_xlfn.XLOOKUP($A198,Строчный!$A:$A,Строчный!D:D,"ERR",0)),UPPER(MID(_xlpm.DATA,1,1))&amp;LOWER(MID(_xlpm.DATA,2,LEN(_xlpm.DATA)-1)))</f>
        <v>Кепка восьмиклинка</v>
      </c>
      <c r="E198" s="81" t="str">
        <f ca="1">PROPER(TRIM(_xlfn.XLOOKUP($A198,Строчный!$A:$A,Строчный!E:E,"ERR",0)))</f>
        <v>Fredrikson</v>
      </c>
      <c r="F198" s="81" t="str">
        <f ca="1">LOWER(TRIM(_xlfn.XLOOKUP($A198,Строчный!$A:$A,Строчный!F:F,"ERR",0)))</f>
        <v>всесезон</v>
      </c>
      <c r="G198" s="81" t="str">
        <f ca="1">UPPER(TRIM(_xlfn.XLOOKUP($A198,Строчный!$A:$A,Строчный!G:G,"ERR",0)))</f>
        <v>FREDRIKSON</v>
      </c>
      <c r="H198" s="81" t="str">
        <f ca="1">LOWER(TRIM(_xlfn.XLOOKUP($A198,Строчный!$A:$A,Строчный!H:H,"ERR",0)))</f>
        <v>699/51</v>
      </c>
      <c r="I198" s="81" t="str">
        <f ca="1">LOWER(TRIM(_xlfn.XLOOKUP($A198,Строчный!$A:$A,Строчный!I:I,"ERR",0)))</f>
        <v>светло-коричневый / бежевый</v>
      </c>
      <c r="J198" s="81" t="str">
        <f ca="1">SUBSTITUTE(LOWER(TRIM(_xlfn.XLOOKUP($A198,Строчный!$A:$A,Строчный!J:J,"ERR",0))),"подклад","Подклад")</f>
        <v>100% шерсть / Подклад: 100% вискоза</v>
      </c>
      <c r="K198" s="81" t="str">
        <f ca="1">LOWER(TRIM(_xlfn.XLOOKUP($A198,Строчный!$A:$A,Строчный!K:K,"ERR",0)))</f>
        <v>шерстяные</v>
      </c>
      <c r="L198" s="81" t="str">
        <f ca="1">PROPER(TRIM(_xlfn.XLOOKUP($A198,Строчный!$A:$A,Строчный!L:L,"ERR",0)))</f>
        <v>Унисекс</v>
      </c>
      <c r="M198" s="113" t="str">
        <f ca="1">PROPER(TRIM(_xlfn.XLOOKUP($A198,Строчный!$A:$A,Строчный!M:M,"ERR",0)))</f>
        <v>Россия</v>
      </c>
      <c r="N198" s="81" t="str">
        <f ca="1">UPPER(TRIM(_xlfn.XLOOKUP($A198,Строчный!$A:$A,Строчный!O:O,"ERR",0)))</f>
        <v/>
      </c>
      <c r="O198" s="102" t="str">
        <f ca="1">PROPER(TRIM(_xlfn.XLOOKUP($A198,Строчный!$A:$A,Строчный!P:P,"ERR",0)))</f>
        <v/>
      </c>
      <c r="P198" s="81" t="str">
        <f ca="1">PROPER(TRIM(_xlfn.XLOOKUP($A198,Строчный!$A:$A,Строчный!R:R,"ERR",0)))</f>
        <v/>
      </c>
      <c r="Q198" s="90">
        <f ca="1">VALUE(_xlfn.XLOOKUP($A198,Строчный!$A:$A,Строчный!N:N,"ERR",0))</f>
        <v>975.8</v>
      </c>
      <c r="R198" s="89" t="str">
        <f ca="1">_xlfn.XLOOKUP($G198,Фабрика!A:A,Фабрика!B:B,"ERR",0)</f>
        <v>ООО "ФРЭДРИКСОН" Россия 192029, С-Петербург, пр. Обуховской обороны, д.86, лит М</v>
      </c>
      <c r="S198" s="80" t="str">
        <f ca="1">_xlfn.XLOOKUP(RIGHT(AA198,2),Размеры!D:D,Размеры!A:A,"ERR",0)</f>
        <v>60</v>
      </c>
      <c r="T198" s="80">
        <f ca="1">VALUE(_xlfn.XLOOKUP($AA198,Строчный!$S:$S,Строчный!U:U,"ERR",0))</f>
        <v>7</v>
      </c>
      <c r="U198" s="14" t="s">
        <v>265</v>
      </c>
      <c r="V198" s="101" t="str">
        <f t="shared" ca="1" si="16"/>
        <v>Кепка FREDRIKSON арт. 3190 (светло-коричневый / бежевый)</v>
      </c>
      <c r="W198" s="100" t="str">
        <f t="shared" ca="1" si="17"/>
        <v>Кепка FREDRIKSON арт. 3190 (светло-коричневый / бежевый) {699/51}</v>
      </c>
      <c r="X198" s="18" t="str">
        <f t="shared" ca="1" si="18"/>
        <v>коричневый / бежевый</v>
      </c>
      <c r="Y198" s="18" t="str">
        <f t="shared" ca="1" si="19"/>
        <v>коричневый / бежевый</v>
      </c>
      <c r="Z198" s="117" t="s">
        <v>22</v>
      </c>
      <c r="AA198" s="73" t="str">
        <f ca="1"/>
        <v>95-008-56-60</v>
      </c>
      <c r="AB198" s="75" t="str">
        <f ca="1">VLOOKUP(C198,Группа!A:B,2,FALSE)</f>
        <v>Кепка</v>
      </c>
      <c r="AC198" s="97" t="str">
        <f ca="1">IFERROR(VLOOKUP(S198,Размеры!A:C,3,FALSE),"")</f>
        <v>60 L/XL</v>
      </c>
      <c r="AD198" s="97" t="str">
        <f ca="1">VLOOKUP(I198,ЦветПолный!A:B,2,FALSE)</f>
        <v>56</v>
      </c>
      <c r="AE198" s="97" t="str">
        <f ca="1">IFERROR(VLOOKUP(S198,Размеры!A:D,4,FALSE),"")</f>
        <v>60</v>
      </c>
      <c r="AF198" s="97">
        <f ca="1">IF(LEFT(IFERROR(VLOOKUP(LOOKUP(2,1/SEARCH(B198,Товары!A:A),Товары!A:A),Товары!A:B,2,0),""),6)=MID(AA198,1,6),1,0)</f>
        <v>0</v>
      </c>
      <c r="AH198" s="97">
        <f ca="1">SUMIF(Группа!A:A,C198,Группа!C:C)</f>
        <v>1</v>
      </c>
      <c r="AI198" s="97">
        <f ca="1">SUMIF(Группа!B:B,AB198,Группа!C:C)</f>
        <v>1</v>
      </c>
      <c r="AJ198" s="97">
        <f ca="1">SUMIF(Формы!A:A,D198,Формы!B:B)</f>
        <v>1</v>
      </c>
      <c r="AK198" s="97">
        <f ca="1">SUMIF(Материал!A:A,K198,Материал!B:B)</f>
        <v>1</v>
      </c>
      <c r="AL198" s="97">
        <f ca="1">SUMIF(Размеры!A:A,S198,Размеры!E:E)</f>
        <v>1</v>
      </c>
      <c r="AM198" s="97">
        <f ca="1">SUMIF(Сезон!A:A,F198,Сезон!B:B)</f>
        <v>1</v>
      </c>
      <c r="AN198" s="97">
        <f ca="1">SUMIF(Состав!A:A,J198,Состав!B:B)</f>
        <v>0</v>
      </c>
      <c r="AO198" s="97">
        <f ca="1">VLOOKUP(I198,ЦветПолный!A:C,3,0)</f>
        <v>1</v>
      </c>
      <c r="AP198" s="97">
        <f>SUMIF(Цвет!A:A,Z198,Цвет!B:B)</f>
        <v>1</v>
      </c>
      <c r="AQ198" s="97">
        <f ca="1">_xlfn.XLOOKUP(L198,Пол!A:A,Пол!B:B,0,0)</f>
        <v>1</v>
      </c>
      <c r="AR198" s="97">
        <f ca="1">SUMIF(Бренд!A:A,G198,Бренд!B:B)</f>
        <v>1</v>
      </c>
      <c r="AS198" s="97">
        <f ca="1">SUMIF(Страна!A:A,M198,Страна!B:B)</f>
        <v>1</v>
      </c>
      <c r="AT198" s="64" t="e">
        <f ca="1">IF(VLOOKUP(W198,Товары!A:B,2,FALSE)=A198,"Есть в 1С","ERR")</f>
        <v>#N/A</v>
      </c>
      <c r="AU198" s="65" t="e">
        <f ca="1">IF(VLOOKUP(A198,Товары!B:B,1,FALSE)=A198,"Есть в 1С","ERR")</f>
        <v>#N/A</v>
      </c>
      <c r="AV198" s="96" t="e">
        <f ca="1">VLOOKUP(W198,Товары!A:B,2,FALSE)</f>
        <v>#N/A</v>
      </c>
      <c r="AW198" s="94" t="e">
        <f ca="1">VLOOKUP(W198,Товары!A:B,1,FALSE)</f>
        <v>#N/A</v>
      </c>
    </row>
    <row r="199" spans="1:49" x14ac:dyDescent="0.25">
      <c r="A199" s="110" t="str">
        <f t="shared" ca="1" si="15"/>
        <v>95-008-56</v>
      </c>
      <c r="B199" s="107" t="str">
        <f ca="1">_xlfn.LET(_xlpm.CAPS,0,_xlpm.Style,TRIM(_xlfn.XLOOKUP($A199,Строчный!$A:$A,Строчный!B:B,"ERR",0)),IF(_xlpm.CAPS=0,_xlpm.Style,LOWER(_xlpm.Style)))</f>
        <v>3190</v>
      </c>
      <c r="C199" s="81" t="str">
        <f ca="1">TRIM(PROPER(_xlfn.XLOOKUP($A199,Строчный!$A:$A,Строчный!C:C,"ERR",0)))</f>
        <v>Кепки</v>
      </c>
      <c r="D199" s="81" t="str">
        <f ca="1">_xlfn.LET(_xlpm.DATA,TRIM(_xlfn.XLOOKUP($A199,Строчный!$A:$A,Строчный!D:D,"ERR",0)),UPPER(MID(_xlpm.DATA,1,1))&amp;LOWER(MID(_xlpm.DATA,2,LEN(_xlpm.DATA)-1)))</f>
        <v>Кепка восьмиклинка</v>
      </c>
      <c r="E199" s="81" t="str">
        <f ca="1">PROPER(TRIM(_xlfn.XLOOKUP($A199,Строчный!$A:$A,Строчный!E:E,"ERR",0)))</f>
        <v>Fredrikson</v>
      </c>
      <c r="F199" s="81" t="str">
        <f ca="1">LOWER(TRIM(_xlfn.XLOOKUP($A199,Строчный!$A:$A,Строчный!F:F,"ERR",0)))</f>
        <v>всесезон</v>
      </c>
      <c r="G199" s="81" t="str">
        <f ca="1">UPPER(TRIM(_xlfn.XLOOKUP($A199,Строчный!$A:$A,Строчный!G:G,"ERR",0)))</f>
        <v>FREDRIKSON</v>
      </c>
      <c r="H199" s="81" t="str">
        <f ca="1">LOWER(TRIM(_xlfn.XLOOKUP($A199,Строчный!$A:$A,Строчный!H:H,"ERR",0)))</f>
        <v>699/51</v>
      </c>
      <c r="I199" s="81" t="str">
        <f ca="1">LOWER(TRIM(_xlfn.XLOOKUP($A199,Строчный!$A:$A,Строчный!I:I,"ERR",0)))</f>
        <v>светло-коричневый / бежевый</v>
      </c>
      <c r="J199" s="81" t="str">
        <f ca="1">SUBSTITUTE(LOWER(TRIM(_xlfn.XLOOKUP($A199,Строчный!$A:$A,Строчный!J:J,"ERR",0))),"подклад","Подклад")</f>
        <v>100% шерсть / Подклад: 100% вискоза</v>
      </c>
      <c r="K199" s="81" t="str">
        <f ca="1">LOWER(TRIM(_xlfn.XLOOKUP($A199,Строчный!$A:$A,Строчный!K:K,"ERR",0)))</f>
        <v>шерстяные</v>
      </c>
      <c r="L199" s="81" t="str">
        <f ca="1">PROPER(TRIM(_xlfn.XLOOKUP($A199,Строчный!$A:$A,Строчный!L:L,"ERR",0)))</f>
        <v>Унисекс</v>
      </c>
      <c r="M199" s="113" t="str">
        <f ca="1">PROPER(TRIM(_xlfn.XLOOKUP($A199,Строчный!$A:$A,Строчный!M:M,"ERR",0)))</f>
        <v>Россия</v>
      </c>
      <c r="N199" s="81" t="str">
        <f ca="1">UPPER(TRIM(_xlfn.XLOOKUP($A199,Строчный!$A:$A,Строчный!O:O,"ERR",0)))</f>
        <v/>
      </c>
      <c r="O199" s="102" t="str">
        <f ca="1">PROPER(TRIM(_xlfn.XLOOKUP($A199,Строчный!$A:$A,Строчный!P:P,"ERR",0)))</f>
        <v/>
      </c>
      <c r="P199" s="81" t="str">
        <f ca="1">PROPER(TRIM(_xlfn.XLOOKUP($A199,Строчный!$A:$A,Строчный!R:R,"ERR",0)))</f>
        <v/>
      </c>
      <c r="Q199" s="90">
        <f ca="1">VALUE(_xlfn.XLOOKUP($A199,Строчный!$A:$A,Строчный!N:N,"ERR",0))</f>
        <v>975.8</v>
      </c>
      <c r="R199" s="89" t="str">
        <f ca="1">_xlfn.XLOOKUP($G199,Фабрика!A:A,Фабрика!B:B,"ERR",0)</f>
        <v>ООО "ФРЭДРИКСОН" Россия 192029, С-Петербург, пр. Обуховской обороны, д.86, лит М</v>
      </c>
      <c r="S199" s="80" t="str">
        <f ca="1">_xlfn.XLOOKUP(RIGHT(AA199,2),Размеры!D:D,Размеры!A:A,"ERR",0)</f>
        <v>59</v>
      </c>
      <c r="T199" s="80">
        <f ca="1">VALUE(_xlfn.XLOOKUP($AA199,Строчный!$S:$S,Строчный!U:U,"ERR",0))</f>
        <v>10</v>
      </c>
      <c r="U199" s="14" t="s">
        <v>265</v>
      </c>
      <c r="V199" s="101" t="str">
        <f t="shared" ca="1" si="16"/>
        <v>Кепка FREDRIKSON арт. 3190 (светло-коричневый / бежевый)</v>
      </c>
      <c r="W199" s="100" t="str">
        <f t="shared" ca="1" si="17"/>
        <v>Кепка FREDRIKSON арт. 3190 (светло-коричневый / бежевый) {699/51}</v>
      </c>
      <c r="X199" s="18" t="str">
        <f t="shared" ca="1" si="18"/>
        <v>коричневый / бежевый</v>
      </c>
      <c r="Y199" s="18" t="str">
        <f t="shared" ca="1" si="19"/>
        <v>коричневый / бежевый</v>
      </c>
      <c r="Z199" s="117" t="s">
        <v>22</v>
      </c>
      <c r="AA199" s="73" t="str">
        <f ca="1"/>
        <v>95-008-56-59</v>
      </c>
      <c r="AB199" s="75" t="str">
        <f ca="1">VLOOKUP(C199,Группа!A:B,2,FALSE)</f>
        <v>Кепка</v>
      </c>
      <c r="AC199" s="97" t="str">
        <f ca="1">IFERROR(VLOOKUP(S199,Размеры!A:C,3,FALSE),"")</f>
        <v>59 L</v>
      </c>
      <c r="AD199" s="97" t="str">
        <f ca="1">VLOOKUP(I199,ЦветПолный!A:B,2,FALSE)</f>
        <v>56</v>
      </c>
      <c r="AE199" s="97" t="str">
        <f ca="1">IFERROR(VLOOKUP(S199,Размеры!A:D,4,FALSE),"")</f>
        <v>59</v>
      </c>
      <c r="AF199" s="97">
        <f ca="1">IF(LEFT(IFERROR(VLOOKUP(LOOKUP(2,1/SEARCH(B199,Товары!A:A),Товары!A:A),Товары!A:B,2,0),""),6)=MID(AA199,1,6),1,0)</f>
        <v>0</v>
      </c>
      <c r="AH199" s="97">
        <f ca="1">SUMIF(Группа!A:A,C199,Группа!C:C)</f>
        <v>1</v>
      </c>
      <c r="AI199" s="97">
        <f ca="1">SUMIF(Группа!B:B,AB199,Группа!C:C)</f>
        <v>1</v>
      </c>
      <c r="AJ199" s="97">
        <f ca="1">SUMIF(Формы!A:A,D199,Формы!B:B)</f>
        <v>1</v>
      </c>
      <c r="AK199" s="97">
        <f ca="1">SUMIF(Материал!A:A,K199,Материал!B:B)</f>
        <v>1</v>
      </c>
      <c r="AL199" s="97">
        <f ca="1">SUMIF(Размеры!A:A,S199,Размеры!E:E)</f>
        <v>1</v>
      </c>
      <c r="AM199" s="97">
        <f ca="1">SUMIF(Сезон!A:A,F199,Сезон!B:B)</f>
        <v>1</v>
      </c>
      <c r="AN199" s="97">
        <f ca="1">SUMIF(Состав!A:A,J199,Состав!B:B)</f>
        <v>0</v>
      </c>
      <c r="AO199" s="97">
        <f ca="1">VLOOKUP(I199,ЦветПолный!A:C,3,0)</f>
        <v>1</v>
      </c>
      <c r="AP199" s="97">
        <f>SUMIF(Цвет!A:A,Z199,Цвет!B:B)</f>
        <v>1</v>
      </c>
      <c r="AQ199" s="97">
        <f ca="1">_xlfn.XLOOKUP(L199,Пол!A:A,Пол!B:B,0,0)</f>
        <v>1</v>
      </c>
      <c r="AR199" s="97">
        <f ca="1">SUMIF(Бренд!A:A,G199,Бренд!B:B)</f>
        <v>1</v>
      </c>
      <c r="AS199" s="97">
        <f ca="1">SUMIF(Страна!A:A,M199,Страна!B:B)</f>
        <v>1</v>
      </c>
      <c r="AT199" s="64" t="e">
        <f ca="1">IF(VLOOKUP(W199,Товары!A:B,2,FALSE)=A199,"Есть в 1С","ERR")</f>
        <v>#N/A</v>
      </c>
      <c r="AU199" s="65" t="e">
        <f ca="1">IF(VLOOKUP(A199,Товары!B:B,1,FALSE)=A199,"Есть в 1С","ERR")</f>
        <v>#N/A</v>
      </c>
      <c r="AV199" s="96" t="e">
        <f ca="1">VLOOKUP(W199,Товары!A:B,2,FALSE)</f>
        <v>#N/A</v>
      </c>
      <c r="AW199" s="94" t="e">
        <f ca="1">VLOOKUP(W199,Товары!A:B,1,FALSE)</f>
        <v>#N/A</v>
      </c>
    </row>
    <row r="200" spans="1:49" x14ac:dyDescent="0.25">
      <c r="A200" s="110" t="str">
        <f t="shared" ca="1" si="15"/>
        <v>95-008-56</v>
      </c>
      <c r="B200" s="107" t="str">
        <f ca="1">_xlfn.LET(_xlpm.CAPS,0,_xlpm.Style,TRIM(_xlfn.XLOOKUP($A200,Строчный!$A:$A,Строчный!B:B,"ERR",0)),IF(_xlpm.CAPS=0,_xlpm.Style,LOWER(_xlpm.Style)))</f>
        <v>3190</v>
      </c>
      <c r="C200" s="81" t="str">
        <f ca="1">TRIM(PROPER(_xlfn.XLOOKUP($A200,Строчный!$A:$A,Строчный!C:C,"ERR",0)))</f>
        <v>Кепки</v>
      </c>
      <c r="D200" s="81" t="str">
        <f ca="1">_xlfn.LET(_xlpm.DATA,TRIM(_xlfn.XLOOKUP($A200,Строчный!$A:$A,Строчный!D:D,"ERR",0)),UPPER(MID(_xlpm.DATA,1,1))&amp;LOWER(MID(_xlpm.DATA,2,LEN(_xlpm.DATA)-1)))</f>
        <v>Кепка восьмиклинка</v>
      </c>
      <c r="E200" s="81" t="str">
        <f ca="1">PROPER(TRIM(_xlfn.XLOOKUP($A200,Строчный!$A:$A,Строчный!E:E,"ERR",0)))</f>
        <v>Fredrikson</v>
      </c>
      <c r="F200" s="81" t="str">
        <f ca="1">LOWER(TRIM(_xlfn.XLOOKUP($A200,Строчный!$A:$A,Строчный!F:F,"ERR",0)))</f>
        <v>всесезон</v>
      </c>
      <c r="G200" s="81" t="str">
        <f ca="1">UPPER(TRIM(_xlfn.XLOOKUP($A200,Строчный!$A:$A,Строчный!G:G,"ERR",0)))</f>
        <v>FREDRIKSON</v>
      </c>
      <c r="H200" s="81" t="str">
        <f ca="1">LOWER(TRIM(_xlfn.XLOOKUP($A200,Строчный!$A:$A,Строчный!H:H,"ERR",0)))</f>
        <v>699/51</v>
      </c>
      <c r="I200" s="81" t="str">
        <f ca="1">LOWER(TRIM(_xlfn.XLOOKUP($A200,Строчный!$A:$A,Строчный!I:I,"ERR",0)))</f>
        <v>светло-коричневый / бежевый</v>
      </c>
      <c r="J200" s="81" t="str">
        <f ca="1">SUBSTITUTE(LOWER(TRIM(_xlfn.XLOOKUP($A200,Строчный!$A:$A,Строчный!J:J,"ERR",0))),"подклад","Подклад")</f>
        <v>100% шерсть / Подклад: 100% вискоза</v>
      </c>
      <c r="K200" s="81" t="str">
        <f ca="1">LOWER(TRIM(_xlfn.XLOOKUP($A200,Строчный!$A:$A,Строчный!K:K,"ERR",0)))</f>
        <v>шерстяные</v>
      </c>
      <c r="L200" s="81" t="str">
        <f ca="1">PROPER(TRIM(_xlfn.XLOOKUP($A200,Строчный!$A:$A,Строчный!L:L,"ERR",0)))</f>
        <v>Унисекс</v>
      </c>
      <c r="M200" s="113" t="str">
        <f ca="1">PROPER(TRIM(_xlfn.XLOOKUP($A200,Строчный!$A:$A,Строчный!M:M,"ERR",0)))</f>
        <v>Россия</v>
      </c>
      <c r="N200" s="81" t="str">
        <f ca="1">UPPER(TRIM(_xlfn.XLOOKUP($A200,Строчный!$A:$A,Строчный!O:O,"ERR",0)))</f>
        <v/>
      </c>
      <c r="O200" s="102" t="str">
        <f ca="1">PROPER(TRIM(_xlfn.XLOOKUP($A200,Строчный!$A:$A,Строчный!P:P,"ERR",0)))</f>
        <v/>
      </c>
      <c r="P200" s="81" t="str">
        <f ca="1">PROPER(TRIM(_xlfn.XLOOKUP($A200,Строчный!$A:$A,Строчный!R:R,"ERR",0)))</f>
        <v/>
      </c>
      <c r="Q200" s="90">
        <f ca="1">VALUE(_xlfn.XLOOKUP($A200,Строчный!$A:$A,Строчный!N:N,"ERR",0))</f>
        <v>975.8</v>
      </c>
      <c r="R200" s="89" t="str">
        <f ca="1">_xlfn.XLOOKUP($G200,Фабрика!A:A,Фабрика!B:B,"ERR",0)</f>
        <v>ООО "ФРЭДРИКСОН" Россия 192029, С-Петербург, пр. Обуховской обороны, д.86, лит М</v>
      </c>
      <c r="S200" s="80" t="str">
        <f ca="1">_xlfn.XLOOKUP(RIGHT(AA200,2),Размеры!D:D,Размеры!A:A,"ERR",0)</f>
        <v>58</v>
      </c>
      <c r="T200" s="80">
        <f ca="1">VALUE(_xlfn.XLOOKUP($AA200,Строчный!$S:$S,Строчный!U:U,"ERR",0))</f>
        <v>1</v>
      </c>
      <c r="U200" s="14" t="s">
        <v>265</v>
      </c>
      <c r="V200" s="101" t="str">
        <f t="shared" ca="1" si="16"/>
        <v>Кепка FREDRIKSON арт. 3190 (светло-коричневый / бежевый)</v>
      </c>
      <c r="W200" s="100" t="str">
        <f t="shared" ca="1" si="17"/>
        <v>Кепка FREDRIKSON арт. 3190 (светло-коричневый / бежевый) {699/51}</v>
      </c>
      <c r="X200" s="18" t="str">
        <f t="shared" ca="1" si="18"/>
        <v>коричневый / бежевый</v>
      </c>
      <c r="Y200" s="18" t="str">
        <f t="shared" ca="1" si="19"/>
        <v>коричневый / бежевый</v>
      </c>
      <c r="Z200" s="117" t="s">
        <v>22</v>
      </c>
      <c r="AA200" s="73" t="str">
        <f ca="1"/>
        <v>95-008-56-58</v>
      </c>
      <c r="AB200" s="75" t="str">
        <f ca="1">VLOOKUP(C200,Группа!A:B,2,FALSE)</f>
        <v>Кепка</v>
      </c>
      <c r="AC200" s="97" t="str">
        <f ca="1">IFERROR(VLOOKUP(S200,Размеры!A:C,3,FALSE),"")</f>
        <v>58 M/L</v>
      </c>
      <c r="AD200" s="97" t="str">
        <f ca="1">VLOOKUP(I200,ЦветПолный!A:B,2,FALSE)</f>
        <v>56</v>
      </c>
      <c r="AE200" s="97" t="str">
        <f ca="1">IFERROR(VLOOKUP(S200,Размеры!A:D,4,FALSE),"")</f>
        <v>58</v>
      </c>
      <c r="AF200" s="97">
        <f ca="1">IF(LEFT(IFERROR(VLOOKUP(LOOKUP(2,1/SEARCH(B200,Товары!A:A),Товары!A:A),Товары!A:B,2,0),""),6)=MID(AA200,1,6),1,0)</f>
        <v>0</v>
      </c>
      <c r="AH200" s="97">
        <f ca="1">SUMIF(Группа!A:A,C200,Группа!C:C)</f>
        <v>1</v>
      </c>
      <c r="AI200" s="97">
        <f ca="1">SUMIF(Группа!B:B,AB200,Группа!C:C)</f>
        <v>1</v>
      </c>
      <c r="AJ200" s="97">
        <f ca="1">SUMIF(Формы!A:A,D200,Формы!B:B)</f>
        <v>1</v>
      </c>
      <c r="AK200" s="97">
        <f ca="1">SUMIF(Материал!A:A,K200,Материал!B:B)</f>
        <v>1</v>
      </c>
      <c r="AL200" s="97">
        <f ca="1">SUMIF(Размеры!A:A,S200,Размеры!E:E)</f>
        <v>1</v>
      </c>
      <c r="AM200" s="97">
        <f ca="1">SUMIF(Сезон!A:A,F200,Сезон!B:B)</f>
        <v>1</v>
      </c>
      <c r="AN200" s="97">
        <f ca="1">SUMIF(Состав!A:A,J200,Состав!B:B)</f>
        <v>0</v>
      </c>
      <c r="AO200" s="97">
        <f ca="1">VLOOKUP(I200,ЦветПолный!A:C,3,0)</f>
        <v>1</v>
      </c>
      <c r="AP200" s="97">
        <f>SUMIF(Цвет!A:A,Z200,Цвет!B:B)</f>
        <v>1</v>
      </c>
      <c r="AQ200" s="97">
        <f ca="1">_xlfn.XLOOKUP(L200,Пол!A:A,Пол!B:B,0,0)</f>
        <v>1</v>
      </c>
      <c r="AR200" s="97">
        <f ca="1">SUMIF(Бренд!A:A,G200,Бренд!B:B)</f>
        <v>1</v>
      </c>
      <c r="AS200" s="97">
        <f ca="1">SUMIF(Страна!A:A,M200,Страна!B:B)</f>
        <v>1</v>
      </c>
      <c r="AT200" s="64" t="e">
        <f ca="1">IF(VLOOKUP(W200,Товары!A:B,2,FALSE)=A200,"Есть в 1С","ERR")</f>
        <v>#N/A</v>
      </c>
      <c r="AU200" s="65" t="e">
        <f ca="1">IF(VLOOKUP(A200,Товары!B:B,1,FALSE)=A200,"Есть в 1С","ERR")</f>
        <v>#N/A</v>
      </c>
      <c r="AV200" s="96" t="e">
        <f ca="1">VLOOKUP(W200,Товары!A:B,2,FALSE)</f>
        <v>#N/A</v>
      </c>
      <c r="AW200" s="94" t="e">
        <f ca="1">VLOOKUP(W200,Товары!A:B,1,FALSE)</f>
        <v>#N/A</v>
      </c>
    </row>
    <row r="201" spans="1:49" x14ac:dyDescent="0.25">
      <c r="A201" s="110" t="str">
        <f t="shared" ca="1" si="15"/>
        <v>95-008-56</v>
      </c>
      <c r="B201" s="107" t="str">
        <f ca="1">_xlfn.LET(_xlpm.CAPS,0,_xlpm.Style,TRIM(_xlfn.XLOOKUP($A201,Строчный!$A:$A,Строчный!B:B,"ERR",0)),IF(_xlpm.CAPS=0,_xlpm.Style,LOWER(_xlpm.Style)))</f>
        <v>3190</v>
      </c>
      <c r="C201" s="81" t="str">
        <f ca="1">TRIM(PROPER(_xlfn.XLOOKUP($A201,Строчный!$A:$A,Строчный!C:C,"ERR",0)))</f>
        <v>Кепки</v>
      </c>
      <c r="D201" s="81" t="str">
        <f ca="1">_xlfn.LET(_xlpm.DATA,TRIM(_xlfn.XLOOKUP($A201,Строчный!$A:$A,Строчный!D:D,"ERR",0)),UPPER(MID(_xlpm.DATA,1,1))&amp;LOWER(MID(_xlpm.DATA,2,LEN(_xlpm.DATA)-1)))</f>
        <v>Кепка восьмиклинка</v>
      </c>
      <c r="E201" s="81" t="str">
        <f ca="1">PROPER(TRIM(_xlfn.XLOOKUP($A201,Строчный!$A:$A,Строчный!E:E,"ERR",0)))</f>
        <v>Fredrikson</v>
      </c>
      <c r="F201" s="81" t="str">
        <f ca="1">LOWER(TRIM(_xlfn.XLOOKUP($A201,Строчный!$A:$A,Строчный!F:F,"ERR",0)))</f>
        <v>всесезон</v>
      </c>
      <c r="G201" s="81" t="str">
        <f ca="1">UPPER(TRIM(_xlfn.XLOOKUP($A201,Строчный!$A:$A,Строчный!G:G,"ERR",0)))</f>
        <v>FREDRIKSON</v>
      </c>
      <c r="H201" s="81" t="str">
        <f ca="1">LOWER(TRIM(_xlfn.XLOOKUP($A201,Строчный!$A:$A,Строчный!H:H,"ERR",0)))</f>
        <v>699/51</v>
      </c>
      <c r="I201" s="81" t="str">
        <f ca="1">LOWER(TRIM(_xlfn.XLOOKUP($A201,Строчный!$A:$A,Строчный!I:I,"ERR",0)))</f>
        <v>светло-коричневый / бежевый</v>
      </c>
      <c r="J201" s="81" t="str">
        <f ca="1">SUBSTITUTE(LOWER(TRIM(_xlfn.XLOOKUP($A201,Строчный!$A:$A,Строчный!J:J,"ERR",0))),"подклад","Подклад")</f>
        <v>100% шерсть / Подклад: 100% вискоза</v>
      </c>
      <c r="K201" s="81" t="str">
        <f ca="1">LOWER(TRIM(_xlfn.XLOOKUP($A201,Строчный!$A:$A,Строчный!K:K,"ERR",0)))</f>
        <v>шерстяные</v>
      </c>
      <c r="L201" s="81" t="str">
        <f ca="1">PROPER(TRIM(_xlfn.XLOOKUP($A201,Строчный!$A:$A,Строчный!L:L,"ERR",0)))</f>
        <v>Унисекс</v>
      </c>
      <c r="M201" s="113" t="str">
        <f ca="1">PROPER(TRIM(_xlfn.XLOOKUP($A201,Строчный!$A:$A,Строчный!M:M,"ERR",0)))</f>
        <v>Россия</v>
      </c>
      <c r="N201" s="81" t="str">
        <f ca="1">UPPER(TRIM(_xlfn.XLOOKUP($A201,Строчный!$A:$A,Строчный!O:O,"ERR",0)))</f>
        <v/>
      </c>
      <c r="O201" s="102" t="str">
        <f ca="1">PROPER(TRIM(_xlfn.XLOOKUP($A201,Строчный!$A:$A,Строчный!P:P,"ERR",0)))</f>
        <v/>
      </c>
      <c r="P201" s="81" t="str">
        <f ca="1">PROPER(TRIM(_xlfn.XLOOKUP($A201,Строчный!$A:$A,Строчный!R:R,"ERR",0)))</f>
        <v/>
      </c>
      <c r="Q201" s="90">
        <f ca="1">VALUE(_xlfn.XLOOKUP($A201,Строчный!$A:$A,Строчный!N:N,"ERR",0))</f>
        <v>975.8</v>
      </c>
      <c r="R201" s="89" t="str">
        <f ca="1">_xlfn.XLOOKUP($G201,Фабрика!A:A,Фабрика!B:B,"ERR",0)</f>
        <v>ООО "ФРЭДРИКСОН" Россия 192029, С-Петербург, пр. Обуховской обороны, д.86, лит М</v>
      </c>
      <c r="S201" s="80" t="str">
        <f ca="1">_xlfn.XLOOKUP(RIGHT(AA201,2),Размеры!D:D,Размеры!A:A,"ERR",0)</f>
        <v>57</v>
      </c>
      <c r="T201" s="80">
        <f ca="1">VALUE(_xlfn.XLOOKUP($AA201,Строчный!$S:$S,Строчный!U:U,"ERR",0))</f>
        <v>7</v>
      </c>
      <c r="U201" s="14" t="s">
        <v>265</v>
      </c>
      <c r="V201" s="101" t="str">
        <f t="shared" ca="1" si="16"/>
        <v>Кепка FREDRIKSON арт. 3190 (светло-коричневый / бежевый)</v>
      </c>
      <c r="W201" s="100" t="str">
        <f t="shared" ca="1" si="17"/>
        <v>Кепка FREDRIKSON арт. 3190 (светло-коричневый / бежевый) {699/51}</v>
      </c>
      <c r="X201" s="18" t="str">
        <f t="shared" ca="1" si="18"/>
        <v>коричневый / бежевый</v>
      </c>
      <c r="Y201" s="18" t="str">
        <f t="shared" ca="1" si="19"/>
        <v>коричневый / бежевый</v>
      </c>
      <c r="Z201" s="117" t="s">
        <v>22</v>
      </c>
      <c r="AA201" s="73" t="str">
        <f ca="1"/>
        <v>95-008-56-57</v>
      </c>
      <c r="AB201" s="75" t="str">
        <f ca="1">VLOOKUP(C201,Группа!A:B,2,FALSE)</f>
        <v>Кепка</v>
      </c>
      <c r="AC201" s="97" t="str">
        <f ca="1">IFERROR(VLOOKUP(S201,Размеры!A:C,3,FALSE),"")</f>
        <v>57 M</v>
      </c>
      <c r="AD201" s="97" t="str">
        <f ca="1">VLOOKUP(I201,ЦветПолный!A:B,2,FALSE)</f>
        <v>56</v>
      </c>
      <c r="AE201" s="97" t="str">
        <f ca="1">IFERROR(VLOOKUP(S201,Размеры!A:D,4,FALSE),"")</f>
        <v>57</v>
      </c>
      <c r="AF201" s="97">
        <f ca="1">IF(LEFT(IFERROR(VLOOKUP(LOOKUP(2,1/SEARCH(B201,Товары!A:A),Товары!A:A),Товары!A:B,2,0),""),6)=MID(AA201,1,6),1,0)</f>
        <v>0</v>
      </c>
      <c r="AH201" s="97">
        <f ca="1">SUMIF(Группа!A:A,C201,Группа!C:C)</f>
        <v>1</v>
      </c>
      <c r="AI201" s="97">
        <f ca="1">SUMIF(Группа!B:B,AB201,Группа!C:C)</f>
        <v>1</v>
      </c>
      <c r="AJ201" s="97">
        <f ca="1">SUMIF(Формы!A:A,D201,Формы!B:B)</f>
        <v>1</v>
      </c>
      <c r="AK201" s="97">
        <f ca="1">SUMIF(Материал!A:A,K201,Материал!B:B)</f>
        <v>1</v>
      </c>
      <c r="AL201" s="97">
        <f ca="1">SUMIF(Размеры!A:A,S201,Размеры!E:E)</f>
        <v>1</v>
      </c>
      <c r="AM201" s="97">
        <f ca="1">SUMIF(Сезон!A:A,F201,Сезон!B:B)</f>
        <v>1</v>
      </c>
      <c r="AN201" s="97">
        <f ca="1">SUMIF(Состав!A:A,J201,Состав!B:B)</f>
        <v>0</v>
      </c>
      <c r="AO201" s="97">
        <f ca="1">VLOOKUP(I201,ЦветПолный!A:C,3,0)</f>
        <v>1</v>
      </c>
      <c r="AP201" s="97">
        <f>SUMIF(Цвет!A:A,Z201,Цвет!B:B)</f>
        <v>1</v>
      </c>
      <c r="AQ201" s="97">
        <f ca="1">_xlfn.XLOOKUP(L201,Пол!A:A,Пол!B:B,0,0)</f>
        <v>1</v>
      </c>
      <c r="AR201" s="97">
        <f ca="1">SUMIF(Бренд!A:A,G201,Бренд!B:B)</f>
        <v>1</v>
      </c>
      <c r="AS201" s="97">
        <f ca="1">SUMIF(Страна!A:A,M201,Страна!B:B)</f>
        <v>1</v>
      </c>
      <c r="AT201" s="64" t="e">
        <f ca="1">IF(VLOOKUP(W201,Товары!A:B,2,FALSE)=A201,"Есть в 1С","ERR")</f>
        <v>#N/A</v>
      </c>
      <c r="AU201" s="65" t="e">
        <f ca="1">IF(VLOOKUP(A201,Товары!B:B,1,FALSE)=A201,"Есть в 1С","ERR")</f>
        <v>#N/A</v>
      </c>
      <c r="AV201" s="96" t="e">
        <f ca="1">VLOOKUP(W201,Товары!A:B,2,FALSE)</f>
        <v>#N/A</v>
      </c>
      <c r="AW201" s="94" t="e">
        <f ca="1">VLOOKUP(W201,Товары!A:B,1,FALSE)</f>
        <v>#N/A</v>
      </c>
    </row>
    <row r="202" spans="1:49" x14ac:dyDescent="0.25">
      <c r="A202" s="110" t="str">
        <f t="shared" ca="1" si="15"/>
        <v>95-008-55</v>
      </c>
      <c r="B202" s="107" t="str">
        <f ca="1">_xlfn.LET(_xlpm.CAPS,0,_xlpm.Style,TRIM(_xlfn.XLOOKUP($A202,Строчный!$A:$A,Строчный!B:B,"ERR",0)),IF(_xlpm.CAPS=0,_xlpm.Style,LOWER(_xlpm.Style)))</f>
        <v>3190</v>
      </c>
      <c r="C202" s="81" t="str">
        <f ca="1">TRIM(PROPER(_xlfn.XLOOKUP($A202,Строчный!$A:$A,Строчный!C:C,"ERR",0)))</f>
        <v>Кепки</v>
      </c>
      <c r="D202" s="81" t="str">
        <f ca="1">_xlfn.LET(_xlpm.DATA,TRIM(_xlfn.XLOOKUP($A202,Строчный!$A:$A,Строчный!D:D,"ERR",0)),UPPER(MID(_xlpm.DATA,1,1))&amp;LOWER(MID(_xlpm.DATA,2,LEN(_xlpm.DATA)-1)))</f>
        <v>Кепка восьмиклинка</v>
      </c>
      <c r="E202" s="81" t="str">
        <f ca="1">PROPER(TRIM(_xlfn.XLOOKUP($A202,Строчный!$A:$A,Строчный!E:E,"ERR",0)))</f>
        <v>Fredrikson</v>
      </c>
      <c r="F202" s="81" t="str">
        <f ca="1">LOWER(TRIM(_xlfn.XLOOKUP($A202,Строчный!$A:$A,Строчный!F:F,"ERR",0)))</f>
        <v>всесезон</v>
      </c>
      <c r="G202" s="81" t="str">
        <f ca="1">UPPER(TRIM(_xlfn.XLOOKUP($A202,Строчный!$A:$A,Строчный!G:G,"ERR",0)))</f>
        <v>FREDRIKSON</v>
      </c>
      <c r="H202" s="81" t="str">
        <f ca="1">LOWER(TRIM(_xlfn.XLOOKUP($A202,Строчный!$A:$A,Строчный!H:H,"ERR",0)))</f>
        <v>699/78</v>
      </c>
      <c r="I202" s="81" t="str">
        <f ca="1">LOWER(TRIM(_xlfn.XLOOKUP($A202,Строчный!$A:$A,Строчный!I:I,"ERR",0)))</f>
        <v>черный / темно-серый</v>
      </c>
      <c r="J202" s="81" t="str">
        <f ca="1">SUBSTITUTE(LOWER(TRIM(_xlfn.XLOOKUP($A202,Строчный!$A:$A,Строчный!J:J,"ERR",0))),"подклад","Подклад")</f>
        <v>80% шерсть - 20% полиамид / Подклад: 100% вискоза</v>
      </c>
      <c r="K202" s="81" t="str">
        <f ca="1">LOWER(TRIM(_xlfn.XLOOKUP($A202,Строчный!$A:$A,Строчный!K:K,"ERR",0)))</f>
        <v>шерстяные</v>
      </c>
      <c r="L202" s="81" t="str">
        <f ca="1">PROPER(TRIM(_xlfn.XLOOKUP($A202,Строчный!$A:$A,Строчный!L:L,"ERR",0)))</f>
        <v>Унисекс</v>
      </c>
      <c r="M202" s="113" t="str">
        <f ca="1">PROPER(TRIM(_xlfn.XLOOKUP($A202,Строчный!$A:$A,Строчный!M:M,"ERR",0)))</f>
        <v>Россия</v>
      </c>
      <c r="N202" s="81" t="str">
        <f ca="1">UPPER(TRIM(_xlfn.XLOOKUP($A202,Строчный!$A:$A,Строчный!O:O,"ERR",0)))</f>
        <v/>
      </c>
      <c r="O202" s="102" t="str">
        <f ca="1">PROPER(TRIM(_xlfn.XLOOKUP($A202,Строчный!$A:$A,Строчный!P:P,"ERR",0)))</f>
        <v/>
      </c>
      <c r="P202" s="81" t="str">
        <f ca="1">PROPER(TRIM(_xlfn.XLOOKUP($A202,Строчный!$A:$A,Строчный!R:R,"ERR",0)))</f>
        <v/>
      </c>
      <c r="Q202" s="90">
        <f ca="1">VALUE(_xlfn.XLOOKUP($A202,Строчный!$A:$A,Строчный!N:N,"ERR",0))</f>
        <v>975.8</v>
      </c>
      <c r="R202" s="89" t="str">
        <f ca="1">_xlfn.XLOOKUP($G202,Фабрика!A:A,Фабрика!B:B,"ERR",0)</f>
        <v>ООО "ФРЭДРИКСОН" Россия 192029, С-Петербург, пр. Обуховской обороны, д.86, лит М</v>
      </c>
      <c r="S202" s="80" t="str">
        <f ca="1">_xlfn.XLOOKUP(RIGHT(AA202,2),Размеры!D:D,Размеры!A:A,"ERR",0)</f>
        <v>60</v>
      </c>
      <c r="T202" s="80">
        <f ca="1">VALUE(_xlfn.XLOOKUP($AA202,Строчный!$S:$S,Строчный!U:U,"ERR",0))</f>
        <v>30</v>
      </c>
      <c r="U202" s="14" t="s">
        <v>265</v>
      </c>
      <c r="V202" s="101" t="str">
        <f t="shared" ca="1" si="16"/>
        <v>Кепка FREDRIKSON арт. 3190 (черный / темно-серый)</v>
      </c>
      <c r="W202" s="100" t="str">
        <f t="shared" ca="1" si="17"/>
        <v>Кепка FREDRIKSON арт. 3190 (черный / темно-серый) {699/78}</v>
      </c>
      <c r="X202" s="18" t="str">
        <f t="shared" ca="1" si="18"/>
        <v>серый</v>
      </c>
      <c r="Y202" s="18" t="str">
        <f t="shared" ca="1" si="19"/>
        <v>серый</v>
      </c>
      <c r="Z202" s="117" t="str">
        <f ca="1">_xlfn.LET(_xlpm.FormColors,_xlfn.XLOOKUP(A202,Строчный!A:A,Строчный!Q:Q,"",0),IF(_xlpm.FormColors=0,IFERROR(MID(I202,FIND("-",I202)+1,LEN(I202)),IFERROR(MID(I202,1,FIND("/",I202)-2),I202)),_xlpm.FormColors))</f>
        <v>серый</v>
      </c>
      <c r="AA202" s="73" t="str">
        <f ca="1"/>
        <v>95-008-55-60</v>
      </c>
      <c r="AB202" s="75" t="str">
        <f ca="1">VLOOKUP(C202,Группа!A:B,2,FALSE)</f>
        <v>Кепка</v>
      </c>
      <c r="AC202" s="97" t="str">
        <f ca="1">IFERROR(VLOOKUP(S202,Размеры!A:C,3,FALSE),"")</f>
        <v>60 L/XL</v>
      </c>
      <c r="AD202" s="97" t="str">
        <f ca="1">VLOOKUP(I202,ЦветПолный!A:B,2,FALSE)</f>
        <v>55</v>
      </c>
      <c r="AE202" s="97" t="str">
        <f ca="1">IFERROR(VLOOKUP(S202,Размеры!A:D,4,FALSE),"")</f>
        <v>60</v>
      </c>
      <c r="AF202" s="97">
        <f ca="1">IF(LEFT(IFERROR(VLOOKUP(LOOKUP(2,1/SEARCH(B202,Товары!A:A),Товары!A:A),Товары!A:B,2,0),""),6)=MID(AA202,1,6),1,0)</f>
        <v>0</v>
      </c>
      <c r="AH202" s="97">
        <f ca="1">SUMIF(Группа!A:A,C202,Группа!C:C)</f>
        <v>1</v>
      </c>
      <c r="AI202" s="97">
        <f ca="1">SUMIF(Группа!B:B,AB202,Группа!C:C)</f>
        <v>1</v>
      </c>
      <c r="AJ202" s="97">
        <f ca="1">SUMIF(Формы!A:A,D202,Формы!B:B)</f>
        <v>1</v>
      </c>
      <c r="AK202" s="97">
        <f ca="1">SUMIF(Материал!A:A,K202,Материал!B:B)</f>
        <v>1</v>
      </c>
      <c r="AL202" s="97">
        <f ca="1">SUMIF(Размеры!A:A,S202,Размеры!E:E)</f>
        <v>1</v>
      </c>
      <c r="AM202" s="97">
        <f ca="1">SUMIF(Сезон!A:A,F202,Сезон!B:B)</f>
        <v>1</v>
      </c>
      <c r="AN202" s="97">
        <f ca="1">SUMIF(Состав!A:A,J202,Состав!B:B)</f>
        <v>0</v>
      </c>
      <c r="AO202" s="97">
        <f ca="1">VLOOKUP(I202,ЦветПолный!A:C,3,0)</f>
        <v>1</v>
      </c>
      <c r="AP202" s="97">
        <f ca="1">SUMIF(Цвет!A:A,Z202,Цвет!B:B)</f>
        <v>1</v>
      </c>
      <c r="AQ202" s="97">
        <f ca="1">_xlfn.XLOOKUP(L202,Пол!A:A,Пол!B:B,0,0)</f>
        <v>1</v>
      </c>
      <c r="AR202" s="97">
        <f ca="1">SUMIF(Бренд!A:A,G202,Бренд!B:B)</f>
        <v>1</v>
      </c>
      <c r="AS202" s="97">
        <f ca="1">SUMIF(Страна!A:A,M202,Страна!B:B)</f>
        <v>1</v>
      </c>
      <c r="AT202" s="64" t="e">
        <f ca="1">IF(VLOOKUP(W202,Товары!A:B,2,FALSE)=A202,"Есть в 1С","ERR")</f>
        <v>#N/A</v>
      </c>
      <c r="AU202" s="65" t="e">
        <f ca="1">IF(VLOOKUP(A202,Товары!B:B,1,FALSE)=A202,"Есть в 1С","ERR")</f>
        <v>#N/A</v>
      </c>
      <c r="AV202" s="96" t="e">
        <f ca="1">VLOOKUP(W202,Товары!A:B,2,FALSE)</f>
        <v>#N/A</v>
      </c>
      <c r="AW202" s="94" t="e">
        <f ca="1">VLOOKUP(W202,Товары!A:B,1,FALSE)</f>
        <v>#N/A</v>
      </c>
    </row>
    <row r="203" spans="1:49" x14ac:dyDescent="0.25">
      <c r="A203" s="110" t="str">
        <f t="shared" ca="1" si="15"/>
        <v>95-008-55</v>
      </c>
      <c r="B203" s="107" t="str">
        <f ca="1">_xlfn.LET(_xlpm.CAPS,0,_xlpm.Style,TRIM(_xlfn.XLOOKUP($A203,Строчный!$A:$A,Строчный!B:B,"ERR",0)),IF(_xlpm.CAPS=0,_xlpm.Style,LOWER(_xlpm.Style)))</f>
        <v>3190</v>
      </c>
      <c r="C203" s="81" t="str">
        <f ca="1">TRIM(PROPER(_xlfn.XLOOKUP($A203,Строчный!$A:$A,Строчный!C:C,"ERR",0)))</f>
        <v>Кепки</v>
      </c>
      <c r="D203" s="81" t="str">
        <f ca="1">_xlfn.LET(_xlpm.DATA,TRIM(_xlfn.XLOOKUP($A203,Строчный!$A:$A,Строчный!D:D,"ERR",0)),UPPER(MID(_xlpm.DATA,1,1))&amp;LOWER(MID(_xlpm.DATA,2,LEN(_xlpm.DATA)-1)))</f>
        <v>Кепка восьмиклинка</v>
      </c>
      <c r="E203" s="81" t="str">
        <f ca="1">PROPER(TRIM(_xlfn.XLOOKUP($A203,Строчный!$A:$A,Строчный!E:E,"ERR",0)))</f>
        <v>Fredrikson</v>
      </c>
      <c r="F203" s="81" t="str">
        <f ca="1">LOWER(TRIM(_xlfn.XLOOKUP($A203,Строчный!$A:$A,Строчный!F:F,"ERR",0)))</f>
        <v>всесезон</v>
      </c>
      <c r="G203" s="81" t="str">
        <f ca="1">UPPER(TRIM(_xlfn.XLOOKUP($A203,Строчный!$A:$A,Строчный!G:G,"ERR",0)))</f>
        <v>FREDRIKSON</v>
      </c>
      <c r="H203" s="81" t="str">
        <f ca="1">LOWER(TRIM(_xlfn.XLOOKUP($A203,Строчный!$A:$A,Строчный!H:H,"ERR",0)))</f>
        <v>699/78</v>
      </c>
      <c r="I203" s="81" t="str">
        <f ca="1">LOWER(TRIM(_xlfn.XLOOKUP($A203,Строчный!$A:$A,Строчный!I:I,"ERR",0)))</f>
        <v>черный / темно-серый</v>
      </c>
      <c r="J203" s="81" t="str">
        <f ca="1">SUBSTITUTE(LOWER(TRIM(_xlfn.XLOOKUP($A203,Строчный!$A:$A,Строчный!J:J,"ERR",0))),"подклад","Подклад")</f>
        <v>80% шерсть - 20% полиамид / Подклад: 100% вискоза</v>
      </c>
      <c r="K203" s="81" t="str">
        <f ca="1">LOWER(TRIM(_xlfn.XLOOKUP($A203,Строчный!$A:$A,Строчный!K:K,"ERR",0)))</f>
        <v>шерстяные</v>
      </c>
      <c r="L203" s="81" t="str">
        <f ca="1">PROPER(TRIM(_xlfn.XLOOKUP($A203,Строчный!$A:$A,Строчный!L:L,"ERR",0)))</f>
        <v>Унисекс</v>
      </c>
      <c r="M203" s="113" t="str">
        <f ca="1">PROPER(TRIM(_xlfn.XLOOKUP($A203,Строчный!$A:$A,Строчный!M:M,"ERR",0)))</f>
        <v>Россия</v>
      </c>
      <c r="N203" s="81" t="str">
        <f ca="1">UPPER(TRIM(_xlfn.XLOOKUP($A203,Строчный!$A:$A,Строчный!O:O,"ERR",0)))</f>
        <v/>
      </c>
      <c r="O203" s="102" t="str">
        <f ca="1">PROPER(TRIM(_xlfn.XLOOKUP($A203,Строчный!$A:$A,Строчный!P:P,"ERR",0)))</f>
        <v/>
      </c>
      <c r="P203" s="81" t="str">
        <f ca="1">PROPER(TRIM(_xlfn.XLOOKUP($A203,Строчный!$A:$A,Строчный!R:R,"ERR",0)))</f>
        <v/>
      </c>
      <c r="Q203" s="90">
        <f ca="1">VALUE(_xlfn.XLOOKUP($A203,Строчный!$A:$A,Строчный!N:N,"ERR",0))</f>
        <v>975.8</v>
      </c>
      <c r="R203" s="89" t="str">
        <f ca="1">_xlfn.XLOOKUP($G203,Фабрика!A:A,Фабрика!B:B,"ERR",0)</f>
        <v>ООО "ФРЭДРИКСОН" Россия 192029, С-Петербург, пр. Обуховской обороны, д.86, лит М</v>
      </c>
      <c r="S203" s="80" t="str">
        <f ca="1">_xlfn.XLOOKUP(RIGHT(AA203,2),Размеры!D:D,Размеры!A:A,"ERR",0)</f>
        <v>59</v>
      </c>
      <c r="T203" s="80">
        <f ca="1">VALUE(_xlfn.XLOOKUP($AA203,Строчный!$S:$S,Строчный!U:U,"ERR",0))</f>
        <v>40</v>
      </c>
      <c r="U203" s="14" t="s">
        <v>265</v>
      </c>
      <c r="V203" s="101" t="str">
        <f t="shared" ca="1" si="16"/>
        <v>Кепка FREDRIKSON арт. 3190 (черный / темно-серый)</v>
      </c>
      <c r="W203" s="100" t="str">
        <f t="shared" ca="1" si="17"/>
        <v>Кепка FREDRIKSON арт. 3190 (черный / темно-серый) {699/78}</v>
      </c>
      <c r="X203" s="18" t="str">
        <f t="shared" ca="1" si="18"/>
        <v>серый</v>
      </c>
      <c r="Y203" s="18" t="str">
        <f t="shared" ca="1" si="19"/>
        <v>серый</v>
      </c>
      <c r="Z203" s="117" t="str">
        <f ca="1">_xlfn.LET(_xlpm.FormColors,_xlfn.XLOOKUP(A203,Строчный!A:A,Строчный!Q:Q,"",0),IF(_xlpm.FormColors=0,IFERROR(MID(I203,FIND("-",I203)+1,LEN(I203)),IFERROR(MID(I203,1,FIND("/",I203)-2),I203)),_xlpm.FormColors))</f>
        <v>серый</v>
      </c>
      <c r="AA203" s="73" t="str">
        <f ca="1"/>
        <v>95-008-55-59</v>
      </c>
      <c r="AB203" s="75" t="str">
        <f ca="1">VLOOKUP(C203,Группа!A:B,2,FALSE)</f>
        <v>Кепка</v>
      </c>
      <c r="AC203" s="97" t="str">
        <f ca="1">IFERROR(VLOOKUP(S203,Размеры!A:C,3,FALSE),"")</f>
        <v>59 L</v>
      </c>
      <c r="AD203" s="97" t="str">
        <f ca="1">VLOOKUP(I203,ЦветПолный!A:B,2,FALSE)</f>
        <v>55</v>
      </c>
      <c r="AE203" s="97" t="str">
        <f ca="1">IFERROR(VLOOKUP(S203,Размеры!A:D,4,FALSE),"")</f>
        <v>59</v>
      </c>
      <c r="AF203" s="97">
        <f ca="1">IF(LEFT(IFERROR(VLOOKUP(LOOKUP(2,1/SEARCH(B203,Товары!A:A),Товары!A:A),Товары!A:B,2,0),""),6)=MID(AA203,1,6),1,0)</f>
        <v>0</v>
      </c>
      <c r="AH203" s="97">
        <f ca="1">SUMIF(Группа!A:A,C203,Группа!C:C)</f>
        <v>1</v>
      </c>
      <c r="AI203" s="97">
        <f ca="1">SUMIF(Группа!B:B,AB203,Группа!C:C)</f>
        <v>1</v>
      </c>
      <c r="AJ203" s="97">
        <f ca="1">SUMIF(Формы!A:A,D203,Формы!B:B)</f>
        <v>1</v>
      </c>
      <c r="AK203" s="97">
        <f ca="1">SUMIF(Материал!A:A,K203,Материал!B:B)</f>
        <v>1</v>
      </c>
      <c r="AL203" s="97">
        <f ca="1">SUMIF(Размеры!A:A,S203,Размеры!E:E)</f>
        <v>1</v>
      </c>
      <c r="AM203" s="97">
        <f ca="1">SUMIF(Сезон!A:A,F203,Сезон!B:B)</f>
        <v>1</v>
      </c>
      <c r="AN203" s="97">
        <f ca="1">SUMIF(Состав!A:A,J203,Состав!B:B)</f>
        <v>0</v>
      </c>
      <c r="AO203" s="97">
        <f ca="1">VLOOKUP(I203,ЦветПолный!A:C,3,0)</f>
        <v>1</v>
      </c>
      <c r="AP203" s="97">
        <f ca="1">SUMIF(Цвет!A:A,Z203,Цвет!B:B)</f>
        <v>1</v>
      </c>
      <c r="AQ203" s="97">
        <f ca="1">_xlfn.XLOOKUP(L203,Пол!A:A,Пол!B:B,0,0)</f>
        <v>1</v>
      </c>
      <c r="AR203" s="97">
        <f ca="1">SUMIF(Бренд!A:A,G203,Бренд!B:B)</f>
        <v>1</v>
      </c>
      <c r="AS203" s="97">
        <f ca="1">SUMIF(Страна!A:A,M203,Страна!B:B)</f>
        <v>1</v>
      </c>
      <c r="AT203" s="64" t="e">
        <f ca="1">IF(VLOOKUP(W203,Товары!A:B,2,FALSE)=A203,"Есть в 1С","ERR")</f>
        <v>#N/A</v>
      </c>
      <c r="AU203" s="65" t="e">
        <f ca="1">IF(VLOOKUP(A203,Товары!B:B,1,FALSE)=A203,"Есть в 1С","ERR")</f>
        <v>#N/A</v>
      </c>
      <c r="AV203" s="96" t="e">
        <f ca="1">VLOOKUP(W203,Товары!A:B,2,FALSE)</f>
        <v>#N/A</v>
      </c>
      <c r="AW203" s="94" t="e">
        <f ca="1">VLOOKUP(W203,Товары!A:B,1,FALSE)</f>
        <v>#N/A</v>
      </c>
    </row>
    <row r="204" spans="1:49" x14ac:dyDescent="0.25">
      <c r="A204" s="110" t="str">
        <f t="shared" ca="1" si="15"/>
        <v>95-008-55</v>
      </c>
      <c r="B204" s="107" t="str">
        <f ca="1">_xlfn.LET(_xlpm.CAPS,0,_xlpm.Style,TRIM(_xlfn.XLOOKUP($A204,Строчный!$A:$A,Строчный!B:B,"ERR",0)),IF(_xlpm.CAPS=0,_xlpm.Style,LOWER(_xlpm.Style)))</f>
        <v>3190</v>
      </c>
      <c r="C204" s="81" t="str">
        <f ca="1">TRIM(PROPER(_xlfn.XLOOKUP($A204,Строчный!$A:$A,Строчный!C:C,"ERR",0)))</f>
        <v>Кепки</v>
      </c>
      <c r="D204" s="81" t="str">
        <f ca="1">_xlfn.LET(_xlpm.DATA,TRIM(_xlfn.XLOOKUP($A204,Строчный!$A:$A,Строчный!D:D,"ERR",0)),UPPER(MID(_xlpm.DATA,1,1))&amp;LOWER(MID(_xlpm.DATA,2,LEN(_xlpm.DATA)-1)))</f>
        <v>Кепка восьмиклинка</v>
      </c>
      <c r="E204" s="81" t="str">
        <f ca="1">PROPER(TRIM(_xlfn.XLOOKUP($A204,Строчный!$A:$A,Строчный!E:E,"ERR",0)))</f>
        <v>Fredrikson</v>
      </c>
      <c r="F204" s="81" t="str">
        <f ca="1">LOWER(TRIM(_xlfn.XLOOKUP($A204,Строчный!$A:$A,Строчный!F:F,"ERR",0)))</f>
        <v>всесезон</v>
      </c>
      <c r="G204" s="81" t="str">
        <f ca="1">UPPER(TRIM(_xlfn.XLOOKUP($A204,Строчный!$A:$A,Строчный!G:G,"ERR",0)))</f>
        <v>FREDRIKSON</v>
      </c>
      <c r="H204" s="81" t="str">
        <f ca="1">LOWER(TRIM(_xlfn.XLOOKUP($A204,Строчный!$A:$A,Строчный!H:H,"ERR",0)))</f>
        <v>699/78</v>
      </c>
      <c r="I204" s="81" t="str">
        <f ca="1">LOWER(TRIM(_xlfn.XLOOKUP($A204,Строчный!$A:$A,Строчный!I:I,"ERR",0)))</f>
        <v>черный / темно-серый</v>
      </c>
      <c r="J204" s="81" t="str">
        <f ca="1">SUBSTITUTE(LOWER(TRIM(_xlfn.XLOOKUP($A204,Строчный!$A:$A,Строчный!J:J,"ERR",0))),"подклад","Подклад")</f>
        <v>80% шерсть - 20% полиамид / Подклад: 100% вискоза</v>
      </c>
      <c r="K204" s="81" t="str">
        <f ca="1">LOWER(TRIM(_xlfn.XLOOKUP($A204,Строчный!$A:$A,Строчный!K:K,"ERR",0)))</f>
        <v>шерстяные</v>
      </c>
      <c r="L204" s="81" t="str">
        <f ca="1">PROPER(TRIM(_xlfn.XLOOKUP($A204,Строчный!$A:$A,Строчный!L:L,"ERR",0)))</f>
        <v>Унисекс</v>
      </c>
      <c r="M204" s="113" t="str">
        <f ca="1">PROPER(TRIM(_xlfn.XLOOKUP($A204,Строчный!$A:$A,Строчный!M:M,"ERR",0)))</f>
        <v>Россия</v>
      </c>
      <c r="N204" s="81" t="str">
        <f ca="1">UPPER(TRIM(_xlfn.XLOOKUP($A204,Строчный!$A:$A,Строчный!O:O,"ERR",0)))</f>
        <v/>
      </c>
      <c r="O204" s="102" t="str">
        <f ca="1">PROPER(TRIM(_xlfn.XLOOKUP($A204,Строчный!$A:$A,Строчный!P:P,"ERR",0)))</f>
        <v/>
      </c>
      <c r="P204" s="81" t="str">
        <f ca="1">PROPER(TRIM(_xlfn.XLOOKUP($A204,Строчный!$A:$A,Строчный!R:R,"ERR",0)))</f>
        <v/>
      </c>
      <c r="Q204" s="90">
        <f ca="1">VALUE(_xlfn.XLOOKUP($A204,Строчный!$A:$A,Строчный!N:N,"ERR",0))</f>
        <v>975.8</v>
      </c>
      <c r="R204" s="89" t="str">
        <f ca="1">_xlfn.XLOOKUP($G204,Фабрика!A:A,Фабрика!B:B,"ERR",0)</f>
        <v>ООО "ФРЭДРИКСОН" Россия 192029, С-Петербург, пр. Обуховской обороны, д.86, лит М</v>
      </c>
      <c r="S204" s="80" t="str">
        <f ca="1">_xlfn.XLOOKUP(RIGHT(AA204,2),Размеры!D:D,Размеры!A:A,"ERR",0)</f>
        <v>58</v>
      </c>
      <c r="T204" s="80">
        <f ca="1">VALUE(_xlfn.XLOOKUP($AA204,Строчный!$S:$S,Строчный!U:U,"ERR",0))</f>
        <v>30</v>
      </c>
      <c r="U204" s="14" t="s">
        <v>265</v>
      </c>
      <c r="V204" s="101" t="str">
        <f t="shared" ca="1" si="16"/>
        <v>Кепка FREDRIKSON арт. 3190 (черный / темно-серый)</v>
      </c>
      <c r="W204" s="100" t="str">
        <f t="shared" ca="1" si="17"/>
        <v>Кепка FREDRIKSON арт. 3190 (черный / темно-серый) {699/78}</v>
      </c>
      <c r="X204" s="18" t="str">
        <f t="shared" ca="1" si="18"/>
        <v>серый</v>
      </c>
      <c r="Y204" s="18" t="str">
        <f t="shared" ca="1" si="19"/>
        <v>серый</v>
      </c>
      <c r="Z204" s="117" t="str">
        <f ca="1">_xlfn.LET(_xlpm.FormColors,_xlfn.XLOOKUP(A204,Строчный!A:A,Строчный!Q:Q,"",0),IF(_xlpm.FormColors=0,IFERROR(MID(I204,FIND("-",I204)+1,LEN(I204)),IFERROR(MID(I204,1,FIND("/",I204)-2),I204)),_xlpm.FormColors))</f>
        <v>серый</v>
      </c>
      <c r="AA204" s="73" t="str">
        <f ca="1"/>
        <v>95-008-55-58</v>
      </c>
      <c r="AB204" s="75" t="str">
        <f ca="1">VLOOKUP(C204,Группа!A:B,2,FALSE)</f>
        <v>Кепка</v>
      </c>
      <c r="AC204" s="97" t="str">
        <f ca="1">IFERROR(VLOOKUP(S204,Размеры!A:C,3,FALSE),"")</f>
        <v>58 M/L</v>
      </c>
      <c r="AD204" s="97" t="str">
        <f ca="1">VLOOKUP(I204,ЦветПолный!A:B,2,FALSE)</f>
        <v>55</v>
      </c>
      <c r="AE204" s="97" t="str">
        <f ca="1">IFERROR(VLOOKUP(S204,Размеры!A:D,4,FALSE),"")</f>
        <v>58</v>
      </c>
      <c r="AF204" s="97">
        <f ca="1">IF(LEFT(IFERROR(VLOOKUP(LOOKUP(2,1/SEARCH(B204,Товары!A:A),Товары!A:A),Товары!A:B,2,0),""),6)=MID(AA204,1,6),1,0)</f>
        <v>0</v>
      </c>
      <c r="AH204" s="97">
        <f ca="1">SUMIF(Группа!A:A,C204,Группа!C:C)</f>
        <v>1</v>
      </c>
      <c r="AI204" s="97">
        <f ca="1">SUMIF(Группа!B:B,AB204,Группа!C:C)</f>
        <v>1</v>
      </c>
      <c r="AJ204" s="97">
        <f ca="1">SUMIF(Формы!A:A,D204,Формы!B:B)</f>
        <v>1</v>
      </c>
      <c r="AK204" s="97">
        <f ca="1">SUMIF(Материал!A:A,K204,Материал!B:B)</f>
        <v>1</v>
      </c>
      <c r="AL204" s="97">
        <f ca="1">SUMIF(Размеры!A:A,S204,Размеры!E:E)</f>
        <v>1</v>
      </c>
      <c r="AM204" s="97">
        <f ca="1">SUMIF(Сезон!A:A,F204,Сезон!B:B)</f>
        <v>1</v>
      </c>
      <c r="AN204" s="97">
        <f ca="1">SUMIF(Состав!A:A,J204,Состав!B:B)</f>
        <v>0</v>
      </c>
      <c r="AO204" s="97">
        <f ca="1">VLOOKUP(I204,ЦветПолный!A:C,3,0)</f>
        <v>1</v>
      </c>
      <c r="AP204" s="97">
        <f ca="1">SUMIF(Цвет!A:A,Z204,Цвет!B:B)</f>
        <v>1</v>
      </c>
      <c r="AQ204" s="97">
        <f ca="1">_xlfn.XLOOKUP(L204,Пол!A:A,Пол!B:B,0,0)</f>
        <v>1</v>
      </c>
      <c r="AR204" s="97">
        <f ca="1">SUMIF(Бренд!A:A,G204,Бренд!B:B)</f>
        <v>1</v>
      </c>
      <c r="AS204" s="97">
        <f ca="1">SUMIF(Страна!A:A,M204,Страна!B:B)</f>
        <v>1</v>
      </c>
      <c r="AT204" s="64" t="e">
        <f ca="1">IF(VLOOKUP(W204,Товары!A:B,2,FALSE)=A204,"Есть в 1С","ERR")</f>
        <v>#N/A</v>
      </c>
      <c r="AU204" s="65" t="e">
        <f ca="1">IF(VLOOKUP(A204,Товары!B:B,1,FALSE)=A204,"Есть в 1С","ERR")</f>
        <v>#N/A</v>
      </c>
      <c r="AV204" s="96" t="e">
        <f ca="1">VLOOKUP(W204,Товары!A:B,2,FALSE)</f>
        <v>#N/A</v>
      </c>
      <c r="AW204" s="94" t="e">
        <f ca="1">VLOOKUP(W204,Товары!A:B,1,FALSE)</f>
        <v>#N/A</v>
      </c>
    </row>
    <row r="205" spans="1:49" x14ac:dyDescent="0.25">
      <c r="A205" s="110" t="str">
        <f t="shared" ca="1" si="15"/>
        <v>95-008-55</v>
      </c>
      <c r="B205" s="107" t="str">
        <f ca="1">_xlfn.LET(_xlpm.CAPS,0,_xlpm.Style,TRIM(_xlfn.XLOOKUP($A205,Строчный!$A:$A,Строчный!B:B,"ERR",0)),IF(_xlpm.CAPS=0,_xlpm.Style,LOWER(_xlpm.Style)))</f>
        <v>3190</v>
      </c>
      <c r="C205" s="81" t="str">
        <f ca="1">TRIM(PROPER(_xlfn.XLOOKUP($A205,Строчный!$A:$A,Строчный!C:C,"ERR",0)))</f>
        <v>Кепки</v>
      </c>
      <c r="D205" s="81" t="str">
        <f ca="1">_xlfn.LET(_xlpm.DATA,TRIM(_xlfn.XLOOKUP($A205,Строчный!$A:$A,Строчный!D:D,"ERR",0)),UPPER(MID(_xlpm.DATA,1,1))&amp;LOWER(MID(_xlpm.DATA,2,LEN(_xlpm.DATA)-1)))</f>
        <v>Кепка восьмиклинка</v>
      </c>
      <c r="E205" s="81" t="str">
        <f ca="1">PROPER(TRIM(_xlfn.XLOOKUP($A205,Строчный!$A:$A,Строчный!E:E,"ERR",0)))</f>
        <v>Fredrikson</v>
      </c>
      <c r="F205" s="81" t="str">
        <f ca="1">LOWER(TRIM(_xlfn.XLOOKUP($A205,Строчный!$A:$A,Строчный!F:F,"ERR",0)))</f>
        <v>всесезон</v>
      </c>
      <c r="G205" s="81" t="str">
        <f ca="1">UPPER(TRIM(_xlfn.XLOOKUP($A205,Строчный!$A:$A,Строчный!G:G,"ERR",0)))</f>
        <v>FREDRIKSON</v>
      </c>
      <c r="H205" s="81" t="str">
        <f ca="1">LOWER(TRIM(_xlfn.XLOOKUP($A205,Строчный!$A:$A,Строчный!H:H,"ERR",0)))</f>
        <v>699/78</v>
      </c>
      <c r="I205" s="81" t="str">
        <f ca="1">LOWER(TRIM(_xlfn.XLOOKUP($A205,Строчный!$A:$A,Строчный!I:I,"ERR",0)))</f>
        <v>черный / темно-серый</v>
      </c>
      <c r="J205" s="81" t="str">
        <f ca="1">SUBSTITUTE(LOWER(TRIM(_xlfn.XLOOKUP($A205,Строчный!$A:$A,Строчный!J:J,"ERR",0))),"подклад","Подклад")</f>
        <v>80% шерсть - 20% полиамид / Подклад: 100% вискоза</v>
      </c>
      <c r="K205" s="81" t="str">
        <f ca="1">LOWER(TRIM(_xlfn.XLOOKUP($A205,Строчный!$A:$A,Строчный!K:K,"ERR",0)))</f>
        <v>шерстяные</v>
      </c>
      <c r="L205" s="81" t="str">
        <f ca="1">PROPER(TRIM(_xlfn.XLOOKUP($A205,Строчный!$A:$A,Строчный!L:L,"ERR",0)))</f>
        <v>Унисекс</v>
      </c>
      <c r="M205" s="113" t="str">
        <f ca="1">PROPER(TRIM(_xlfn.XLOOKUP($A205,Строчный!$A:$A,Строчный!M:M,"ERR",0)))</f>
        <v>Россия</v>
      </c>
      <c r="N205" s="81" t="str">
        <f ca="1">UPPER(TRIM(_xlfn.XLOOKUP($A205,Строчный!$A:$A,Строчный!O:O,"ERR",0)))</f>
        <v/>
      </c>
      <c r="O205" s="102" t="str">
        <f ca="1">PROPER(TRIM(_xlfn.XLOOKUP($A205,Строчный!$A:$A,Строчный!P:P,"ERR",0)))</f>
        <v/>
      </c>
      <c r="P205" s="81" t="str">
        <f ca="1">PROPER(TRIM(_xlfn.XLOOKUP($A205,Строчный!$A:$A,Строчный!R:R,"ERR",0)))</f>
        <v/>
      </c>
      <c r="Q205" s="90">
        <f ca="1">VALUE(_xlfn.XLOOKUP($A205,Строчный!$A:$A,Строчный!N:N,"ERR",0))</f>
        <v>975.8</v>
      </c>
      <c r="R205" s="89" t="str">
        <f ca="1">_xlfn.XLOOKUP($G205,Фабрика!A:A,Фабрика!B:B,"ERR",0)</f>
        <v>ООО "ФРЭДРИКСОН" Россия 192029, С-Петербург, пр. Обуховской обороны, д.86, лит М</v>
      </c>
      <c r="S205" s="80" t="str">
        <f ca="1">_xlfn.XLOOKUP(RIGHT(AA205,2),Размеры!D:D,Размеры!A:A,"ERR",0)</f>
        <v>57</v>
      </c>
      <c r="T205" s="80">
        <f ca="1">VALUE(_xlfn.XLOOKUP($AA205,Строчный!$S:$S,Строчный!U:U,"ERR",0))</f>
        <v>20</v>
      </c>
      <c r="U205" s="14" t="s">
        <v>265</v>
      </c>
      <c r="V205" s="101" t="str">
        <f t="shared" ca="1" si="16"/>
        <v>Кепка FREDRIKSON арт. 3190 (черный / темно-серый)</v>
      </c>
      <c r="W205" s="100" t="str">
        <f t="shared" ca="1" si="17"/>
        <v>Кепка FREDRIKSON арт. 3190 (черный / темно-серый) {699/78}</v>
      </c>
      <c r="X205" s="18" t="str">
        <f t="shared" ca="1" si="18"/>
        <v>серый</v>
      </c>
      <c r="Y205" s="18" t="str">
        <f t="shared" ca="1" si="19"/>
        <v>серый</v>
      </c>
      <c r="Z205" s="117" t="str">
        <f ca="1">_xlfn.LET(_xlpm.FormColors,_xlfn.XLOOKUP(A205,Строчный!A:A,Строчный!Q:Q,"",0),IF(_xlpm.FormColors=0,IFERROR(MID(I205,FIND("-",I205)+1,LEN(I205)),IFERROR(MID(I205,1,FIND("/",I205)-2),I205)),_xlpm.FormColors))</f>
        <v>серый</v>
      </c>
      <c r="AA205" s="73" t="str">
        <f ca="1"/>
        <v>95-008-55-57</v>
      </c>
      <c r="AB205" s="75" t="str">
        <f ca="1">VLOOKUP(C205,Группа!A:B,2,FALSE)</f>
        <v>Кепка</v>
      </c>
      <c r="AC205" s="97" t="str">
        <f ca="1">IFERROR(VLOOKUP(S205,Размеры!A:C,3,FALSE),"")</f>
        <v>57 M</v>
      </c>
      <c r="AD205" s="97" t="str">
        <f ca="1">VLOOKUP(I205,ЦветПолный!A:B,2,FALSE)</f>
        <v>55</v>
      </c>
      <c r="AE205" s="97" t="str">
        <f ca="1">IFERROR(VLOOKUP(S205,Размеры!A:D,4,FALSE),"")</f>
        <v>57</v>
      </c>
      <c r="AF205" s="97">
        <f ca="1">IF(LEFT(IFERROR(VLOOKUP(LOOKUP(2,1/SEARCH(B205,Товары!A:A),Товары!A:A),Товары!A:B,2,0),""),6)=MID(AA205,1,6),1,0)</f>
        <v>0</v>
      </c>
      <c r="AH205" s="97">
        <f ca="1">SUMIF(Группа!A:A,C205,Группа!C:C)</f>
        <v>1</v>
      </c>
      <c r="AI205" s="97">
        <f ca="1">SUMIF(Группа!B:B,AB205,Группа!C:C)</f>
        <v>1</v>
      </c>
      <c r="AJ205" s="97">
        <f ca="1">SUMIF(Формы!A:A,D205,Формы!B:B)</f>
        <v>1</v>
      </c>
      <c r="AK205" s="97">
        <f ca="1">SUMIF(Материал!A:A,K205,Материал!B:B)</f>
        <v>1</v>
      </c>
      <c r="AL205" s="97">
        <f ca="1">SUMIF(Размеры!A:A,S205,Размеры!E:E)</f>
        <v>1</v>
      </c>
      <c r="AM205" s="97">
        <f ca="1">SUMIF(Сезон!A:A,F205,Сезон!B:B)</f>
        <v>1</v>
      </c>
      <c r="AN205" s="97">
        <f ca="1">SUMIF(Состав!A:A,J205,Состав!B:B)</f>
        <v>0</v>
      </c>
      <c r="AO205" s="97">
        <f ca="1">VLOOKUP(I205,ЦветПолный!A:C,3,0)</f>
        <v>1</v>
      </c>
      <c r="AP205" s="97">
        <f ca="1">SUMIF(Цвет!A:A,Z205,Цвет!B:B)</f>
        <v>1</v>
      </c>
      <c r="AQ205" s="97">
        <f ca="1">_xlfn.XLOOKUP(L205,Пол!A:A,Пол!B:B,0,0)</f>
        <v>1</v>
      </c>
      <c r="AR205" s="97">
        <f ca="1">SUMIF(Бренд!A:A,G205,Бренд!B:B)</f>
        <v>1</v>
      </c>
      <c r="AS205" s="97">
        <f ca="1">SUMIF(Страна!A:A,M205,Страна!B:B)</f>
        <v>1</v>
      </c>
      <c r="AT205" s="64" t="e">
        <f ca="1">IF(VLOOKUP(W205,Товары!A:B,2,FALSE)=A205,"Есть в 1С","ERR")</f>
        <v>#N/A</v>
      </c>
      <c r="AU205" s="65" t="e">
        <f ca="1">IF(VLOOKUP(A205,Товары!B:B,1,FALSE)=A205,"Есть в 1С","ERR")</f>
        <v>#N/A</v>
      </c>
      <c r="AV205" s="96" t="e">
        <f ca="1">VLOOKUP(W205,Товары!A:B,2,FALSE)</f>
        <v>#N/A</v>
      </c>
      <c r="AW205" s="94" t="e">
        <f ca="1">VLOOKUP(W205,Товары!A:B,1,FALSE)</f>
        <v>#N/A</v>
      </c>
    </row>
    <row r="206" spans="1:49" x14ac:dyDescent="0.25">
      <c r="A206" s="110" t="str">
        <f t="shared" ca="1" si="15"/>
        <v>95-008-55</v>
      </c>
      <c r="B206" s="107" t="str">
        <f ca="1">_xlfn.LET(_xlpm.CAPS,0,_xlpm.Style,TRIM(_xlfn.XLOOKUP($A206,Строчный!$A:$A,Строчный!B:B,"ERR",0)),IF(_xlpm.CAPS=0,_xlpm.Style,LOWER(_xlpm.Style)))</f>
        <v>3190</v>
      </c>
      <c r="C206" s="81" t="str">
        <f ca="1">TRIM(PROPER(_xlfn.XLOOKUP($A206,Строчный!$A:$A,Строчный!C:C,"ERR",0)))</f>
        <v>Кепки</v>
      </c>
      <c r="D206" s="81" t="str">
        <f ca="1">_xlfn.LET(_xlpm.DATA,TRIM(_xlfn.XLOOKUP($A206,Строчный!$A:$A,Строчный!D:D,"ERR",0)),UPPER(MID(_xlpm.DATA,1,1))&amp;LOWER(MID(_xlpm.DATA,2,LEN(_xlpm.DATA)-1)))</f>
        <v>Кепка восьмиклинка</v>
      </c>
      <c r="E206" s="81" t="str">
        <f ca="1">PROPER(TRIM(_xlfn.XLOOKUP($A206,Строчный!$A:$A,Строчный!E:E,"ERR",0)))</f>
        <v>Fredrikson</v>
      </c>
      <c r="F206" s="81" t="str">
        <f ca="1">LOWER(TRIM(_xlfn.XLOOKUP($A206,Строчный!$A:$A,Строчный!F:F,"ERR",0)))</f>
        <v>всесезон</v>
      </c>
      <c r="G206" s="81" t="str">
        <f ca="1">UPPER(TRIM(_xlfn.XLOOKUP($A206,Строчный!$A:$A,Строчный!G:G,"ERR",0)))</f>
        <v>FREDRIKSON</v>
      </c>
      <c r="H206" s="81" t="str">
        <f ca="1">LOWER(TRIM(_xlfn.XLOOKUP($A206,Строчный!$A:$A,Строчный!H:H,"ERR",0)))</f>
        <v>699/78</v>
      </c>
      <c r="I206" s="81" t="str">
        <f ca="1">LOWER(TRIM(_xlfn.XLOOKUP($A206,Строчный!$A:$A,Строчный!I:I,"ERR",0)))</f>
        <v>черный / темно-серый</v>
      </c>
      <c r="J206" s="81" t="str">
        <f ca="1">SUBSTITUTE(LOWER(TRIM(_xlfn.XLOOKUP($A206,Строчный!$A:$A,Строчный!J:J,"ERR",0))),"подклад","Подклад")</f>
        <v>80% шерсть - 20% полиамид / Подклад: 100% вискоза</v>
      </c>
      <c r="K206" s="81" t="str">
        <f ca="1">LOWER(TRIM(_xlfn.XLOOKUP($A206,Строчный!$A:$A,Строчный!K:K,"ERR",0)))</f>
        <v>шерстяные</v>
      </c>
      <c r="L206" s="81" t="str">
        <f ca="1">PROPER(TRIM(_xlfn.XLOOKUP($A206,Строчный!$A:$A,Строчный!L:L,"ERR",0)))</f>
        <v>Унисекс</v>
      </c>
      <c r="M206" s="113" t="str">
        <f ca="1">PROPER(TRIM(_xlfn.XLOOKUP($A206,Строчный!$A:$A,Строчный!M:M,"ERR",0)))</f>
        <v>Россия</v>
      </c>
      <c r="N206" s="81" t="str">
        <f ca="1">UPPER(TRIM(_xlfn.XLOOKUP($A206,Строчный!$A:$A,Строчный!O:O,"ERR",0)))</f>
        <v/>
      </c>
      <c r="O206" s="102" t="str">
        <f ca="1">PROPER(TRIM(_xlfn.XLOOKUP($A206,Строчный!$A:$A,Строчный!P:P,"ERR",0)))</f>
        <v/>
      </c>
      <c r="P206" s="81" t="str">
        <f ca="1">PROPER(TRIM(_xlfn.XLOOKUP($A206,Строчный!$A:$A,Строчный!R:R,"ERR",0)))</f>
        <v/>
      </c>
      <c r="Q206" s="90">
        <f ca="1">VALUE(_xlfn.XLOOKUP($A206,Строчный!$A:$A,Строчный!N:N,"ERR",0))</f>
        <v>975.8</v>
      </c>
      <c r="R206" s="89" t="str">
        <f ca="1">_xlfn.XLOOKUP($G206,Фабрика!A:A,Фабрика!B:B,"ERR",0)</f>
        <v>ООО "ФРЭДРИКСОН" Россия 192029, С-Петербург, пр. Обуховской обороны, д.86, лит М</v>
      </c>
      <c r="S206" s="80" t="str">
        <f ca="1">_xlfn.XLOOKUP(RIGHT(AA206,2),Размеры!D:D,Размеры!A:A,"ERR",0)</f>
        <v>56</v>
      </c>
      <c r="T206" s="80">
        <f ca="1">VALUE(_xlfn.XLOOKUP($AA206,Строчный!$S:$S,Строчный!U:U,"ERR",0))</f>
        <v>7</v>
      </c>
      <c r="U206" s="14" t="s">
        <v>265</v>
      </c>
      <c r="V206" s="101" t="str">
        <f t="shared" ca="1" si="16"/>
        <v>Кепка FREDRIKSON арт. 3190 (черный / темно-серый)</v>
      </c>
      <c r="W206" s="100" t="str">
        <f t="shared" ca="1" si="17"/>
        <v>Кепка FREDRIKSON арт. 3190 (черный / темно-серый) {699/78}</v>
      </c>
      <c r="X206" s="18" t="str">
        <f t="shared" ca="1" si="18"/>
        <v>серый</v>
      </c>
      <c r="Y206" s="18" t="str">
        <f t="shared" ca="1" si="19"/>
        <v>серый</v>
      </c>
      <c r="Z206" s="117" t="str">
        <f ca="1">_xlfn.LET(_xlpm.FormColors,_xlfn.XLOOKUP(A206,Строчный!A:A,Строчный!Q:Q,"",0),IF(_xlpm.FormColors=0,IFERROR(MID(I206,FIND("-",I206)+1,LEN(I206)),IFERROR(MID(I206,1,FIND("/",I206)-2),I206)),_xlpm.FormColors))</f>
        <v>серый</v>
      </c>
      <c r="AA206" s="73" t="str">
        <f ca="1"/>
        <v>95-008-55-56</v>
      </c>
      <c r="AB206" s="75" t="str">
        <f ca="1">VLOOKUP(C206,Группа!A:B,2,FALSE)</f>
        <v>Кепка</v>
      </c>
      <c r="AC206" s="97" t="str">
        <f ca="1">IFERROR(VLOOKUP(S206,Размеры!A:C,3,FALSE),"")</f>
        <v>56 S/M</v>
      </c>
      <c r="AD206" s="97" t="str">
        <f ca="1">VLOOKUP(I206,ЦветПолный!A:B,2,FALSE)</f>
        <v>55</v>
      </c>
      <c r="AE206" s="97" t="str">
        <f ca="1">IFERROR(VLOOKUP(S206,Размеры!A:D,4,FALSE),"")</f>
        <v>56</v>
      </c>
      <c r="AF206" s="97">
        <f ca="1">IF(LEFT(IFERROR(VLOOKUP(LOOKUP(2,1/SEARCH(B206,Товары!A:A),Товары!A:A),Товары!A:B,2,0),""),6)=MID(AA206,1,6),1,0)</f>
        <v>0</v>
      </c>
      <c r="AH206" s="97">
        <f ca="1">SUMIF(Группа!A:A,C206,Группа!C:C)</f>
        <v>1</v>
      </c>
      <c r="AI206" s="97">
        <f ca="1">SUMIF(Группа!B:B,AB206,Группа!C:C)</f>
        <v>1</v>
      </c>
      <c r="AJ206" s="97">
        <f ca="1">SUMIF(Формы!A:A,D206,Формы!B:B)</f>
        <v>1</v>
      </c>
      <c r="AK206" s="97">
        <f ca="1">SUMIF(Материал!A:A,K206,Материал!B:B)</f>
        <v>1</v>
      </c>
      <c r="AL206" s="97">
        <f ca="1">SUMIF(Размеры!A:A,S206,Размеры!E:E)</f>
        <v>1</v>
      </c>
      <c r="AM206" s="97">
        <f ca="1">SUMIF(Сезон!A:A,F206,Сезон!B:B)</f>
        <v>1</v>
      </c>
      <c r="AN206" s="97">
        <f ca="1">SUMIF(Состав!A:A,J206,Состав!B:B)</f>
        <v>0</v>
      </c>
      <c r="AO206" s="97">
        <f ca="1">VLOOKUP(I206,ЦветПолный!A:C,3,0)</f>
        <v>1</v>
      </c>
      <c r="AP206" s="97">
        <f ca="1">SUMIF(Цвет!A:A,Z206,Цвет!B:B)</f>
        <v>1</v>
      </c>
      <c r="AQ206" s="97">
        <f ca="1">_xlfn.XLOOKUP(L206,Пол!A:A,Пол!B:B,0,0)</f>
        <v>1</v>
      </c>
      <c r="AR206" s="97">
        <f ca="1">SUMIF(Бренд!A:A,G206,Бренд!B:B)</f>
        <v>1</v>
      </c>
      <c r="AS206" s="97">
        <f ca="1">SUMIF(Страна!A:A,M206,Страна!B:B)</f>
        <v>1</v>
      </c>
      <c r="AT206" s="64" t="e">
        <f ca="1">IF(VLOOKUP(W206,Товары!A:B,2,FALSE)=A206,"Есть в 1С","ERR")</f>
        <v>#N/A</v>
      </c>
      <c r="AU206" s="65" t="e">
        <f ca="1">IF(VLOOKUP(A206,Товары!B:B,1,FALSE)=A206,"Есть в 1С","ERR")</f>
        <v>#N/A</v>
      </c>
      <c r="AV206" s="96" t="e">
        <f ca="1">VLOOKUP(W206,Товары!A:B,2,FALSE)</f>
        <v>#N/A</v>
      </c>
      <c r="AW206" s="94" t="e">
        <f ca="1">VLOOKUP(W206,Товары!A:B,1,FALSE)</f>
        <v>#N/A</v>
      </c>
    </row>
    <row r="207" spans="1:49" x14ac:dyDescent="0.25">
      <c r="A207" s="110" t="str">
        <f t="shared" ca="1" si="15"/>
        <v>95-008-19</v>
      </c>
      <c r="B207" s="107" t="str">
        <f ca="1">_xlfn.LET(_xlpm.CAPS,0,_xlpm.Style,TRIM(_xlfn.XLOOKUP($A207,Строчный!$A:$A,Строчный!B:B,"ERR",0)),IF(_xlpm.CAPS=0,_xlpm.Style,LOWER(_xlpm.Style)))</f>
        <v>3190</v>
      </c>
      <c r="C207" s="81" t="str">
        <f ca="1">TRIM(PROPER(_xlfn.XLOOKUP($A207,Строчный!$A:$A,Строчный!C:C,"ERR",0)))</f>
        <v>Кепки</v>
      </c>
      <c r="D207" s="81" t="str">
        <f ca="1">_xlfn.LET(_xlpm.DATA,TRIM(_xlfn.XLOOKUP($A207,Строчный!$A:$A,Строчный!D:D,"ERR",0)),UPPER(MID(_xlpm.DATA,1,1))&amp;LOWER(MID(_xlpm.DATA,2,LEN(_xlpm.DATA)-1)))</f>
        <v>Кепка восьмиклинка</v>
      </c>
      <c r="E207" s="81" t="str">
        <f ca="1">PROPER(TRIM(_xlfn.XLOOKUP($A207,Строчный!$A:$A,Строчный!E:E,"ERR",0)))</f>
        <v>Fredrikson</v>
      </c>
      <c r="F207" s="81" t="str">
        <f ca="1">LOWER(TRIM(_xlfn.XLOOKUP($A207,Строчный!$A:$A,Строчный!F:F,"ERR",0)))</f>
        <v>всесезон</v>
      </c>
      <c r="G207" s="81" t="str">
        <f ca="1">UPPER(TRIM(_xlfn.XLOOKUP($A207,Строчный!$A:$A,Строчный!G:G,"ERR",0)))</f>
        <v>FREDRIKSON</v>
      </c>
      <c r="H207" s="81" t="str">
        <f ca="1">LOWER(TRIM(_xlfn.XLOOKUP($A207,Строчный!$A:$A,Строчный!H:H,"ERR",0)))</f>
        <v>685/15</v>
      </c>
      <c r="I207" s="81" t="str">
        <f ca="1">LOWER(TRIM(_xlfn.XLOOKUP($A207,Строчный!$A:$A,Строчный!I:I,"ERR",0)))</f>
        <v>голубой / красный</v>
      </c>
      <c r="J207" s="81" t="str">
        <f ca="1">SUBSTITUTE(LOWER(TRIM(_xlfn.XLOOKUP($A207,Строчный!$A:$A,Строчный!J:J,"ERR",0))),"подклад","Подклад")</f>
        <v>80% шерсть - 20% полиамид / Подклад: 100% вискоза</v>
      </c>
      <c r="K207" s="81" t="str">
        <f ca="1">LOWER(TRIM(_xlfn.XLOOKUP($A207,Строчный!$A:$A,Строчный!K:K,"ERR",0)))</f>
        <v>шерстяные</v>
      </c>
      <c r="L207" s="81" t="str">
        <f ca="1">PROPER(TRIM(_xlfn.XLOOKUP($A207,Строчный!$A:$A,Строчный!L:L,"ERR",0)))</f>
        <v>Унисекс</v>
      </c>
      <c r="M207" s="113" t="str">
        <f ca="1">PROPER(TRIM(_xlfn.XLOOKUP($A207,Строчный!$A:$A,Строчный!M:M,"ERR",0)))</f>
        <v>Россия</v>
      </c>
      <c r="N207" s="81" t="str">
        <f ca="1">UPPER(TRIM(_xlfn.XLOOKUP($A207,Строчный!$A:$A,Строчный!O:O,"ERR",0)))</f>
        <v/>
      </c>
      <c r="O207" s="102" t="str">
        <f ca="1">PROPER(TRIM(_xlfn.XLOOKUP($A207,Строчный!$A:$A,Строчный!P:P,"ERR",0)))</f>
        <v/>
      </c>
      <c r="P207" s="81" t="str">
        <f ca="1">PROPER(TRIM(_xlfn.XLOOKUP($A207,Строчный!$A:$A,Строчный!R:R,"ERR",0)))</f>
        <v/>
      </c>
      <c r="Q207" s="90">
        <f ca="1">VALUE(_xlfn.XLOOKUP($A207,Строчный!$A:$A,Строчный!N:N,"ERR",0))</f>
        <v>975.8</v>
      </c>
      <c r="R207" s="89" t="str">
        <f ca="1">_xlfn.XLOOKUP($G207,Фабрика!A:A,Фабрика!B:B,"ERR",0)</f>
        <v>ООО "ФРЭДРИКСОН" Россия 192029, С-Петербург, пр. Обуховской обороны, д.86, лит М</v>
      </c>
      <c r="S207" s="80" t="str">
        <f ca="1">_xlfn.XLOOKUP(RIGHT(AA207,2),Размеры!D:D,Размеры!A:A,"ERR",0)</f>
        <v>60</v>
      </c>
      <c r="T207" s="80">
        <f ca="1">VALUE(_xlfn.XLOOKUP($AA207,Строчный!$S:$S,Строчный!U:U,"ERR",0))</f>
        <v>1</v>
      </c>
      <c r="U207" s="14" t="s">
        <v>265</v>
      </c>
      <c r="V207" s="101" t="str">
        <f t="shared" ca="1" si="16"/>
        <v>Кепка FREDRIKSON арт. 3190 (голубой / красный)</v>
      </c>
      <c r="W207" s="100" t="str">
        <f t="shared" ca="1" si="17"/>
        <v>Кепка FREDRIKSON арт. 3190 (голубой / красный) {685/15}</v>
      </c>
      <c r="X207" s="18" t="str">
        <f t="shared" ca="1" si="18"/>
        <v>голубой</v>
      </c>
      <c r="Y207" s="18" t="str">
        <f t="shared" ca="1" si="19"/>
        <v>красный</v>
      </c>
      <c r="Z207" s="117" t="str">
        <f ca="1">_xlfn.LET(_xlpm.FormColors,_xlfn.XLOOKUP(A207,Строчный!A:A,Строчный!Q:Q,"",0),IF(_xlpm.FormColors=0,IFERROR(MID(I207,FIND("-",I207)+1,LEN(I207)),IFERROR(MID(I207,1,FIND("/",I207)-2),I207)),_xlpm.FormColors))</f>
        <v>голубой</v>
      </c>
      <c r="AA207" s="73" t="str">
        <f ca="1"/>
        <v>95-008-19-60</v>
      </c>
      <c r="AB207" s="75" t="str">
        <f ca="1">VLOOKUP(C207,Группа!A:B,2,FALSE)</f>
        <v>Кепка</v>
      </c>
      <c r="AC207" s="97" t="str">
        <f ca="1">IFERROR(VLOOKUP(S207,Размеры!A:C,3,FALSE),"")</f>
        <v>60 L/XL</v>
      </c>
      <c r="AD207" s="97" t="str">
        <f ca="1">VLOOKUP(I207,ЦветПолный!A:B,2,FALSE)</f>
        <v>19</v>
      </c>
      <c r="AE207" s="97" t="str">
        <f ca="1">IFERROR(VLOOKUP(S207,Размеры!A:D,4,FALSE),"")</f>
        <v>60</v>
      </c>
      <c r="AF207" s="97">
        <f ca="1">IF(LEFT(IFERROR(VLOOKUP(LOOKUP(2,1/SEARCH(B207,Товары!A:A),Товары!A:A),Товары!A:B,2,0),""),6)=MID(AA207,1,6),1,0)</f>
        <v>0</v>
      </c>
      <c r="AH207" s="97">
        <f ca="1">SUMIF(Группа!A:A,C207,Группа!C:C)</f>
        <v>1</v>
      </c>
      <c r="AI207" s="97">
        <f ca="1">SUMIF(Группа!B:B,AB207,Группа!C:C)</f>
        <v>1</v>
      </c>
      <c r="AJ207" s="97">
        <f ca="1">SUMIF(Формы!A:A,D207,Формы!B:B)</f>
        <v>1</v>
      </c>
      <c r="AK207" s="97">
        <f ca="1">SUMIF(Материал!A:A,K207,Материал!B:B)</f>
        <v>1</v>
      </c>
      <c r="AL207" s="97">
        <f ca="1">SUMIF(Размеры!A:A,S207,Размеры!E:E)</f>
        <v>1</v>
      </c>
      <c r="AM207" s="97">
        <f ca="1">SUMIF(Сезон!A:A,F207,Сезон!B:B)</f>
        <v>1</v>
      </c>
      <c r="AN207" s="97">
        <f ca="1">SUMIF(Состав!A:A,J207,Состав!B:B)</f>
        <v>0</v>
      </c>
      <c r="AO207" s="97">
        <f ca="1">VLOOKUP(I207,ЦветПолный!A:C,3,0)</f>
        <v>1</v>
      </c>
      <c r="AP207" s="97">
        <f ca="1">SUMIF(Цвет!A:A,Z207,Цвет!B:B)</f>
        <v>1</v>
      </c>
      <c r="AQ207" s="97">
        <f ca="1">_xlfn.XLOOKUP(L207,Пол!A:A,Пол!B:B,0,0)</f>
        <v>1</v>
      </c>
      <c r="AR207" s="97">
        <f ca="1">SUMIF(Бренд!A:A,G207,Бренд!B:B)</f>
        <v>1</v>
      </c>
      <c r="AS207" s="97">
        <f ca="1">SUMIF(Страна!A:A,M207,Страна!B:B)</f>
        <v>1</v>
      </c>
      <c r="AT207" s="64" t="e">
        <f ca="1">IF(VLOOKUP(W207,Товары!A:B,2,FALSE)=A207,"Есть в 1С","ERR")</f>
        <v>#N/A</v>
      </c>
      <c r="AU207" s="65" t="e">
        <f ca="1">IF(VLOOKUP(A207,Товары!B:B,1,FALSE)=A207,"Есть в 1С","ERR")</f>
        <v>#N/A</v>
      </c>
      <c r="AV207" s="96" t="e">
        <f ca="1">VLOOKUP(W207,Товары!A:B,2,FALSE)</f>
        <v>#N/A</v>
      </c>
      <c r="AW207" s="94" t="e">
        <f ca="1">VLOOKUP(W207,Товары!A:B,1,FALSE)</f>
        <v>#N/A</v>
      </c>
    </row>
    <row r="208" spans="1:49" x14ac:dyDescent="0.25">
      <c r="A208" s="110" t="str">
        <f t="shared" ca="1" si="15"/>
        <v>95-008-19</v>
      </c>
      <c r="B208" s="107" t="str">
        <f ca="1">_xlfn.LET(_xlpm.CAPS,0,_xlpm.Style,TRIM(_xlfn.XLOOKUP($A208,Строчный!$A:$A,Строчный!B:B,"ERR",0)),IF(_xlpm.CAPS=0,_xlpm.Style,LOWER(_xlpm.Style)))</f>
        <v>3190</v>
      </c>
      <c r="C208" s="81" t="str">
        <f ca="1">TRIM(PROPER(_xlfn.XLOOKUP($A208,Строчный!$A:$A,Строчный!C:C,"ERR",0)))</f>
        <v>Кепки</v>
      </c>
      <c r="D208" s="81" t="str">
        <f ca="1">_xlfn.LET(_xlpm.DATA,TRIM(_xlfn.XLOOKUP($A208,Строчный!$A:$A,Строчный!D:D,"ERR",0)),UPPER(MID(_xlpm.DATA,1,1))&amp;LOWER(MID(_xlpm.DATA,2,LEN(_xlpm.DATA)-1)))</f>
        <v>Кепка восьмиклинка</v>
      </c>
      <c r="E208" s="81" t="str">
        <f ca="1">PROPER(TRIM(_xlfn.XLOOKUP($A208,Строчный!$A:$A,Строчный!E:E,"ERR",0)))</f>
        <v>Fredrikson</v>
      </c>
      <c r="F208" s="81" t="str">
        <f ca="1">LOWER(TRIM(_xlfn.XLOOKUP($A208,Строчный!$A:$A,Строчный!F:F,"ERR",0)))</f>
        <v>всесезон</v>
      </c>
      <c r="G208" s="81" t="str">
        <f ca="1">UPPER(TRIM(_xlfn.XLOOKUP($A208,Строчный!$A:$A,Строчный!G:G,"ERR",0)))</f>
        <v>FREDRIKSON</v>
      </c>
      <c r="H208" s="81" t="str">
        <f ca="1">LOWER(TRIM(_xlfn.XLOOKUP($A208,Строчный!$A:$A,Строчный!H:H,"ERR",0)))</f>
        <v>685/15</v>
      </c>
      <c r="I208" s="81" t="str">
        <f ca="1">LOWER(TRIM(_xlfn.XLOOKUP($A208,Строчный!$A:$A,Строчный!I:I,"ERR",0)))</f>
        <v>голубой / красный</v>
      </c>
      <c r="J208" s="81" t="str">
        <f ca="1">SUBSTITUTE(LOWER(TRIM(_xlfn.XLOOKUP($A208,Строчный!$A:$A,Строчный!J:J,"ERR",0))),"подклад","Подклад")</f>
        <v>80% шерсть - 20% полиамид / Подклад: 100% вискоза</v>
      </c>
      <c r="K208" s="81" t="str">
        <f ca="1">LOWER(TRIM(_xlfn.XLOOKUP($A208,Строчный!$A:$A,Строчный!K:K,"ERR",0)))</f>
        <v>шерстяные</v>
      </c>
      <c r="L208" s="81" t="str">
        <f ca="1">PROPER(TRIM(_xlfn.XLOOKUP($A208,Строчный!$A:$A,Строчный!L:L,"ERR",0)))</f>
        <v>Унисекс</v>
      </c>
      <c r="M208" s="113" t="str">
        <f ca="1">PROPER(TRIM(_xlfn.XLOOKUP($A208,Строчный!$A:$A,Строчный!M:M,"ERR",0)))</f>
        <v>Россия</v>
      </c>
      <c r="N208" s="81" t="str">
        <f ca="1">UPPER(TRIM(_xlfn.XLOOKUP($A208,Строчный!$A:$A,Строчный!O:O,"ERR",0)))</f>
        <v/>
      </c>
      <c r="O208" s="102" t="str">
        <f ca="1">PROPER(TRIM(_xlfn.XLOOKUP($A208,Строчный!$A:$A,Строчный!P:P,"ERR",0)))</f>
        <v/>
      </c>
      <c r="P208" s="81" t="str">
        <f ca="1">PROPER(TRIM(_xlfn.XLOOKUP($A208,Строчный!$A:$A,Строчный!R:R,"ERR",0)))</f>
        <v/>
      </c>
      <c r="Q208" s="90">
        <f ca="1">VALUE(_xlfn.XLOOKUP($A208,Строчный!$A:$A,Строчный!N:N,"ERR",0))</f>
        <v>975.8</v>
      </c>
      <c r="R208" s="89" t="str">
        <f ca="1">_xlfn.XLOOKUP($G208,Фабрика!A:A,Фабрика!B:B,"ERR",0)</f>
        <v>ООО "ФРЭДРИКСОН" Россия 192029, С-Петербург, пр. Обуховской обороны, д.86, лит М</v>
      </c>
      <c r="S208" s="80" t="str">
        <f ca="1">_xlfn.XLOOKUP(RIGHT(AA208,2),Размеры!D:D,Размеры!A:A,"ERR",0)</f>
        <v>59</v>
      </c>
      <c r="T208" s="80">
        <f ca="1">VALUE(_xlfn.XLOOKUP($AA208,Строчный!$S:$S,Строчный!U:U,"ERR",0))</f>
        <v>2</v>
      </c>
      <c r="U208" s="14" t="s">
        <v>265</v>
      </c>
      <c r="V208" s="101" t="str">
        <f t="shared" ca="1" si="16"/>
        <v>Кепка FREDRIKSON арт. 3190 (голубой / красный)</v>
      </c>
      <c r="W208" s="100" t="str">
        <f t="shared" ca="1" si="17"/>
        <v>Кепка FREDRIKSON арт. 3190 (голубой / красный) {685/15}</v>
      </c>
      <c r="X208" s="18" t="str">
        <f t="shared" ca="1" si="18"/>
        <v>голубой</v>
      </c>
      <c r="Y208" s="18" t="str">
        <f t="shared" ca="1" si="19"/>
        <v>красный</v>
      </c>
      <c r="Z208" s="117" t="str">
        <f ca="1">_xlfn.LET(_xlpm.FormColors,_xlfn.XLOOKUP(A208,Строчный!A:A,Строчный!Q:Q,"",0),IF(_xlpm.FormColors=0,IFERROR(MID(I208,FIND("-",I208)+1,LEN(I208)),IFERROR(MID(I208,1,FIND("/",I208)-2),I208)),_xlpm.FormColors))</f>
        <v>голубой</v>
      </c>
      <c r="AA208" s="73" t="str">
        <f ca="1"/>
        <v>95-008-19-59</v>
      </c>
      <c r="AB208" s="75" t="str">
        <f ca="1">VLOOKUP(C208,Группа!A:B,2,FALSE)</f>
        <v>Кепка</v>
      </c>
      <c r="AC208" s="97" t="str">
        <f ca="1">IFERROR(VLOOKUP(S208,Размеры!A:C,3,FALSE),"")</f>
        <v>59 L</v>
      </c>
      <c r="AD208" s="97" t="str">
        <f ca="1">VLOOKUP(I208,ЦветПолный!A:B,2,FALSE)</f>
        <v>19</v>
      </c>
      <c r="AE208" s="97" t="str">
        <f ca="1">IFERROR(VLOOKUP(S208,Размеры!A:D,4,FALSE),"")</f>
        <v>59</v>
      </c>
      <c r="AF208" s="97">
        <f ca="1">IF(LEFT(IFERROR(VLOOKUP(LOOKUP(2,1/SEARCH(B208,Товары!A:A),Товары!A:A),Товары!A:B,2,0),""),6)=MID(AA208,1,6),1,0)</f>
        <v>0</v>
      </c>
      <c r="AH208" s="97">
        <f ca="1">SUMIF(Группа!A:A,C208,Группа!C:C)</f>
        <v>1</v>
      </c>
      <c r="AI208" s="97">
        <f ca="1">SUMIF(Группа!B:B,AB208,Группа!C:C)</f>
        <v>1</v>
      </c>
      <c r="AJ208" s="97">
        <f ca="1">SUMIF(Формы!A:A,D208,Формы!B:B)</f>
        <v>1</v>
      </c>
      <c r="AK208" s="97">
        <f ca="1">SUMIF(Материал!A:A,K208,Материал!B:B)</f>
        <v>1</v>
      </c>
      <c r="AL208" s="97">
        <f ca="1">SUMIF(Размеры!A:A,S208,Размеры!E:E)</f>
        <v>1</v>
      </c>
      <c r="AM208" s="97">
        <f ca="1">SUMIF(Сезон!A:A,F208,Сезон!B:B)</f>
        <v>1</v>
      </c>
      <c r="AN208" s="97">
        <f ca="1">SUMIF(Состав!A:A,J208,Состав!B:B)</f>
        <v>0</v>
      </c>
      <c r="AO208" s="97">
        <f ca="1">VLOOKUP(I208,ЦветПолный!A:C,3,0)</f>
        <v>1</v>
      </c>
      <c r="AP208" s="97">
        <f ca="1">SUMIF(Цвет!A:A,Z208,Цвет!B:B)</f>
        <v>1</v>
      </c>
      <c r="AQ208" s="97">
        <f ca="1">_xlfn.XLOOKUP(L208,Пол!A:A,Пол!B:B,0,0)</f>
        <v>1</v>
      </c>
      <c r="AR208" s="97">
        <f ca="1">SUMIF(Бренд!A:A,G208,Бренд!B:B)</f>
        <v>1</v>
      </c>
      <c r="AS208" s="97">
        <f ca="1">SUMIF(Страна!A:A,M208,Страна!B:B)</f>
        <v>1</v>
      </c>
      <c r="AT208" s="64" t="e">
        <f ca="1">IF(VLOOKUP(W208,Товары!A:B,2,FALSE)=A208,"Есть в 1С","ERR")</f>
        <v>#N/A</v>
      </c>
      <c r="AU208" s="65" t="e">
        <f ca="1">IF(VLOOKUP(A208,Товары!B:B,1,FALSE)=A208,"Есть в 1С","ERR")</f>
        <v>#N/A</v>
      </c>
      <c r="AV208" s="96" t="e">
        <f ca="1">VLOOKUP(W208,Товары!A:B,2,FALSE)</f>
        <v>#N/A</v>
      </c>
      <c r="AW208" s="94" t="e">
        <f ca="1">VLOOKUP(W208,Товары!A:B,1,FALSE)</f>
        <v>#N/A</v>
      </c>
    </row>
    <row r="209" spans="1:49" x14ac:dyDescent="0.25">
      <c r="A209" s="110" t="str">
        <f t="shared" ca="1" si="15"/>
        <v>95-008-19</v>
      </c>
      <c r="B209" s="107" t="str">
        <f ca="1">_xlfn.LET(_xlpm.CAPS,0,_xlpm.Style,TRIM(_xlfn.XLOOKUP($A209,Строчный!$A:$A,Строчный!B:B,"ERR",0)),IF(_xlpm.CAPS=0,_xlpm.Style,LOWER(_xlpm.Style)))</f>
        <v>3190</v>
      </c>
      <c r="C209" s="81" t="str">
        <f ca="1">TRIM(PROPER(_xlfn.XLOOKUP($A209,Строчный!$A:$A,Строчный!C:C,"ERR",0)))</f>
        <v>Кепки</v>
      </c>
      <c r="D209" s="81" t="str">
        <f ca="1">_xlfn.LET(_xlpm.DATA,TRIM(_xlfn.XLOOKUP($A209,Строчный!$A:$A,Строчный!D:D,"ERR",0)),UPPER(MID(_xlpm.DATA,1,1))&amp;LOWER(MID(_xlpm.DATA,2,LEN(_xlpm.DATA)-1)))</f>
        <v>Кепка восьмиклинка</v>
      </c>
      <c r="E209" s="81" t="str">
        <f ca="1">PROPER(TRIM(_xlfn.XLOOKUP($A209,Строчный!$A:$A,Строчный!E:E,"ERR",0)))</f>
        <v>Fredrikson</v>
      </c>
      <c r="F209" s="81" t="str">
        <f ca="1">LOWER(TRIM(_xlfn.XLOOKUP($A209,Строчный!$A:$A,Строчный!F:F,"ERR",0)))</f>
        <v>всесезон</v>
      </c>
      <c r="G209" s="81" t="str">
        <f ca="1">UPPER(TRIM(_xlfn.XLOOKUP($A209,Строчный!$A:$A,Строчный!G:G,"ERR",0)))</f>
        <v>FREDRIKSON</v>
      </c>
      <c r="H209" s="81" t="str">
        <f ca="1">LOWER(TRIM(_xlfn.XLOOKUP($A209,Строчный!$A:$A,Строчный!H:H,"ERR",0)))</f>
        <v>685/15</v>
      </c>
      <c r="I209" s="81" t="str">
        <f ca="1">LOWER(TRIM(_xlfn.XLOOKUP($A209,Строчный!$A:$A,Строчный!I:I,"ERR",0)))</f>
        <v>голубой / красный</v>
      </c>
      <c r="J209" s="81" t="str">
        <f ca="1">SUBSTITUTE(LOWER(TRIM(_xlfn.XLOOKUP($A209,Строчный!$A:$A,Строчный!J:J,"ERR",0))),"подклад","Подклад")</f>
        <v>80% шерсть - 20% полиамид / Подклад: 100% вискоза</v>
      </c>
      <c r="K209" s="81" t="str">
        <f ca="1">LOWER(TRIM(_xlfn.XLOOKUP($A209,Строчный!$A:$A,Строчный!K:K,"ERR",0)))</f>
        <v>шерстяные</v>
      </c>
      <c r="L209" s="81" t="str">
        <f ca="1">PROPER(TRIM(_xlfn.XLOOKUP($A209,Строчный!$A:$A,Строчный!L:L,"ERR",0)))</f>
        <v>Унисекс</v>
      </c>
      <c r="M209" s="113" t="str">
        <f ca="1">PROPER(TRIM(_xlfn.XLOOKUP($A209,Строчный!$A:$A,Строчный!M:M,"ERR",0)))</f>
        <v>Россия</v>
      </c>
      <c r="N209" s="81" t="str">
        <f ca="1">UPPER(TRIM(_xlfn.XLOOKUP($A209,Строчный!$A:$A,Строчный!O:O,"ERR",0)))</f>
        <v/>
      </c>
      <c r="O209" s="102" t="str">
        <f ca="1">PROPER(TRIM(_xlfn.XLOOKUP($A209,Строчный!$A:$A,Строчный!P:P,"ERR",0)))</f>
        <v/>
      </c>
      <c r="P209" s="81" t="str">
        <f ca="1">PROPER(TRIM(_xlfn.XLOOKUP($A209,Строчный!$A:$A,Строчный!R:R,"ERR",0)))</f>
        <v/>
      </c>
      <c r="Q209" s="90">
        <f ca="1">VALUE(_xlfn.XLOOKUP($A209,Строчный!$A:$A,Строчный!N:N,"ERR",0))</f>
        <v>975.8</v>
      </c>
      <c r="R209" s="89" t="str">
        <f ca="1">_xlfn.XLOOKUP($G209,Фабрика!A:A,Фабрика!B:B,"ERR",0)</f>
        <v>ООО "ФРЭДРИКСОН" Россия 192029, С-Петербург, пр. Обуховской обороны, д.86, лит М</v>
      </c>
      <c r="S209" s="80" t="str">
        <f ca="1">_xlfn.XLOOKUP(RIGHT(AA209,2),Размеры!D:D,Размеры!A:A,"ERR",0)</f>
        <v>58</v>
      </c>
      <c r="T209" s="80">
        <f ca="1">VALUE(_xlfn.XLOOKUP($AA209,Строчный!$S:$S,Строчный!U:U,"ERR",0))</f>
        <v>1</v>
      </c>
      <c r="U209" s="14" t="s">
        <v>265</v>
      </c>
      <c r="V209" s="101" t="str">
        <f t="shared" ca="1" si="16"/>
        <v>Кепка FREDRIKSON арт. 3190 (голубой / красный)</v>
      </c>
      <c r="W209" s="100" t="str">
        <f t="shared" ca="1" si="17"/>
        <v>Кепка FREDRIKSON арт. 3190 (голубой / красный) {685/15}</v>
      </c>
      <c r="X209" s="18" t="str">
        <f t="shared" ca="1" si="18"/>
        <v>голубой</v>
      </c>
      <c r="Y209" s="18" t="str">
        <f t="shared" ca="1" si="19"/>
        <v>красный</v>
      </c>
      <c r="Z209" s="117" t="str">
        <f ca="1">_xlfn.LET(_xlpm.FormColors,_xlfn.XLOOKUP(A209,Строчный!A:A,Строчный!Q:Q,"",0),IF(_xlpm.FormColors=0,IFERROR(MID(I209,FIND("-",I209)+1,LEN(I209)),IFERROR(MID(I209,1,FIND("/",I209)-2),I209)),_xlpm.FormColors))</f>
        <v>голубой</v>
      </c>
      <c r="AA209" s="73" t="str">
        <f ca="1"/>
        <v>95-008-19-58</v>
      </c>
      <c r="AB209" s="75" t="str">
        <f ca="1">VLOOKUP(C209,Группа!A:B,2,FALSE)</f>
        <v>Кепка</v>
      </c>
      <c r="AC209" s="97" t="str">
        <f ca="1">IFERROR(VLOOKUP(S209,Размеры!A:C,3,FALSE),"")</f>
        <v>58 M/L</v>
      </c>
      <c r="AD209" s="97" t="str">
        <f ca="1">VLOOKUP(I209,ЦветПолный!A:B,2,FALSE)</f>
        <v>19</v>
      </c>
      <c r="AE209" s="97" t="str">
        <f ca="1">IFERROR(VLOOKUP(S209,Размеры!A:D,4,FALSE),"")</f>
        <v>58</v>
      </c>
      <c r="AF209" s="97">
        <f ca="1">IF(LEFT(IFERROR(VLOOKUP(LOOKUP(2,1/SEARCH(B209,Товары!A:A),Товары!A:A),Товары!A:B,2,0),""),6)=MID(AA209,1,6),1,0)</f>
        <v>0</v>
      </c>
      <c r="AH209" s="97">
        <f ca="1">SUMIF(Группа!A:A,C209,Группа!C:C)</f>
        <v>1</v>
      </c>
      <c r="AI209" s="97">
        <f ca="1">SUMIF(Группа!B:B,AB209,Группа!C:C)</f>
        <v>1</v>
      </c>
      <c r="AJ209" s="97">
        <f ca="1">SUMIF(Формы!A:A,D209,Формы!B:B)</f>
        <v>1</v>
      </c>
      <c r="AK209" s="97">
        <f ca="1">SUMIF(Материал!A:A,K209,Материал!B:B)</f>
        <v>1</v>
      </c>
      <c r="AL209" s="97">
        <f ca="1">SUMIF(Размеры!A:A,S209,Размеры!E:E)</f>
        <v>1</v>
      </c>
      <c r="AM209" s="97">
        <f ca="1">SUMIF(Сезон!A:A,F209,Сезон!B:B)</f>
        <v>1</v>
      </c>
      <c r="AN209" s="97">
        <f ca="1">SUMIF(Состав!A:A,J209,Состав!B:B)</f>
        <v>0</v>
      </c>
      <c r="AO209" s="97">
        <f ca="1">VLOOKUP(I209,ЦветПолный!A:C,3,0)</f>
        <v>1</v>
      </c>
      <c r="AP209" s="97">
        <f ca="1">SUMIF(Цвет!A:A,Z209,Цвет!B:B)</f>
        <v>1</v>
      </c>
      <c r="AQ209" s="97">
        <f ca="1">_xlfn.XLOOKUP(L209,Пол!A:A,Пол!B:B,0,0)</f>
        <v>1</v>
      </c>
      <c r="AR209" s="97">
        <f ca="1">SUMIF(Бренд!A:A,G209,Бренд!B:B)</f>
        <v>1</v>
      </c>
      <c r="AS209" s="97">
        <f ca="1">SUMIF(Страна!A:A,M209,Страна!B:B)</f>
        <v>1</v>
      </c>
      <c r="AT209" s="64" t="e">
        <f ca="1">IF(VLOOKUP(W209,Товары!A:B,2,FALSE)=A209,"Есть в 1С","ERR")</f>
        <v>#N/A</v>
      </c>
      <c r="AU209" s="65" t="e">
        <f ca="1">IF(VLOOKUP(A209,Товары!B:B,1,FALSE)=A209,"Есть в 1С","ERR")</f>
        <v>#N/A</v>
      </c>
      <c r="AV209" s="96" t="e">
        <f ca="1">VLOOKUP(W209,Товары!A:B,2,FALSE)</f>
        <v>#N/A</v>
      </c>
      <c r="AW209" s="94" t="e">
        <f ca="1">VLOOKUP(W209,Товары!A:B,1,FALSE)</f>
        <v>#N/A</v>
      </c>
    </row>
    <row r="210" spans="1:49" x14ac:dyDescent="0.25">
      <c r="A210" s="110" t="str">
        <f t="shared" ca="1" si="15"/>
        <v>95-008-19</v>
      </c>
      <c r="B210" s="107" t="str">
        <f ca="1">_xlfn.LET(_xlpm.CAPS,0,_xlpm.Style,TRIM(_xlfn.XLOOKUP($A210,Строчный!$A:$A,Строчный!B:B,"ERR",0)),IF(_xlpm.CAPS=0,_xlpm.Style,LOWER(_xlpm.Style)))</f>
        <v>3190</v>
      </c>
      <c r="C210" s="81" t="str">
        <f ca="1">TRIM(PROPER(_xlfn.XLOOKUP($A210,Строчный!$A:$A,Строчный!C:C,"ERR",0)))</f>
        <v>Кепки</v>
      </c>
      <c r="D210" s="81" t="str">
        <f ca="1">_xlfn.LET(_xlpm.DATA,TRIM(_xlfn.XLOOKUP($A210,Строчный!$A:$A,Строчный!D:D,"ERR",0)),UPPER(MID(_xlpm.DATA,1,1))&amp;LOWER(MID(_xlpm.DATA,2,LEN(_xlpm.DATA)-1)))</f>
        <v>Кепка восьмиклинка</v>
      </c>
      <c r="E210" s="81" t="str">
        <f ca="1">PROPER(TRIM(_xlfn.XLOOKUP($A210,Строчный!$A:$A,Строчный!E:E,"ERR",0)))</f>
        <v>Fredrikson</v>
      </c>
      <c r="F210" s="81" t="str">
        <f ca="1">LOWER(TRIM(_xlfn.XLOOKUP($A210,Строчный!$A:$A,Строчный!F:F,"ERR",0)))</f>
        <v>всесезон</v>
      </c>
      <c r="G210" s="81" t="str">
        <f ca="1">UPPER(TRIM(_xlfn.XLOOKUP($A210,Строчный!$A:$A,Строчный!G:G,"ERR",0)))</f>
        <v>FREDRIKSON</v>
      </c>
      <c r="H210" s="81" t="str">
        <f ca="1">LOWER(TRIM(_xlfn.XLOOKUP($A210,Строчный!$A:$A,Строчный!H:H,"ERR",0)))</f>
        <v>685/15</v>
      </c>
      <c r="I210" s="81" t="str">
        <f ca="1">LOWER(TRIM(_xlfn.XLOOKUP($A210,Строчный!$A:$A,Строчный!I:I,"ERR",0)))</f>
        <v>голубой / красный</v>
      </c>
      <c r="J210" s="81" t="str">
        <f ca="1">SUBSTITUTE(LOWER(TRIM(_xlfn.XLOOKUP($A210,Строчный!$A:$A,Строчный!J:J,"ERR",0))),"подклад","Подклад")</f>
        <v>80% шерсть - 20% полиамид / Подклад: 100% вискоза</v>
      </c>
      <c r="K210" s="81" t="str">
        <f ca="1">LOWER(TRIM(_xlfn.XLOOKUP($A210,Строчный!$A:$A,Строчный!K:K,"ERR",0)))</f>
        <v>шерстяные</v>
      </c>
      <c r="L210" s="81" t="str">
        <f ca="1">PROPER(TRIM(_xlfn.XLOOKUP($A210,Строчный!$A:$A,Строчный!L:L,"ERR",0)))</f>
        <v>Унисекс</v>
      </c>
      <c r="M210" s="113" t="str">
        <f ca="1">PROPER(TRIM(_xlfn.XLOOKUP($A210,Строчный!$A:$A,Строчный!M:M,"ERR",0)))</f>
        <v>Россия</v>
      </c>
      <c r="N210" s="81" t="str">
        <f ca="1">UPPER(TRIM(_xlfn.XLOOKUP($A210,Строчный!$A:$A,Строчный!O:O,"ERR",0)))</f>
        <v/>
      </c>
      <c r="O210" s="102" t="str">
        <f ca="1">PROPER(TRIM(_xlfn.XLOOKUP($A210,Строчный!$A:$A,Строчный!P:P,"ERR",0)))</f>
        <v/>
      </c>
      <c r="P210" s="81" t="str">
        <f ca="1">PROPER(TRIM(_xlfn.XLOOKUP($A210,Строчный!$A:$A,Строчный!R:R,"ERR",0)))</f>
        <v/>
      </c>
      <c r="Q210" s="90">
        <f ca="1">VALUE(_xlfn.XLOOKUP($A210,Строчный!$A:$A,Строчный!N:N,"ERR",0))</f>
        <v>975.8</v>
      </c>
      <c r="R210" s="89" t="str">
        <f ca="1">_xlfn.XLOOKUP($G210,Фабрика!A:A,Фабрика!B:B,"ERR",0)</f>
        <v>ООО "ФРЭДРИКСОН" Россия 192029, С-Петербург, пр. Обуховской обороны, д.86, лит М</v>
      </c>
      <c r="S210" s="80" t="str">
        <f ca="1">_xlfn.XLOOKUP(RIGHT(AA210,2),Размеры!D:D,Размеры!A:A,"ERR",0)</f>
        <v>57</v>
      </c>
      <c r="T210" s="80">
        <f ca="1">VALUE(_xlfn.XLOOKUP($AA210,Строчный!$S:$S,Строчный!U:U,"ERR",0))</f>
        <v>1</v>
      </c>
      <c r="U210" s="14" t="s">
        <v>265</v>
      </c>
      <c r="V210" s="101" t="str">
        <f t="shared" ca="1" si="16"/>
        <v>Кепка FREDRIKSON арт. 3190 (голубой / красный)</v>
      </c>
      <c r="W210" s="100" t="str">
        <f t="shared" ca="1" si="17"/>
        <v>Кепка FREDRIKSON арт. 3190 (голубой / красный) {685/15}</v>
      </c>
      <c r="X210" s="18" t="str">
        <f t="shared" ca="1" si="18"/>
        <v>голубой</v>
      </c>
      <c r="Y210" s="18" t="str">
        <f t="shared" ca="1" si="19"/>
        <v>красный</v>
      </c>
      <c r="Z210" s="117" t="str">
        <f ca="1">_xlfn.LET(_xlpm.FormColors,_xlfn.XLOOKUP(A210,Строчный!A:A,Строчный!Q:Q,"",0),IF(_xlpm.FormColors=0,IFERROR(MID(I210,FIND("-",I210)+1,LEN(I210)),IFERROR(MID(I210,1,FIND("/",I210)-2),I210)),_xlpm.FormColors))</f>
        <v>голубой</v>
      </c>
      <c r="AA210" s="73" t="str">
        <f ca="1"/>
        <v>95-008-19-57</v>
      </c>
      <c r="AB210" s="75" t="str">
        <f ca="1">VLOOKUP(C210,Группа!A:B,2,FALSE)</f>
        <v>Кепка</v>
      </c>
      <c r="AC210" s="97" t="str">
        <f ca="1">IFERROR(VLOOKUP(S210,Размеры!A:C,3,FALSE),"")</f>
        <v>57 M</v>
      </c>
      <c r="AD210" s="97" t="str">
        <f ca="1">VLOOKUP(I210,ЦветПолный!A:B,2,FALSE)</f>
        <v>19</v>
      </c>
      <c r="AE210" s="97" t="str">
        <f ca="1">IFERROR(VLOOKUP(S210,Размеры!A:D,4,FALSE),"")</f>
        <v>57</v>
      </c>
      <c r="AF210" s="97">
        <f ca="1">IF(LEFT(IFERROR(VLOOKUP(LOOKUP(2,1/SEARCH(B210,Товары!A:A),Товары!A:A),Товары!A:B,2,0),""),6)=MID(AA210,1,6),1,0)</f>
        <v>0</v>
      </c>
      <c r="AH210" s="97">
        <f ca="1">SUMIF(Группа!A:A,C210,Группа!C:C)</f>
        <v>1</v>
      </c>
      <c r="AI210" s="97">
        <f ca="1">SUMIF(Группа!B:B,AB210,Группа!C:C)</f>
        <v>1</v>
      </c>
      <c r="AJ210" s="97">
        <f ca="1">SUMIF(Формы!A:A,D210,Формы!B:B)</f>
        <v>1</v>
      </c>
      <c r="AK210" s="97">
        <f ca="1">SUMIF(Материал!A:A,K210,Материал!B:B)</f>
        <v>1</v>
      </c>
      <c r="AL210" s="97">
        <f ca="1">SUMIF(Размеры!A:A,S210,Размеры!E:E)</f>
        <v>1</v>
      </c>
      <c r="AM210" s="97">
        <f ca="1">SUMIF(Сезон!A:A,F210,Сезон!B:B)</f>
        <v>1</v>
      </c>
      <c r="AN210" s="97">
        <f ca="1">SUMIF(Состав!A:A,J210,Состав!B:B)</f>
        <v>0</v>
      </c>
      <c r="AO210" s="97">
        <f ca="1">VLOOKUP(I210,ЦветПолный!A:C,3,0)</f>
        <v>1</v>
      </c>
      <c r="AP210" s="97">
        <f ca="1">SUMIF(Цвет!A:A,Z210,Цвет!B:B)</f>
        <v>1</v>
      </c>
      <c r="AQ210" s="97">
        <f ca="1">_xlfn.XLOOKUP(L210,Пол!A:A,Пол!B:B,0,0)</f>
        <v>1</v>
      </c>
      <c r="AR210" s="97">
        <f ca="1">SUMIF(Бренд!A:A,G210,Бренд!B:B)</f>
        <v>1</v>
      </c>
      <c r="AS210" s="97">
        <f ca="1">SUMIF(Страна!A:A,M210,Страна!B:B)</f>
        <v>1</v>
      </c>
      <c r="AT210" s="64" t="e">
        <f ca="1">IF(VLOOKUP(W210,Товары!A:B,2,FALSE)=A210,"Есть в 1С","ERR")</f>
        <v>#N/A</v>
      </c>
      <c r="AU210" s="65" t="e">
        <f ca="1">IF(VLOOKUP(A210,Товары!B:B,1,FALSE)=A210,"Есть в 1С","ERR")</f>
        <v>#N/A</v>
      </c>
      <c r="AV210" s="96" t="e">
        <f ca="1">VLOOKUP(W210,Товары!A:B,2,FALSE)</f>
        <v>#N/A</v>
      </c>
      <c r="AW210" s="94" t="e">
        <f ca="1">VLOOKUP(W210,Товары!A:B,1,FALSE)</f>
        <v>#N/A</v>
      </c>
    </row>
    <row r="211" spans="1:49" x14ac:dyDescent="0.25">
      <c r="A211" s="110" t="str">
        <f t="shared" ca="1" si="15"/>
        <v>95-008-11</v>
      </c>
      <c r="B211" s="107" t="str">
        <f ca="1">_xlfn.LET(_xlpm.CAPS,0,_xlpm.Style,TRIM(_xlfn.XLOOKUP($A211,Строчный!$A:$A,Строчный!B:B,"ERR",0)),IF(_xlpm.CAPS=0,_xlpm.Style,LOWER(_xlpm.Style)))</f>
        <v>3190</v>
      </c>
      <c r="C211" s="81" t="str">
        <f ca="1">TRIM(PROPER(_xlfn.XLOOKUP($A211,Строчный!$A:$A,Строчный!C:C,"ERR",0)))</f>
        <v>Кепки</v>
      </c>
      <c r="D211" s="81" t="str">
        <f ca="1">_xlfn.LET(_xlpm.DATA,TRIM(_xlfn.XLOOKUP($A211,Строчный!$A:$A,Строчный!D:D,"ERR",0)),UPPER(MID(_xlpm.DATA,1,1))&amp;LOWER(MID(_xlpm.DATA,2,LEN(_xlpm.DATA)-1)))</f>
        <v>Кепка восьмиклинка</v>
      </c>
      <c r="E211" s="81" t="str">
        <f ca="1">PROPER(TRIM(_xlfn.XLOOKUP($A211,Строчный!$A:$A,Строчный!E:E,"ERR",0)))</f>
        <v>Fredrikson</v>
      </c>
      <c r="F211" s="81" t="str">
        <f ca="1">LOWER(TRIM(_xlfn.XLOOKUP($A211,Строчный!$A:$A,Строчный!F:F,"ERR",0)))</f>
        <v>всесезон</v>
      </c>
      <c r="G211" s="81" t="str">
        <f ca="1">UPPER(TRIM(_xlfn.XLOOKUP($A211,Строчный!$A:$A,Строчный!G:G,"ERR",0)))</f>
        <v>FREDRIKSON</v>
      </c>
      <c r="H211" s="81" t="str">
        <f ca="1">LOWER(TRIM(_xlfn.XLOOKUP($A211,Строчный!$A:$A,Строчный!H:H,"ERR",0)))</f>
        <v>640/77</v>
      </c>
      <c r="I211" s="81" t="str">
        <f ca="1">LOWER(TRIM(_xlfn.XLOOKUP($A211,Строчный!$A:$A,Строчный!I:I,"ERR",0)))</f>
        <v>светло-серый / черный</v>
      </c>
      <c r="J211" s="81" t="str">
        <f ca="1">SUBSTITUTE(LOWER(TRIM(_xlfn.XLOOKUP($A211,Строчный!$A:$A,Строчный!J:J,"ERR",0))),"подклад","Подклад")</f>
        <v>80% шерсть - 20% полиамид / Подклад: 100% вискоза</v>
      </c>
      <c r="K211" s="81" t="str">
        <f ca="1">LOWER(TRIM(_xlfn.XLOOKUP($A211,Строчный!$A:$A,Строчный!K:K,"ERR",0)))</f>
        <v>шерстяные</v>
      </c>
      <c r="L211" s="81" t="str">
        <f ca="1">PROPER(TRIM(_xlfn.XLOOKUP($A211,Строчный!$A:$A,Строчный!L:L,"ERR",0)))</f>
        <v>Унисекс</v>
      </c>
      <c r="M211" s="113" t="str">
        <f ca="1">PROPER(TRIM(_xlfn.XLOOKUP($A211,Строчный!$A:$A,Строчный!M:M,"ERR",0)))</f>
        <v>Россия</v>
      </c>
      <c r="N211" s="81" t="str">
        <f ca="1">UPPER(TRIM(_xlfn.XLOOKUP($A211,Строчный!$A:$A,Строчный!O:O,"ERR",0)))</f>
        <v/>
      </c>
      <c r="O211" s="102" t="str">
        <f ca="1">PROPER(TRIM(_xlfn.XLOOKUP($A211,Строчный!$A:$A,Строчный!P:P,"ERR",0)))</f>
        <v/>
      </c>
      <c r="P211" s="81" t="str">
        <f ca="1">PROPER(TRIM(_xlfn.XLOOKUP($A211,Строчный!$A:$A,Строчный!R:R,"ERR",0)))</f>
        <v/>
      </c>
      <c r="Q211" s="90">
        <f ca="1">VALUE(_xlfn.XLOOKUP($A211,Строчный!$A:$A,Строчный!N:N,"ERR",0))</f>
        <v>975.8</v>
      </c>
      <c r="R211" s="89" t="str">
        <f ca="1">_xlfn.XLOOKUP($G211,Фабрика!A:A,Фабрика!B:B,"ERR",0)</f>
        <v>ООО "ФРЭДРИКСОН" Россия 192029, С-Петербург, пр. Обуховской обороны, д.86, лит М</v>
      </c>
      <c r="S211" s="80" t="str">
        <f ca="1">_xlfn.XLOOKUP(RIGHT(AA211,2),Размеры!D:D,Размеры!A:A,"ERR",0)</f>
        <v>62</v>
      </c>
      <c r="T211" s="80">
        <f ca="1">VALUE(_xlfn.XLOOKUP($AA211,Строчный!$S:$S,Строчный!U:U,"ERR",0))</f>
        <v>4</v>
      </c>
      <c r="U211" s="14" t="s">
        <v>265</v>
      </c>
      <c r="V211" s="101" t="str">
        <f t="shared" ca="1" si="16"/>
        <v>Кепка FREDRIKSON арт. 3190 (светло-серый / черный)</v>
      </c>
      <c r="W211" s="100" t="str">
        <f t="shared" ca="1" si="17"/>
        <v>Кепка FREDRIKSON арт. 3190 (светло-серый / черный) {640/77}</v>
      </c>
      <c r="X211" s="18" t="str">
        <f t="shared" ca="1" si="18"/>
        <v>серый / черный</v>
      </c>
      <c r="Y211" s="18" t="str">
        <f t="shared" ca="1" si="19"/>
        <v>серый / черный</v>
      </c>
      <c r="Z211" s="117" t="s">
        <v>28</v>
      </c>
      <c r="AA211" s="73" t="str">
        <f ca="1"/>
        <v>95-008-11-62</v>
      </c>
      <c r="AB211" s="75" t="str">
        <f ca="1">VLOOKUP(C211,Группа!A:B,2,FALSE)</f>
        <v>Кепка</v>
      </c>
      <c r="AC211" s="97" t="str">
        <f ca="1">IFERROR(VLOOKUP(S211,Размеры!A:C,3,FALSE),"")</f>
        <v>62 XL/XXL</v>
      </c>
      <c r="AD211" s="97" t="str">
        <f ca="1">VLOOKUP(I211,ЦветПолный!A:B,2,FALSE)</f>
        <v>11</v>
      </c>
      <c r="AE211" s="97" t="str">
        <f ca="1">IFERROR(VLOOKUP(S211,Размеры!A:D,4,FALSE),"")</f>
        <v>62</v>
      </c>
      <c r="AF211" s="97">
        <f ca="1">IF(LEFT(IFERROR(VLOOKUP(LOOKUP(2,1/SEARCH(B211,Товары!A:A),Товары!A:A),Товары!A:B,2,0),""),6)=MID(AA211,1,6),1,0)</f>
        <v>0</v>
      </c>
      <c r="AH211" s="97">
        <f ca="1">SUMIF(Группа!A:A,C211,Группа!C:C)</f>
        <v>1</v>
      </c>
      <c r="AI211" s="97">
        <f ca="1">SUMIF(Группа!B:B,AB211,Группа!C:C)</f>
        <v>1</v>
      </c>
      <c r="AJ211" s="97">
        <f ca="1">SUMIF(Формы!A:A,D211,Формы!B:B)</f>
        <v>1</v>
      </c>
      <c r="AK211" s="97">
        <f ca="1">SUMIF(Материал!A:A,K211,Материал!B:B)</f>
        <v>1</v>
      </c>
      <c r="AL211" s="97">
        <f ca="1">SUMIF(Размеры!A:A,S211,Размеры!E:E)</f>
        <v>1</v>
      </c>
      <c r="AM211" s="97">
        <f ca="1">SUMIF(Сезон!A:A,F211,Сезон!B:B)</f>
        <v>1</v>
      </c>
      <c r="AN211" s="97">
        <f ca="1">SUMIF(Состав!A:A,J211,Состав!B:B)</f>
        <v>0</v>
      </c>
      <c r="AO211" s="97">
        <f ca="1">VLOOKUP(I211,ЦветПолный!A:C,3,0)</f>
        <v>1</v>
      </c>
      <c r="AP211" s="97">
        <f>SUMIF(Цвет!A:A,Z211,Цвет!B:B)</f>
        <v>1</v>
      </c>
      <c r="AQ211" s="97">
        <f ca="1">_xlfn.XLOOKUP(L211,Пол!A:A,Пол!B:B,0,0)</f>
        <v>1</v>
      </c>
      <c r="AR211" s="97">
        <f ca="1">SUMIF(Бренд!A:A,G211,Бренд!B:B)</f>
        <v>1</v>
      </c>
      <c r="AS211" s="97">
        <f ca="1">SUMIF(Страна!A:A,M211,Страна!B:B)</f>
        <v>1</v>
      </c>
      <c r="AT211" s="64" t="e">
        <f ca="1">IF(VLOOKUP(W211,Товары!A:B,2,FALSE)=A211,"Есть в 1С","ERR")</f>
        <v>#N/A</v>
      </c>
      <c r="AU211" s="65" t="e">
        <f ca="1">IF(VLOOKUP(A211,Товары!B:B,1,FALSE)=A211,"Есть в 1С","ERR")</f>
        <v>#N/A</v>
      </c>
      <c r="AV211" s="96" t="e">
        <f ca="1">VLOOKUP(W211,Товары!A:B,2,FALSE)</f>
        <v>#N/A</v>
      </c>
      <c r="AW211" s="94" t="e">
        <f ca="1">VLOOKUP(W211,Товары!A:B,1,FALSE)</f>
        <v>#N/A</v>
      </c>
    </row>
    <row r="212" spans="1:49" x14ac:dyDescent="0.25">
      <c r="A212" s="110" t="str">
        <f t="shared" ca="1" si="15"/>
        <v>95-008-11</v>
      </c>
      <c r="B212" s="107" t="str">
        <f ca="1">_xlfn.LET(_xlpm.CAPS,0,_xlpm.Style,TRIM(_xlfn.XLOOKUP($A212,Строчный!$A:$A,Строчный!B:B,"ERR",0)),IF(_xlpm.CAPS=0,_xlpm.Style,LOWER(_xlpm.Style)))</f>
        <v>3190</v>
      </c>
      <c r="C212" s="81" t="str">
        <f ca="1">TRIM(PROPER(_xlfn.XLOOKUP($A212,Строчный!$A:$A,Строчный!C:C,"ERR",0)))</f>
        <v>Кепки</v>
      </c>
      <c r="D212" s="81" t="str">
        <f ca="1">_xlfn.LET(_xlpm.DATA,TRIM(_xlfn.XLOOKUP($A212,Строчный!$A:$A,Строчный!D:D,"ERR",0)),UPPER(MID(_xlpm.DATA,1,1))&amp;LOWER(MID(_xlpm.DATA,2,LEN(_xlpm.DATA)-1)))</f>
        <v>Кепка восьмиклинка</v>
      </c>
      <c r="E212" s="81" t="str">
        <f ca="1">PROPER(TRIM(_xlfn.XLOOKUP($A212,Строчный!$A:$A,Строчный!E:E,"ERR",0)))</f>
        <v>Fredrikson</v>
      </c>
      <c r="F212" s="81" t="str">
        <f ca="1">LOWER(TRIM(_xlfn.XLOOKUP($A212,Строчный!$A:$A,Строчный!F:F,"ERR",0)))</f>
        <v>всесезон</v>
      </c>
      <c r="G212" s="81" t="str">
        <f ca="1">UPPER(TRIM(_xlfn.XLOOKUP($A212,Строчный!$A:$A,Строчный!G:G,"ERR",0)))</f>
        <v>FREDRIKSON</v>
      </c>
      <c r="H212" s="81" t="str">
        <f ca="1">LOWER(TRIM(_xlfn.XLOOKUP($A212,Строчный!$A:$A,Строчный!H:H,"ERR",0)))</f>
        <v>640/77</v>
      </c>
      <c r="I212" s="81" t="str">
        <f ca="1">LOWER(TRIM(_xlfn.XLOOKUP($A212,Строчный!$A:$A,Строчный!I:I,"ERR",0)))</f>
        <v>светло-серый / черный</v>
      </c>
      <c r="J212" s="81" t="str">
        <f ca="1">SUBSTITUTE(LOWER(TRIM(_xlfn.XLOOKUP($A212,Строчный!$A:$A,Строчный!J:J,"ERR",0))),"подклад","Подклад")</f>
        <v>80% шерсть - 20% полиамид / Подклад: 100% вискоза</v>
      </c>
      <c r="K212" s="81" t="str">
        <f ca="1">LOWER(TRIM(_xlfn.XLOOKUP($A212,Строчный!$A:$A,Строчный!K:K,"ERR",0)))</f>
        <v>шерстяные</v>
      </c>
      <c r="L212" s="81" t="str">
        <f ca="1">PROPER(TRIM(_xlfn.XLOOKUP($A212,Строчный!$A:$A,Строчный!L:L,"ERR",0)))</f>
        <v>Унисекс</v>
      </c>
      <c r="M212" s="113" t="str">
        <f ca="1">PROPER(TRIM(_xlfn.XLOOKUP($A212,Строчный!$A:$A,Строчный!M:M,"ERR",0)))</f>
        <v>Россия</v>
      </c>
      <c r="N212" s="81" t="str">
        <f ca="1">UPPER(TRIM(_xlfn.XLOOKUP($A212,Строчный!$A:$A,Строчный!O:O,"ERR",0)))</f>
        <v/>
      </c>
      <c r="O212" s="102" t="str">
        <f ca="1">PROPER(TRIM(_xlfn.XLOOKUP($A212,Строчный!$A:$A,Строчный!P:P,"ERR",0)))</f>
        <v/>
      </c>
      <c r="P212" s="81" t="str">
        <f ca="1">PROPER(TRIM(_xlfn.XLOOKUP($A212,Строчный!$A:$A,Строчный!R:R,"ERR",0)))</f>
        <v/>
      </c>
      <c r="Q212" s="90">
        <f ca="1">VALUE(_xlfn.XLOOKUP($A212,Строчный!$A:$A,Строчный!N:N,"ERR",0))</f>
        <v>975.8</v>
      </c>
      <c r="R212" s="89" t="str">
        <f ca="1">_xlfn.XLOOKUP($G212,Фабрика!A:A,Фабрика!B:B,"ERR",0)</f>
        <v>ООО "ФРЭДРИКСОН" Россия 192029, С-Петербург, пр. Обуховской обороны, д.86, лит М</v>
      </c>
      <c r="S212" s="80" t="str">
        <f ca="1">_xlfn.XLOOKUP(RIGHT(AA212,2),Размеры!D:D,Размеры!A:A,"ERR",0)</f>
        <v>61</v>
      </c>
      <c r="T212" s="80">
        <f ca="1">VALUE(_xlfn.XLOOKUP($AA212,Строчный!$S:$S,Строчный!U:U,"ERR",0))</f>
        <v>8</v>
      </c>
      <c r="U212" s="14" t="s">
        <v>265</v>
      </c>
      <c r="V212" s="101" t="str">
        <f t="shared" ca="1" si="16"/>
        <v>Кепка FREDRIKSON арт. 3190 (светло-серый / черный)</v>
      </c>
      <c r="W212" s="100" t="str">
        <f t="shared" ca="1" si="17"/>
        <v>Кепка FREDRIKSON арт. 3190 (светло-серый / черный) {640/77}</v>
      </c>
      <c r="X212" s="18" t="str">
        <f t="shared" ca="1" si="18"/>
        <v>серый / черный</v>
      </c>
      <c r="Y212" s="18" t="str">
        <f t="shared" ca="1" si="19"/>
        <v>серый / черный</v>
      </c>
      <c r="Z212" s="117" t="s">
        <v>28</v>
      </c>
      <c r="AA212" s="73" t="str">
        <f ca="1"/>
        <v>95-008-11-61</v>
      </c>
      <c r="AB212" s="75" t="str">
        <f ca="1">VLOOKUP(C212,Группа!A:B,2,FALSE)</f>
        <v>Кепка</v>
      </c>
      <c r="AC212" s="97" t="str">
        <f ca="1">IFERROR(VLOOKUP(S212,Размеры!A:C,3,FALSE),"")</f>
        <v>61 XL</v>
      </c>
      <c r="AD212" s="97" t="str">
        <f ca="1">VLOOKUP(I212,ЦветПолный!A:B,2,FALSE)</f>
        <v>11</v>
      </c>
      <c r="AE212" s="97" t="str">
        <f ca="1">IFERROR(VLOOKUP(S212,Размеры!A:D,4,FALSE),"")</f>
        <v>61</v>
      </c>
      <c r="AF212" s="97">
        <f ca="1">IF(LEFT(IFERROR(VLOOKUP(LOOKUP(2,1/SEARCH(B212,Товары!A:A),Товары!A:A),Товары!A:B,2,0),""),6)=MID(AA212,1,6),1,0)</f>
        <v>0</v>
      </c>
      <c r="AH212" s="97">
        <f ca="1">SUMIF(Группа!A:A,C212,Группа!C:C)</f>
        <v>1</v>
      </c>
      <c r="AI212" s="97">
        <f ca="1">SUMIF(Группа!B:B,AB212,Группа!C:C)</f>
        <v>1</v>
      </c>
      <c r="AJ212" s="97">
        <f ca="1">SUMIF(Формы!A:A,D212,Формы!B:B)</f>
        <v>1</v>
      </c>
      <c r="AK212" s="97">
        <f ca="1">SUMIF(Материал!A:A,K212,Материал!B:B)</f>
        <v>1</v>
      </c>
      <c r="AL212" s="97">
        <f ca="1">SUMIF(Размеры!A:A,S212,Размеры!E:E)</f>
        <v>1</v>
      </c>
      <c r="AM212" s="97">
        <f ca="1">SUMIF(Сезон!A:A,F212,Сезон!B:B)</f>
        <v>1</v>
      </c>
      <c r="AN212" s="97">
        <f ca="1">SUMIF(Состав!A:A,J212,Состав!B:B)</f>
        <v>0</v>
      </c>
      <c r="AO212" s="97">
        <f ca="1">VLOOKUP(I212,ЦветПолный!A:C,3,0)</f>
        <v>1</v>
      </c>
      <c r="AP212" s="97">
        <f>SUMIF(Цвет!A:A,Z212,Цвет!B:B)</f>
        <v>1</v>
      </c>
      <c r="AQ212" s="97">
        <f ca="1">_xlfn.XLOOKUP(L212,Пол!A:A,Пол!B:B,0,0)</f>
        <v>1</v>
      </c>
      <c r="AR212" s="97">
        <f ca="1">SUMIF(Бренд!A:A,G212,Бренд!B:B)</f>
        <v>1</v>
      </c>
      <c r="AS212" s="97">
        <f ca="1">SUMIF(Страна!A:A,M212,Страна!B:B)</f>
        <v>1</v>
      </c>
      <c r="AT212" s="64" t="e">
        <f ca="1">IF(VLOOKUP(W212,Товары!A:B,2,FALSE)=A212,"Есть в 1С","ERR")</f>
        <v>#N/A</v>
      </c>
      <c r="AU212" s="65" t="e">
        <f ca="1">IF(VLOOKUP(A212,Товары!B:B,1,FALSE)=A212,"Есть в 1С","ERR")</f>
        <v>#N/A</v>
      </c>
      <c r="AV212" s="96" t="e">
        <f ca="1">VLOOKUP(W212,Товары!A:B,2,FALSE)</f>
        <v>#N/A</v>
      </c>
      <c r="AW212" s="94" t="e">
        <f ca="1">VLOOKUP(W212,Товары!A:B,1,FALSE)</f>
        <v>#N/A</v>
      </c>
    </row>
    <row r="213" spans="1:49" x14ac:dyDescent="0.25">
      <c r="A213" s="110" t="str">
        <f t="shared" ca="1" si="15"/>
        <v>95-008-11</v>
      </c>
      <c r="B213" s="107" t="str">
        <f ca="1">_xlfn.LET(_xlpm.CAPS,0,_xlpm.Style,TRIM(_xlfn.XLOOKUP($A213,Строчный!$A:$A,Строчный!B:B,"ERR",0)),IF(_xlpm.CAPS=0,_xlpm.Style,LOWER(_xlpm.Style)))</f>
        <v>3190</v>
      </c>
      <c r="C213" s="81" t="str">
        <f ca="1">TRIM(PROPER(_xlfn.XLOOKUP($A213,Строчный!$A:$A,Строчный!C:C,"ERR",0)))</f>
        <v>Кепки</v>
      </c>
      <c r="D213" s="81" t="str">
        <f ca="1">_xlfn.LET(_xlpm.DATA,TRIM(_xlfn.XLOOKUP($A213,Строчный!$A:$A,Строчный!D:D,"ERR",0)),UPPER(MID(_xlpm.DATA,1,1))&amp;LOWER(MID(_xlpm.DATA,2,LEN(_xlpm.DATA)-1)))</f>
        <v>Кепка восьмиклинка</v>
      </c>
      <c r="E213" s="81" t="str">
        <f ca="1">PROPER(TRIM(_xlfn.XLOOKUP($A213,Строчный!$A:$A,Строчный!E:E,"ERR",0)))</f>
        <v>Fredrikson</v>
      </c>
      <c r="F213" s="81" t="str">
        <f ca="1">LOWER(TRIM(_xlfn.XLOOKUP($A213,Строчный!$A:$A,Строчный!F:F,"ERR",0)))</f>
        <v>всесезон</v>
      </c>
      <c r="G213" s="81" t="str">
        <f ca="1">UPPER(TRIM(_xlfn.XLOOKUP($A213,Строчный!$A:$A,Строчный!G:G,"ERR",0)))</f>
        <v>FREDRIKSON</v>
      </c>
      <c r="H213" s="81" t="str">
        <f ca="1">LOWER(TRIM(_xlfn.XLOOKUP($A213,Строчный!$A:$A,Строчный!H:H,"ERR",0)))</f>
        <v>640/77</v>
      </c>
      <c r="I213" s="81" t="str">
        <f ca="1">LOWER(TRIM(_xlfn.XLOOKUP($A213,Строчный!$A:$A,Строчный!I:I,"ERR",0)))</f>
        <v>светло-серый / черный</v>
      </c>
      <c r="J213" s="81" t="str">
        <f ca="1">SUBSTITUTE(LOWER(TRIM(_xlfn.XLOOKUP($A213,Строчный!$A:$A,Строчный!J:J,"ERR",0))),"подклад","Подклад")</f>
        <v>80% шерсть - 20% полиамид / Подклад: 100% вискоза</v>
      </c>
      <c r="K213" s="81" t="str">
        <f ca="1">LOWER(TRIM(_xlfn.XLOOKUP($A213,Строчный!$A:$A,Строчный!K:K,"ERR",0)))</f>
        <v>шерстяные</v>
      </c>
      <c r="L213" s="81" t="str">
        <f ca="1">PROPER(TRIM(_xlfn.XLOOKUP($A213,Строчный!$A:$A,Строчный!L:L,"ERR",0)))</f>
        <v>Унисекс</v>
      </c>
      <c r="M213" s="113" t="str">
        <f ca="1">PROPER(TRIM(_xlfn.XLOOKUP($A213,Строчный!$A:$A,Строчный!M:M,"ERR",0)))</f>
        <v>Россия</v>
      </c>
      <c r="N213" s="81" t="str">
        <f ca="1">UPPER(TRIM(_xlfn.XLOOKUP($A213,Строчный!$A:$A,Строчный!O:O,"ERR",0)))</f>
        <v/>
      </c>
      <c r="O213" s="102" t="str">
        <f ca="1">PROPER(TRIM(_xlfn.XLOOKUP($A213,Строчный!$A:$A,Строчный!P:P,"ERR",0)))</f>
        <v/>
      </c>
      <c r="P213" s="81" t="str">
        <f ca="1">PROPER(TRIM(_xlfn.XLOOKUP($A213,Строчный!$A:$A,Строчный!R:R,"ERR",0)))</f>
        <v/>
      </c>
      <c r="Q213" s="90">
        <f ca="1">VALUE(_xlfn.XLOOKUP($A213,Строчный!$A:$A,Строчный!N:N,"ERR",0))</f>
        <v>975.8</v>
      </c>
      <c r="R213" s="89" t="str">
        <f ca="1">_xlfn.XLOOKUP($G213,Фабрика!A:A,Фабрика!B:B,"ERR",0)</f>
        <v>ООО "ФРЭДРИКСОН" Россия 192029, С-Петербург, пр. Обуховской обороны, д.86, лит М</v>
      </c>
      <c r="S213" s="80" t="str">
        <f ca="1">_xlfn.XLOOKUP(RIGHT(AA213,2),Размеры!D:D,Размеры!A:A,"ERR",0)</f>
        <v>60</v>
      </c>
      <c r="T213" s="80">
        <f ca="1">VALUE(_xlfn.XLOOKUP($AA213,Строчный!$S:$S,Строчный!U:U,"ERR",0))</f>
        <v>12</v>
      </c>
      <c r="U213" s="14" t="s">
        <v>265</v>
      </c>
      <c r="V213" s="101" t="str">
        <f t="shared" ca="1" si="16"/>
        <v>Кепка FREDRIKSON арт. 3190 (светло-серый / черный)</v>
      </c>
      <c r="W213" s="100" t="str">
        <f t="shared" ca="1" si="17"/>
        <v>Кепка FREDRIKSON арт. 3190 (светло-серый / черный) {640/77}</v>
      </c>
      <c r="X213" s="18" t="str">
        <f t="shared" ca="1" si="18"/>
        <v>серый / черный</v>
      </c>
      <c r="Y213" s="18" t="str">
        <f t="shared" ca="1" si="19"/>
        <v>серый / черный</v>
      </c>
      <c r="Z213" s="117" t="s">
        <v>28</v>
      </c>
      <c r="AA213" s="73" t="str">
        <f ca="1"/>
        <v>95-008-11-60</v>
      </c>
      <c r="AB213" s="75" t="str">
        <f ca="1">VLOOKUP(C213,Группа!A:B,2,FALSE)</f>
        <v>Кепка</v>
      </c>
      <c r="AC213" s="97" t="str">
        <f ca="1">IFERROR(VLOOKUP(S213,Размеры!A:C,3,FALSE),"")</f>
        <v>60 L/XL</v>
      </c>
      <c r="AD213" s="97" t="str">
        <f ca="1">VLOOKUP(I213,ЦветПолный!A:B,2,FALSE)</f>
        <v>11</v>
      </c>
      <c r="AE213" s="97" t="str">
        <f ca="1">IFERROR(VLOOKUP(S213,Размеры!A:D,4,FALSE),"")</f>
        <v>60</v>
      </c>
      <c r="AF213" s="97">
        <f ca="1">IF(LEFT(IFERROR(VLOOKUP(LOOKUP(2,1/SEARCH(B213,Товары!A:A),Товары!A:A),Товары!A:B,2,0),""),6)=MID(AA213,1,6),1,0)</f>
        <v>0</v>
      </c>
      <c r="AH213" s="97">
        <f ca="1">SUMIF(Группа!A:A,C213,Группа!C:C)</f>
        <v>1</v>
      </c>
      <c r="AI213" s="97">
        <f ca="1">SUMIF(Группа!B:B,AB213,Группа!C:C)</f>
        <v>1</v>
      </c>
      <c r="AJ213" s="97">
        <f ca="1">SUMIF(Формы!A:A,D213,Формы!B:B)</f>
        <v>1</v>
      </c>
      <c r="AK213" s="97">
        <f ca="1">SUMIF(Материал!A:A,K213,Материал!B:B)</f>
        <v>1</v>
      </c>
      <c r="AL213" s="97">
        <f ca="1">SUMIF(Размеры!A:A,S213,Размеры!E:E)</f>
        <v>1</v>
      </c>
      <c r="AM213" s="97">
        <f ca="1">SUMIF(Сезон!A:A,F213,Сезон!B:B)</f>
        <v>1</v>
      </c>
      <c r="AN213" s="97">
        <f ca="1">SUMIF(Состав!A:A,J213,Состав!B:B)</f>
        <v>0</v>
      </c>
      <c r="AO213" s="97">
        <f ca="1">VLOOKUP(I213,ЦветПолный!A:C,3,0)</f>
        <v>1</v>
      </c>
      <c r="AP213" s="97">
        <f>SUMIF(Цвет!A:A,Z213,Цвет!B:B)</f>
        <v>1</v>
      </c>
      <c r="AQ213" s="97">
        <f ca="1">_xlfn.XLOOKUP(L213,Пол!A:A,Пол!B:B,0,0)</f>
        <v>1</v>
      </c>
      <c r="AR213" s="97">
        <f ca="1">SUMIF(Бренд!A:A,G213,Бренд!B:B)</f>
        <v>1</v>
      </c>
      <c r="AS213" s="97">
        <f ca="1">SUMIF(Страна!A:A,M213,Страна!B:B)</f>
        <v>1</v>
      </c>
      <c r="AT213" s="64" t="e">
        <f ca="1">IF(VLOOKUP(W213,Товары!A:B,2,FALSE)=A213,"Есть в 1С","ERR")</f>
        <v>#N/A</v>
      </c>
      <c r="AU213" s="65" t="e">
        <f ca="1">IF(VLOOKUP(A213,Товары!B:B,1,FALSE)=A213,"Есть в 1С","ERR")</f>
        <v>#N/A</v>
      </c>
      <c r="AV213" s="96" t="e">
        <f ca="1">VLOOKUP(W213,Товары!A:B,2,FALSE)</f>
        <v>#N/A</v>
      </c>
      <c r="AW213" s="94" t="e">
        <f ca="1">VLOOKUP(W213,Товары!A:B,1,FALSE)</f>
        <v>#N/A</v>
      </c>
    </row>
    <row r="214" spans="1:49" x14ac:dyDescent="0.25">
      <c r="A214" s="110" t="str">
        <f t="shared" ca="1" si="15"/>
        <v>95-008-11</v>
      </c>
      <c r="B214" s="107" t="str">
        <f ca="1">_xlfn.LET(_xlpm.CAPS,0,_xlpm.Style,TRIM(_xlfn.XLOOKUP($A214,Строчный!$A:$A,Строчный!B:B,"ERR",0)),IF(_xlpm.CAPS=0,_xlpm.Style,LOWER(_xlpm.Style)))</f>
        <v>3190</v>
      </c>
      <c r="C214" s="81" t="str">
        <f ca="1">TRIM(PROPER(_xlfn.XLOOKUP($A214,Строчный!$A:$A,Строчный!C:C,"ERR",0)))</f>
        <v>Кепки</v>
      </c>
      <c r="D214" s="81" t="str">
        <f ca="1">_xlfn.LET(_xlpm.DATA,TRIM(_xlfn.XLOOKUP($A214,Строчный!$A:$A,Строчный!D:D,"ERR",0)),UPPER(MID(_xlpm.DATA,1,1))&amp;LOWER(MID(_xlpm.DATA,2,LEN(_xlpm.DATA)-1)))</f>
        <v>Кепка восьмиклинка</v>
      </c>
      <c r="E214" s="81" t="str">
        <f ca="1">PROPER(TRIM(_xlfn.XLOOKUP($A214,Строчный!$A:$A,Строчный!E:E,"ERR",0)))</f>
        <v>Fredrikson</v>
      </c>
      <c r="F214" s="81" t="str">
        <f ca="1">LOWER(TRIM(_xlfn.XLOOKUP($A214,Строчный!$A:$A,Строчный!F:F,"ERR",0)))</f>
        <v>всесезон</v>
      </c>
      <c r="G214" s="81" t="str">
        <f ca="1">UPPER(TRIM(_xlfn.XLOOKUP($A214,Строчный!$A:$A,Строчный!G:G,"ERR",0)))</f>
        <v>FREDRIKSON</v>
      </c>
      <c r="H214" s="81" t="str">
        <f ca="1">LOWER(TRIM(_xlfn.XLOOKUP($A214,Строчный!$A:$A,Строчный!H:H,"ERR",0)))</f>
        <v>640/77</v>
      </c>
      <c r="I214" s="81" t="str">
        <f ca="1">LOWER(TRIM(_xlfn.XLOOKUP($A214,Строчный!$A:$A,Строчный!I:I,"ERR",0)))</f>
        <v>светло-серый / черный</v>
      </c>
      <c r="J214" s="81" t="str">
        <f ca="1">SUBSTITUTE(LOWER(TRIM(_xlfn.XLOOKUP($A214,Строчный!$A:$A,Строчный!J:J,"ERR",0))),"подклад","Подклад")</f>
        <v>80% шерсть - 20% полиамид / Подклад: 100% вискоза</v>
      </c>
      <c r="K214" s="81" t="str">
        <f ca="1">LOWER(TRIM(_xlfn.XLOOKUP($A214,Строчный!$A:$A,Строчный!K:K,"ERR",0)))</f>
        <v>шерстяные</v>
      </c>
      <c r="L214" s="81" t="str">
        <f ca="1">PROPER(TRIM(_xlfn.XLOOKUP($A214,Строчный!$A:$A,Строчный!L:L,"ERR",0)))</f>
        <v>Унисекс</v>
      </c>
      <c r="M214" s="113" t="str">
        <f ca="1">PROPER(TRIM(_xlfn.XLOOKUP($A214,Строчный!$A:$A,Строчный!M:M,"ERR",0)))</f>
        <v>Россия</v>
      </c>
      <c r="N214" s="81" t="str">
        <f ca="1">UPPER(TRIM(_xlfn.XLOOKUP($A214,Строчный!$A:$A,Строчный!O:O,"ERR",0)))</f>
        <v/>
      </c>
      <c r="O214" s="102" t="str">
        <f ca="1">PROPER(TRIM(_xlfn.XLOOKUP($A214,Строчный!$A:$A,Строчный!P:P,"ERR",0)))</f>
        <v/>
      </c>
      <c r="P214" s="81" t="str">
        <f ca="1">PROPER(TRIM(_xlfn.XLOOKUP($A214,Строчный!$A:$A,Строчный!R:R,"ERR",0)))</f>
        <v/>
      </c>
      <c r="Q214" s="90">
        <f ca="1">VALUE(_xlfn.XLOOKUP($A214,Строчный!$A:$A,Строчный!N:N,"ERR",0))</f>
        <v>975.8</v>
      </c>
      <c r="R214" s="89" t="str">
        <f ca="1">_xlfn.XLOOKUP($G214,Фабрика!A:A,Фабрика!B:B,"ERR",0)</f>
        <v>ООО "ФРЭДРИКСОН" Россия 192029, С-Петербург, пр. Обуховской обороны, д.86, лит М</v>
      </c>
      <c r="S214" s="80" t="str">
        <f ca="1">_xlfn.XLOOKUP(RIGHT(AA214,2),Размеры!D:D,Размеры!A:A,"ERR",0)</f>
        <v>59</v>
      </c>
      <c r="T214" s="80">
        <f ca="1">VALUE(_xlfn.XLOOKUP($AA214,Строчный!$S:$S,Строчный!U:U,"ERR",0))</f>
        <v>18</v>
      </c>
      <c r="U214" s="14" t="s">
        <v>265</v>
      </c>
      <c r="V214" s="101" t="str">
        <f t="shared" ca="1" si="16"/>
        <v>Кепка FREDRIKSON арт. 3190 (светло-серый / черный)</v>
      </c>
      <c r="W214" s="100" t="str">
        <f t="shared" ca="1" si="17"/>
        <v>Кепка FREDRIKSON арт. 3190 (светло-серый / черный) {640/77}</v>
      </c>
      <c r="X214" s="18" t="str">
        <f t="shared" ca="1" si="18"/>
        <v>серый / черный</v>
      </c>
      <c r="Y214" s="18" t="str">
        <f t="shared" ca="1" si="19"/>
        <v>серый / черный</v>
      </c>
      <c r="Z214" s="117" t="s">
        <v>28</v>
      </c>
      <c r="AA214" s="73" t="str">
        <f ca="1"/>
        <v>95-008-11-59</v>
      </c>
      <c r="AB214" s="75" t="str">
        <f ca="1">VLOOKUP(C214,Группа!A:B,2,FALSE)</f>
        <v>Кепка</v>
      </c>
      <c r="AC214" s="97" t="str">
        <f ca="1">IFERROR(VLOOKUP(S214,Размеры!A:C,3,FALSE),"")</f>
        <v>59 L</v>
      </c>
      <c r="AD214" s="97" t="str">
        <f ca="1">VLOOKUP(I214,ЦветПолный!A:B,2,FALSE)</f>
        <v>11</v>
      </c>
      <c r="AE214" s="97" t="str">
        <f ca="1">IFERROR(VLOOKUP(S214,Размеры!A:D,4,FALSE),"")</f>
        <v>59</v>
      </c>
      <c r="AF214" s="97">
        <f ca="1">IF(LEFT(IFERROR(VLOOKUP(LOOKUP(2,1/SEARCH(B214,Товары!A:A),Товары!A:A),Товары!A:B,2,0),""),6)=MID(AA214,1,6),1,0)</f>
        <v>0</v>
      </c>
      <c r="AH214" s="97">
        <f ca="1">SUMIF(Группа!A:A,C214,Группа!C:C)</f>
        <v>1</v>
      </c>
      <c r="AI214" s="97">
        <f ca="1">SUMIF(Группа!B:B,AB214,Группа!C:C)</f>
        <v>1</v>
      </c>
      <c r="AJ214" s="97">
        <f ca="1">SUMIF(Формы!A:A,D214,Формы!B:B)</f>
        <v>1</v>
      </c>
      <c r="AK214" s="97">
        <f ca="1">SUMIF(Материал!A:A,K214,Материал!B:B)</f>
        <v>1</v>
      </c>
      <c r="AL214" s="97">
        <f ca="1">SUMIF(Размеры!A:A,S214,Размеры!E:E)</f>
        <v>1</v>
      </c>
      <c r="AM214" s="97">
        <f ca="1">SUMIF(Сезон!A:A,F214,Сезон!B:B)</f>
        <v>1</v>
      </c>
      <c r="AN214" s="97">
        <f ca="1">SUMIF(Состав!A:A,J214,Состав!B:B)</f>
        <v>0</v>
      </c>
      <c r="AO214" s="97">
        <f ca="1">VLOOKUP(I214,ЦветПолный!A:C,3,0)</f>
        <v>1</v>
      </c>
      <c r="AP214" s="97">
        <f>SUMIF(Цвет!A:A,Z214,Цвет!B:B)</f>
        <v>1</v>
      </c>
      <c r="AQ214" s="97">
        <f ca="1">_xlfn.XLOOKUP(L214,Пол!A:A,Пол!B:B,0,0)</f>
        <v>1</v>
      </c>
      <c r="AR214" s="97">
        <f ca="1">SUMIF(Бренд!A:A,G214,Бренд!B:B)</f>
        <v>1</v>
      </c>
      <c r="AS214" s="97">
        <f ca="1">SUMIF(Страна!A:A,M214,Страна!B:B)</f>
        <v>1</v>
      </c>
      <c r="AT214" s="64" t="e">
        <f ca="1">IF(VLOOKUP(W214,Товары!A:B,2,FALSE)=A214,"Есть в 1С","ERR")</f>
        <v>#N/A</v>
      </c>
      <c r="AU214" s="65" t="e">
        <f ca="1">IF(VLOOKUP(A214,Товары!B:B,1,FALSE)=A214,"Есть в 1С","ERR")</f>
        <v>#N/A</v>
      </c>
      <c r="AV214" s="96" t="e">
        <f ca="1">VLOOKUP(W214,Товары!A:B,2,FALSE)</f>
        <v>#N/A</v>
      </c>
      <c r="AW214" s="94" t="e">
        <f ca="1">VLOOKUP(W214,Товары!A:B,1,FALSE)</f>
        <v>#N/A</v>
      </c>
    </row>
    <row r="215" spans="1:49" x14ac:dyDescent="0.25">
      <c r="A215" s="110" t="str">
        <f t="shared" ca="1" si="15"/>
        <v>95-008-11</v>
      </c>
      <c r="B215" s="107" t="str">
        <f ca="1">_xlfn.LET(_xlpm.CAPS,0,_xlpm.Style,TRIM(_xlfn.XLOOKUP($A215,Строчный!$A:$A,Строчный!B:B,"ERR",0)),IF(_xlpm.CAPS=0,_xlpm.Style,LOWER(_xlpm.Style)))</f>
        <v>3190</v>
      </c>
      <c r="C215" s="81" t="str">
        <f ca="1">TRIM(PROPER(_xlfn.XLOOKUP($A215,Строчный!$A:$A,Строчный!C:C,"ERR",0)))</f>
        <v>Кепки</v>
      </c>
      <c r="D215" s="81" t="str">
        <f ca="1">_xlfn.LET(_xlpm.DATA,TRIM(_xlfn.XLOOKUP($A215,Строчный!$A:$A,Строчный!D:D,"ERR",0)),UPPER(MID(_xlpm.DATA,1,1))&amp;LOWER(MID(_xlpm.DATA,2,LEN(_xlpm.DATA)-1)))</f>
        <v>Кепка восьмиклинка</v>
      </c>
      <c r="E215" s="81" t="str">
        <f ca="1">PROPER(TRIM(_xlfn.XLOOKUP($A215,Строчный!$A:$A,Строчный!E:E,"ERR",0)))</f>
        <v>Fredrikson</v>
      </c>
      <c r="F215" s="81" t="str">
        <f ca="1">LOWER(TRIM(_xlfn.XLOOKUP($A215,Строчный!$A:$A,Строчный!F:F,"ERR",0)))</f>
        <v>всесезон</v>
      </c>
      <c r="G215" s="81" t="str">
        <f ca="1">UPPER(TRIM(_xlfn.XLOOKUP($A215,Строчный!$A:$A,Строчный!G:G,"ERR",0)))</f>
        <v>FREDRIKSON</v>
      </c>
      <c r="H215" s="81" t="str">
        <f ca="1">LOWER(TRIM(_xlfn.XLOOKUP($A215,Строчный!$A:$A,Строчный!H:H,"ERR",0)))</f>
        <v>640/77</v>
      </c>
      <c r="I215" s="81" t="str">
        <f ca="1">LOWER(TRIM(_xlfn.XLOOKUP($A215,Строчный!$A:$A,Строчный!I:I,"ERR",0)))</f>
        <v>светло-серый / черный</v>
      </c>
      <c r="J215" s="81" t="str">
        <f ca="1">SUBSTITUTE(LOWER(TRIM(_xlfn.XLOOKUP($A215,Строчный!$A:$A,Строчный!J:J,"ERR",0))),"подклад","Подклад")</f>
        <v>80% шерсть - 20% полиамид / Подклад: 100% вискоза</v>
      </c>
      <c r="K215" s="81" t="str">
        <f ca="1">LOWER(TRIM(_xlfn.XLOOKUP($A215,Строчный!$A:$A,Строчный!K:K,"ERR",0)))</f>
        <v>шерстяные</v>
      </c>
      <c r="L215" s="81" t="str">
        <f ca="1">PROPER(TRIM(_xlfn.XLOOKUP($A215,Строчный!$A:$A,Строчный!L:L,"ERR",0)))</f>
        <v>Унисекс</v>
      </c>
      <c r="M215" s="113" t="str">
        <f ca="1">PROPER(TRIM(_xlfn.XLOOKUP($A215,Строчный!$A:$A,Строчный!M:M,"ERR",0)))</f>
        <v>Россия</v>
      </c>
      <c r="N215" s="81" t="str">
        <f ca="1">UPPER(TRIM(_xlfn.XLOOKUP($A215,Строчный!$A:$A,Строчный!O:O,"ERR",0)))</f>
        <v/>
      </c>
      <c r="O215" s="102" t="str">
        <f ca="1">PROPER(TRIM(_xlfn.XLOOKUP($A215,Строчный!$A:$A,Строчный!P:P,"ERR",0)))</f>
        <v/>
      </c>
      <c r="P215" s="81" t="str">
        <f ca="1">PROPER(TRIM(_xlfn.XLOOKUP($A215,Строчный!$A:$A,Строчный!R:R,"ERR",0)))</f>
        <v/>
      </c>
      <c r="Q215" s="90">
        <f ca="1">VALUE(_xlfn.XLOOKUP($A215,Строчный!$A:$A,Строчный!N:N,"ERR",0))</f>
        <v>975.8</v>
      </c>
      <c r="R215" s="89" t="str">
        <f ca="1">_xlfn.XLOOKUP($G215,Фабрика!A:A,Фабрика!B:B,"ERR",0)</f>
        <v>ООО "ФРЭДРИКСОН" Россия 192029, С-Петербург, пр. Обуховской обороны, д.86, лит М</v>
      </c>
      <c r="S215" s="80" t="str">
        <f ca="1">_xlfn.XLOOKUP(RIGHT(AA215,2),Размеры!D:D,Размеры!A:A,"ERR",0)</f>
        <v>58</v>
      </c>
      <c r="T215" s="80">
        <f ca="1">VALUE(_xlfn.XLOOKUP($AA215,Строчный!$S:$S,Строчный!U:U,"ERR",0))</f>
        <v>12</v>
      </c>
      <c r="U215" s="14" t="s">
        <v>265</v>
      </c>
      <c r="V215" s="101" t="str">
        <f t="shared" ca="1" si="16"/>
        <v>Кепка FREDRIKSON арт. 3190 (светло-серый / черный)</v>
      </c>
      <c r="W215" s="100" t="str">
        <f t="shared" ca="1" si="17"/>
        <v>Кепка FREDRIKSON арт. 3190 (светло-серый / черный) {640/77}</v>
      </c>
      <c r="X215" s="18" t="str">
        <f t="shared" ca="1" si="18"/>
        <v>серый / черный</v>
      </c>
      <c r="Y215" s="18" t="str">
        <f t="shared" ca="1" si="19"/>
        <v>серый / черный</v>
      </c>
      <c r="Z215" s="117" t="s">
        <v>28</v>
      </c>
      <c r="AA215" s="73" t="str">
        <f ca="1"/>
        <v>95-008-11-58</v>
      </c>
      <c r="AB215" s="75" t="str">
        <f ca="1">VLOOKUP(C215,Группа!A:B,2,FALSE)</f>
        <v>Кепка</v>
      </c>
      <c r="AC215" s="97" t="str">
        <f ca="1">IFERROR(VLOOKUP(S215,Размеры!A:C,3,FALSE),"")</f>
        <v>58 M/L</v>
      </c>
      <c r="AD215" s="97" t="str">
        <f ca="1">VLOOKUP(I215,ЦветПолный!A:B,2,FALSE)</f>
        <v>11</v>
      </c>
      <c r="AE215" s="97" t="str">
        <f ca="1">IFERROR(VLOOKUP(S215,Размеры!A:D,4,FALSE),"")</f>
        <v>58</v>
      </c>
      <c r="AF215" s="97">
        <f ca="1">IF(LEFT(IFERROR(VLOOKUP(LOOKUP(2,1/SEARCH(B215,Товары!A:A),Товары!A:A),Товары!A:B,2,0),""),6)=MID(AA215,1,6),1,0)</f>
        <v>0</v>
      </c>
      <c r="AH215" s="97">
        <f ca="1">SUMIF(Группа!A:A,C215,Группа!C:C)</f>
        <v>1</v>
      </c>
      <c r="AI215" s="97">
        <f ca="1">SUMIF(Группа!B:B,AB215,Группа!C:C)</f>
        <v>1</v>
      </c>
      <c r="AJ215" s="97">
        <f ca="1">SUMIF(Формы!A:A,D215,Формы!B:B)</f>
        <v>1</v>
      </c>
      <c r="AK215" s="97">
        <f ca="1">SUMIF(Материал!A:A,K215,Материал!B:B)</f>
        <v>1</v>
      </c>
      <c r="AL215" s="97">
        <f ca="1">SUMIF(Размеры!A:A,S215,Размеры!E:E)</f>
        <v>1</v>
      </c>
      <c r="AM215" s="97">
        <f ca="1">SUMIF(Сезон!A:A,F215,Сезон!B:B)</f>
        <v>1</v>
      </c>
      <c r="AN215" s="97">
        <f ca="1">SUMIF(Состав!A:A,J215,Состав!B:B)</f>
        <v>0</v>
      </c>
      <c r="AO215" s="97">
        <f ca="1">VLOOKUP(I215,ЦветПолный!A:C,3,0)</f>
        <v>1</v>
      </c>
      <c r="AP215" s="97">
        <f>SUMIF(Цвет!A:A,Z215,Цвет!B:B)</f>
        <v>1</v>
      </c>
      <c r="AQ215" s="97">
        <f ca="1">_xlfn.XLOOKUP(L215,Пол!A:A,Пол!B:B,0,0)</f>
        <v>1</v>
      </c>
      <c r="AR215" s="97">
        <f ca="1">SUMIF(Бренд!A:A,G215,Бренд!B:B)</f>
        <v>1</v>
      </c>
      <c r="AS215" s="97">
        <f ca="1">SUMIF(Страна!A:A,M215,Страна!B:B)</f>
        <v>1</v>
      </c>
      <c r="AT215" s="64" t="e">
        <f ca="1">IF(VLOOKUP(W215,Товары!A:B,2,FALSE)=A215,"Есть в 1С","ERR")</f>
        <v>#N/A</v>
      </c>
      <c r="AU215" s="65" t="e">
        <f ca="1">IF(VLOOKUP(A215,Товары!B:B,1,FALSE)=A215,"Есть в 1С","ERR")</f>
        <v>#N/A</v>
      </c>
      <c r="AV215" s="96" t="e">
        <f ca="1">VLOOKUP(W215,Товары!A:B,2,FALSE)</f>
        <v>#N/A</v>
      </c>
      <c r="AW215" s="94" t="e">
        <f ca="1">VLOOKUP(W215,Товары!A:B,1,FALSE)</f>
        <v>#N/A</v>
      </c>
    </row>
    <row r="216" spans="1:49" x14ac:dyDescent="0.25">
      <c r="A216" s="110" t="str">
        <f t="shared" ca="1" si="15"/>
        <v>95-008-11</v>
      </c>
      <c r="B216" s="107" t="str">
        <f ca="1">_xlfn.LET(_xlpm.CAPS,0,_xlpm.Style,TRIM(_xlfn.XLOOKUP($A216,Строчный!$A:$A,Строчный!B:B,"ERR",0)),IF(_xlpm.CAPS=0,_xlpm.Style,LOWER(_xlpm.Style)))</f>
        <v>3190</v>
      </c>
      <c r="C216" s="81" t="str">
        <f ca="1">TRIM(PROPER(_xlfn.XLOOKUP($A216,Строчный!$A:$A,Строчный!C:C,"ERR",0)))</f>
        <v>Кепки</v>
      </c>
      <c r="D216" s="81" t="str">
        <f ca="1">_xlfn.LET(_xlpm.DATA,TRIM(_xlfn.XLOOKUP($A216,Строчный!$A:$A,Строчный!D:D,"ERR",0)),UPPER(MID(_xlpm.DATA,1,1))&amp;LOWER(MID(_xlpm.DATA,2,LEN(_xlpm.DATA)-1)))</f>
        <v>Кепка восьмиклинка</v>
      </c>
      <c r="E216" s="81" t="str">
        <f ca="1">PROPER(TRIM(_xlfn.XLOOKUP($A216,Строчный!$A:$A,Строчный!E:E,"ERR",0)))</f>
        <v>Fredrikson</v>
      </c>
      <c r="F216" s="81" t="str">
        <f ca="1">LOWER(TRIM(_xlfn.XLOOKUP($A216,Строчный!$A:$A,Строчный!F:F,"ERR",0)))</f>
        <v>всесезон</v>
      </c>
      <c r="G216" s="81" t="str">
        <f ca="1">UPPER(TRIM(_xlfn.XLOOKUP($A216,Строчный!$A:$A,Строчный!G:G,"ERR",0)))</f>
        <v>FREDRIKSON</v>
      </c>
      <c r="H216" s="81" t="str">
        <f ca="1">LOWER(TRIM(_xlfn.XLOOKUP($A216,Строчный!$A:$A,Строчный!H:H,"ERR",0)))</f>
        <v>640/77</v>
      </c>
      <c r="I216" s="81" t="str">
        <f ca="1">LOWER(TRIM(_xlfn.XLOOKUP($A216,Строчный!$A:$A,Строчный!I:I,"ERR",0)))</f>
        <v>светло-серый / черный</v>
      </c>
      <c r="J216" s="81" t="str">
        <f ca="1">SUBSTITUTE(LOWER(TRIM(_xlfn.XLOOKUP($A216,Строчный!$A:$A,Строчный!J:J,"ERR",0))),"подклад","Подклад")</f>
        <v>80% шерсть - 20% полиамид / Подклад: 100% вискоза</v>
      </c>
      <c r="K216" s="81" t="str">
        <f ca="1">LOWER(TRIM(_xlfn.XLOOKUP($A216,Строчный!$A:$A,Строчный!K:K,"ERR",0)))</f>
        <v>шерстяные</v>
      </c>
      <c r="L216" s="81" t="str">
        <f ca="1">PROPER(TRIM(_xlfn.XLOOKUP($A216,Строчный!$A:$A,Строчный!L:L,"ERR",0)))</f>
        <v>Унисекс</v>
      </c>
      <c r="M216" s="113" t="str">
        <f ca="1">PROPER(TRIM(_xlfn.XLOOKUP($A216,Строчный!$A:$A,Строчный!M:M,"ERR",0)))</f>
        <v>Россия</v>
      </c>
      <c r="N216" s="81" t="str">
        <f ca="1">UPPER(TRIM(_xlfn.XLOOKUP($A216,Строчный!$A:$A,Строчный!O:O,"ERR",0)))</f>
        <v/>
      </c>
      <c r="O216" s="102" t="str">
        <f ca="1">PROPER(TRIM(_xlfn.XLOOKUP($A216,Строчный!$A:$A,Строчный!P:P,"ERR",0)))</f>
        <v/>
      </c>
      <c r="P216" s="81" t="str">
        <f ca="1">PROPER(TRIM(_xlfn.XLOOKUP($A216,Строчный!$A:$A,Строчный!R:R,"ERR",0)))</f>
        <v/>
      </c>
      <c r="Q216" s="90">
        <f ca="1">VALUE(_xlfn.XLOOKUP($A216,Строчный!$A:$A,Строчный!N:N,"ERR",0))</f>
        <v>975.8</v>
      </c>
      <c r="R216" s="89" t="str">
        <f ca="1">_xlfn.XLOOKUP($G216,Фабрика!A:A,Фабрика!B:B,"ERR",0)</f>
        <v>ООО "ФРЭДРИКСОН" Россия 192029, С-Петербург, пр. Обуховской обороны, д.86, лит М</v>
      </c>
      <c r="S216" s="80" t="str">
        <f ca="1">_xlfn.XLOOKUP(RIGHT(AA216,2),Размеры!D:D,Размеры!A:A,"ERR",0)</f>
        <v>57</v>
      </c>
      <c r="T216" s="80">
        <f ca="1">VALUE(_xlfn.XLOOKUP($AA216,Строчный!$S:$S,Строчный!U:U,"ERR",0))</f>
        <v>8</v>
      </c>
      <c r="U216" s="14" t="s">
        <v>265</v>
      </c>
      <c r="V216" s="101" t="str">
        <f t="shared" ca="1" si="16"/>
        <v>Кепка FREDRIKSON арт. 3190 (светло-серый / черный)</v>
      </c>
      <c r="W216" s="100" t="str">
        <f t="shared" ca="1" si="17"/>
        <v>Кепка FREDRIKSON арт. 3190 (светло-серый / черный) {640/77}</v>
      </c>
      <c r="X216" s="18" t="str">
        <f t="shared" ca="1" si="18"/>
        <v>серый / черный</v>
      </c>
      <c r="Y216" s="18" t="str">
        <f t="shared" ca="1" si="19"/>
        <v>серый / черный</v>
      </c>
      <c r="Z216" s="117" t="s">
        <v>28</v>
      </c>
      <c r="AA216" s="73" t="str">
        <f ca="1"/>
        <v>95-008-11-57</v>
      </c>
      <c r="AB216" s="75" t="str">
        <f ca="1">VLOOKUP(C216,Группа!A:B,2,FALSE)</f>
        <v>Кепка</v>
      </c>
      <c r="AC216" s="97" t="str">
        <f ca="1">IFERROR(VLOOKUP(S216,Размеры!A:C,3,FALSE),"")</f>
        <v>57 M</v>
      </c>
      <c r="AD216" s="97" t="str">
        <f ca="1">VLOOKUP(I216,ЦветПолный!A:B,2,FALSE)</f>
        <v>11</v>
      </c>
      <c r="AE216" s="97" t="str">
        <f ca="1">IFERROR(VLOOKUP(S216,Размеры!A:D,4,FALSE),"")</f>
        <v>57</v>
      </c>
      <c r="AF216" s="97">
        <f ca="1">IF(LEFT(IFERROR(VLOOKUP(LOOKUP(2,1/SEARCH(B216,Товары!A:A),Товары!A:A),Товары!A:B,2,0),""),6)=MID(AA216,1,6),1,0)</f>
        <v>0</v>
      </c>
      <c r="AH216" s="97">
        <f ca="1">SUMIF(Группа!A:A,C216,Группа!C:C)</f>
        <v>1</v>
      </c>
      <c r="AI216" s="97">
        <f ca="1">SUMIF(Группа!B:B,AB216,Группа!C:C)</f>
        <v>1</v>
      </c>
      <c r="AJ216" s="97">
        <f ca="1">SUMIF(Формы!A:A,D216,Формы!B:B)</f>
        <v>1</v>
      </c>
      <c r="AK216" s="97">
        <f ca="1">SUMIF(Материал!A:A,K216,Материал!B:B)</f>
        <v>1</v>
      </c>
      <c r="AL216" s="97">
        <f ca="1">SUMIF(Размеры!A:A,S216,Размеры!E:E)</f>
        <v>1</v>
      </c>
      <c r="AM216" s="97">
        <f ca="1">SUMIF(Сезон!A:A,F216,Сезон!B:B)</f>
        <v>1</v>
      </c>
      <c r="AN216" s="97">
        <f ca="1">SUMIF(Состав!A:A,J216,Состав!B:B)</f>
        <v>0</v>
      </c>
      <c r="AO216" s="97">
        <f ca="1">VLOOKUP(I216,ЦветПолный!A:C,3,0)</f>
        <v>1</v>
      </c>
      <c r="AP216" s="97">
        <f>SUMIF(Цвет!A:A,Z216,Цвет!B:B)</f>
        <v>1</v>
      </c>
      <c r="AQ216" s="97">
        <f ca="1">_xlfn.XLOOKUP(L216,Пол!A:A,Пол!B:B,0,0)</f>
        <v>1</v>
      </c>
      <c r="AR216" s="97">
        <f ca="1">SUMIF(Бренд!A:A,G216,Бренд!B:B)</f>
        <v>1</v>
      </c>
      <c r="AS216" s="97">
        <f ca="1">SUMIF(Страна!A:A,M216,Страна!B:B)</f>
        <v>1</v>
      </c>
      <c r="AT216" s="64" t="e">
        <f ca="1">IF(VLOOKUP(W216,Товары!A:B,2,FALSE)=A216,"Есть в 1С","ERR")</f>
        <v>#N/A</v>
      </c>
      <c r="AU216" s="65" t="e">
        <f ca="1">IF(VLOOKUP(A216,Товары!B:B,1,FALSE)=A216,"Есть в 1С","ERR")</f>
        <v>#N/A</v>
      </c>
      <c r="AV216" s="96" t="e">
        <f ca="1">VLOOKUP(W216,Товары!A:B,2,FALSE)</f>
        <v>#N/A</v>
      </c>
      <c r="AW216" s="94" t="e">
        <f ca="1">VLOOKUP(W216,Товары!A:B,1,FALSE)</f>
        <v>#N/A</v>
      </c>
    </row>
    <row r="217" spans="1:49" x14ac:dyDescent="0.25">
      <c r="A217" s="110" t="str">
        <f t="shared" ca="1" si="15"/>
        <v>95-008-11</v>
      </c>
      <c r="B217" s="107" t="str">
        <f ca="1">_xlfn.LET(_xlpm.CAPS,0,_xlpm.Style,TRIM(_xlfn.XLOOKUP($A217,Строчный!$A:$A,Строчный!B:B,"ERR",0)),IF(_xlpm.CAPS=0,_xlpm.Style,LOWER(_xlpm.Style)))</f>
        <v>3190</v>
      </c>
      <c r="C217" s="81" t="str">
        <f ca="1">TRIM(PROPER(_xlfn.XLOOKUP($A217,Строчный!$A:$A,Строчный!C:C,"ERR",0)))</f>
        <v>Кепки</v>
      </c>
      <c r="D217" s="81" t="str">
        <f ca="1">_xlfn.LET(_xlpm.DATA,TRIM(_xlfn.XLOOKUP($A217,Строчный!$A:$A,Строчный!D:D,"ERR",0)),UPPER(MID(_xlpm.DATA,1,1))&amp;LOWER(MID(_xlpm.DATA,2,LEN(_xlpm.DATA)-1)))</f>
        <v>Кепка восьмиклинка</v>
      </c>
      <c r="E217" s="81" t="str">
        <f ca="1">PROPER(TRIM(_xlfn.XLOOKUP($A217,Строчный!$A:$A,Строчный!E:E,"ERR",0)))</f>
        <v>Fredrikson</v>
      </c>
      <c r="F217" s="81" t="str">
        <f ca="1">LOWER(TRIM(_xlfn.XLOOKUP($A217,Строчный!$A:$A,Строчный!F:F,"ERR",0)))</f>
        <v>всесезон</v>
      </c>
      <c r="G217" s="81" t="str">
        <f ca="1">UPPER(TRIM(_xlfn.XLOOKUP($A217,Строчный!$A:$A,Строчный!G:G,"ERR",0)))</f>
        <v>FREDRIKSON</v>
      </c>
      <c r="H217" s="81" t="str">
        <f ca="1">LOWER(TRIM(_xlfn.XLOOKUP($A217,Строчный!$A:$A,Строчный!H:H,"ERR",0)))</f>
        <v>640/77</v>
      </c>
      <c r="I217" s="81" t="str">
        <f ca="1">LOWER(TRIM(_xlfn.XLOOKUP($A217,Строчный!$A:$A,Строчный!I:I,"ERR",0)))</f>
        <v>светло-серый / черный</v>
      </c>
      <c r="J217" s="81" t="str">
        <f ca="1">SUBSTITUTE(LOWER(TRIM(_xlfn.XLOOKUP($A217,Строчный!$A:$A,Строчный!J:J,"ERR",0))),"подклад","Подклад")</f>
        <v>80% шерсть - 20% полиамид / Подклад: 100% вискоза</v>
      </c>
      <c r="K217" s="81" t="str">
        <f ca="1">LOWER(TRIM(_xlfn.XLOOKUP($A217,Строчный!$A:$A,Строчный!K:K,"ERR",0)))</f>
        <v>шерстяные</v>
      </c>
      <c r="L217" s="81" t="str">
        <f ca="1">PROPER(TRIM(_xlfn.XLOOKUP($A217,Строчный!$A:$A,Строчный!L:L,"ERR",0)))</f>
        <v>Унисекс</v>
      </c>
      <c r="M217" s="113" t="str">
        <f ca="1">PROPER(TRIM(_xlfn.XLOOKUP($A217,Строчный!$A:$A,Строчный!M:M,"ERR",0)))</f>
        <v>Россия</v>
      </c>
      <c r="N217" s="81" t="str">
        <f ca="1">UPPER(TRIM(_xlfn.XLOOKUP($A217,Строчный!$A:$A,Строчный!O:O,"ERR",0)))</f>
        <v/>
      </c>
      <c r="O217" s="102" t="str">
        <f ca="1">PROPER(TRIM(_xlfn.XLOOKUP($A217,Строчный!$A:$A,Строчный!P:P,"ERR",0)))</f>
        <v/>
      </c>
      <c r="P217" s="81" t="str">
        <f ca="1">PROPER(TRIM(_xlfn.XLOOKUP($A217,Строчный!$A:$A,Строчный!R:R,"ERR",0)))</f>
        <v/>
      </c>
      <c r="Q217" s="90">
        <f ca="1">VALUE(_xlfn.XLOOKUP($A217,Строчный!$A:$A,Строчный!N:N,"ERR",0))</f>
        <v>975.8</v>
      </c>
      <c r="R217" s="89" t="str">
        <f ca="1">_xlfn.XLOOKUP($G217,Фабрика!A:A,Фабрика!B:B,"ERR",0)</f>
        <v>ООО "ФРЭДРИКСОН" Россия 192029, С-Петербург, пр. Обуховской обороны, д.86, лит М</v>
      </c>
      <c r="S217" s="80" t="str">
        <f ca="1">_xlfn.XLOOKUP(RIGHT(AA217,2),Размеры!D:D,Размеры!A:A,"ERR",0)</f>
        <v>56</v>
      </c>
      <c r="T217" s="80">
        <f ca="1">VALUE(_xlfn.XLOOKUP($AA217,Строчный!$S:$S,Строчный!U:U,"ERR",0))</f>
        <v>4</v>
      </c>
      <c r="U217" s="14" t="s">
        <v>265</v>
      </c>
      <c r="V217" s="101" t="str">
        <f t="shared" ca="1" si="16"/>
        <v>Кепка FREDRIKSON арт. 3190 (светло-серый / черный)</v>
      </c>
      <c r="W217" s="100" t="str">
        <f t="shared" ca="1" si="17"/>
        <v>Кепка FREDRIKSON арт. 3190 (светло-серый / черный) {640/77}</v>
      </c>
      <c r="X217" s="18" t="str">
        <f t="shared" ca="1" si="18"/>
        <v>серый / черный</v>
      </c>
      <c r="Y217" s="18" t="str">
        <f t="shared" ca="1" si="19"/>
        <v>серый / черный</v>
      </c>
      <c r="Z217" s="117" t="s">
        <v>28</v>
      </c>
      <c r="AA217" s="73" t="str">
        <f ca="1"/>
        <v>95-008-11-56</v>
      </c>
      <c r="AB217" s="75" t="str">
        <f ca="1">VLOOKUP(C217,Группа!A:B,2,FALSE)</f>
        <v>Кепка</v>
      </c>
      <c r="AC217" s="97" t="str">
        <f ca="1">IFERROR(VLOOKUP(S217,Размеры!A:C,3,FALSE),"")</f>
        <v>56 S/M</v>
      </c>
      <c r="AD217" s="97" t="str">
        <f ca="1">VLOOKUP(I217,ЦветПолный!A:B,2,FALSE)</f>
        <v>11</v>
      </c>
      <c r="AE217" s="97" t="str">
        <f ca="1">IFERROR(VLOOKUP(S217,Размеры!A:D,4,FALSE),"")</f>
        <v>56</v>
      </c>
      <c r="AF217" s="97">
        <f ca="1">IF(LEFT(IFERROR(VLOOKUP(LOOKUP(2,1/SEARCH(B217,Товары!A:A),Товары!A:A),Товары!A:B,2,0),""),6)=MID(AA217,1,6),1,0)</f>
        <v>0</v>
      </c>
      <c r="AH217" s="97">
        <f ca="1">SUMIF(Группа!A:A,C217,Группа!C:C)</f>
        <v>1</v>
      </c>
      <c r="AI217" s="97">
        <f ca="1">SUMIF(Группа!B:B,AB217,Группа!C:C)</f>
        <v>1</v>
      </c>
      <c r="AJ217" s="97">
        <f ca="1">SUMIF(Формы!A:A,D217,Формы!B:B)</f>
        <v>1</v>
      </c>
      <c r="AK217" s="97">
        <f ca="1">SUMIF(Материал!A:A,K217,Материал!B:B)</f>
        <v>1</v>
      </c>
      <c r="AL217" s="97">
        <f ca="1">SUMIF(Размеры!A:A,S217,Размеры!E:E)</f>
        <v>1</v>
      </c>
      <c r="AM217" s="97">
        <f ca="1">SUMIF(Сезон!A:A,F217,Сезон!B:B)</f>
        <v>1</v>
      </c>
      <c r="AN217" s="97">
        <f ca="1">SUMIF(Состав!A:A,J217,Состав!B:B)</f>
        <v>0</v>
      </c>
      <c r="AO217" s="97">
        <f ca="1">VLOOKUP(I217,ЦветПолный!A:C,3,0)</f>
        <v>1</v>
      </c>
      <c r="AP217" s="97">
        <f>SUMIF(Цвет!A:A,Z217,Цвет!B:B)</f>
        <v>1</v>
      </c>
      <c r="AQ217" s="97">
        <f ca="1">_xlfn.XLOOKUP(L217,Пол!A:A,Пол!B:B,0,0)</f>
        <v>1</v>
      </c>
      <c r="AR217" s="97">
        <f ca="1">SUMIF(Бренд!A:A,G217,Бренд!B:B)</f>
        <v>1</v>
      </c>
      <c r="AS217" s="97">
        <f ca="1">SUMIF(Страна!A:A,M217,Страна!B:B)</f>
        <v>1</v>
      </c>
      <c r="AT217" s="64" t="e">
        <f ca="1">IF(VLOOKUP(W217,Товары!A:B,2,FALSE)=A217,"Есть в 1С","ERR")</f>
        <v>#N/A</v>
      </c>
      <c r="AU217" s="65" t="e">
        <f ca="1">IF(VLOOKUP(A217,Товары!B:B,1,FALSE)=A217,"Есть в 1С","ERR")</f>
        <v>#N/A</v>
      </c>
      <c r="AV217" s="96" t="e">
        <f ca="1">VLOOKUP(W217,Товары!A:B,2,FALSE)</f>
        <v>#N/A</v>
      </c>
      <c r="AW217" s="94" t="e">
        <f ca="1">VLOOKUP(W217,Товары!A:B,1,FALSE)</f>
        <v>#N/A</v>
      </c>
    </row>
    <row r="218" spans="1:49" x14ac:dyDescent="0.25">
      <c r="A218" s="110" t="str">
        <f t="shared" ca="1" si="15"/>
        <v>95-008-09</v>
      </c>
      <c r="B218" s="107" t="str">
        <f ca="1">_xlfn.LET(_xlpm.CAPS,0,_xlpm.Style,TRIM(_xlfn.XLOOKUP($A218,Строчный!$A:$A,Строчный!B:B,"ERR",0)),IF(_xlpm.CAPS=0,_xlpm.Style,LOWER(_xlpm.Style)))</f>
        <v>3190</v>
      </c>
      <c r="C218" s="81" t="str">
        <f ca="1">TRIM(PROPER(_xlfn.XLOOKUP($A218,Строчный!$A:$A,Строчный!C:C,"ERR",0)))</f>
        <v>Кепки</v>
      </c>
      <c r="D218" s="81" t="str">
        <f ca="1">_xlfn.LET(_xlpm.DATA,TRIM(_xlfn.XLOOKUP($A218,Строчный!$A:$A,Строчный!D:D,"ERR",0)),UPPER(MID(_xlpm.DATA,1,1))&amp;LOWER(MID(_xlpm.DATA,2,LEN(_xlpm.DATA)-1)))</f>
        <v>Кепка восьмиклинка</v>
      </c>
      <c r="E218" s="81" t="str">
        <f ca="1">PROPER(TRIM(_xlfn.XLOOKUP($A218,Строчный!$A:$A,Строчный!E:E,"ERR",0)))</f>
        <v>Fredrikson</v>
      </c>
      <c r="F218" s="81" t="str">
        <f ca="1">LOWER(TRIM(_xlfn.XLOOKUP($A218,Строчный!$A:$A,Строчный!F:F,"ERR",0)))</f>
        <v>всесезон</v>
      </c>
      <c r="G218" s="81" t="str">
        <f ca="1">UPPER(TRIM(_xlfn.XLOOKUP($A218,Строчный!$A:$A,Строчный!G:G,"ERR",0)))</f>
        <v>FREDRIKSON</v>
      </c>
      <c r="H218" s="81" t="str">
        <f ca="1">LOWER(TRIM(_xlfn.XLOOKUP($A218,Строчный!$A:$A,Строчный!H:H,"ERR",0)))</f>
        <v>624/91</v>
      </c>
      <c r="I218" s="81" t="str">
        <f ca="1">LOWER(TRIM(_xlfn.XLOOKUP($A218,Строчный!$A:$A,Строчный!I:I,"ERR",0)))</f>
        <v>черный</v>
      </c>
      <c r="J218" s="81" t="str">
        <f ca="1">SUBSTITUTE(LOWER(TRIM(_xlfn.XLOOKUP($A218,Строчный!$A:$A,Строчный!J:J,"ERR",0))),"подклад","Подклад")</f>
        <v>80% шерсть - 20% полиамид / Подклад: 100% вискоза</v>
      </c>
      <c r="K218" s="81" t="str">
        <f ca="1">LOWER(TRIM(_xlfn.XLOOKUP($A218,Строчный!$A:$A,Строчный!K:K,"ERR",0)))</f>
        <v>шерстяные</v>
      </c>
      <c r="L218" s="81" t="str">
        <f ca="1">PROPER(TRIM(_xlfn.XLOOKUP($A218,Строчный!$A:$A,Строчный!L:L,"ERR",0)))</f>
        <v>Унисекс</v>
      </c>
      <c r="M218" s="113" t="str">
        <f ca="1">PROPER(TRIM(_xlfn.XLOOKUP($A218,Строчный!$A:$A,Строчный!M:M,"ERR",0)))</f>
        <v>Россия</v>
      </c>
      <c r="N218" s="81" t="str">
        <f ca="1">UPPER(TRIM(_xlfn.XLOOKUP($A218,Строчный!$A:$A,Строчный!O:O,"ERR",0)))</f>
        <v/>
      </c>
      <c r="O218" s="102" t="str">
        <f ca="1">PROPER(TRIM(_xlfn.XLOOKUP($A218,Строчный!$A:$A,Строчный!P:P,"ERR",0)))</f>
        <v/>
      </c>
      <c r="P218" s="81" t="str">
        <f ca="1">PROPER(TRIM(_xlfn.XLOOKUP($A218,Строчный!$A:$A,Строчный!R:R,"ERR",0)))</f>
        <v/>
      </c>
      <c r="Q218" s="90">
        <f ca="1">VALUE(_xlfn.XLOOKUP($A218,Строчный!$A:$A,Строчный!N:N,"ERR",0))</f>
        <v>975.8</v>
      </c>
      <c r="R218" s="89" t="str">
        <f ca="1">_xlfn.XLOOKUP($G218,Фабрика!A:A,Фабрика!B:B,"ERR",0)</f>
        <v>ООО "ФРЭДРИКСОН" Россия 192029, С-Петербург, пр. Обуховской обороны, д.86, лит М</v>
      </c>
      <c r="S218" s="80" t="str">
        <f ca="1">_xlfn.XLOOKUP(RIGHT(AA218,2),Размеры!D:D,Размеры!A:A,"ERR",0)</f>
        <v>62</v>
      </c>
      <c r="T218" s="80">
        <f ca="1">VALUE(_xlfn.XLOOKUP($AA218,Строчный!$S:$S,Строчный!U:U,"ERR",0))</f>
        <v>2</v>
      </c>
      <c r="U218" s="14" t="s">
        <v>265</v>
      </c>
      <c r="V218" s="101" t="str">
        <f t="shared" ca="1" si="16"/>
        <v>Кепка FREDRIKSON арт. 3190 (черный)</v>
      </c>
      <c r="W218" s="100" t="str">
        <f t="shared" ca="1" si="17"/>
        <v>Кепка FREDRIKSON арт. 3190 (черный) {624/91}</v>
      </c>
      <c r="X218" s="18" t="str">
        <f t="shared" ca="1" si="18"/>
        <v>черный</v>
      </c>
      <c r="Y218" s="18" t="str">
        <f t="shared" ca="1" si="19"/>
        <v>черный</v>
      </c>
      <c r="Z218" s="117" t="str">
        <f ca="1">_xlfn.LET(_xlpm.FormColors,_xlfn.XLOOKUP(A218,Строчный!A:A,Строчный!Q:Q,"",0),IF(_xlpm.FormColors=0,IFERROR(MID(I218,FIND("-",I218)+1,LEN(I218)),IFERROR(MID(I218,1,FIND("/",I218)-2),I218)),_xlpm.FormColors))</f>
        <v>черный</v>
      </c>
      <c r="AA218" s="73" t="str">
        <f ca="1"/>
        <v>95-008-09-62</v>
      </c>
      <c r="AB218" s="75" t="str">
        <f ca="1">VLOOKUP(C218,Группа!A:B,2,FALSE)</f>
        <v>Кепка</v>
      </c>
      <c r="AC218" s="97" t="str">
        <f ca="1">IFERROR(VLOOKUP(S218,Размеры!A:C,3,FALSE),"")</f>
        <v>62 XL/XXL</v>
      </c>
      <c r="AD218" s="97" t="str">
        <f ca="1">VLOOKUP(I218,ЦветПолный!A:B,2,FALSE)</f>
        <v>09</v>
      </c>
      <c r="AE218" s="97" t="str">
        <f ca="1">IFERROR(VLOOKUP(S218,Размеры!A:D,4,FALSE),"")</f>
        <v>62</v>
      </c>
      <c r="AF218" s="97">
        <f ca="1">IF(LEFT(IFERROR(VLOOKUP(LOOKUP(2,1/SEARCH(B218,Товары!A:A),Товары!A:A),Товары!A:B,2,0),""),6)=MID(AA218,1,6),1,0)</f>
        <v>0</v>
      </c>
      <c r="AH218" s="97">
        <f ca="1">SUMIF(Группа!A:A,C218,Группа!C:C)</f>
        <v>1</v>
      </c>
      <c r="AI218" s="97">
        <f ca="1">SUMIF(Группа!B:B,AB218,Группа!C:C)</f>
        <v>1</v>
      </c>
      <c r="AJ218" s="97">
        <f ca="1">SUMIF(Формы!A:A,D218,Формы!B:B)</f>
        <v>1</v>
      </c>
      <c r="AK218" s="97">
        <f ca="1">SUMIF(Материал!A:A,K218,Материал!B:B)</f>
        <v>1</v>
      </c>
      <c r="AL218" s="97">
        <f ca="1">SUMIF(Размеры!A:A,S218,Размеры!E:E)</f>
        <v>1</v>
      </c>
      <c r="AM218" s="97">
        <f ca="1">SUMIF(Сезон!A:A,F218,Сезон!B:B)</f>
        <v>1</v>
      </c>
      <c r="AN218" s="97">
        <f ca="1">SUMIF(Состав!A:A,J218,Состав!B:B)</f>
        <v>0</v>
      </c>
      <c r="AO218" s="97">
        <f ca="1">VLOOKUP(I218,ЦветПолный!A:C,3,0)</f>
        <v>1</v>
      </c>
      <c r="AP218" s="97">
        <f ca="1">SUMIF(Цвет!A:A,Z218,Цвет!B:B)</f>
        <v>1</v>
      </c>
      <c r="AQ218" s="97">
        <f ca="1">_xlfn.XLOOKUP(L218,Пол!A:A,Пол!B:B,0,0)</f>
        <v>1</v>
      </c>
      <c r="AR218" s="97">
        <f ca="1">SUMIF(Бренд!A:A,G218,Бренд!B:B)</f>
        <v>1</v>
      </c>
      <c r="AS218" s="97">
        <f ca="1">SUMIF(Страна!A:A,M218,Страна!B:B)</f>
        <v>1</v>
      </c>
      <c r="AT218" s="64" t="e">
        <f ca="1">IF(VLOOKUP(W218,Товары!A:B,2,FALSE)=A218,"Есть в 1С","ERR")</f>
        <v>#N/A</v>
      </c>
      <c r="AU218" s="65" t="e">
        <f ca="1">IF(VLOOKUP(A218,Товары!B:B,1,FALSE)=A218,"Есть в 1С","ERR")</f>
        <v>#N/A</v>
      </c>
      <c r="AV218" s="96" t="e">
        <f ca="1">VLOOKUP(W218,Товары!A:B,2,FALSE)</f>
        <v>#N/A</v>
      </c>
      <c r="AW218" s="94" t="e">
        <f ca="1">VLOOKUP(W218,Товары!A:B,1,FALSE)</f>
        <v>#N/A</v>
      </c>
    </row>
    <row r="219" spans="1:49" x14ac:dyDescent="0.25">
      <c r="A219" s="110" t="str">
        <f t="shared" ca="1" si="15"/>
        <v>95-008-09</v>
      </c>
      <c r="B219" s="107" t="str">
        <f ca="1">_xlfn.LET(_xlpm.CAPS,0,_xlpm.Style,TRIM(_xlfn.XLOOKUP($A219,Строчный!$A:$A,Строчный!B:B,"ERR",0)),IF(_xlpm.CAPS=0,_xlpm.Style,LOWER(_xlpm.Style)))</f>
        <v>3190</v>
      </c>
      <c r="C219" s="81" t="str">
        <f ca="1">TRIM(PROPER(_xlfn.XLOOKUP($A219,Строчный!$A:$A,Строчный!C:C,"ERR",0)))</f>
        <v>Кепки</v>
      </c>
      <c r="D219" s="81" t="str">
        <f ca="1">_xlfn.LET(_xlpm.DATA,TRIM(_xlfn.XLOOKUP($A219,Строчный!$A:$A,Строчный!D:D,"ERR",0)),UPPER(MID(_xlpm.DATA,1,1))&amp;LOWER(MID(_xlpm.DATA,2,LEN(_xlpm.DATA)-1)))</f>
        <v>Кепка восьмиклинка</v>
      </c>
      <c r="E219" s="81" t="str">
        <f ca="1">PROPER(TRIM(_xlfn.XLOOKUP($A219,Строчный!$A:$A,Строчный!E:E,"ERR",0)))</f>
        <v>Fredrikson</v>
      </c>
      <c r="F219" s="81" t="str">
        <f ca="1">LOWER(TRIM(_xlfn.XLOOKUP($A219,Строчный!$A:$A,Строчный!F:F,"ERR",0)))</f>
        <v>всесезон</v>
      </c>
      <c r="G219" s="81" t="str">
        <f ca="1">UPPER(TRIM(_xlfn.XLOOKUP($A219,Строчный!$A:$A,Строчный!G:G,"ERR",0)))</f>
        <v>FREDRIKSON</v>
      </c>
      <c r="H219" s="81" t="str">
        <f ca="1">LOWER(TRIM(_xlfn.XLOOKUP($A219,Строчный!$A:$A,Строчный!H:H,"ERR",0)))</f>
        <v>624/91</v>
      </c>
      <c r="I219" s="81" t="str">
        <f ca="1">LOWER(TRIM(_xlfn.XLOOKUP($A219,Строчный!$A:$A,Строчный!I:I,"ERR",0)))</f>
        <v>черный</v>
      </c>
      <c r="J219" s="81" t="str">
        <f ca="1">SUBSTITUTE(LOWER(TRIM(_xlfn.XLOOKUP($A219,Строчный!$A:$A,Строчный!J:J,"ERR",0))),"подклад","Подклад")</f>
        <v>80% шерсть - 20% полиамид / Подклад: 100% вискоза</v>
      </c>
      <c r="K219" s="81" t="str">
        <f ca="1">LOWER(TRIM(_xlfn.XLOOKUP($A219,Строчный!$A:$A,Строчный!K:K,"ERR",0)))</f>
        <v>шерстяные</v>
      </c>
      <c r="L219" s="81" t="str">
        <f ca="1">PROPER(TRIM(_xlfn.XLOOKUP($A219,Строчный!$A:$A,Строчный!L:L,"ERR",0)))</f>
        <v>Унисекс</v>
      </c>
      <c r="M219" s="113" t="str">
        <f ca="1">PROPER(TRIM(_xlfn.XLOOKUP($A219,Строчный!$A:$A,Строчный!M:M,"ERR",0)))</f>
        <v>Россия</v>
      </c>
      <c r="N219" s="81" t="str">
        <f ca="1">UPPER(TRIM(_xlfn.XLOOKUP($A219,Строчный!$A:$A,Строчный!O:O,"ERR",0)))</f>
        <v/>
      </c>
      <c r="O219" s="102" t="str">
        <f ca="1">PROPER(TRIM(_xlfn.XLOOKUP($A219,Строчный!$A:$A,Строчный!P:P,"ERR",0)))</f>
        <v/>
      </c>
      <c r="P219" s="81" t="str">
        <f ca="1">PROPER(TRIM(_xlfn.XLOOKUP($A219,Строчный!$A:$A,Строчный!R:R,"ERR",0)))</f>
        <v/>
      </c>
      <c r="Q219" s="90">
        <f ca="1">VALUE(_xlfn.XLOOKUP($A219,Строчный!$A:$A,Строчный!N:N,"ERR",0))</f>
        <v>975.8</v>
      </c>
      <c r="R219" s="89" t="str">
        <f ca="1">_xlfn.XLOOKUP($G219,Фабрика!A:A,Фабрика!B:B,"ERR",0)</f>
        <v>ООО "ФРЭДРИКСОН" Россия 192029, С-Петербург, пр. Обуховской обороны, д.86, лит М</v>
      </c>
      <c r="S219" s="80" t="str">
        <f ca="1">_xlfn.XLOOKUP(RIGHT(AA219,2),Размеры!D:D,Размеры!A:A,"ERR",0)</f>
        <v>61</v>
      </c>
      <c r="T219" s="80">
        <f ca="1">VALUE(_xlfn.XLOOKUP($AA219,Строчный!$S:$S,Строчный!U:U,"ERR",0))</f>
        <v>15</v>
      </c>
      <c r="U219" s="14" t="s">
        <v>265</v>
      </c>
      <c r="V219" s="101" t="str">
        <f t="shared" ca="1" si="16"/>
        <v>Кепка FREDRIKSON арт. 3190 (черный)</v>
      </c>
      <c r="W219" s="100" t="str">
        <f t="shared" ca="1" si="17"/>
        <v>Кепка FREDRIKSON арт. 3190 (черный) {624/91}</v>
      </c>
      <c r="X219" s="18" t="str">
        <f t="shared" ca="1" si="18"/>
        <v>черный</v>
      </c>
      <c r="Y219" s="18" t="str">
        <f t="shared" ca="1" si="19"/>
        <v>черный</v>
      </c>
      <c r="Z219" s="117" t="str">
        <f ca="1">_xlfn.LET(_xlpm.FormColors,_xlfn.XLOOKUP(A219,Строчный!A:A,Строчный!Q:Q,"",0),IF(_xlpm.FormColors=0,IFERROR(MID(I219,FIND("-",I219)+1,LEN(I219)),IFERROR(MID(I219,1,FIND("/",I219)-2),I219)),_xlpm.FormColors))</f>
        <v>черный</v>
      </c>
      <c r="AA219" s="73" t="str">
        <f ca="1"/>
        <v>95-008-09-61</v>
      </c>
      <c r="AB219" s="75" t="str">
        <f ca="1">VLOOKUP(C219,Группа!A:B,2,FALSE)</f>
        <v>Кепка</v>
      </c>
      <c r="AC219" s="97" t="str">
        <f ca="1">IFERROR(VLOOKUP(S219,Размеры!A:C,3,FALSE),"")</f>
        <v>61 XL</v>
      </c>
      <c r="AD219" s="97" t="str">
        <f ca="1">VLOOKUP(I219,ЦветПолный!A:B,2,FALSE)</f>
        <v>09</v>
      </c>
      <c r="AE219" s="97" t="str">
        <f ca="1">IFERROR(VLOOKUP(S219,Размеры!A:D,4,FALSE),"")</f>
        <v>61</v>
      </c>
      <c r="AF219" s="97">
        <f ca="1">IF(LEFT(IFERROR(VLOOKUP(LOOKUP(2,1/SEARCH(B219,Товары!A:A),Товары!A:A),Товары!A:B,2,0),""),6)=MID(AA219,1,6),1,0)</f>
        <v>0</v>
      </c>
      <c r="AH219" s="97">
        <f ca="1">SUMIF(Группа!A:A,C219,Группа!C:C)</f>
        <v>1</v>
      </c>
      <c r="AI219" s="97">
        <f ca="1">SUMIF(Группа!B:B,AB219,Группа!C:C)</f>
        <v>1</v>
      </c>
      <c r="AJ219" s="97">
        <f ca="1">SUMIF(Формы!A:A,D219,Формы!B:B)</f>
        <v>1</v>
      </c>
      <c r="AK219" s="97">
        <f ca="1">SUMIF(Материал!A:A,K219,Материал!B:B)</f>
        <v>1</v>
      </c>
      <c r="AL219" s="97">
        <f ca="1">SUMIF(Размеры!A:A,S219,Размеры!E:E)</f>
        <v>1</v>
      </c>
      <c r="AM219" s="97">
        <f ca="1">SUMIF(Сезон!A:A,F219,Сезон!B:B)</f>
        <v>1</v>
      </c>
      <c r="AN219" s="97">
        <f ca="1">SUMIF(Состав!A:A,J219,Состав!B:B)</f>
        <v>0</v>
      </c>
      <c r="AO219" s="97">
        <f ca="1">VLOOKUP(I219,ЦветПолный!A:C,3,0)</f>
        <v>1</v>
      </c>
      <c r="AP219" s="97">
        <f ca="1">SUMIF(Цвет!A:A,Z219,Цвет!B:B)</f>
        <v>1</v>
      </c>
      <c r="AQ219" s="97">
        <f ca="1">_xlfn.XLOOKUP(L219,Пол!A:A,Пол!B:B,0,0)</f>
        <v>1</v>
      </c>
      <c r="AR219" s="97">
        <f ca="1">SUMIF(Бренд!A:A,G219,Бренд!B:B)</f>
        <v>1</v>
      </c>
      <c r="AS219" s="97">
        <f ca="1">SUMIF(Страна!A:A,M219,Страна!B:B)</f>
        <v>1</v>
      </c>
      <c r="AT219" s="64" t="e">
        <f ca="1">IF(VLOOKUP(W219,Товары!A:B,2,FALSE)=A219,"Есть в 1С","ERR")</f>
        <v>#N/A</v>
      </c>
      <c r="AU219" s="65" t="e">
        <f ca="1">IF(VLOOKUP(A219,Товары!B:B,1,FALSE)=A219,"Есть в 1С","ERR")</f>
        <v>#N/A</v>
      </c>
      <c r="AV219" s="96" t="e">
        <f ca="1">VLOOKUP(W219,Товары!A:B,2,FALSE)</f>
        <v>#N/A</v>
      </c>
      <c r="AW219" s="94" t="e">
        <f ca="1">VLOOKUP(W219,Товары!A:B,1,FALSE)</f>
        <v>#N/A</v>
      </c>
    </row>
    <row r="220" spans="1:49" x14ac:dyDescent="0.25">
      <c r="A220" s="110" t="str">
        <f t="shared" ca="1" si="15"/>
        <v>95-008-09</v>
      </c>
      <c r="B220" s="107" t="str">
        <f ca="1">_xlfn.LET(_xlpm.CAPS,0,_xlpm.Style,TRIM(_xlfn.XLOOKUP($A220,Строчный!$A:$A,Строчный!B:B,"ERR",0)),IF(_xlpm.CAPS=0,_xlpm.Style,LOWER(_xlpm.Style)))</f>
        <v>3190</v>
      </c>
      <c r="C220" s="81" t="str">
        <f ca="1">TRIM(PROPER(_xlfn.XLOOKUP($A220,Строчный!$A:$A,Строчный!C:C,"ERR",0)))</f>
        <v>Кепки</v>
      </c>
      <c r="D220" s="81" t="str">
        <f ca="1">_xlfn.LET(_xlpm.DATA,TRIM(_xlfn.XLOOKUP($A220,Строчный!$A:$A,Строчный!D:D,"ERR",0)),UPPER(MID(_xlpm.DATA,1,1))&amp;LOWER(MID(_xlpm.DATA,2,LEN(_xlpm.DATA)-1)))</f>
        <v>Кепка восьмиклинка</v>
      </c>
      <c r="E220" s="81" t="str">
        <f ca="1">PROPER(TRIM(_xlfn.XLOOKUP($A220,Строчный!$A:$A,Строчный!E:E,"ERR",0)))</f>
        <v>Fredrikson</v>
      </c>
      <c r="F220" s="81" t="str">
        <f ca="1">LOWER(TRIM(_xlfn.XLOOKUP($A220,Строчный!$A:$A,Строчный!F:F,"ERR",0)))</f>
        <v>всесезон</v>
      </c>
      <c r="G220" s="81" t="str">
        <f ca="1">UPPER(TRIM(_xlfn.XLOOKUP($A220,Строчный!$A:$A,Строчный!G:G,"ERR",0)))</f>
        <v>FREDRIKSON</v>
      </c>
      <c r="H220" s="81" t="str">
        <f ca="1">LOWER(TRIM(_xlfn.XLOOKUP($A220,Строчный!$A:$A,Строчный!H:H,"ERR",0)))</f>
        <v>624/91</v>
      </c>
      <c r="I220" s="81" t="str">
        <f ca="1">LOWER(TRIM(_xlfn.XLOOKUP($A220,Строчный!$A:$A,Строчный!I:I,"ERR",0)))</f>
        <v>черный</v>
      </c>
      <c r="J220" s="81" t="str">
        <f ca="1">SUBSTITUTE(LOWER(TRIM(_xlfn.XLOOKUP($A220,Строчный!$A:$A,Строчный!J:J,"ERR",0))),"подклад","Подклад")</f>
        <v>80% шерсть - 20% полиамид / Подклад: 100% вискоза</v>
      </c>
      <c r="K220" s="81" t="str">
        <f ca="1">LOWER(TRIM(_xlfn.XLOOKUP($A220,Строчный!$A:$A,Строчный!K:K,"ERR",0)))</f>
        <v>шерстяные</v>
      </c>
      <c r="L220" s="81" t="str">
        <f ca="1">PROPER(TRIM(_xlfn.XLOOKUP($A220,Строчный!$A:$A,Строчный!L:L,"ERR",0)))</f>
        <v>Унисекс</v>
      </c>
      <c r="M220" s="113" t="str">
        <f ca="1">PROPER(TRIM(_xlfn.XLOOKUP($A220,Строчный!$A:$A,Строчный!M:M,"ERR",0)))</f>
        <v>Россия</v>
      </c>
      <c r="N220" s="81" t="str">
        <f ca="1">UPPER(TRIM(_xlfn.XLOOKUP($A220,Строчный!$A:$A,Строчный!O:O,"ERR",0)))</f>
        <v/>
      </c>
      <c r="O220" s="102" t="str">
        <f ca="1">PROPER(TRIM(_xlfn.XLOOKUP($A220,Строчный!$A:$A,Строчный!P:P,"ERR",0)))</f>
        <v/>
      </c>
      <c r="P220" s="81" t="str">
        <f ca="1">PROPER(TRIM(_xlfn.XLOOKUP($A220,Строчный!$A:$A,Строчный!R:R,"ERR",0)))</f>
        <v/>
      </c>
      <c r="Q220" s="90">
        <f ca="1">VALUE(_xlfn.XLOOKUP($A220,Строчный!$A:$A,Строчный!N:N,"ERR",0))</f>
        <v>975.8</v>
      </c>
      <c r="R220" s="89" t="str">
        <f ca="1">_xlfn.XLOOKUP($G220,Фабрика!A:A,Фабрика!B:B,"ERR",0)</f>
        <v>ООО "ФРЭДРИКСОН" Россия 192029, С-Петербург, пр. Обуховской обороны, д.86, лит М</v>
      </c>
      <c r="S220" s="80" t="str">
        <f ca="1">_xlfn.XLOOKUP(RIGHT(AA220,2),Размеры!D:D,Размеры!A:A,"ERR",0)</f>
        <v>60</v>
      </c>
      <c r="T220" s="80">
        <f ca="1">VALUE(_xlfn.XLOOKUP($AA220,Строчный!$S:$S,Строчный!U:U,"ERR",0))</f>
        <v>30</v>
      </c>
      <c r="U220" s="14" t="s">
        <v>265</v>
      </c>
      <c r="V220" s="101" t="str">
        <f t="shared" ca="1" si="16"/>
        <v>Кепка FREDRIKSON арт. 3190 (черный)</v>
      </c>
      <c r="W220" s="100" t="str">
        <f t="shared" ca="1" si="17"/>
        <v>Кепка FREDRIKSON арт. 3190 (черный) {624/91}</v>
      </c>
      <c r="X220" s="18" t="str">
        <f t="shared" ca="1" si="18"/>
        <v>черный</v>
      </c>
      <c r="Y220" s="18" t="str">
        <f t="shared" ca="1" si="19"/>
        <v>черный</v>
      </c>
      <c r="Z220" s="117" t="str">
        <f ca="1">_xlfn.LET(_xlpm.FormColors,_xlfn.XLOOKUP(A220,Строчный!A:A,Строчный!Q:Q,"",0),IF(_xlpm.FormColors=0,IFERROR(MID(I220,FIND("-",I220)+1,LEN(I220)),IFERROR(MID(I220,1,FIND("/",I220)-2),I220)),_xlpm.FormColors))</f>
        <v>черный</v>
      </c>
      <c r="AA220" s="73" t="str">
        <f ca="1"/>
        <v>95-008-09-60</v>
      </c>
      <c r="AB220" s="75" t="str">
        <f ca="1">VLOOKUP(C220,Группа!A:B,2,FALSE)</f>
        <v>Кепка</v>
      </c>
      <c r="AC220" s="97" t="str">
        <f ca="1">IFERROR(VLOOKUP(S220,Размеры!A:C,3,FALSE),"")</f>
        <v>60 L/XL</v>
      </c>
      <c r="AD220" s="97" t="str">
        <f ca="1">VLOOKUP(I220,ЦветПолный!A:B,2,FALSE)</f>
        <v>09</v>
      </c>
      <c r="AE220" s="97" t="str">
        <f ca="1">IFERROR(VLOOKUP(S220,Размеры!A:D,4,FALSE),"")</f>
        <v>60</v>
      </c>
      <c r="AF220" s="97">
        <f ca="1">IF(LEFT(IFERROR(VLOOKUP(LOOKUP(2,1/SEARCH(B220,Товары!A:A),Товары!A:A),Товары!A:B,2,0),""),6)=MID(AA220,1,6),1,0)</f>
        <v>0</v>
      </c>
      <c r="AH220" s="97">
        <f ca="1">SUMIF(Группа!A:A,C220,Группа!C:C)</f>
        <v>1</v>
      </c>
      <c r="AI220" s="97">
        <f ca="1">SUMIF(Группа!B:B,AB220,Группа!C:C)</f>
        <v>1</v>
      </c>
      <c r="AJ220" s="97">
        <f ca="1">SUMIF(Формы!A:A,D220,Формы!B:B)</f>
        <v>1</v>
      </c>
      <c r="AK220" s="97">
        <f ca="1">SUMIF(Материал!A:A,K220,Материал!B:B)</f>
        <v>1</v>
      </c>
      <c r="AL220" s="97">
        <f ca="1">SUMIF(Размеры!A:A,S220,Размеры!E:E)</f>
        <v>1</v>
      </c>
      <c r="AM220" s="97">
        <f ca="1">SUMIF(Сезон!A:A,F220,Сезон!B:B)</f>
        <v>1</v>
      </c>
      <c r="AN220" s="97">
        <f ca="1">SUMIF(Состав!A:A,J220,Состав!B:B)</f>
        <v>0</v>
      </c>
      <c r="AO220" s="97">
        <f ca="1">VLOOKUP(I220,ЦветПолный!A:C,3,0)</f>
        <v>1</v>
      </c>
      <c r="AP220" s="97">
        <f ca="1">SUMIF(Цвет!A:A,Z220,Цвет!B:B)</f>
        <v>1</v>
      </c>
      <c r="AQ220" s="97">
        <f ca="1">_xlfn.XLOOKUP(L220,Пол!A:A,Пол!B:B,0,0)</f>
        <v>1</v>
      </c>
      <c r="AR220" s="97">
        <f ca="1">SUMIF(Бренд!A:A,G220,Бренд!B:B)</f>
        <v>1</v>
      </c>
      <c r="AS220" s="97">
        <f ca="1">SUMIF(Страна!A:A,M220,Страна!B:B)</f>
        <v>1</v>
      </c>
      <c r="AT220" s="64" t="e">
        <f ca="1">IF(VLOOKUP(W220,Товары!A:B,2,FALSE)=A220,"Есть в 1С","ERR")</f>
        <v>#N/A</v>
      </c>
      <c r="AU220" s="65" t="e">
        <f ca="1">IF(VLOOKUP(A220,Товары!B:B,1,FALSE)=A220,"Есть в 1С","ERR")</f>
        <v>#N/A</v>
      </c>
      <c r="AV220" s="96" t="e">
        <f ca="1">VLOOKUP(W220,Товары!A:B,2,FALSE)</f>
        <v>#N/A</v>
      </c>
      <c r="AW220" s="94" t="e">
        <f ca="1">VLOOKUP(W220,Товары!A:B,1,FALSE)</f>
        <v>#N/A</v>
      </c>
    </row>
    <row r="221" spans="1:49" x14ac:dyDescent="0.25">
      <c r="A221" s="110" t="str">
        <f t="shared" ca="1" si="15"/>
        <v>95-008-09</v>
      </c>
      <c r="B221" s="107" t="str">
        <f ca="1">_xlfn.LET(_xlpm.CAPS,0,_xlpm.Style,TRIM(_xlfn.XLOOKUP($A221,Строчный!$A:$A,Строчный!B:B,"ERR",0)),IF(_xlpm.CAPS=0,_xlpm.Style,LOWER(_xlpm.Style)))</f>
        <v>3190</v>
      </c>
      <c r="C221" s="81" t="str">
        <f ca="1">TRIM(PROPER(_xlfn.XLOOKUP($A221,Строчный!$A:$A,Строчный!C:C,"ERR",0)))</f>
        <v>Кепки</v>
      </c>
      <c r="D221" s="81" t="str">
        <f ca="1">_xlfn.LET(_xlpm.DATA,TRIM(_xlfn.XLOOKUP($A221,Строчный!$A:$A,Строчный!D:D,"ERR",0)),UPPER(MID(_xlpm.DATA,1,1))&amp;LOWER(MID(_xlpm.DATA,2,LEN(_xlpm.DATA)-1)))</f>
        <v>Кепка восьмиклинка</v>
      </c>
      <c r="E221" s="81" t="str">
        <f ca="1">PROPER(TRIM(_xlfn.XLOOKUP($A221,Строчный!$A:$A,Строчный!E:E,"ERR",0)))</f>
        <v>Fredrikson</v>
      </c>
      <c r="F221" s="81" t="str">
        <f ca="1">LOWER(TRIM(_xlfn.XLOOKUP($A221,Строчный!$A:$A,Строчный!F:F,"ERR",0)))</f>
        <v>всесезон</v>
      </c>
      <c r="G221" s="81" t="str">
        <f ca="1">UPPER(TRIM(_xlfn.XLOOKUP($A221,Строчный!$A:$A,Строчный!G:G,"ERR",0)))</f>
        <v>FREDRIKSON</v>
      </c>
      <c r="H221" s="81" t="str">
        <f ca="1">LOWER(TRIM(_xlfn.XLOOKUP($A221,Строчный!$A:$A,Строчный!H:H,"ERR",0)))</f>
        <v>624/91</v>
      </c>
      <c r="I221" s="81" t="str">
        <f ca="1">LOWER(TRIM(_xlfn.XLOOKUP($A221,Строчный!$A:$A,Строчный!I:I,"ERR",0)))</f>
        <v>черный</v>
      </c>
      <c r="J221" s="81" t="str">
        <f ca="1">SUBSTITUTE(LOWER(TRIM(_xlfn.XLOOKUP($A221,Строчный!$A:$A,Строчный!J:J,"ERR",0))),"подклад","Подклад")</f>
        <v>80% шерсть - 20% полиамид / Подклад: 100% вискоза</v>
      </c>
      <c r="K221" s="81" t="str">
        <f ca="1">LOWER(TRIM(_xlfn.XLOOKUP($A221,Строчный!$A:$A,Строчный!K:K,"ERR",0)))</f>
        <v>шерстяные</v>
      </c>
      <c r="L221" s="81" t="str">
        <f ca="1">PROPER(TRIM(_xlfn.XLOOKUP($A221,Строчный!$A:$A,Строчный!L:L,"ERR",0)))</f>
        <v>Унисекс</v>
      </c>
      <c r="M221" s="113" t="str">
        <f ca="1">PROPER(TRIM(_xlfn.XLOOKUP($A221,Строчный!$A:$A,Строчный!M:M,"ERR",0)))</f>
        <v>Россия</v>
      </c>
      <c r="N221" s="81" t="str">
        <f ca="1">UPPER(TRIM(_xlfn.XLOOKUP($A221,Строчный!$A:$A,Строчный!O:O,"ERR",0)))</f>
        <v/>
      </c>
      <c r="O221" s="102" t="str">
        <f ca="1">PROPER(TRIM(_xlfn.XLOOKUP($A221,Строчный!$A:$A,Строчный!P:P,"ERR",0)))</f>
        <v/>
      </c>
      <c r="P221" s="81" t="str">
        <f ca="1">PROPER(TRIM(_xlfn.XLOOKUP($A221,Строчный!$A:$A,Строчный!R:R,"ERR",0)))</f>
        <v/>
      </c>
      <c r="Q221" s="90">
        <f ca="1">VALUE(_xlfn.XLOOKUP($A221,Строчный!$A:$A,Строчный!N:N,"ERR",0))</f>
        <v>975.8</v>
      </c>
      <c r="R221" s="89" t="str">
        <f ca="1">_xlfn.XLOOKUP($G221,Фабрика!A:A,Фабрика!B:B,"ERR",0)</f>
        <v>ООО "ФРЭДРИКСОН" Россия 192029, С-Петербург, пр. Обуховской обороны, д.86, лит М</v>
      </c>
      <c r="S221" s="80" t="str">
        <f ca="1">_xlfn.XLOOKUP(RIGHT(AA221,2),Размеры!D:D,Размеры!A:A,"ERR",0)</f>
        <v>59</v>
      </c>
      <c r="T221" s="80">
        <f ca="1">VALUE(_xlfn.XLOOKUP($AA221,Строчный!$S:$S,Строчный!U:U,"ERR",0))</f>
        <v>40</v>
      </c>
      <c r="U221" s="14" t="s">
        <v>265</v>
      </c>
      <c r="V221" s="101" t="str">
        <f t="shared" ca="1" si="16"/>
        <v>Кепка FREDRIKSON арт. 3190 (черный)</v>
      </c>
      <c r="W221" s="100" t="str">
        <f t="shared" ca="1" si="17"/>
        <v>Кепка FREDRIKSON арт. 3190 (черный) {624/91}</v>
      </c>
      <c r="X221" s="18" t="str">
        <f t="shared" ca="1" si="18"/>
        <v>черный</v>
      </c>
      <c r="Y221" s="18" t="str">
        <f t="shared" ca="1" si="19"/>
        <v>черный</v>
      </c>
      <c r="Z221" s="117" t="str">
        <f ca="1">_xlfn.LET(_xlpm.FormColors,_xlfn.XLOOKUP(A221,Строчный!A:A,Строчный!Q:Q,"",0),IF(_xlpm.FormColors=0,IFERROR(MID(I221,FIND("-",I221)+1,LEN(I221)),IFERROR(MID(I221,1,FIND("/",I221)-2),I221)),_xlpm.FormColors))</f>
        <v>черный</v>
      </c>
      <c r="AA221" s="73" t="str">
        <f ca="1"/>
        <v>95-008-09-59</v>
      </c>
      <c r="AB221" s="75" t="str">
        <f ca="1">VLOOKUP(C221,Группа!A:B,2,FALSE)</f>
        <v>Кепка</v>
      </c>
      <c r="AC221" s="97" t="str">
        <f ca="1">IFERROR(VLOOKUP(S221,Размеры!A:C,3,FALSE),"")</f>
        <v>59 L</v>
      </c>
      <c r="AD221" s="97" t="str">
        <f ca="1">VLOOKUP(I221,ЦветПолный!A:B,2,FALSE)</f>
        <v>09</v>
      </c>
      <c r="AE221" s="97" t="str">
        <f ca="1">IFERROR(VLOOKUP(S221,Размеры!A:D,4,FALSE),"")</f>
        <v>59</v>
      </c>
      <c r="AF221" s="97">
        <f ca="1">IF(LEFT(IFERROR(VLOOKUP(LOOKUP(2,1/SEARCH(B221,Товары!A:A),Товары!A:A),Товары!A:B,2,0),""),6)=MID(AA221,1,6),1,0)</f>
        <v>0</v>
      </c>
      <c r="AH221" s="97">
        <f ca="1">SUMIF(Группа!A:A,C221,Группа!C:C)</f>
        <v>1</v>
      </c>
      <c r="AI221" s="97">
        <f ca="1">SUMIF(Группа!B:B,AB221,Группа!C:C)</f>
        <v>1</v>
      </c>
      <c r="AJ221" s="97">
        <f ca="1">SUMIF(Формы!A:A,D221,Формы!B:B)</f>
        <v>1</v>
      </c>
      <c r="AK221" s="97">
        <f ca="1">SUMIF(Материал!A:A,K221,Материал!B:B)</f>
        <v>1</v>
      </c>
      <c r="AL221" s="97">
        <f ca="1">SUMIF(Размеры!A:A,S221,Размеры!E:E)</f>
        <v>1</v>
      </c>
      <c r="AM221" s="97">
        <f ca="1">SUMIF(Сезон!A:A,F221,Сезон!B:B)</f>
        <v>1</v>
      </c>
      <c r="AN221" s="97">
        <f ca="1">SUMIF(Состав!A:A,J221,Состав!B:B)</f>
        <v>0</v>
      </c>
      <c r="AO221" s="97">
        <f ca="1">VLOOKUP(I221,ЦветПолный!A:C,3,0)</f>
        <v>1</v>
      </c>
      <c r="AP221" s="97">
        <f ca="1">SUMIF(Цвет!A:A,Z221,Цвет!B:B)</f>
        <v>1</v>
      </c>
      <c r="AQ221" s="97">
        <f ca="1">_xlfn.XLOOKUP(L221,Пол!A:A,Пол!B:B,0,0)</f>
        <v>1</v>
      </c>
      <c r="AR221" s="97">
        <f ca="1">SUMIF(Бренд!A:A,G221,Бренд!B:B)</f>
        <v>1</v>
      </c>
      <c r="AS221" s="97">
        <f ca="1">SUMIF(Страна!A:A,M221,Страна!B:B)</f>
        <v>1</v>
      </c>
      <c r="AT221" s="64" t="e">
        <f ca="1">IF(VLOOKUP(W221,Товары!A:B,2,FALSE)=A221,"Есть в 1С","ERR")</f>
        <v>#N/A</v>
      </c>
      <c r="AU221" s="65" t="e">
        <f ca="1">IF(VLOOKUP(A221,Товары!B:B,1,FALSE)=A221,"Есть в 1С","ERR")</f>
        <v>#N/A</v>
      </c>
      <c r="AV221" s="96" t="e">
        <f ca="1">VLOOKUP(W221,Товары!A:B,2,FALSE)</f>
        <v>#N/A</v>
      </c>
      <c r="AW221" s="94" t="e">
        <f ca="1">VLOOKUP(W221,Товары!A:B,1,FALSE)</f>
        <v>#N/A</v>
      </c>
    </row>
    <row r="222" spans="1:49" x14ac:dyDescent="0.25">
      <c r="A222" s="110" t="str">
        <f t="shared" ref="A222:A285" ca="1" si="20">LEFT(AA222,9)</f>
        <v>95-008-09</v>
      </c>
      <c r="B222" s="107" t="str">
        <f ca="1">_xlfn.LET(_xlpm.CAPS,0,_xlpm.Style,TRIM(_xlfn.XLOOKUP($A222,Строчный!$A:$A,Строчный!B:B,"ERR",0)),IF(_xlpm.CAPS=0,_xlpm.Style,LOWER(_xlpm.Style)))</f>
        <v>3190</v>
      </c>
      <c r="C222" s="81" t="str">
        <f ca="1">TRIM(PROPER(_xlfn.XLOOKUP($A222,Строчный!$A:$A,Строчный!C:C,"ERR",0)))</f>
        <v>Кепки</v>
      </c>
      <c r="D222" s="81" t="str">
        <f ca="1">_xlfn.LET(_xlpm.DATA,TRIM(_xlfn.XLOOKUP($A222,Строчный!$A:$A,Строчный!D:D,"ERR",0)),UPPER(MID(_xlpm.DATA,1,1))&amp;LOWER(MID(_xlpm.DATA,2,LEN(_xlpm.DATA)-1)))</f>
        <v>Кепка восьмиклинка</v>
      </c>
      <c r="E222" s="81" t="str">
        <f ca="1">PROPER(TRIM(_xlfn.XLOOKUP($A222,Строчный!$A:$A,Строчный!E:E,"ERR",0)))</f>
        <v>Fredrikson</v>
      </c>
      <c r="F222" s="81" t="str">
        <f ca="1">LOWER(TRIM(_xlfn.XLOOKUP($A222,Строчный!$A:$A,Строчный!F:F,"ERR",0)))</f>
        <v>всесезон</v>
      </c>
      <c r="G222" s="81" t="str">
        <f ca="1">UPPER(TRIM(_xlfn.XLOOKUP($A222,Строчный!$A:$A,Строчный!G:G,"ERR",0)))</f>
        <v>FREDRIKSON</v>
      </c>
      <c r="H222" s="81" t="str">
        <f ca="1">LOWER(TRIM(_xlfn.XLOOKUP($A222,Строчный!$A:$A,Строчный!H:H,"ERR",0)))</f>
        <v>624/91</v>
      </c>
      <c r="I222" s="81" t="str">
        <f ca="1">LOWER(TRIM(_xlfn.XLOOKUP($A222,Строчный!$A:$A,Строчный!I:I,"ERR",0)))</f>
        <v>черный</v>
      </c>
      <c r="J222" s="81" t="str">
        <f ca="1">SUBSTITUTE(LOWER(TRIM(_xlfn.XLOOKUP($A222,Строчный!$A:$A,Строчный!J:J,"ERR",0))),"подклад","Подклад")</f>
        <v>80% шерсть - 20% полиамид / Подклад: 100% вискоза</v>
      </c>
      <c r="K222" s="81" t="str">
        <f ca="1">LOWER(TRIM(_xlfn.XLOOKUP($A222,Строчный!$A:$A,Строчный!K:K,"ERR",0)))</f>
        <v>шерстяные</v>
      </c>
      <c r="L222" s="81" t="str">
        <f ca="1">PROPER(TRIM(_xlfn.XLOOKUP($A222,Строчный!$A:$A,Строчный!L:L,"ERR",0)))</f>
        <v>Унисекс</v>
      </c>
      <c r="M222" s="113" t="str">
        <f ca="1">PROPER(TRIM(_xlfn.XLOOKUP($A222,Строчный!$A:$A,Строчный!M:M,"ERR",0)))</f>
        <v>Россия</v>
      </c>
      <c r="N222" s="81" t="str">
        <f ca="1">UPPER(TRIM(_xlfn.XLOOKUP($A222,Строчный!$A:$A,Строчный!O:O,"ERR",0)))</f>
        <v/>
      </c>
      <c r="O222" s="102" t="str">
        <f ca="1">PROPER(TRIM(_xlfn.XLOOKUP($A222,Строчный!$A:$A,Строчный!P:P,"ERR",0)))</f>
        <v/>
      </c>
      <c r="P222" s="81" t="str">
        <f ca="1">PROPER(TRIM(_xlfn.XLOOKUP($A222,Строчный!$A:$A,Строчный!R:R,"ERR",0)))</f>
        <v/>
      </c>
      <c r="Q222" s="90">
        <f ca="1">VALUE(_xlfn.XLOOKUP($A222,Строчный!$A:$A,Строчный!N:N,"ERR",0))</f>
        <v>975.8</v>
      </c>
      <c r="R222" s="89" t="str">
        <f ca="1">_xlfn.XLOOKUP($G222,Фабрика!A:A,Фабрика!B:B,"ERR",0)</f>
        <v>ООО "ФРЭДРИКСОН" Россия 192029, С-Петербург, пр. Обуховской обороны, д.86, лит М</v>
      </c>
      <c r="S222" s="80" t="str">
        <f ca="1">_xlfn.XLOOKUP(RIGHT(AA222,2),Размеры!D:D,Размеры!A:A,"ERR",0)</f>
        <v>58</v>
      </c>
      <c r="T222" s="80">
        <f ca="1">VALUE(_xlfn.XLOOKUP($AA222,Строчный!$S:$S,Строчный!U:U,"ERR",0))</f>
        <v>30</v>
      </c>
      <c r="U222" s="14" t="s">
        <v>265</v>
      </c>
      <c r="V222" s="101" t="str">
        <f t="shared" ref="V222:V285" ca="1" si="21">TRIM(CONCATENATE(AB222," ",G222," арт. ",B222," (",I222,")"))</f>
        <v>Кепка FREDRIKSON арт. 3190 (черный)</v>
      </c>
      <c r="W222" s="100" t="str">
        <f t="shared" ref="W222:W285" ca="1" si="22">TRIM(CONCATENATE(AB222," ",G222," арт. ",B222," (",I222,") {",H222,"}"))</f>
        <v>Кепка FREDRIKSON арт. 3190 (черный) {624/91}</v>
      </c>
      <c r="X222" s="18" t="str">
        <f t="shared" ref="X222:X285" ca="1" si="23">IFERROR(MID(I222,FIND("-",I222)+1,LEN(I222)),IFERROR(MID(I222,1,FIND("/",I222)-2),I222))</f>
        <v>черный</v>
      </c>
      <c r="Y222" s="18" t="str">
        <f t="shared" ref="Y222:Y285" ca="1" si="24">IFERROR(MID(I222,FIND("-",I222)+1,LEN(I222)),IFERROR(MID(I222,FIND("/",I222)+2,LEN(I222)),I222))</f>
        <v>черный</v>
      </c>
      <c r="Z222" s="117" t="str">
        <f ca="1">_xlfn.LET(_xlpm.FormColors,_xlfn.XLOOKUP(A222,Строчный!A:A,Строчный!Q:Q,"",0),IF(_xlpm.FormColors=0,IFERROR(MID(I222,FIND("-",I222)+1,LEN(I222)),IFERROR(MID(I222,1,FIND("/",I222)-2),I222)),_xlpm.FormColors))</f>
        <v>черный</v>
      </c>
      <c r="AA222" s="73" t="str">
        <f ca="1"/>
        <v>95-008-09-58</v>
      </c>
      <c r="AB222" s="75" t="str">
        <f ca="1">VLOOKUP(C222,Группа!A:B,2,FALSE)</f>
        <v>Кепка</v>
      </c>
      <c r="AC222" s="97" t="str">
        <f ca="1">IFERROR(VLOOKUP(S222,Размеры!A:C,3,FALSE),"")</f>
        <v>58 M/L</v>
      </c>
      <c r="AD222" s="97" t="str">
        <f ca="1">VLOOKUP(I222,ЦветПолный!A:B,2,FALSE)</f>
        <v>09</v>
      </c>
      <c r="AE222" s="97" t="str">
        <f ca="1">IFERROR(VLOOKUP(S222,Размеры!A:D,4,FALSE),"")</f>
        <v>58</v>
      </c>
      <c r="AF222" s="97">
        <f ca="1">IF(LEFT(IFERROR(VLOOKUP(LOOKUP(2,1/SEARCH(B222,Товары!A:A),Товары!A:A),Товары!A:B,2,0),""),6)=MID(AA222,1,6),1,0)</f>
        <v>0</v>
      </c>
      <c r="AH222" s="97">
        <f ca="1">SUMIF(Группа!A:A,C222,Группа!C:C)</f>
        <v>1</v>
      </c>
      <c r="AI222" s="97">
        <f ca="1">SUMIF(Группа!B:B,AB222,Группа!C:C)</f>
        <v>1</v>
      </c>
      <c r="AJ222" s="97">
        <f ca="1">SUMIF(Формы!A:A,D222,Формы!B:B)</f>
        <v>1</v>
      </c>
      <c r="AK222" s="97">
        <f ca="1">SUMIF(Материал!A:A,K222,Материал!B:B)</f>
        <v>1</v>
      </c>
      <c r="AL222" s="97">
        <f ca="1">SUMIF(Размеры!A:A,S222,Размеры!E:E)</f>
        <v>1</v>
      </c>
      <c r="AM222" s="97">
        <f ca="1">SUMIF(Сезон!A:A,F222,Сезон!B:B)</f>
        <v>1</v>
      </c>
      <c r="AN222" s="97">
        <f ca="1">SUMIF(Состав!A:A,J222,Состав!B:B)</f>
        <v>0</v>
      </c>
      <c r="AO222" s="97">
        <f ca="1">VLOOKUP(I222,ЦветПолный!A:C,3,0)</f>
        <v>1</v>
      </c>
      <c r="AP222" s="97">
        <f ca="1">SUMIF(Цвет!A:A,Z222,Цвет!B:B)</f>
        <v>1</v>
      </c>
      <c r="AQ222" s="97">
        <f ca="1">_xlfn.XLOOKUP(L222,Пол!A:A,Пол!B:B,0,0)</f>
        <v>1</v>
      </c>
      <c r="AR222" s="97">
        <f ca="1">SUMIF(Бренд!A:A,G222,Бренд!B:B)</f>
        <v>1</v>
      </c>
      <c r="AS222" s="97">
        <f ca="1">SUMIF(Страна!A:A,M222,Страна!B:B)</f>
        <v>1</v>
      </c>
      <c r="AT222" s="64" t="e">
        <f ca="1">IF(VLOOKUP(W222,Товары!A:B,2,FALSE)=A222,"Есть в 1С","ERR")</f>
        <v>#N/A</v>
      </c>
      <c r="AU222" s="65" t="e">
        <f ca="1">IF(VLOOKUP(A222,Товары!B:B,1,FALSE)=A222,"Есть в 1С","ERR")</f>
        <v>#N/A</v>
      </c>
      <c r="AV222" s="96" t="e">
        <f ca="1">VLOOKUP(W222,Товары!A:B,2,FALSE)</f>
        <v>#N/A</v>
      </c>
      <c r="AW222" s="94" t="e">
        <f ca="1">VLOOKUP(W222,Товары!A:B,1,FALSE)</f>
        <v>#N/A</v>
      </c>
    </row>
    <row r="223" spans="1:49" x14ac:dyDescent="0.25">
      <c r="A223" s="110" t="str">
        <f t="shared" ca="1" si="20"/>
        <v>95-008-09</v>
      </c>
      <c r="B223" s="107" t="str">
        <f ca="1">_xlfn.LET(_xlpm.CAPS,0,_xlpm.Style,TRIM(_xlfn.XLOOKUP($A223,Строчный!$A:$A,Строчный!B:B,"ERR",0)),IF(_xlpm.CAPS=0,_xlpm.Style,LOWER(_xlpm.Style)))</f>
        <v>3190</v>
      </c>
      <c r="C223" s="81" t="str">
        <f ca="1">TRIM(PROPER(_xlfn.XLOOKUP($A223,Строчный!$A:$A,Строчный!C:C,"ERR",0)))</f>
        <v>Кепки</v>
      </c>
      <c r="D223" s="81" t="str">
        <f ca="1">_xlfn.LET(_xlpm.DATA,TRIM(_xlfn.XLOOKUP($A223,Строчный!$A:$A,Строчный!D:D,"ERR",0)),UPPER(MID(_xlpm.DATA,1,1))&amp;LOWER(MID(_xlpm.DATA,2,LEN(_xlpm.DATA)-1)))</f>
        <v>Кепка восьмиклинка</v>
      </c>
      <c r="E223" s="81" t="str">
        <f ca="1">PROPER(TRIM(_xlfn.XLOOKUP($A223,Строчный!$A:$A,Строчный!E:E,"ERR",0)))</f>
        <v>Fredrikson</v>
      </c>
      <c r="F223" s="81" t="str">
        <f ca="1">LOWER(TRIM(_xlfn.XLOOKUP($A223,Строчный!$A:$A,Строчный!F:F,"ERR",0)))</f>
        <v>всесезон</v>
      </c>
      <c r="G223" s="81" t="str">
        <f ca="1">UPPER(TRIM(_xlfn.XLOOKUP($A223,Строчный!$A:$A,Строчный!G:G,"ERR",0)))</f>
        <v>FREDRIKSON</v>
      </c>
      <c r="H223" s="81" t="str">
        <f ca="1">LOWER(TRIM(_xlfn.XLOOKUP($A223,Строчный!$A:$A,Строчный!H:H,"ERR",0)))</f>
        <v>624/91</v>
      </c>
      <c r="I223" s="81" t="str">
        <f ca="1">LOWER(TRIM(_xlfn.XLOOKUP($A223,Строчный!$A:$A,Строчный!I:I,"ERR",0)))</f>
        <v>черный</v>
      </c>
      <c r="J223" s="81" t="str">
        <f ca="1">SUBSTITUTE(LOWER(TRIM(_xlfn.XLOOKUP($A223,Строчный!$A:$A,Строчный!J:J,"ERR",0))),"подклад","Подклад")</f>
        <v>80% шерсть - 20% полиамид / Подклад: 100% вискоза</v>
      </c>
      <c r="K223" s="81" t="str">
        <f ca="1">LOWER(TRIM(_xlfn.XLOOKUP($A223,Строчный!$A:$A,Строчный!K:K,"ERR",0)))</f>
        <v>шерстяные</v>
      </c>
      <c r="L223" s="81" t="str">
        <f ca="1">PROPER(TRIM(_xlfn.XLOOKUP($A223,Строчный!$A:$A,Строчный!L:L,"ERR",0)))</f>
        <v>Унисекс</v>
      </c>
      <c r="M223" s="113" t="str">
        <f ca="1">PROPER(TRIM(_xlfn.XLOOKUP($A223,Строчный!$A:$A,Строчный!M:M,"ERR",0)))</f>
        <v>Россия</v>
      </c>
      <c r="N223" s="81" t="str">
        <f ca="1">UPPER(TRIM(_xlfn.XLOOKUP($A223,Строчный!$A:$A,Строчный!O:O,"ERR",0)))</f>
        <v/>
      </c>
      <c r="O223" s="102" t="str">
        <f ca="1">PROPER(TRIM(_xlfn.XLOOKUP($A223,Строчный!$A:$A,Строчный!P:P,"ERR",0)))</f>
        <v/>
      </c>
      <c r="P223" s="81" t="str">
        <f ca="1">PROPER(TRIM(_xlfn.XLOOKUP($A223,Строчный!$A:$A,Строчный!R:R,"ERR",0)))</f>
        <v/>
      </c>
      <c r="Q223" s="90">
        <f ca="1">VALUE(_xlfn.XLOOKUP($A223,Строчный!$A:$A,Строчный!N:N,"ERR",0))</f>
        <v>975.8</v>
      </c>
      <c r="R223" s="89" t="str">
        <f ca="1">_xlfn.XLOOKUP($G223,Фабрика!A:A,Фабрика!B:B,"ERR",0)</f>
        <v>ООО "ФРЭДРИКСОН" Россия 192029, С-Петербург, пр. Обуховской обороны, д.86, лит М</v>
      </c>
      <c r="S223" s="80" t="str">
        <f ca="1">_xlfn.XLOOKUP(RIGHT(AA223,2),Размеры!D:D,Размеры!A:A,"ERR",0)</f>
        <v>57</v>
      </c>
      <c r="T223" s="80">
        <f ca="1">VALUE(_xlfn.XLOOKUP($AA223,Строчный!$S:$S,Строчный!U:U,"ERR",0))</f>
        <v>20</v>
      </c>
      <c r="U223" s="14" t="s">
        <v>265</v>
      </c>
      <c r="V223" s="101" t="str">
        <f t="shared" ca="1" si="21"/>
        <v>Кепка FREDRIKSON арт. 3190 (черный)</v>
      </c>
      <c r="W223" s="100" t="str">
        <f t="shared" ca="1" si="22"/>
        <v>Кепка FREDRIKSON арт. 3190 (черный) {624/91}</v>
      </c>
      <c r="X223" s="18" t="str">
        <f t="shared" ca="1" si="23"/>
        <v>черный</v>
      </c>
      <c r="Y223" s="18" t="str">
        <f t="shared" ca="1" si="24"/>
        <v>черный</v>
      </c>
      <c r="Z223" s="117" t="str">
        <f ca="1">_xlfn.LET(_xlpm.FormColors,_xlfn.XLOOKUP(A223,Строчный!A:A,Строчный!Q:Q,"",0),IF(_xlpm.FormColors=0,IFERROR(MID(I223,FIND("-",I223)+1,LEN(I223)),IFERROR(MID(I223,1,FIND("/",I223)-2),I223)),_xlpm.FormColors))</f>
        <v>черный</v>
      </c>
      <c r="AA223" s="73" t="str">
        <f ca="1"/>
        <v>95-008-09-57</v>
      </c>
      <c r="AB223" s="75" t="str">
        <f ca="1">VLOOKUP(C223,Группа!A:B,2,FALSE)</f>
        <v>Кепка</v>
      </c>
      <c r="AC223" s="97" t="str">
        <f ca="1">IFERROR(VLOOKUP(S223,Размеры!A:C,3,FALSE),"")</f>
        <v>57 M</v>
      </c>
      <c r="AD223" s="97" t="str">
        <f ca="1">VLOOKUP(I223,ЦветПолный!A:B,2,FALSE)</f>
        <v>09</v>
      </c>
      <c r="AE223" s="97" t="str">
        <f ca="1">IFERROR(VLOOKUP(S223,Размеры!A:D,4,FALSE),"")</f>
        <v>57</v>
      </c>
      <c r="AF223" s="97">
        <f ca="1">IF(LEFT(IFERROR(VLOOKUP(LOOKUP(2,1/SEARCH(B223,Товары!A:A),Товары!A:A),Товары!A:B,2,0),""),6)=MID(AA223,1,6),1,0)</f>
        <v>0</v>
      </c>
      <c r="AH223" s="97">
        <f ca="1">SUMIF(Группа!A:A,C223,Группа!C:C)</f>
        <v>1</v>
      </c>
      <c r="AI223" s="97">
        <f ca="1">SUMIF(Группа!B:B,AB223,Группа!C:C)</f>
        <v>1</v>
      </c>
      <c r="AJ223" s="97">
        <f ca="1">SUMIF(Формы!A:A,D223,Формы!B:B)</f>
        <v>1</v>
      </c>
      <c r="AK223" s="97">
        <f ca="1">SUMIF(Материал!A:A,K223,Материал!B:B)</f>
        <v>1</v>
      </c>
      <c r="AL223" s="97">
        <f ca="1">SUMIF(Размеры!A:A,S223,Размеры!E:E)</f>
        <v>1</v>
      </c>
      <c r="AM223" s="97">
        <f ca="1">SUMIF(Сезон!A:A,F223,Сезон!B:B)</f>
        <v>1</v>
      </c>
      <c r="AN223" s="97">
        <f ca="1">SUMIF(Состав!A:A,J223,Состав!B:B)</f>
        <v>0</v>
      </c>
      <c r="AO223" s="97">
        <f ca="1">VLOOKUP(I223,ЦветПолный!A:C,3,0)</f>
        <v>1</v>
      </c>
      <c r="AP223" s="97">
        <f ca="1">SUMIF(Цвет!A:A,Z223,Цвет!B:B)</f>
        <v>1</v>
      </c>
      <c r="AQ223" s="97">
        <f ca="1">_xlfn.XLOOKUP(L223,Пол!A:A,Пол!B:B,0,0)</f>
        <v>1</v>
      </c>
      <c r="AR223" s="97">
        <f ca="1">SUMIF(Бренд!A:A,G223,Бренд!B:B)</f>
        <v>1</v>
      </c>
      <c r="AS223" s="97">
        <f ca="1">SUMIF(Страна!A:A,M223,Страна!B:B)</f>
        <v>1</v>
      </c>
      <c r="AT223" s="64" t="e">
        <f ca="1">IF(VLOOKUP(W223,Товары!A:B,2,FALSE)=A223,"Есть в 1С","ERR")</f>
        <v>#N/A</v>
      </c>
      <c r="AU223" s="65" t="e">
        <f ca="1">IF(VLOOKUP(A223,Товары!B:B,1,FALSE)=A223,"Есть в 1С","ERR")</f>
        <v>#N/A</v>
      </c>
      <c r="AV223" s="96" t="e">
        <f ca="1">VLOOKUP(W223,Товары!A:B,2,FALSE)</f>
        <v>#N/A</v>
      </c>
      <c r="AW223" s="94" t="e">
        <f ca="1">VLOOKUP(W223,Товары!A:B,1,FALSE)</f>
        <v>#N/A</v>
      </c>
    </row>
    <row r="224" spans="1:49" x14ac:dyDescent="0.25">
      <c r="A224" s="110" t="str">
        <f t="shared" ca="1" si="20"/>
        <v>95-008-09</v>
      </c>
      <c r="B224" s="107" t="str">
        <f ca="1">_xlfn.LET(_xlpm.CAPS,0,_xlpm.Style,TRIM(_xlfn.XLOOKUP($A224,Строчный!$A:$A,Строчный!B:B,"ERR",0)),IF(_xlpm.CAPS=0,_xlpm.Style,LOWER(_xlpm.Style)))</f>
        <v>3190</v>
      </c>
      <c r="C224" s="81" t="str">
        <f ca="1">TRIM(PROPER(_xlfn.XLOOKUP($A224,Строчный!$A:$A,Строчный!C:C,"ERR",0)))</f>
        <v>Кепки</v>
      </c>
      <c r="D224" s="81" t="str">
        <f ca="1">_xlfn.LET(_xlpm.DATA,TRIM(_xlfn.XLOOKUP($A224,Строчный!$A:$A,Строчный!D:D,"ERR",0)),UPPER(MID(_xlpm.DATA,1,1))&amp;LOWER(MID(_xlpm.DATA,2,LEN(_xlpm.DATA)-1)))</f>
        <v>Кепка восьмиклинка</v>
      </c>
      <c r="E224" s="81" t="str">
        <f ca="1">PROPER(TRIM(_xlfn.XLOOKUP($A224,Строчный!$A:$A,Строчный!E:E,"ERR",0)))</f>
        <v>Fredrikson</v>
      </c>
      <c r="F224" s="81" t="str">
        <f ca="1">LOWER(TRIM(_xlfn.XLOOKUP($A224,Строчный!$A:$A,Строчный!F:F,"ERR",0)))</f>
        <v>всесезон</v>
      </c>
      <c r="G224" s="81" t="str">
        <f ca="1">UPPER(TRIM(_xlfn.XLOOKUP($A224,Строчный!$A:$A,Строчный!G:G,"ERR",0)))</f>
        <v>FREDRIKSON</v>
      </c>
      <c r="H224" s="81" t="str">
        <f ca="1">LOWER(TRIM(_xlfn.XLOOKUP($A224,Строчный!$A:$A,Строчный!H:H,"ERR",0)))</f>
        <v>624/91</v>
      </c>
      <c r="I224" s="81" t="str">
        <f ca="1">LOWER(TRIM(_xlfn.XLOOKUP($A224,Строчный!$A:$A,Строчный!I:I,"ERR",0)))</f>
        <v>черный</v>
      </c>
      <c r="J224" s="81" t="str">
        <f ca="1">SUBSTITUTE(LOWER(TRIM(_xlfn.XLOOKUP($A224,Строчный!$A:$A,Строчный!J:J,"ERR",0))),"подклад","Подклад")</f>
        <v>80% шерсть - 20% полиамид / Подклад: 100% вискоза</v>
      </c>
      <c r="K224" s="81" t="str">
        <f ca="1">LOWER(TRIM(_xlfn.XLOOKUP($A224,Строчный!$A:$A,Строчный!K:K,"ERR",0)))</f>
        <v>шерстяные</v>
      </c>
      <c r="L224" s="81" t="str">
        <f ca="1">PROPER(TRIM(_xlfn.XLOOKUP($A224,Строчный!$A:$A,Строчный!L:L,"ERR",0)))</f>
        <v>Унисекс</v>
      </c>
      <c r="M224" s="113" t="str">
        <f ca="1">PROPER(TRIM(_xlfn.XLOOKUP($A224,Строчный!$A:$A,Строчный!M:M,"ERR",0)))</f>
        <v>Россия</v>
      </c>
      <c r="N224" s="81" t="str">
        <f ca="1">UPPER(TRIM(_xlfn.XLOOKUP($A224,Строчный!$A:$A,Строчный!O:O,"ERR",0)))</f>
        <v/>
      </c>
      <c r="O224" s="102" t="str">
        <f ca="1">PROPER(TRIM(_xlfn.XLOOKUP($A224,Строчный!$A:$A,Строчный!P:P,"ERR",0)))</f>
        <v/>
      </c>
      <c r="P224" s="81" t="str">
        <f ca="1">PROPER(TRIM(_xlfn.XLOOKUP($A224,Строчный!$A:$A,Строчный!R:R,"ERR",0)))</f>
        <v/>
      </c>
      <c r="Q224" s="90">
        <f ca="1">VALUE(_xlfn.XLOOKUP($A224,Строчный!$A:$A,Строчный!N:N,"ERR",0))</f>
        <v>975.8</v>
      </c>
      <c r="R224" s="89" t="str">
        <f ca="1">_xlfn.XLOOKUP($G224,Фабрика!A:A,Фабрика!B:B,"ERR",0)</f>
        <v>ООО "ФРЭДРИКСОН" Россия 192029, С-Петербург, пр. Обуховской обороны, д.86, лит М</v>
      </c>
      <c r="S224" s="80" t="str">
        <f ca="1">_xlfn.XLOOKUP(RIGHT(AA224,2),Размеры!D:D,Размеры!A:A,"ERR",0)</f>
        <v>56</v>
      </c>
      <c r="T224" s="80">
        <f ca="1">VALUE(_xlfn.XLOOKUP($AA224,Строчный!$S:$S,Строчный!U:U,"ERR",0))</f>
        <v>10</v>
      </c>
      <c r="U224" s="14" t="s">
        <v>265</v>
      </c>
      <c r="V224" s="101" t="str">
        <f t="shared" ca="1" si="21"/>
        <v>Кепка FREDRIKSON арт. 3190 (черный)</v>
      </c>
      <c r="W224" s="100" t="str">
        <f t="shared" ca="1" si="22"/>
        <v>Кепка FREDRIKSON арт. 3190 (черный) {624/91}</v>
      </c>
      <c r="X224" s="18" t="str">
        <f t="shared" ca="1" si="23"/>
        <v>черный</v>
      </c>
      <c r="Y224" s="18" t="str">
        <f t="shared" ca="1" si="24"/>
        <v>черный</v>
      </c>
      <c r="Z224" s="117" t="str">
        <f ca="1">_xlfn.LET(_xlpm.FormColors,_xlfn.XLOOKUP(A224,Строчный!A:A,Строчный!Q:Q,"",0),IF(_xlpm.FormColors=0,IFERROR(MID(I224,FIND("-",I224)+1,LEN(I224)),IFERROR(MID(I224,1,FIND("/",I224)-2),I224)),_xlpm.FormColors))</f>
        <v>черный</v>
      </c>
      <c r="AA224" s="73" t="str">
        <f ca="1"/>
        <v>95-008-09-56</v>
      </c>
      <c r="AB224" s="75" t="str">
        <f ca="1">VLOOKUP(C224,Группа!A:B,2,FALSE)</f>
        <v>Кепка</v>
      </c>
      <c r="AC224" s="97" t="str">
        <f ca="1">IFERROR(VLOOKUP(S224,Размеры!A:C,3,FALSE),"")</f>
        <v>56 S/M</v>
      </c>
      <c r="AD224" s="97" t="str">
        <f ca="1">VLOOKUP(I224,ЦветПолный!A:B,2,FALSE)</f>
        <v>09</v>
      </c>
      <c r="AE224" s="97" t="str">
        <f ca="1">IFERROR(VLOOKUP(S224,Размеры!A:D,4,FALSE),"")</f>
        <v>56</v>
      </c>
      <c r="AF224" s="97">
        <f ca="1">IF(LEFT(IFERROR(VLOOKUP(LOOKUP(2,1/SEARCH(B224,Товары!A:A),Товары!A:A),Товары!A:B,2,0),""),6)=MID(AA224,1,6),1,0)</f>
        <v>0</v>
      </c>
      <c r="AH224" s="97">
        <f ca="1">SUMIF(Группа!A:A,C224,Группа!C:C)</f>
        <v>1</v>
      </c>
      <c r="AI224" s="97">
        <f ca="1">SUMIF(Группа!B:B,AB224,Группа!C:C)</f>
        <v>1</v>
      </c>
      <c r="AJ224" s="97">
        <f ca="1">SUMIF(Формы!A:A,D224,Формы!B:B)</f>
        <v>1</v>
      </c>
      <c r="AK224" s="97">
        <f ca="1">SUMIF(Материал!A:A,K224,Материал!B:B)</f>
        <v>1</v>
      </c>
      <c r="AL224" s="97">
        <f ca="1">SUMIF(Размеры!A:A,S224,Размеры!E:E)</f>
        <v>1</v>
      </c>
      <c r="AM224" s="97">
        <f ca="1">SUMIF(Сезон!A:A,F224,Сезон!B:B)</f>
        <v>1</v>
      </c>
      <c r="AN224" s="97">
        <f ca="1">SUMIF(Состав!A:A,J224,Состав!B:B)</f>
        <v>0</v>
      </c>
      <c r="AO224" s="97">
        <f ca="1">VLOOKUP(I224,ЦветПолный!A:C,3,0)</f>
        <v>1</v>
      </c>
      <c r="AP224" s="97">
        <f ca="1">SUMIF(Цвет!A:A,Z224,Цвет!B:B)</f>
        <v>1</v>
      </c>
      <c r="AQ224" s="97">
        <f ca="1">_xlfn.XLOOKUP(L224,Пол!A:A,Пол!B:B,0,0)</f>
        <v>1</v>
      </c>
      <c r="AR224" s="97">
        <f ca="1">SUMIF(Бренд!A:A,G224,Бренд!B:B)</f>
        <v>1</v>
      </c>
      <c r="AS224" s="97">
        <f ca="1">SUMIF(Страна!A:A,M224,Страна!B:B)</f>
        <v>1</v>
      </c>
      <c r="AT224" s="64" t="e">
        <f ca="1">IF(VLOOKUP(W224,Товары!A:B,2,FALSE)=A224,"Есть в 1С","ERR")</f>
        <v>#N/A</v>
      </c>
      <c r="AU224" s="65" t="e">
        <f ca="1">IF(VLOOKUP(A224,Товары!B:B,1,FALSE)=A224,"Есть в 1С","ERR")</f>
        <v>#N/A</v>
      </c>
      <c r="AV224" s="96" t="e">
        <f ca="1">VLOOKUP(W224,Товары!A:B,2,FALSE)</f>
        <v>#N/A</v>
      </c>
      <c r="AW224" s="94" t="e">
        <f ca="1">VLOOKUP(W224,Товары!A:B,1,FALSE)</f>
        <v>#N/A</v>
      </c>
    </row>
    <row r="225" spans="1:49" x14ac:dyDescent="0.25">
      <c r="A225" s="110" t="str">
        <f t="shared" ca="1" si="20"/>
        <v>95-008-04</v>
      </c>
      <c r="B225" s="107" t="str">
        <f ca="1">_xlfn.LET(_xlpm.CAPS,0,_xlpm.Style,TRIM(_xlfn.XLOOKUP($A225,Строчный!$A:$A,Строчный!B:B,"ERR",0)),IF(_xlpm.CAPS=0,_xlpm.Style,LOWER(_xlpm.Style)))</f>
        <v>3190</v>
      </c>
      <c r="C225" s="81" t="str">
        <f ca="1">TRIM(PROPER(_xlfn.XLOOKUP($A225,Строчный!$A:$A,Строчный!C:C,"ERR",0)))</f>
        <v>Кепки</v>
      </c>
      <c r="D225" s="81" t="str">
        <f ca="1">_xlfn.LET(_xlpm.DATA,TRIM(_xlfn.XLOOKUP($A225,Строчный!$A:$A,Строчный!D:D,"ERR",0)),UPPER(MID(_xlpm.DATA,1,1))&amp;LOWER(MID(_xlpm.DATA,2,LEN(_xlpm.DATA)-1)))</f>
        <v>Кепка восьмиклинка</v>
      </c>
      <c r="E225" s="81" t="str">
        <f ca="1">PROPER(TRIM(_xlfn.XLOOKUP($A225,Строчный!$A:$A,Строчный!E:E,"ERR",0)))</f>
        <v>Fredrikson</v>
      </c>
      <c r="F225" s="81" t="str">
        <f ca="1">LOWER(TRIM(_xlfn.XLOOKUP($A225,Строчный!$A:$A,Строчный!F:F,"ERR",0)))</f>
        <v>всесезон</v>
      </c>
      <c r="G225" s="81" t="str">
        <f ca="1">UPPER(TRIM(_xlfn.XLOOKUP($A225,Строчный!$A:$A,Строчный!G:G,"ERR",0)))</f>
        <v>FREDRIKSON</v>
      </c>
      <c r="H225" s="81" t="str">
        <f ca="1">LOWER(TRIM(_xlfn.XLOOKUP($A225,Строчный!$A:$A,Строчный!H:H,"ERR",0)))</f>
        <v>608/53</v>
      </c>
      <c r="I225" s="81" t="str">
        <f ca="1">LOWER(TRIM(_xlfn.XLOOKUP($A225,Строчный!$A:$A,Строчный!I:I,"ERR",0)))</f>
        <v>светло-бежевый / красный</v>
      </c>
      <c r="J225" s="81" t="str">
        <f ca="1">SUBSTITUTE(LOWER(TRIM(_xlfn.XLOOKUP($A225,Строчный!$A:$A,Строчный!J:J,"ERR",0))),"подклад","Подклад")</f>
        <v>80% шерсть - 20% полиамид / Подклад: 100% вискоза</v>
      </c>
      <c r="K225" s="81" t="str">
        <f ca="1">LOWER(TRIM(_xlfn.XLOOKUP($A225,Строчный!$A:$A,Строчный!K:K,"ERR",0)))</f>
        <v>шерстяные</v>
      </c>
      <c r="L225" s="81" t="str">
        <f ca="1">PROPER(TRIM(_xlfn.XLOOKUP($A225,Строчный!$A:$A,Строчный!L:L,"ERR",0)))</f>
        <v>Унисекс</v>
      </c>
      <c r="M225" s="113" t="str">
        <f ca="1">PROPER(TRIM(_xlfn.XLOOKUP($A225,Строчный!$A:$A,Строчный!M:M,"ERR",0)))</f>
        <v>Россия</v>
      </c>
      <c r="N225" s="81" t="str">
        <f ca="1">UPPER(TRIM(_xlfn.XLOOKUP($A225,Строчный!$A:$A,Строчный!O:O,"ERR",0)))</f>
        <v/>
      </c>
      <c r="O225" s="102" t="str">
        <f ca="1">PROPER(TRIM(_xlfn.XLOOKUP($A225,Строчный!$A:$A,Строчный!P:P,"ERR",0)))</f>
        <v/>
      </c>
      <c r="P225" s="81" t="str">
        <f ca="1">PROPER(TRIM(_xlfn.XLOOKUP($A225,Строчный!$A:$A,Строчный!R:R,"ERR",0)))</f>
        <v/>
      </c>
      <c r="Q225" s="90">
        <f ca="1">VALUE(_xlfn.XLOOKUP($A225,Строчный!$A:$A,Строчный!N:N,"ERR",0))</f>
        <v>975.8</v>
      </c>
      <c r="R225" s="89" t="str">
        <f ca="1">_xlfn.XLOOKUP($G225,Фабрика!A:A,Фабрика!B:B,"ERR",0)</f>
        <v>ООО "ФРЭДРИКСОН" Россия 192029, С-Петербург, пр. Обуховской обороны, д.86, лит М</v>
      </c>
      <c r="S225" s="80" t="str">
        <f ca="1">_xlfn.XLOOKUP(RIGHT(AA225,2),Размеры!D:D,Размеры!A:A,"ERR",0)</f>
        <v>61</v>
      </c>
      <c r="T225" s="80">
        <f ca="1">VALUE(_xlfn.XLOOKUP($AA225,Строчный!$S:$S,Строчный!U:U,"ERR",0))</f>
        <v>1</v>
      </c>
      <c r="U225" s="14" t="s">
        <v>265</v>
      </c>
      <c r="V225" s="101" t="str">
        <f t="shared" ca="1" si="21"/>
        <v>Кепка FREDRIKSON арт. 3190 (светло-бежевый / красный)</v>
      </c>
      <c r="W225" s="100" t="str">
        <f t="shared" ca="1" si="22"/>
        <v>Кепка FREDRIKSON арт. 3190 (светло-бежевый / красный) {608/53}</v>
      </c>
      <c r="X225" s="18" t="str">
        <f t="shared" ca="1" si="23"/>
        <v>бежевый / красный</v>
      </c>
      <c r="Y225" s="18" t="str">
        <f t="shared" ca="1" si="24"/>
        <v>бежевый / красный</v>
      </c>
      <c r="Z225" s="117" t="s">
        <v>52</v>
      </c>
      <c r="AA225" s="73" t="str">
        <f ca="1"/>
        <v>95-008-04-61</v>
      </c>
      <c r="AB225" s="75" t="str">
        <f ca="1">VLOOKUP(C225,Группа!A:B,2,FALSE)</f>
        <v>Кепка</v>
      </c>
      <c r="AC225" s="97" t="str">
        <f ca="1">IFERROR(VLOOKUP(S225,Размеры!A:C,3,FALSE),"")</f>
        <v>61 XL</v>
      </c>
      <c r="AD225" s="97" t="str">
        <f ca="1">VLOOKUP(I225,ЦветПолный!A:B,2,FALSE)</f>
        <v>04</v>
      </c>
      <c r="AE225" s="97" t="str">
        <f ca="1">IFERROR(VLOOKUP(S225,Размеры!A:D,4,FALSE),"")</f>
        <v>61</v>
      </c>
      <c r="AF225" s="97">
        <f ca="1">IF(LEFT(IFERROR(VLOOKUP(LOOKUP(2,1/SEARCH(B225,Товары!A:A),Товары!A:A),Товары!A:B,2,0),""),6)=MID(AA225,1,6),1,0)</f>
        <v>0</v>
      </c>
      <c r="AH225" s="97">
        <f ca="1">SUMIF(Группа!A:A,C225,Группа!C:C)</f>
        <v>1</v>
      </c>
      <c r="AI225" s="97">
        <f ca="1">SUMIF(Группа!B:B,AB225,Группа!C:C)</f>
        <v>1</v>
      </c>
      <c r="AJ225" s="97">
        <f ca="1">SUMIF(Формы!A:A,D225,Формы!B:B)</f>
        <v>1</v>
      </c>
      <c r="AK225" s="97">
        <f ca="1">SUMIF(Материал!A:A,K225,Материал!B:B)</f>
        <v>1</v>
      </c>
      <c r="AL225" s="97">
        <f ca="1">SUMIF(Размеры!A:A,S225,Размеры!E:E)</f>
        <v>1</v>
      </c>
      <c r="AM225" s="97">
        <f ca="1">SUMIF(Сезон!A:A,F225,Сезон!B:B)</f>
        <v>1</v>
      </c>
      <c r="AN225" s="97">
        <f ca="1">SUMIF(Состав!A:A,J225,Состав!B:B)</f>
        <v>0</v>
      </c>
      <c r="AO225" s="97">
        <f ca="1">VLOOKUP(I225,ЦветПолный!A:C,3,0)</f>
        <v>1</v>
      </c>
      <c r="AP225" s="97">
        <f>SUMIF(Цвет!A:A,Z225,Цвет!B:B)</f>
        <v>1</v>
      </c>
      <c r="AQ225" s="97">
        <f ca="1">_xlfn.XLOOKUP(L225,Пол!A:A,Пол!B:B,0,0)</f>
        <v>1</v>
      </c>
      <c r="AR225" s="97">
        <f ca="1">SUMIF(Бренд!A:A,G225,Бренд!B:B)</f>
        <v>1</v>
      </c>
      <c r="AS225" s="97">
        <f ca="1">SUMIF(Страна!A:A,M225,Страна!B:B)</f>
        <v>1</v>
      </c>
      <c r="AT225" s="64" t="e">
        <f ca="1">IF(VLOOKUP(W225,Товары!A:B,2,FALSE)=A225,"Есть в 1С","ERR")</f>
        <v>#N/A</v>
      </c>
      <c r="AU225" s="65" t="e">
        <f ca="1">IF(VLOOKUP(A225,Товары!B:B,1,FALSE)=A225,"Есть в 1С","ERR")</f>
        <v>#N/A</v>
      </c>
      <c r="AV225" s="96" t="e">
        <f ca="1">VLOOKUP(W225,Товары!A:B,2,FALSE)</f>
        <v>#N/A</v>
      </c>
      <c r="AW225" s="94" t="e">
        <f ca="1">VLOOKUP(W225,Товары!A:B,1,FALSE)</f>
        <v>#N/A</v>
      </c>
    </row>
    <row r="226" spans="1:49" x14ac:dyDescent="0.25">
      <c r="A226" s="110" t="str">
        <f t="shared" ca="1" si="20"/>
        <v>95-008-04</v>
      </c>
      <c r="B226" s="107" t="str">
        <f ca="1">_xlfn.LET(_xlpm.CAPS,0,_xlpm.Style,TRIM(_xlfn.XLOOKUP($A226,Строчный!$A:$A,Строчный!B:B,"ERR",0)),IF(_xlpm.CAPS=0,_xlpm.Style,LOWER(_xlpm.Style)))</f>
        <v>3190</v>
      </c>
      <c r="C226" s="81" t="str">
        <f ca="1">TRIM(PROPER(_xlfn.XLOOKUP($A226,Строчный!$A:$A,Строчный!C:C,"ERR",0)))</f>
        <v>Кепки</v>
      </c>
      <c r="D226" s="81" t="str">
        <f ca="1">_xlfn.LET(_xlpm.DATA,TRIM(_xlfn.XLOOKUP($A226,Строчный!$A:$A,Строчный!D:D,"ERR",0)),UPPER(MID(_xlpm.DATA,1,1))&amp;LOWER(MID(_xlpm.DATA,2,LEN(_xlpm.DATA)-1)))</f>
        <v>Кепка восьмиклинка</v>
      </c>
      <c r="E226" s="81" t="str">
        <f ca="1">PROPER(TRIM(_xlfn.XLOOKUP($A226,Строчный!$A:$A,Строчный!E:E,"ERR",0)))</f>
        <v>Fredrikson</v>
      </c>
      <c r="F226" s="81" t="str">
        <f ca="1">LOWER(TRIM(_xlfn.XLOOKUP($A226,Строчный!$A:$A,Строчный!F:F,"ERR",0)))</f>
        <v>всесезон</v>
      </c>
      <c r="G226" s="81" t="str">
        <f ca="1">UPPER(TRIM(_xlfn.XLOOKUP($A226,Строчный!$A:$A,Строчный!G:G,"ERR",0)))</f>
        <v>FREDRIKSON</v>
      </c>
      <c r="H226" s="81" t="str">
        <f ca="1">LOWER(TRIM(_xlfn.XLOOKUP($A226,Строчный!$A:$A,Строчный!H:H,"ERR",0)))</f>
        <v>608/53</v>
      </c>
      <c r="I226" s="81" t="str">
        <f ca="1">LOWER(TRIM(_xlfn.XLOOKUP($A226,Строчный!$A:$A,Строчный!I:I,"ERR",0)))</f>
        <v>светло-бежевый / красный</v>
      </c>
      <c r="J226" s="81" t="str">
        <f ca="1">SUBSTITUTE(LOWER(TRIM(_xlfn.XLOOKUP($A226,Строчный!$A:$A,Строчный!J:J,"ERR",0))),"подклад","Подклад")</f>
        <v>80% шерсть - 20% полиамид / Подклад: 100% вискоза</v>
      </c>
      <c r="K226" s="81" t="str">
        <f ca="1">LOWER(TRIM(_xlfn.XLOOKUP($A226,Строчный!$A:$A,Строчный!K:K,"ERR",0)))</f>
        <v>шерстяные</v>
      </c>
      <c r="L226" s="81" t="str">
        <f ca="1">PROPER(TRIM(_xlfn.XLOOKUP($A226,Строчный!$A:$A,Строчный!L:L,"ERR",0)))</f>
        <v>Унисекс</v>
      </c>
      <c r="M226" s="113" t="str">
        <f ca="1">PROPER(TRIM(_xlfn.XLOOKUP($A226,Строчный!$A:$A,Строчный!M:M,"ERR",0)))</f>
        <v>Россия</v>
      </c>
      <c r="N226" s="81" t="str">
        <f ca="1">UPPER(TRIM(_xlfn.XLOOKUP($A226,Строчный!$A:$A,Строчный!O:O,"ERR",0)))</f>
        <v/>
      </c>
      <c r="O226" s="102" t="str">
        <f ca="1">PROPER(TRIM(_xlfn.XLOOKUP($A226,Строчный!$A:$A,Строчный!P:P,"ERR",0)))</f>
        <v/>
      </c>
      <c r="P226" s="81" t="str">
        <f ca="1">PROPER(TRIM(_xlfn.XLOOKUP($A226,Строчный!$A:$A,Строчный!R:R,"ERR",0)))</f>
        <v/>
      </c>
      <c r="Q226" s="90">
        <f ca="1">VALUE(_xlfn.XLOOKUP($A226,Строчный!$A:$A,Строчный!N:N,"ERR",0))</f>
        <v>975.8</v>
      </c>
      <c r="R226" s="89" t="str">
        <f ca="1">_xlfn.XLOOKUP($G226,Фабрика!A:A,Фабрика!B:B,"ERR",0)</f>
        <v>ООО "ФРЭДРИКСОН" Россия 192029, С-Петербург, пр. Обуховской обороны, д.86, лит М</v>
      </c>
      <c r="S226" s="80" t="str">
        <f ca="1">_xlfn.XLOOKUP(RIGHT(AA226,2),Размеры!D:D,Размеры!A:A,"ERR",0)</f>
        <v>60</v>
      </c>
      <c r="T226" s="80">
        <f ca="1">VALUE(_xlfn.XLOOKUP($AA226,Строчный!$S:$S,Строчный!U:U,"ERR",0))</f>
        <v>2</v>
      </c>
      <c r="U226" s="14" t="s">
        <v>265</v>
      </c>
      <c r="V226" s="101" t="str">
        <f t="shared" ca="1" si="21"/>
        <v>Кепка FREDRIKSON арт. 3190 (светло-бежевый / красный)</v>
      </c>
      <c r="W226" s="100" t="str">
        <f t="shared" ca="1" si="22"/>
        <v>Кепка FREDRIKSON арт. 3190 (светло-бежевый / красный) {608/53}</v>
      </c>
      <c r="X226" s="18" t="str">
        <f t="shared" ca="1" si="23"/>
        <v>бежевый / красный</v>
      </c>
      <c r="Y226" s="18" t="str">
        <f t="shared" ca="1" si="24"/>
        <v>бежевый / красный</v>
      </c>
      <c r="Z226" s="117" t="s">
        <v>52</v>
      </c>
      <c r="AA226" s="73" t="str">
        <f ca="1"/>
        <v>95-008-04-60</v>
      </c>
      <c r="AB226" s="75" t="str">
        <f ca="1">VLOOKUP(C226,Группа!A:B,2,FALSE)</f>
        <v>Кепка</v>
      </c>
      <c r="AC226" s="97" t="str">
        <f ca="1">IFERROR(VLOOKUP(S226,Размеры!A:C,3,FALSE),"")</f>
        <v>60 L/XL</v>
      </c>
      <c r="AD226" s="97" t="str">
        <f ca="1">VLOOKUP(I226,ЦветПолный!A:B,2,FALSE)</f>
        <v>04</v>
      </c>
      <c r="AE226" s="97" t="str">
        <f ca="1">IFERROR(VLOOKUP(S226,Размеры!A:D,4,FALSE),"")</f>
        <v>60</v>
      </c>
      <c r="AF226" s="97">
        <f ca="1">IF(LEFT(IFERROR(VLOOKUP(LOOKUP(2,1/SEARCH(B226,Товары!A:A),Товары!A:A),Товары!A:B,2,0),""),6)=MID(AA226,1,6),1,0)</f>
        <v>0</v>
      </c>
      <c r="AH226" s="97">
        <f ca="1">SUMIF(Группа!A:A,C226,Группа!C:C)</f>
        <v>1</v>
      </c>
      <c r="AI226" s="97">
        <f ca="1">SUMIF(Группа!B:B,AB226,Группа!C:C)</f>
        <v>1</v>
      </c>
      <c r="AJ226" s="97">
        <f ca="1">SUMIF(Формы!A:A,D226,Формы!B:B)</f>
        <v>1</v>
      </c>
      <c r="AK226" s="97">
        <f ca="1">SUMIF(Материал!A:A,K226,Материал!B:B)</f>
        <v>1</v>
      </c>
      <c r="AL226" s="97">
        <f ca="1">SUMIF(Размеры!A:A,S226,Размеры!E:E)</f>
        <v>1</v>
      </c>
      <c r="AM226" s="97">
        <f ca="1">SUMIF(Сезон!A:A,F226,Сезон!B:B)</f>
        <v>1</v>
      </c>
      <c r="AN226" s="97">
        <f ca="1">SUMIF(Состав!A:A,J226,Состав!B:B)</f>
        <v>0</v>
      </c>
      <c r="AO226" s="97">
        <f ca="1">VLOOKUP(I226,ЦветПолный!A:C,3,0)</f>
        <v>1</v>
      </c>
      <c r="AP226" s="97">
        <f>SUMIF(Цвет!A:A,Z226,Цвет!B:B)</f>
        <v>1</v>
      </c>
      <c r="AQ226" s="97">
        <f ca="1">_xlfn.XLOOKUP(L226,Пол!A:A,Пол!B:B,0,0)</f>
        <v>1</v>
      </c>
      <c r="AR226" s="97">
        <f ca="1">SUMIF(Бренд!A:A,G226,Бренд!B:B)</f>
        <v>1</v>
      </c>
      <c r="AS226" s="97">
        <f ca="1">SUMIF(Страна!A:A,M226,Страна!B:B)</f>
        <v>1</v>
      </c>
      <c r="AT226" s="64" t="e">
        <f ca="1">IF(VLOOKUP(W226,Товары!A:B,2,FALSE)=A226,"Есть в 1С","ERR")</f>
        <v>#N/A</v>
      </c>
      <c r="AU226" s="65" t="e">
        <f ca="1">IF(VLOOKUP(A226,Товары!B:B,1,FALSE)=A226,"Есть в 1С","ERR")</f>
        <v>#N/A</v>
      </c>
      <c r="AV226" s="96" t="e">
        <f ca="1">VLOOKUP(W226,Товары!A:B,2,FALSE)</f>
        <v>#N/A</v>
      </c>
      <c r="AW226" s="94" t="e">
        <f ca="1">VLOOKUP(W226,Товары!A:B,1,FALSE)</f>
        <v>#N/A</v>
      </c>
    </row>
    <row r="227" spans="1:49" x14ac:dyDescent="0.25">
      <c r="A227" s="110" t="str">
        <f t="shared" ca="1" si="20"/>
        <v>95-008-04</v>
      </c>
      <c r="B227" s="107" t="str">
        <f ca="1">_xlfn.LET(_xlpm.CAPS,0,_xlpm.Style,TRIM(_xlfn.XLOOKUP($A227,Строчный!$A:$A,Строчный!B:B,"ERR",0)),IF(_xlpm.CAPS=0,_xlpm.Style,LOWER(_xlpm.Style)))</f>
        <v>3190</v>
      </c>
      <c r="C227" s="81" t="str">
        <f ca="1">TRIM(PROPER(_xlfn.XLOOKUP($A227,Строчный!$A:$A,Строчный!C:C,"ERR",0)))</f>
        <v>Кепки</v>
      </c>
      <c r="D227" s="81" t="str">
        <f ca="1">_xlfn.LET(_xlpm.DATA,TRIM(_xlfn.XLOOKUP($A227,Строчный!$A:$A,Строчный!D:D,"ERR",0)),UPPER(MID(_xlpm.DATA,1,1))&amp;LOWER(MID(_xlpm.DATA,2,LEN(_xlpm.DATA)-1)))</f>
        <v>Кепка восьмиклинка</v>
      </c>
      <c r="E227" s="81" t="str">
        <f ca="1">PROPER(TRIM(_xlfn.XLOOKUP($A227,Строчный!$A:$A,Строчный!E:E,"ERR",0)))</f>
        <v>Fredrikson</v>
      </c>
      <c r="F227" s="81" t="str">
        <f ca="1">LOWER(TRIM(_xlfn.XLOOKUP($A227,Строчный!$A:$A,Строчный!F:F,"ERR",0)))</f>
        <v>всесезон</v>
      </c>
      <c r="G227" s="81" t="str">
        <f ca="1">UPPER(TRIM(_xlfn.XLOOKUP($A227,Строчный!$A:$A,Строчный!G:G,"ERR",0)))</f>
        <v>FREDRIKSON</v>
      </c>
      <c r="H227" s="81" t="str">
        <f ca="1">LOWER(TRIM(_xlfn.XLOOKUP($A227,Строчный!$A:$A,Строчный!H:H,"ERR",0)))</f>
        <v>608/53</v>
      </c>
      <c r="I227" s="81" t="str">
        <f ca="1">LOWER(TRIM(_xlfn.XLOOKUP($A227,Строчный!$A:$A,Строчный!I:I,"ERR",0)))</f>
        <v>светло-бежевый / красный</v>
      </c>
      <c r="J227" s="81" t="str">
        <f ca="1">SUBSTITUTE(LOWER(TRIM(_xlfn.XLOOKUP($A227,Строчный!$A:$A,Строчный!J:J,"ERR",0))),"подклад","Подклад")</f>
        <v>80% шерсть - 20% полиамид / Подклад: 100% вискоза</v>
      </c>
      <c r="K227" s="81" t="str">
        <f ca="1">LOWER(TRIM(_xlfn.XLOOKUP($A227,Строчный!$A:$A,Строчный!K:K,"ERR",0)))</f>
        <v>шерстяные</v>
      </c>
      <c r="L227" s="81" t="str">
        <f ca="1">PROPER(TRIM(_xlfn.XLOOKUP($A227,Строчный!$A:$A,Строчный!L:L,"ERR",0)))</f>
        <v>Унисекс</v>
      </c>
      <c r="M227" s="113" t="str">
        <f ca="1">PROPER(TRIM(_xlfn.XLOOKUP($A227,Строчный!$A:$A,Строчный!M:M,"ERR",0)))</f>
        <v>Россия</v>
      </c>
      <c r="N227" s="81" t="str">
        <f ca="1">UPPER(TRIM(_xlfn.XLOOKUP($A227,Строчный!$A:$A,Строчный!O:O,"ERR",0)))</f>
        <v/>
      </c>
      <c r="O227" s="102" t="str">
        <f ca="1">PROPER(TRIM(_xlfn.XLOOKUP($A227,Строчный!$A:$A,Строчный!P:P,"ERR",0)))</f>
        <v/>
      </c>
      <c r="P227" s="81" t="str">
        <f ca="1">PROPER(TRIM(_xlfn.XLOOKUP($A227,Строчный!$A:$A,Строчный!R:R,"ERR",0)))</f>
        <v/>
      </c>
      <c r="Q227" s="90">
        <f ca="1">VALUE(_xlfn.XLOOKUP($A227,Строчный!$A:$A,Строчный!N:N,"ERR",0))</f>
        <v>975.8</v>
      </c>
      <c r="R227" s="89" t="str">
        <f ca="1">_xlfn.XLOOKUP($G227,Фабрика!A:A,Фабрика!B:B,"ERR",0)</f>
        <v>ООО "ФРЭДРИКСОН" Россия 192029, С-Петербург, пр. Обуховской обороны, д.86, лит М</v>
      </c>
      <c r="S227" s="80" t="str">
        <f ca="1">_xlfn.XLOOKUP(RIGHT(AA227,2),Размеры!D:D,Размеры!A:A,"ERR",0)</f>
        <v>59</v>
      </c>
      <c r="T227" s="80">
        <f ca="1">VALUE(_xlfn.XLOOKUP($AA227,Строчный!$S:$S,Строчный!U:U,"ERR",0))</f>
        <v>3</v>
      </c>
      <c r="U227" s="14" t="s">
        <v>265</v>
      </c>
      <c r="V227" s="101" t="str">
        <f t="shared" ca="1" si="21"/>
        <v>Кепка FREDRIKSON арт. 3190 (светло-бежевый / красный)</v>
      </c>
      <c r="W227" s="100" t="str">
        <f t="shared" ca="1" si="22"/>
        <v>Кепка FREDRIKSON арт. 3190 (светло-бежевый / красный) {608/53}</v>
      </c>
      <c r="X227" s="18" t="str">
        <f t="shared" ca="1" si="23"/>
        <v>бежевый / красный</v>
      </c>
      <c r="Y227" s="18" t="str">
        <f t="shared" ca="1" si="24"/>
        <v>бежевый / красный</v>
      </c>
      <c r="Z227" s="117" t="s">
        <v>52</v>
      </c>
      <c r="AA227" s="73" t="str">
        <f ca="1"/>
        <v>95-008-04-59</v>
      </c>
      <c r="AB227" s="75" t="str">
        <f ca="1">VLOOKUP(C227,Группа!A:B,2,FALSE)</f>
        <v>Кепка</v>
      </c>
      <c r="AC227" s="97" t="str">
        <f ca="1">IFERROR(VLOOKUP(S227,Размеры!A:C,3,FALSE),"")</f>
        <v>59 L</v>
      </c>
      <c r="AD227" s="97" t="str">
        <f ca="1">VLOOKUP(I227,ЦветПолный!A:B,2,FALSE)</f>
        <v>04</v>
      </c>
      <c r="AE227" s="97" t="str">
        <f ca="1">IFERROR(VLOOKUP(S227,Размеры!A:D,4,FALSE),"")</f>
        <v>59</v>
      </c>
      <c r="AF227" s="97">
        <f ca="1">IF(LEFT(IFERROR(VLOOKUP(LOOKUP(2,1/SEARCH(B227,Товары!A:A),Товары!A:A),Товары!A:B,2,0),""),6)=MID(AA227,1,6),1,0)</f>
        <v>0</v>
      </c>
      <c r="AH227" s="97">
        <f ca="1">SUMIF(Группа!A:A,C227,Группа!C:C)</f>
        <v>1</v>
      </c>
      <c r="AI227" s="97">
        <f ca="1">SUMIF(Группа!B:B,AB227,Группа!C:C)</f>
        <v>1</v>
      </c>
      <c r="AJ227" s="97">
        <f ca="1">SUMIF(Формы!A:A,D227,Формы!B:B)</f>
        <v>1</v>
      </c>
      <c r="AK227" s="97">
        <f ca="1">SUMIF(Материал!A:A,K227,Материал!B:B)</f>
        <v>1</v>
      </c>
      <c r="AL227" s="97">
        <f ca="1">SUMIF(Размеры!A:A,S227,Размеры!E:E)</f>
        <v>1</v>
      </c>
      <c r="AM227" s="97">
        <f ca="1">SUMIF(Сезон!A:A,F227,Сезон!B:B)</f>
        <v>1</v>
      </c>
      <c r="AN227" s="97">
        <f ca="1">SUMIF(Состав!A:A,J227,Состав!B:B)</f>
        <v>0</v>
      </c>
      <c r="AO227" s="97">
        <f ca="1">VLOOKUP(I227,ЦветПолный!A:C,3,0)</f>
        <v>1</v>
      </c>
      <c r="AP227" s="97">
        <f>SUMIF(Цвет!A:A,Z227,Цвет!B:B)</f>
        <v>1</v>
      </c>
      <c r="AQ227" s="97">
        <f ca="1">_xlfn.XLOOKUP(L227,Пол!A:A,Пол!B:B,0,0)</f>
        <v>1</v>
      </c>
      <c r="AR227" s="97">
        <f ca="1">SUMIF(Бренд!A:A,G227,Бренд!B:B)</f>
        <v>1</v>
      </c>
      <c r="AS227" s="97">
        <f ca="1">SUMIF(Страна!A:A,M227,Страна!B:B)</f>
        <v>1</v>
      </c>
      <c r="AT227" s="64" t="e">
        <f ca="1">IF(VLOOKUP(W227,Товары!A:B,2,FALSE)=A227,"Есть в 1С","ERR")</f>
        <v>#N/A</v>
      </c>
      <c r="AU227" s="65" t="e">
        <f ca="1">IF(VLOOKUP(A227,Товары!B:B,1,FALSE)=A227,"Есть в 1С","ERR")</f>
        <v>#N/A</v>
      </c>
      <c r="AV227" s="96" t="e">
        <f ca="1">VLOOKUP(W227,Товары!A:B,2,FALSE)</f>
        <v>#N/A</v>
      </c>
      <c r="AW227" s="94" t="e">
        <f ca="1">VLOOKUP(W227,Товары!A:B,1,FALSE)</f>
        <v>#N/A</v>
      </c>
    </row>
    <row r="228" spans="1:49" x14ac:dyDescent="0.25">
      <c r="A228" s="110" t="str">
        <f t="shared" ca="1" si="20"/>
        <v>95-008-04</v>
      </c>
      <c r="B228" s="107" t="str">
        <f ca="1">_xlfn.LET(_xlpm.CAPS,0,_xlpm.Style,TRIM(_xlfn.XLOOKUP($A228,Строчный!$A:$A,Строчный!B:B,"ERR",0)),IF(_xlpm.CAPS=0,_xlpm.Style,LOWER(_xlpm.Style)))</f>
        <v>3190</v>
      </c>
      <c r="C228" s="81" t="str">
        <f ca="1">TRIM(PROPER(_xlfn.XLOOKUP($A228,Строчный!$A:$A,Строчный!C:C,"ERR",0)))</f>
        <v>Кепки</v>
      </c>
      <c r="D228" s="81" t="str">
        <f ca="1">_xlfn.LET(_xlpm.DATA,TRIM(_xlfn.XLOOKUP($A228,Строчный!$A:$A,Строчный!D:D,"ERR",0)),UPPER(MID(_xlpm.DATA,1,1))&amp;LOWER(MID(_xlpm.DATA,2,LEN(_xlpm.DATA)-1)))</f>
        <v>Кепка восьмиклинка</v>
      </c>
      <c r="E228" s="81" t="str">
        <f ca="1">PROPER(TRIM(_xlfn.XLOOKUP($A228,Строчный!$A:$A,Строчный!E:E,"ERR",0)))</f>
        <v>Fredrikson</v>
      </c>
      <c r="F228" s="81" t="str">
        <f ca="1">LOWER(TRIM(_xlfn.XLOOKUP($A228,Строчный!$A:$A,Строчный!F:F,"ERR",0)))</f>
        <v>всесезон</v>
      </c>
      <c r="G228" s="81" t="str">
        <f ca="1">UPPER(TRIM(_xlfn.XLOOKUP($A228,Строчный!$A:$A,Строчный!G:G,"ERR",0)))</f>
        <v>FREDRIKSON</v>
      </c>
      <c r="H228" s="81" t="str">
        <f ca="1">LOWER(TRIM(_xlfn.XLOOKUP($A228,Строчный!$A:$A,Строчный!H:H,"ERR",0)))</f>
        <v>608/53</v>
      </c>
      <c r="I228" s="81" t="str">
        <f ca="1">LOWER(TRIM(_xlfn.XLOOKUP($A228,Строчный!$A:$A,Строчный!I:I,"ERR",0)))</f>
        <v>светло-бежевый / красный</v>
      </c>
      <c r="J228" s="81" t="str">
        <f ca="1">SUBSTITUTE(LOWER(TRIM(_xlfn.XLOOKUP($A228,Строчный!$A:$A,Строчный!J:J,"ERR",0))),"подклад","Подклад")</f>
        <v>80% шерсть - 20% полиамид / Подклад: 100% вискоза</v>
      </c>
      <c r="K228" s="81" t="str">
        <f ca="1">LOWER(TRIM(_xlfn.XLOOKUP($A228,Строчный!$A:$A,Строчный!K:K,"ERR",0)))</f>
        <v>шерстяные</v>
      </c>
      <c r="L228" s="81" t="str">
        <f ca="1">PROPER(TRIM(_xlfn.XLOOKUP($A228,Строчный!$A:$A,Строчный!L:L,"ERR",0)))</f>
        <v>Унисекс</v>
      </c>
      <c r="M228" s="113" t="str">
        <f ca="1">PROPER(TRIM(_xlfn.XLOOKUP($A228,Строчный!$A:$A,Строчный!M:M,"ERR",0)))</f>
        <v>Россия</v>
      </c>
      <c r="N228" s="81" t="str">
        <f ca="1">UPPER(TRIM(_xlfn.XLOOKUP($A228,Строчный!$A:$A,Строчный!O:O,"ERR",0)))</f>
        <v/>
      </c>
      <c r="O228" s="102" t="str">
        <f ca="1">PROPER(TRIM(_xlfn.XLOOKUP($A228,Строчный!$A:$A,Строчный!P:P,"ERR",0)))</f>
        <v/>
      </c>
      <c r="P228" s="81" t="str">
        <f ca="1">PROPER(TRIM(_xlfn.XLOOKUP($A228,Строчный!$A:$A,Строчный!R:R,"ERR",0)))</f>
        <v/>
      </c>
      <c r="Q228" s="90">
        <f ca="1">VALUE(_xlfn.XLOOKUP($A228,Строчный!$A:$A,Строчный!N:N,"ERR",0))</f>
        <v>975.8</v>
      </c>
      <c r="R228" s="89" t="str">
        <f ca="1">_xlfn.XLOOKUP($G228,Фабрика!A:A,Фабрика!B:B,"ERR",0)</f>
        <v>ООО "ФРЭДРИКСОН" Россия 192029, С-Петербург, пр. Обуховской обороны, д.86, лит М</v>
      </c>
      <c r="S228" s="80" t="str">
        <f ca="1">_xlfn.XLOOKUP(RIGHT(AA228,2),Размеры!D:D,Размеры!A:A,"ERR",0)</f>
        <v>58</v>
      </c>
      <c r="T228" s="80">
        <f ca="1">VALUE(_xlfn.XLOOKUP($AA228,Строчный!$S:$S,Строчный!U:U,"ERR",0))</f>
        <v>2</v>
      </c>
      <c r="U228" s="14" t="s">
        <v>265</v>
      </c>
      <c r="V228" s="101" t="str">
        <f t="shared" ca="1" si="21"/>
        <v>Кепка FREDRIKSON арт. 3190 (светло-бежевый / красный)</v>
      </c>
      <c r="W228" s="100" t="str">
        <f t="shared" ca="1" si="22"/>
        <v>Кепка FREDRIKSON арт. 3190 (светло-бежевый / красный) {608/53}</v>
      </c>
      <c r="X228" s="18" t="str">
        <f t="shared" ca="1" si="23"/>
        <v>бежевый / красный</v>
      </c>
      <c r="Y228" s="18" t="str">
        <f t="shared" ca="1" si="24"/>
        <v>бежевый / красный</v>
      </c>
      <c r="Z228" s="117" t="s">
        <v>52</v>
      </c>
      <c r="AA228" s="73" t="str">
        <f ca="1"/>
        <v>95-008-04-58</v>
      </c>
      <c r="AB228" s="75" t="str">
        <f ca="1">VLOOKUP(C228,Группа!A:B,2,FALSE)</f>
        <v>Кепка</v>
      </c>
      <c r="AC228" s="97" t="str">
        <f ca="1">IFERROR(VLOOKUP(S228,Размеры!A:C,3,FALSE),"")</f>
        <v>58 M/L</v>
      </c>
      <c r="AD228" s="97" t="str">
        <f ca="1">VLOOKUP(I228,ЦветПолный!A:B,2,FALSE)</f>
        <v>04</v>
      </c>
      <c r="AE228" s="97" t="str">
        <f ca="1">IFERROR(VLOOKUP(S228,Размеры!A:D,4,FALSE),"")</f>
        <v>58</v>
      </c>
      <c r="AF228" s="97">
        <f ca="1">IF(LEFT(IFERROR(VLOOKUP(LOOKUP(2,1/SEARCH(B228,Товары!A:A),Товары!A:A),Товары!A:B,2,0),""),6)=MID(AA228,1,6),1,0)</f>
        <v>0</v>
      </c>
      <c r="AH228" s="97">
        <f ca="1">SUMIF(Группа!A:A,C228,Группа!C:C)</f>
        <v>1</v>
      </c>
      <c r="AI228" s="97">
        <f ca="1">SUMIF(Группа!B:B,AB228,Группа!C:C)</f>
        <v>1</v>
      </c>
      <c r="AJ228" s="97">
        <f ca="1">SUMIF(Формы!A:A,D228,Формы!B:B)</f>
        <v>1</v>
      </c>
      <c r="AK228" s="97">
        <f ca="1">SUMIF(Материал!A:A,K228,Материал!B:B)</f>
        <v>1</v>
      </c>
      <c r="AL228" s="97">
        <f ca="1">SUMIF(Размеры!A:A,S228,Размеры!E:E)</f>
        <v>1</v>
      </c>
      <c r="AM228" s="97">
        <f ca="1">SUMIF(Сезон!A:A,F228,Сезон!B:B)</f>
        <v>1</v>
      </c>
      <c r="AN228" s="97">
        <f ca="1">SUMIF(Состав!A:A,J228,Состав!B:B)</f>
        <v>0</v>
      </c>
      <c r="AO228" s="97">
        <f ca="1">VLOOKUP(I228,ЦветПолный!A:C,3,0)</f>
        <v>1</v>
      </c>
      <c r="AP228" s="97">
        <f>SUMIF(Цвет!A:A,Z228,Цвет!B:B)</f>
        <v>1</v>
      </c>
      <c r="AQ228" s="97">
        <f ca="1">_xlfn.XLOOKUP(L228,Пол!A:A,Пол!B:B,0,0)</f>
        <v>1</v>
      </c>
      <c r="AR228" s="97">
        <f ca="1">SUMIF(Бренд!A:A,G228,Бренд!B:B)</f>
        <v>1</v>
      </c>
      <c r="AS228" s="97">
        <f ca="1">SUMIF(Страна!A:A,M228,Страна!B:B)</f>
        <v>1</v>
      </c>
      <c r="AT228" s="64" t="e">
        <f ca="1">IF(VLOOKUP(W228,Товары!A:B,2,FALSE)=A228,"Есть в 1С","ERR")</f>
        <v>#N/A</v>
      </c>
      <c r="AU228" s="65" t="e">
        <f ca="1">IF(VLOOKUP(A228,Товары!B:B,1,FALSE)=A228,"Есть в 1С","ERR")</f>
        <v>#N/A</v>
      </c>
      <c r="AV228" s="96" t="e">
        <f ca="1">VLOOKUP(W228,Товары!A:B,2,FALSE)</f>
        <v>#N/A</v>
      </c>
      <c r="AW228" s="94" t="e">
        <f ca="1">VLOOKUP(W228,Товары!A:B,1,FALSE)</f>
        <v>#N/A</v>
      </c>
    </row>
    <row r="229" spans="1:49" x14ac:dyDescent="0.25">
      <c r="A229" s="110" t="str">
        <f t="shared" ca="1" si="20"/>
        <v>95-008-04</v>
      </c>
      <c r="B229" s="107" t="str">
        <f ca="1">_xlfn.LET(_xlpm.CAPS,0,_xlpm.Style,TRIM(_xlfn.XLOOKUP($A229,Строчный!$A:$A,Строчный!B:B,"ERR",0)),IF(_xlpm.CAPS=0,_xlpm.Style,LOWER(_xlpm.Style)))</f>
        <v>3190</v>
      </c>
      <c r="C229" s="81" t="str">
        <f ca="1">TRIM(PROPER(_xlfn.XLOOKUP($A229,Строчный!$A:$A,Строчный!C:C,"ERR",0)))</f>
        <v>Кепки</v>
      </c>
      <c r="D229" s="81" t="str">
        <f ca="1">_xlfn.LET(_xlpm.DATA,TRIM(_xlfn.XLOOKUP($A229,Строчный!$A:$A,Строчный!D:D,"ERR",0)),UPPER(MID(_xlpm.DATA,1,1))&amp;LOWER(MID(_xlpm.DATA,2,LEN(_xlpm.DATA)-1)))</f>
        <v>Кепка восьмиклинка</v>
      </c>
      <c r="E229" s="81" t="str">
        <f ca="1">PROPER(TRIM(_xlfn.XLOOKUP($A229,Строчный!$A:$A,Строчный!E:E,"ERR",0)))</f>
        <v>Fredrikson</v>
      </c>
      <c r="F229" s="81" t="str">
        <f ca="1">LOWER(TRIM(_xlfn.XLOOKUP($A229,Строчный!$A:$A,Строчный!F:F,"ERR",0)))</f>
        <v>всесезон</v>
      </c>
      <c r="G229" s="81" t="str">
        <f ca="1">UPPER(TRIM(_xlfn.XLOOKUP($A229,Строчный!$A:$A,Строчный!G:G,"ERR",0)))</f>
        <v>FREDRIKSON</v>
      </c>
      <c r="H229" s="81" t="str">
        <f ca="1">LOWER(TRIM(_xlfn.XLOOKUP($A229,Строчный!$A:$A,Строчный!H:H,"ERR",0)))</f>
        <v>608/53</v>
      </c>
      <c r="I229" s="81" t="str">
        <f ca="1">LOWER(TRIM(_xlfn.XLOOKUP($A229,Строчный!$A:$A,Строчный!I:I,"ERR",0)))</f>
        <v>светло-бежевый / красный</v>
      </c>
      <c r="J229" s="81" t="str">
        <f ca="1">SUBSTITUTE(LOWER(TRIM(_xlfn.XLOOKUP($A229,Строчный!$A:$A,Строчный!J:J,"ERR",0))),"подклад","Подклад")</f>
        <v>80% шерсть - 20% полиамид / Подклад: 100% вискоза</v>
      </c>
      <c r="K229" s="81" t="str">
        <f ca="1">LOWER(TRIM(_xlfn.XLOOKUP($A229,Строчный!$A:$A,Строчный!K:K,"ERR",0)))</f>
        <v>шерстяные</v>
      </c>
      <c r="L229" s="81" t="str">
        <f ca="1">PROPER(TRIM(_xlfn.XLOOKUP($A229,Строчный!$A:$A,Строчный!L:L,"ERR",0)))</f>
        <v>Унисекс</v>
      </c>
      <c r="M229" s="113" t="str">
        <f ca="1">PROPER(TRIM(_xlfn.XLOOKUP($A229,Строчный!$A:$A,Строчный!M:M,"ERR",0)))</f>
        <v>Россия</v>
      </c>
      <c r="N229" s="81" t="str">
        <f ca="1">UPPER(TRIM(_xlfn.XLOOKUP($A229,Строчный!$A:$A,Строчный!O:O,"ERR",0)))</f>
        <v/>
      </c>
      <c r="O229" s="102" t="str">
        <f ca="1">PROPER(TRIM(_xlfn.XLOOKUP($A229,Строчный!$A:$A,Строчный!P:P,"ERR",0)))</f>
        <v/>
      </c>
      <c r="P229" s="81" t="str">
        <f ca="1">PROPER(TRIM(_xlfn.XLOOKUP($A229,Строчный!$A:$A,Строчный!R:R,"ERR",0)))</f>
        <v/>
      </c>
      <c r="Q229" s="90">
        <f ca="1">VALUE(_xlfn.XLOOKUP($A229,Строчный!$A:$A,Строчный!N:N,"ERR",0))</f>
        <v>975.8</v>
      </c>
      <c r="R229" s="89" t="str">
        <f ca="1">_xlfn.XLOOKUP($G229,Фабрика!A:A,Фабрика!B:B,"ERR",0)</f>
        <v>ООО "ФРЭДРИКСОН" Россия 192029, С-Петербург, пр. Обуховской обороны, д.86, лит М</v>
      </c>
      <c r="S229" s="80" t="str">
        <f ca="1">_xlfn.XLOOKUP(RIGHT(AA229,2),Размеры!D:D,Размеры!A:A,"ERR",0)</f>
        <v>57</v>
      </c>
      <c r="T229" s="80">
        <f ca="1">VALUE(_xlfn.XLOOKUP($AA229,Строчный!$S:$S,Строчный!U:U,"ERR",0))</f>
        <v>1</v>
      </c>
      <c r="U229" s="14" t="s">
        <v>265</v>
      </c>
      <c r="V229" s="101" t="str">
        <f t="shared" ca="1" si="21"/>
        <v>Кепка FREDRIKSON арт. 3190 (светло-бежевый / красный)</v>
      </c>
      <c r="W229" s="100" t="str">
        <f t="shared" ca="1" si="22"/>
        <v>Кепка FREDRIKSON арт. 3190 (светло-бежевый / красный) {608/53}</v>
      </c>
      <c r="X229" s="18" t="str">
        <f t="shared" ca="1" si="23"/>
        <v>бежевый / красный</v>
      </c>
      <c r="Y229" s="18" t="str">
        <f t="shared" ca="1" si="24"/>
        <v>бежевый / красный</v>
      </c>
      <c r="Z229" s="117" t="s">
        <v>52</v>
      </c>
      <c r="AA229" s="73" t="str">
        <f ca="1"/>
        <v>95-008-04-57</v>
      </c>
      <c r="AB229" s="75" t="str">
        <f ca="1">VLOOKUP(C229,Группа!A:B,2,FALSE)</f>
        <v>Кепка</v>
      </c>
      <c r="AC229" s="97" t="str">
        <f ca="1">IFERROR(VLOOKUP(S229,Размеры!A:C,3,FALSE),"")</f>
        <v>57 M</v>
      </c>
      <c r="AD229" s="97" t="str">
        <f ca="1">VLOOKUP(I229,ЦветПолный!A:B,2,FALSE)</f>
        <v>04</v>
      </c>
      <c r="AE229" s="97" t="str">
        <f ca="1">IFERROR(VLOOKUP(S229,Размеры!A:D,4,FALSE),"")</f>
        <v>57</v>
      </c>
      <c r="AF229" s="97">
        <f ca="1">IF(LEFT(IFERROR(VLOOKUP(LOOKUP(2,1/SEARCH(B229,Товары!A:A),Товары!A:A),Товары!A:B,2,0),""),6)=MID(AA229,1,6),1,0)</f>
        <v>0</v>
      </c>
      <c r="AH229" s="97">
        <f ca="1">SUMIF(Группа!A:A,C229,Группа!C:C)</f>
        <v>1</v>
      </c>
      <c r="AI229" s="97">
        <f ca="1">SUMIF(Группа!B:B,AB229,Группа!C:C)</f>
        <v>1</v>
      </c>
      <c r="AJ229" s="97">
        <f ca="1">SUMIF(Формы!A:A,D229,Формы!B:B)</f>
        <v>1</v>
      </c>
      <c r="AK229" s="97">
        <f ca="1">SUMIF(Материал!A:A,K229,Материал!B:B)</f>
        <v>1</v>
      </c>
      <c r="AL229" s="97">
        <f ca="1">SUMIF(Размеры!A:A,S229,Размеры!E:E)</f>
        <v>1</v>
      </c>
      <c r="AM229" s="97">
        <f ca="1">SUMIF(Сезон!A:A,F229,Сезон!B:B)</f>
        <v>1</v>
      </c>
      <c r="AN229" s="97">
        <f ca="1">SUMIF(Состав!A:A,J229,Состав!B:B)</f>
        <v>0</v>
      </c>
      <c r="AO229" s="97">
        <f ca="1">VLOOKUP(I229,ЦветПолный!A:C,3,0)</f>
        <v>1</v>
      </c>
      <c r="AP229" s="97">
        <f>SUMIF(Цвет!A:A,Z229,Цвет!B:B)</f>
        <v>1</v>
      </c>
      <c r="AQ229" s="97">
        <f ca="1">_xlfn.XLOOKUP(L229,Пол!A:A,Пол!B:B,0,0)</f>
        <v>1</v>
      </c>
      <c r="AR229" s="97">
        <f ca="1">SUMIF(Бренд!A:A,G229,Бренд!B:B)</f>
        <v>1</v>
      </c>
      <c r="AS229" s="97">
        <f ca="1">SUMIF(Страна!A:A,M229,Страна!B:B)</f>
        <v>1</v>
      </c>
      <c r="AT229" s="64" t="e">
        <f ca="1">IF(VLOOKUP(W229,Товары!A:B,2,FALSE)=A229,"Есть в 1С","ERR")</f>
        <v>#N/A</v>
      </c>
      <c r="AU229" s="65" t="e">
        <f ca="1">IF(VLOOKUP(A229,Товары!B:B,1,FALSE)=A229,"Есть в 1С","ERR")</f>
        <v>#N/A</v>
      </c>
      <c r="AV229" s="96" t="e">
        <f ca="1">VLOOKUP(W229,Товары!A:B,2,FALSE)</f>
        <v>#N/A</v>
      </c>
      <c r="AW229" s="94" t="e">
        <f ca="1">VLOOKUP(W229,Товары!A:B,1,FALSE)</f>
        <v>#N/A</v>
      </c>
    </row>
    <row r="230" spans="1:49" x14ac:dyDescent="0.25">
      <c r="A230" s="110" t="str">
        <f t="shared" ca="1" si="20"/>
        <v>95-008-01</v>
      </c>
      <c r="B230" s="107" t="str">
        <f ca="1">_xlfn.LET(_xlpm.CAPS,0,_xlpm.Style,TRIM(_xlfn.XLOOKUP($A230,Строчный!$A:$A,Строчный!B:B,"ERR",0)),IF(_xlpm.CAPS=0,_xlpm.Style,LOWER(_xlpm.Style)))</f>
        <v>3190</v>
      </c>
      <c r="C230" s="81" t="str">
        <f ca="1">TRIM(PROPER(_xlfn.XLOOKUP($A230,Строчный!$A:$A,Строчный!C:C,"ERR",0)))</f>
        <v>Кепки</v>
      </c>
      <c r="D230" s="81" t="str">
        <f ca="1">_xlfn.LET(_xlpm.DATA,TRIM(_xlfn.XLOOKUP($A230,Строчный!$A:$A,Строчный!D:D,"ERR",0)),UPPER(MID(_xlpm.DATA,1,1))&amp;LOWER(MID(_xlpm.DATA,2,LEN(_xlpm.DATA)-1)))</f>
        <v>Кепка восьмиклинка</v>
      </c>
      <c r="E230" s="81" t="str">
        <f ca="1">PROPER(TRIM(_xlfn.XLOOKUP($A230,Строчный!$A:$A,Строчный!E:E,"ERR",0)))</f>
        <v>Fredrikson</v>
      </c>
      <c r="F230" s="81" t="str">
        <f ca="1">LOWER(TRIM(_xlfn.XLOOKUP($A230,Строчный!$A:$A,Строчный!F:F,"ERR",0)))</f>
        <v>всесезон</v>
      </c>
      <c r="G230" s="81" t="str">
        <f ca="1">UPPER(TRIM(_xlfn.XLOOKUP($A230,Строчный!$A:$A,Строчный!G:G,"ERR",0)))</f>
        <v>FREDRIKSON</v>
      </c>
      <c r="H230" s="81" t="str">
        <f ca="1">LOWER(TRIM(_xlfn.XLOOKUP($A230,Строчный!$A:$A,Строчный!H:H,"ERR",0)))</f>
        <v>684/29</v>
      </c>
      <c r="I230" s="81" t="str">
        <f ca="1">LOWER(TRIM(_xlfn.XLOOKUP($A230,Строчный!$A:$A,Строчный!I:I,"ERR",0)))</f>
        <v>светло-серый / синий</v>
      </c>
      <c r="J230" s="81" t="str">
        <f ca="1">SUBSTITUTE(LOWER(TRIM(_xlfn.XLOOKUP($A230,Строчный!$A:$A,Строчный!J:J,"ERR",0))),"подклад","Подклад")</f>
        <v>80% шерсть - 20% полиамид / Подклад: 100% вискоза</v>
      </c>
      <c r="K230" s="81" t="str">
        <f ca="1">LOWER(TRIM(_xlfn.XLOOKUP($A230,Строчный!$A:$A,Строчный!K:K,"ERR",0)))</f>
        <v>шерстяные</v>
      </c>
      <c r="L230" s="81" t="str">
        <f ca="1">PROPER(TRIM(_xlfn.XLOOKUP($A230,Строчный!$A:$A,Строчный!L:L,"ERR",0)))</f>
        <v>Унисекс</v>
      </c>
      <c r="M230" s="113" t="str">
        <f ca="1">PROPER(TRIM(_xlfn.XLOOKUP($A230,Строчный!$A:$A,Строчный!M:M,"ERR",0)))</f>
        <v>Россия</v>
      </c>
      <c r="N230" s="81" t="str">
        <f ca="1">UPPER(TRIM(_xlfn.XLOOKUP($A230,Строчный!$A:$A,Строчный!O:O,"ERR",0)))</f>
        <v/>
      </c>
      <c r="O230" s="102" t="str">
        <f ca="1">PROPER(TRIM(_xlfn.XLOOKUP($A230,Строчный!$A:$A,Строчный!P:P,"ERR",0)))</f>
        <v/>
      </c>
      <c r="P230" s="81" t="str">
        <f ca="1">PROPER(TRIM(_xlfn.XLOOKUP($A230,Строчный!$A:$A,Строчный!R:R,"ERR",0)))</f>
        <v/>
      </c>
      <c r="Q230" s="90">
        <f ca="1">VALUE(_xlfn.XLOOKUP($A230,Строчный!$A:$A,Строчный!N:N,"ERR",0))</f>
        <v>975.8</v>
      </c>
      <c r="R230" s="89" t="str">
        <f ca="1">_xlfn.XLOOKUP($G230,Фабрика!A:A,Фабрика!B:B,"ERR",0)</f>
        <v>ООО "ФРЭДРИКСОН" Россия 192029, С-Петербург, пр. Обуховской обороны, д.86, лит М</v>
      </c>
      <c r="S230" s="80" t="str">
        <f ca="1">_xlfn.XLOOKUP(RIGHT(AA230,2),Размеры!D:D,Размеры!A:A,"ERR",0)</f>
        <v>61</v>
      </c>
      <c r="T230" s="80">
        <f ca="1">VALUE(_xlfn.XLOOKUP($AA230,Строчный!$S:$S,Строчный!U:U,"ERR",0))</f>
        <v>1</v>
      </c>
      <c r="U230" s="14" t="s">
        <v>265</v>
      </c>
      <c r="V230" s="101" t="str">
        <f t="shared" ca="1" si="21"/>
        <v>Кепка FREDRIKSON арт. 3190 (светло-серый / синий)</v>
      </c>
      <c r="W230" s="100" t="str">
        <f t="shared" ca="1" si="22"/>
        <v>Кепка FREDRIKSON арт. 3190 (светло-серый / синий) {684/29}</v>
      </c>
      <c r="X230" s="18" t="str">
        <f t="shared" ca="1" si="23"/>
        <v>серый / синий</v>
      </c>
      <c r="Y230" s="18" t="str">
        <f t="shared" ca="1" si="24"/>
        <v>серый / синий</v>
      </c>
      <c r="Z230" s="117" t="s">
        <v>28</v>
      </c>
      <c r="AA230" s="73" t="str">
        <f ca="1"/>
        <v>95-008-01-61</v>
      </c>
      <c r="AB230" s="75" t="str">
        <f ca="1">VLOOKUP(C230,Группа!A:B,2,FALSE)</f>
        <v>Кепка</v>
      </c>
      <c r="AC230" s="97" t="str">
        <f ca="1">IFERROR(VLOOKUP(S230,Размеры!A:C,3,FALSE),"")</f>
        <v>61 XL</v>
      </c>
      <c r="AD230" s="97" t="str">
        <f ca="1">VLOOKUP(I230,ЦветПолный!A:B,2,FALSE)</f>
        <v>01</v>
      </c>
      <c r="AE230" s="97" t="str">
        <f ca="1">IFERROR(VLOOKUP(S230,Размеры!A:D,4,FALSE),"")</f>
        <v>61</v>
      </c>
      <c r="AF230" s="97">
        <f ca="1">IF(LEFT(IFERROR(VLOOKUP(LOOKUP(2,1/SEARCH(B230,Товары!A:A),Товары!A:A),Товары!A:B,2,0),""),6)=MID(AA230,1,6),1,0)</f>
        <v>0</v>
      </c>
      <c r="AH230" s="97">
        <f ca="1">SUMIF(Группа!A:A,C230,Группа!C:C)</f>
        <v>1</v>
      </c>
      <c r="AI230" s="97">
        <f ca="1">SUMIF(Группа!B:B,AB230,Группа!C:C)</f>
        <v>1</v>
      </c>
      <c r="AJ230" s="97">
        <f ca="1">SUMIF(Формы!A:A,D230,Формы!B:B)</f>
        <v>1</v>
      </c>
      <c r="AK230" s="97">
        <f ca="1">SUMIF(Материал!A:A,K230,Материал!B:B)</f>
        <v>1</v>
      </c>
      <c r="AL230" s="97">
        <f ca="1">SUMIF(Размеры!A:A,S230,Размеры!E:E)</f>
        <v>1</v>
      </c>
      <c r="AM230" s="97">
        <f ca="1">SUMIF(Сезон!A:A,F230,Сезон!B:B)</f>
        <v>1</v>
      </c>
      <c r="AN230" s="97">
        <f ca="1">SUMIF(Состав!A:A,J230,Состав!B:B)</f>
        <v>0</v>
      </c>
      <c r="AO230" s="97">
        <f ca="1">VLOOKUP(I230,ЦветПолный!A:C,3,0)</f>
        <v>1</v>
      </c>
      <c r="AP230" s="97">
        <f>SUMIF(Цвет!A:A,Z230,Цвет!B:B)</f>
        <v>1</v>
      </c>
      <c r="AQ230" s="97">
        <f ca="1">_xlfn.XLOOKUP(L230,Пол!A:A,Пол!B:B,0,0)</f>
        <v>1</v>
      </c>
      <c r="AR230" s="97">
        <f ca="1">SUMIF(Бренд!A:A,G230,Бренд!B:B)</f>
        <v>1</v>
      </c>
      <c r="AS230" s="97">
        <f ca="1">SUMIF(Страна!A:A,M230,Страна!B:B)</f>
        <v>1</v>
      </c>
      <c r="AT230" s="64" t="e">
        <f ca="1">IF(VLOOKUP(W230,Товары!A:B,2,FALSE)=A230,"Есть в 1С","ERR")</f>
        <v>#N/A</v>
      </c>
      <c r="AU230" s="65" t="e">
        <f ca="1">IF(VLOOKUP(A230,Товары!B:B,1,FALSE)=A230,"Есть в 1С","ERR")</f>
        <v>#N/A</v>
      </c>
      <c r="AV230" s="96" t="e">
        <f ca="1">VLOOKUP(W230,Товары!A:B,2,FALSE)</f>
        <v>#N/A</v>
      </c>
      <c r="AW230" s="94" t="e">
        <f ca="1">VLOOKUP(W230,Товары!A:B,1,FALSE)</f>
        <v>#N/A</v>
      </c>
    </row>
    <row r="231" spans="1:49" x14ac:dyDescent="0.25">
      <c r="A231" s="110" t="str">
        <f t="shared" ca="1" si="20"/>
        <v>95-008-01</v>
      </c>
      <c r="B231" s="107" t="str">
        <f ca="1">_xlfn.LET(_xlpm.CAPS,0,_xlpm.Style,TRIM(_xlfn.XLOOKUP($A231,Строчный!$A:$A,Строчный!B:B,"ERR",0)),IF(_xlpm.CAPS=0,_xlpm.Style,LOWER(_xlpm.Style)))</f>
        <v>3190</v>
      </c>
      <c r="C231" s="81" t="str">
        <f ca="1">TRIM(PROPER(_xlfn.XLOOKUP($A231,Строчный!$A:$A,Строчный!C:C,"ERR",0)))</f>
        <v>Кепки</v>
      </c>
      <c r="D231" s="81" t="str">
        <f ca="1">_xlfn.LET(_xlpm.DATA,TRIM(_xlfn.XLOOKUP($A231,Строчный!$A:$A,Строчный!D:D,"ERR",0)),UPPER(MID(_xlpm.DATA,1,1))&amp;LOWER(MID(_xlpm.DATA,2,LEN(_xlpm.DATA)-1)))</f>
        <v>Кепка восьмиклинка</v>
      </c>
      <c r="E231" s="81" t="str">
        <f ca="1">PROPER(TRIM(_xlfn.XLOOKUP($A231,Строчный!$A:$A,Строчный!E:E,"ERR",0)))</f>
        <v>Fredrikson</v>
      </c>
      <c r="F231" s="81" t="str">
        <f ca="1">LOWER(TRIM(_xlfn.XLOOKUP($A231,Строчный!$A:$A,Строчный!F:F,"ERR",0)))</f>
        <v>всесезон</v>
      </c>
      <c r="G231" s="81" t="str">
        <f ca="1">UPPER(TRIM(_xlfn.XLOOKUP($A231,Строчный!$A:$A,Строчный!G:G,"ERR",0)))</f>
        <v>FREDRIKSON</v>
      </c>
      <c r="H231" s="81" t="str">
        <f ca="1">LOWER(TRIM(_xlfn.XLOOKUP($A231,Строчный!$A:$A,Строчный!H:H,"ERR",0)))</f>
        <v>684/29</v>
      </c>
      <c r="I231" s="81" t="str">
        <f ca="1">LOWER(TRIM(_xlfn.XLOOKUP($A231,Строчный!$A:$A,Строчный!I:I,"ERR",0)))</f>
        <v>светло-серый / синий</v>
      </c>
      <c r="J231" s="81" t="str">
        <f ca="1">SUBSTITUTE(LOWER(TRIM(_xlfn.XLOOKUP($A231,Строчный!$A:$A,Строчный!J:J,"ERR",0))),"подклад","Подклад")</f>
        <v>80% шерсть - 20% полиамид / Подклад: 100% вискоза</v>
      </c>
      <c r="K231" s="81" t="str">
        <f ca="1">LOWER(TRIM(_xlfn.XLOOKUP($A231,Строчный!$A:$A,Строчный!K:K,"ERR",0)))</f>
        <v>шерстяные</v>
      </c>
      <c r="L231" s="81" t="str">
        <f ca="1">PROPER(TRIM(_xlfn.XLOOKUP($A231,Строчный!$A:$A,Строчный!L:L,"ERR",0)))</f>
        <v>Унисекс</v>
      </c>
      <c r="M231" s="113" t="str">
        <f ca="1">PROPER(TRIM(_xlfn.XLOOKUP($A231,Строчный!$A:$A,Строчный!M:M,"ERR",0)))</f>
        <v>Россия</v>
      </c>
      <c r="N231" s="81" t="str">
        <f ca="1">UPPER(TRIM(_xlfn.XLOOKUP($A231,Строчный!$A:$A,Строчный!O:O,"ERR",0)))</f>
        <v/>
      </c>
      <c r="O231" s="102" t="str">
        <f ca="1">PROPER(TRIM(_xlfn.XLOOKUP($A231,Строчный!$A:$A,Строчный!P:P,"ERR",0)))</f>
        <v/>
      </c>
      <c r="P231" s="81" t="str">
        <f ca="1">PROPER(TRIM(_xlfn.XLOOKUP($A231,Строчный!$A:$A,Строчный!R:R,"ERR",0)))</f>
        <v/>
      </c>
      <c r="Q231" s="90">
        <f ca="1">VALUE(_xlfn.XLOOKUP($A231,Строчный!$A:$A,Строчный!N:N,"ERR",0))</f>
        <v>975.8</v>
      </c>
      <c r="R231" s="89" t="str">
        <f ca="1">_xlfn.XLOOKUP($G231,Фабрика!A:A,Фабрика!B:B,"ERR",0)</f>
        <v>ООО "ФРЭДРИКСОН" Россия 192029, С-Петербург, пр. Обуховской обороны, д.86, лит М</v>
      </c>
      <c r="S231" s="80" t="str">
        <f ca="1">_xlfn.XLOOKUP(RIGHT(AA231,2),Размеры!D:D,Размеры!A:A,"ERR",0)</f>
        <v>60</v>
      </c>
      <c r="T231" s="80">
        <f ca="1">VALUE(_xlfn.XLOOKUP($AA231,Строчный!$S:$S,Строчный!U:U,"ERR",0))</f>
        <v>1</v>
      </c>
      <c r="U231" s="14" t="s">
        <v>265</v>
      </c>
      <c r="V231" s="101" t="str">
        <f t="shared" ca="1" si="21"/>
        <v>Кепка FREDRIKSON арт. 3190 (светло-серый / синий)</v>
      </c>
      <c r="W231" s="100" t="str">
        <f t="shared" ca="1" si="22"/>
        <v>Кепка FREDRIKSON арт. 3190 (светло-серый / синий) {684/29}</v>
      </c>
      <c r="X231" s="18" t="str">
        <f t="shared" ca="1" si="23"/>
        <v>серый / синий</v>
      </c>
      <c r="Y231" s="18" t="str">
        <f t="shared" ca="1" si="24"/>
        <v>серый / синий</v>
      </c>
      <c r="Z231" s="117" t="s">
        <v>28</v>
      </c>
      <c r="AA231" s="73" t="str">
        <f ca="1"/>
        <v>95-008-01-60</v>
      </c>
      <c r="AB231" s="75" t="str">
        <f ca="1">VLOOKUP(C231,Группа!A:B,2,FALSE)</f>
        <v>Кепка</v>
      </c>
      <c r="AC231" s="97" t="str">
        <f ca="1">IFERROR(VLOOKUP(S231,Размеры!A:C,3,FALSE),"")</f>
        <v>60 L/XL</v>
      </c>
      <c r="AD231" s="97" t="str">
        <f ca="1">VLOOKUP(I231,ЦветПолный!A:B,2,FALSE)</f>
        <v>01</v>
      </c>
      <c r="AE231" s="97" t="str">
        <f ca="1">IFERROR(VLOOKUP(S231,Размеры!A:D,4,FALSE),"")</f>
        <v>60</v>
      </c>
      <c r="AF231" s="97">
        <f ca="1">IF(LEFT(IFERROR(VLOOKUP(LOOKUP(2,1/SEARCH(B231,Товары!A:A),Товары!A:A),Товары!A:B,2,0),""),6)=MID(AA231,1,6),1,0)</f>
        <v>0</v>
      </c>
      <c r="AH231" s="97">
        <f ca="1">SUMIF(Группа!A:A,C231,Группа!C:C)</f>
        <v>1</v>
      </c>
      <c r="AI231" s="97">
        <f ca="1">SUMIF(Группа!B:B,AB231,Группа!C:C)</f>
        <v>1</v>
      </c>
      <c r="AJ231" s="97">
        <f ca="1">SUMIF(Формы!A:A,D231,Формы!B:B)</f>
        <v>1</v>
      </c>
      <c r="AK231" s="97">
        <f ca="1">SUMIF(Материал!A:A,K231,Материал!B:B)</f>
        <v>1</v>
      </c>
      <c r="AL231" s="97">
        <f ca="1">SUMIF(Размеры!A:A,S231,Размеры!E:E)</f>
        <v>1</v>
      </c>
      <c r="AM231" s="97">
        <f ca="1">SUMIF(Сезон!A:A,F231,Сезон!B:B)</f>
        <v>1</v>
      </c>
      <c r="AN231" s="97">
        <f ca="1">SUMIF(Состав!A:A,J231,Состав!B:B)</f>
        <v>0</v>
      </c>
      <c r="AO231" s="97">
        <f ca="1">VLOOKUP(I231,ЦветПолный!A:C,3,0)</f>
        <v>1</v>
      </c>
      <c r="AP231" s="97">
        <f>SUMIF(Цвет!A:A,Z231,Цвет!B:B)</f>
        <v>1</v>
      </c>
      <c r="AQ231" s="97">
        <f ca="1">_xlfn.XLOOKUP(L231,Пол!A:A,Пол!B:B,0,0)</f>
        <v>1</v>
      </c>
      <c r="AR231" s="97">
        <f ca="1">SUMIF(Бренд!A:A,G231,Бренд!B:B)</f>
        <v>1</v>
      </c>
      <c r="AS231" s="97">
        <f ca="1">SUMIF(Страна!A:A,M231,Страна!B:B)</f>
        <v>1</v>
      </c>
      <c r="AT231" s="64" t="e">
        <f ca="1">IF(VLOOKUP(W231,Товары!A:B,2,FALSE)=A231,"Есть в 1С","ERR")</f>
        <v>#N/A</v>
      </c>
      <c r="AU231" s="65" t="e">
        <f ca="1">IF(VLOOKUP(A231,Товары!B:B,1,FALSE)=A231,"Есть в 1С","ERR")</f>
        <v>#N/A</v>
      </c>
      <c r="AV231" s="96" t="e">
        <f ca="1">VLOOKUP(W231,Товары!A:B,2,FALSE)</f>
        <v>#N/A</v>
      </c>
      <c r="AW231" s="94" t="e">
        <f ca="1">VLOOKUP(W231,Товары!A:B,1,FALSE)</f>
        <v>#N/A</v>
      </c>
    </row>
    <row r="232" spans="1:49" x14ac:dyDescent="0.25">
      <c r="A232" s="110" t="str">
        <f t="shared" ca="1" si="20"/>
        <v>95-008-01</v>
      </c>
      <c r="B232" s="107" t="str">
        <f ca="1">_xlfn.LET(_xlpm.CAPS,0,_xlpm.Style,TRIM(_xlfn.XLOOKUP($A232,Строчный!$A:$A,Строчный!B:B,"ERR",0)),IF(_xlpm.CAPS=0,_xlpm.Style,LOWER(_xlpm.Style)))</f>
        <v>3190</v>
      </c>
      <c r="C232" s="81" t="str">
        <f ca="1">TRIM(PROPER(_xlfn.XLOOKUP($A232,Строчный!$A:$A,Строчный!C:C,"ERR",0)))</f>
        <v>Кепки</v>
      </c>
      <c r="D232" s="81" t="str">
        <f ca="1">_xlfn.LET(_xlpm.DATA,TRIM(_xlfn.XLOOKUP($A232,Строчный!$A:$A,Строчный!D:D,"ERR",0)),UPPER(MID(_xlpm.DATA,1,1))&amp;LOWER(MID(_xlpm.DATA,2,LEN(_xlpm.DATA)-1)))</f>
        <v>Кепка восьмиклинка</v>
      </c>
      <c r="E232" s="81" t="str">
        <f ca="1">PROPER(TRIM(_xlfn.XLOOKUP($A232,Строчный!$A:$A,Строчный!E:E,"ERR",0)))</f>
        <v>Fredrikson</v>
      </c>
      <c r="F232" s="81" t="str">
        <f ca="1">LOWER(TRIM(_xlfn.XLOOKUP($A232,Строчный!$A:$A,Строчный!F:F,"ERR",0)))</f>
        <v>всесезон</v>
      </c>
      <c r="G232" s="81" t="str">
        <f ca="1">UPPER(TRIM(_xlfn.XLOOKUP($A232,Строчный!$A:$A,Строчный!G:G,"ERR",0)))</f>
        <v>FREDRIKSON</v>
      </c>
      <c r="H232" s="81" t="str">
        <f ca="1">LOWER(TRIM(_xlfn.XLOOKUP($A232,Строчный!$A:$A,Строчный!H:H,"ERR",0)))</f>
        <v>684/29</v>
      </c>
      <c r="I232" s="81" t="str">
        <f ca="1">LOWER(TRIM(_xlfn.XLOOKUP($A232,Строчный!$A:$A,Строчный!I:I,"ERR",0)))</f>
        <v>светло-серый / синий</v>
      </c>
      <c r="J232" s="81" t="str">
        <f ca="1">SUBSTITUTE(LOWER(TRIM(_xlfn.XLOOKUP($A232,Строчный!$A:$A,Строчный!J:J,"ERR",0))),"подклад","Подклад")</f>
        <v>80% шерсть - 20% полиамид / Подклад: 100% вискоза</v>
      </c>
      <c r="K232" s="81" t="str">
        <f ca="1">LOWER(TRIM(_xlfn.XLOOKUP($A232,Строчный!$A:$A,Строчный!K:K,"ERR",0)))</f>
        <v>шерстяные</v>
      </c>
      <c r="L232" s="81" t="str">
        <f ca="1">PROPER(TRIM(_xlfn.XLOOKUP($A232,Строчный!$A:$A,Строчный!L:L,"ERR",0)))</f>
        <v>Унисекс</v>
      </c>
      <c r="M232" s="113" t="str">
        <f ca="1">PROPER(TRIM(_xlfn.XLOOKUP($A232,Строчный!$A:$A,Строчный!M:M,"ERR",0)))</f>
        <v>Россия</v>
      </c>
      <c r="N232" s="81" t="str">
        <f ca="1">UPPER(TRIM(_xlfn.XLOOKUP($A232,Строчный!$A:$A,Строчный!O:O,"ERR",0)))</f>
        <v/>
      </c>
      <c r="O232" s="102" t="str">
        <f ca="1">PROPER(TRIM(_xlfn.XLOOKUP($A232,Строчный!$A:$A,Строчный!P:P,"ERR",0)))</f>
        <v/>
      </c>
      <c r="P232" s="81" t="str">
        <f ca="1">PROPER(TRIM(_xlfn.XLOOKUP($A232,Строчный!$A:$A,Строчный!R:R,"ERR",0)))</f>
        <v/>
      </c>
      <c r="Q232" s="90">
        <f ca="1">VALUE(_xlfn.XLOOKUP($A232,Строчный!$A:$A,Строчный!N:N,"ERR",0))</f>
        <v>975.8</v>
      </c>
      <c r="R232" s="89" t="str">
        <f ca="1">_xlfn.XLOOKUP($G232,Фабрика!A:A,Фабрика!B:B,"ERR",0)</f>
        <v>ООО "ФРЭДРИКСОН" Россия 192029, С-Петербург, пр. Обуховской обороны, д.86, лит М</v>
      </c>
      <c r="S232" s="80" t="str">
        <f ca="1">_xlfn.XLOOKUP(RIGHT(AA232,2),Размеры!D:D,Размеры!A:A,"ERR",0)</f>
        <v>59</v>
      </c>
      <c r="T232" s="80">
        <f ca="1">VALUE(_xlfn.XLOOKUP($AA232,Строчный!$S:$S,Строчный!U:U,"ERR",0))</f>
        <v>2</v>
      </c>
      <c r="U232" s="14" t="s">
        <v>265</v>
      </c>
      <c r="V232" s="101" t="str">
        <f t="shared" ca="1" si="21"/>
        <v>Кепка FREDRIKSON арт. 3190 (светло-серый / синий)</v>
      </c>
      <c r="W232" s="100" t="str">
        <f t="shared" ca="1" si="22"/>
        <v>Кепка FREDRIKSON арт. 3190 (светло-серый / синий) {684/29}</v>
      </c>
      <c r="X232" s="18" t="str">
        <f t="shared" ca="1" si="23"/>
        <v>серый / синий</v>
      </c>
      <c r="Y232" s="18" t="str">
        <f t="shared" ca="1" si="24"/>
        <v>серый / синий</v>
      </c>
      <c r="Z232" s="117" t="s">
        <v>28</v>
      </c>
      <c r="AA232" s="73" t="str">
        <f ca="1"/>
        <v>95-008-01-59</v>
      </c>
      <c r="AB232" s="75" t="str">
        <f ca="1">VLOOKUP(C232,Группа!A:B,2,FALSE)</f>
        <v>Кепка</v>
      </c>
      <c r="AC232" s="97" t="str">
        <f ca="1">IFERROR(VLOOKUP(S232,Размеры!A:C,3,FALSE),"")</f>
        <v>59 L</v>
      </c>
      <c r="AD232" s="97" t="str">
        <f ca="1">VLOOKUP(I232,ЦветПолный!A:B,2,FALSE)</f>
        <v>01</v>
      </c>
      <c r="AE232" s="97" t="str">
        <f ca="1">IFERROR(VLOOKUP(S232,Размеры!A:D,4,FALSE),"")</f>
        <v>59</v>
      </c>
      <c r="AF232" s="97">
        <f ca="1">IF(LEFT(IFERROR(VLOOKUP(LOOKUP(2,1/SEARCH(B232,Товары!A:A),Товары!A:A),Товары!A:B,2,0),""),6)=MID(AA232,1,6),1,0)</f>
        <v>0</v>
      </c>
      <c r="AH232" s="97">
        <f ca="1">SUMIF(Группа!A:A,C232,Группа!C:C)</f>
        <v>1</v>
      </c>
      <c r="AI232" s="97">
        <f ca="1">SUMIF(Группа!B:B,AB232,Группа!C:C)</f>
        <v>1</v>
      </c>
      <c r="AJ232" s="97">
        <f ca="1">SUMIF(Формы!A:A,D232,Формы!B:B)</f>
        <v>1</v>
      </c>
      <c r="AK232" s="97">
        <f ca="1">SUMIF(Материал!A:A,K232,Материал!B:B)</f>
        <v>1</v>
      </c>
      <c r="AL232" s="97">
        <f ca="1">SUMIF(Размеры!A:A,S232,Размеры!E:E)</f>
        <v>1</v>
      </c>
      <c r="AM232" s="97">
        <f ca="1">SUMIF(Сезон!A:A,F232,Сезон!B:B)</f>
        <v>1</v>
      </c>
      <c r="AN232" s="97">
        <f ca="1">SUMIF(Состав!A:A,J232,Состав!B:B)</f>
        <v>0</v>
      </c>
      <c r="AO232" s="97">
        <f ca="1">VLOOKUP(I232,ЦветПолный!A:C,3,0)</f>
        <v>1</v>
      </c>
      <c r="AP232" s="97">
        <f>SUMIF(Цвет!A:A,Z232,Цвет!B:B)</f>
        <v>1</v>
      </c>
      <c r="AQ232" s="97">
        <f ca="1">_xlfn.XLOOKUP(L232,Пол!A:A,Пол!B:B,0,0)</f>
        <v>1</v>
      </c>
      <c r="AR232" s="97">
        <f ca="1">SUMIF(Бренд!A:A,G232,Бренд!B:B)</f>
        <v>1</v>
      </c>
      <c r="AS232" s="97">
        <f ca="1">SUMIF(Страна!A:A,M232,Страна!B:B)</f>
        <v>1</v>
      </c>
      <c r="AT232" s="64" t="e">
        <f ca="1">IF(VLOOKUP(W232,Товары!A:B,2,FALSE)=A232,"Есть в 1С","ERR")</f>
        <v>#N/A</v>
      </c>
      <c r="AU232" s="65" t="e">
        <f ca="1">IF(VLOOKUP(A232,Товары!B:B,1,FALSE)=A232,"Есть в 1С","ERR")</f>
        <v>#N/A</v>
      </c>
      <c r="AV232" s="96" t="e">
        <f ca="1">VLOOKUP(W232,Товары!A:B,2,FALSE)</f>
        <v>#N/A</v>
      </c>
      <c r="AW232" s="94" t="e">
        <f ca="1">VLOOKUP(W232,Товары!A:B,1,FALSE)</f>
        <v>#N/A</v>
      </c>
    </row>
    <row r="233" spans="1:49" x14ac:dyDescent="0.25">
      <c r="A233" s="110" t="str">
        <f t="shared" ca="1" si="20"/>
        <v>95-008-01</v>
      </c>
      <c r="B233" s="107" t="str">
        <f ca="1">_xlfn.LET(_xlpm.CAPS,0,_xlpm.Style,TRIM(_xlfn.XLOOKUP($A233,Строчный!$A:$A,Строчный!B:B,"ERR",0)),IF(_xlpm.CAPS=0,_xlpm.Style,LOWER(_xlpm.Style)))</f>
        <v>3190</v>
      </c>
      <c r="C233" s="81" t="str">
        <f ca="1">TRIM(PROPER(_xlfn.XLOOKUP($A233,Строчный!$A:$A,Строчный!C:C,"ERR",0)))</f>
        <v>Кепки</v>
      </c>
      <c r="D233" s="81" t="str">
        <f ca="1">_xlfn.LET(_xlpm.DATA,TRIM(_xlfn.XLOOKUP($A233,Строчный!$A:$A,Строчный!D:D,"ERR",0)),UPPER(MID(_xlpm.DATA,1,1))&amp;LOWER(MID(_xlpm.DATA,2,LEN(_xlpm.DATA)-1)))</f>
        <v>Кепка восьмиклинка</v>
      </c>
      <c r="E233" s="81" t="str">
        <f ca="1">PROPER(TRIM(_xlfn.XLOOKUP($A233,Строчный!$A:$A,Строчный!E:E,"ERR",0)))</f>
        <v>Fredrikson</v>
      </c>
      <c r="F233" s="81" t="str">
        <f ca="1">LOWER(TRIM(_xlfn.XLOOKUP($A233,Строчный!$A:$A,Строчный!F:F,"ERR",0)))</f>
        <v>всесезон</v>
      </c>
      <c r="G233" s="81" t="str">
        <f ca="1">UPPER(TRIM(_xlfn.XLOOKUP($A233,Строчный!$A:$A,Строчный!G:G,"ERR",0)))</f>
        <v>FREDRIKSON</v>
      </c>
      <c r="H233" s="81" t="str">
        <f ca="1">LOWER(TRIM(_xlfn.XLOOKUP($A233,Строчный!$A:$A,Строчный!H:H,"ERR",0)))</f>
        <v>684/29</v>
      </c>
      <c r="I233" s="81" t="str">
        <f ca="1">LOWER(TRIM(_xlfn.XLOOKUP($A233,Строчный!$A:$A,Строчный!I:I,"ERR",0)))</f>
        <v>светло-серый / синий</v>
      </c>
      <c r="J233" s="81" t="str">
        <f ca="1">SUBSTITUTE(LOWER(TRIM(_xlfn.XLOOKUP($A233,Строчный!$A:$A,Строчный!J:J,"ERR",0))),"подклад","Подклад")</f>
        <v>80% шерсть - 20% полиамид / Подклад: 100% вискоза</v>
      </c>
      <c r="K233" s="81" t="str">
        <f ca="1">LOWER(TRIM(_xlfn.XLOOKUP($A233,Строчный!$A:$A,Строчный!K:K,"ERR",0)))</f>
        <v>шерстяные</v>
      </c>
      <c r="L233" s="81" t="str">
        <f ca="1">PROPER(TRIM(_xlfn.XLOOKUP($A233,Строчный!$A:$A,Строчный!L:L,"ERR",0)))</f>
        <v>Унисекс</v>
      </c>
      <c r="M233" s="113" t="str">
        <f ca="1">PROPER(TRIM(_xlfn.XLOOKUP($A233,Строчный!$A:$A,Строчный!M:M,"ERR",0)))</f>
        <v>Россия</v>
      </c>
      <c r="N233" s="81" t="str">
        <f ca="1">UPPER(TRIM(_xlfn.XLOOKUP($A233,Строчный!$A:$A,Строчный!O:O,"ERR",0)))</f>
        <v/>
      </c>
      <c r="O233" s="102" t="str">
        <f ca="1">PROPER(TRIM(_xlfn.XLOOKUP($A233,Строчный!$A:$A,Строчный!P:P,"ERR",0)))</f>
        <v/>
      </c>
      <c r="P233" s="81" t="str">
        <f ca="1">PROPER(TRIM(_xlfn.XLOOKUP($A233,Строчный!$A:$A,Строчный!R:R,"ERR",0)))</f>
        <v/>
      </c>
      <c r="Q233" s="90">
        <f ca="1">VALUE(_xlfn.XLOOKUP($A233,Строчный!$A:$A,Строчный!N:N,"ERR",0))</f>
        <v>975.8</v>
      </c>
      <c r="R233" s="89" t="str">
        <f ca="1">_xlfn.XLOOKUP($G233,Фабрика!A:A,Фабрика!B:B,"ERR",0)</f>
        <v>ООО "ФРЭДРИКСОН" Россия 192029, С-Петербург, пр. Обуховской обороны, д.86, лит М</v>
      </c>
      <c r="S233" s="80" t="str">
        <f ca="1">_xlfn.XLOOKUP(RIGHT(AA233,2),Размеры!D:D,Размеры!A:A,"ERR",0)</f>
        <v>58</v>
      </c>
      <c r="T233" s="80">
        <f ca="1">VALUE(_xlfn.XLOOKUP($AA233,Строчный!$S:$S,Строчный!U:U,"ERR",0))</f>
        <v>1</v>
      </c>
      <c r="U233" s="14" t="s">
        <v>265</v>
      </c>
      <c r="V233" s="101" t="str">
        <f t="shared" ca="1" si="21"/>
        <v>Кепка FREDRIKSON арт. 3190 (светло-серый / синий)</v>
      </c>
      <c r="W233" s="100" t="str">
        <f t="shared" ca="1" si="22"/>
        <v>Кепка FREDRIKSON арт. 3190 (светло-серый / синий) {684/29}</v>
      </c>
      <c r="X233" s="18" t="str">
        <f t="shared" ca="1" si="23"/>
        <v>серый / синий</v>
      </c>
      <c r="Y233" s="18" t="str">
        <f t="shared" ca="1" si="24"/>
        <v>серый / синий</v>
      </c>
      <c r="Z233" s="117" t="s">
        <v>28</v>
      </c>
      <c r="AA233" s="73" t="str">
        <f ca="1"/>
        <v>95-008-01-58</v>
      </c>
      <c r="AB233" s="75" t="str">
        <f ca="1">VLOOKUP(C233,Группа!A:B,2,FALSE)</f>
        <v>Кепка</v>
      </c>
      <c r="AC233" s="97" t="str">
        <f ca="1">IFERROR(VLOOKUP(S233,Размеры!A:C,3,FALSE),"")</f>
        <v>58 M/L</v>
      </c>
      <c r="AD233" s="97" t="str">
        <f ca="1">VLOOKUP(I233,ЦветПолный!A:B,2,FALSE)</f>
        <v>01</v>
      </c>
      <c r="AE233" s="97" t="str">
        <f ca="1">IFERROR(VLOOKUP(S233,Размеры!A:D,4,FALSE),"")</f>
        <v>58</v>
      </c>
      <c r="AF233" s="97">
        <f ca="1">IF(LEFT(IFERROR(VLOOKUP(LOOKUP(2,1/SEARCH(B233,Товары!A:A),Товары!A:A),Товары!A:B,2,0),""),6)=MID(AA233,1,6),1,0)</f>
        <v>0</v>
      </c>
      <c r="AH233" s="97">
        <f ca="1">SUMIF(Группа!A:A,C233,Группа!C:C)</f>
        <v>1</v>
      </c>
      <c r="AI233" s="97">
        <f ca="1">SUMIF(Группа!B:B,AB233,Группа!C:C)</f>
        <v>1</v>
      </c>
      <c r="AJ233" s="97">
        <f ca="1">SUMIF(Формы!A:A,D233,Формы!B:B)</f>
        <v>1</v>
      </c>
      <c r="AK233" s="97">
        <f ca="1">SUMIF(Материал!A:A,K233,Материал!B:B)</f>
        <v>1</v>
      </c>
      <c r="AL233" s="97">
        <f ca="1">SUMIF(Размеры!A:A,S233,Размеры!E:E)</f>
        <v>1</v>
      </c>
      <c r="AM233" s="97">
        <f ca="1">SUMIF(Сезон!A:A,F233,Сезон!B:B)</f>
        <v>1</v>
      </c>
      <c r="AN233" s="97">
        <f ca="1">SUMIF(Состав!A:A,J233,Состав!B:B)</f>
        <v>0</v>
      </c>
      <c r="AO233" s="97">
        <f ca="1">VLOOKUP(I233,ЦветПолный!A:C,3,0)</f>
        <v>1</v>
      </c>
      <c r="AP233" s="97">
        <f>SUMIF(Цвет!A:A,Z233,Цвет!B:B)</f>
        <v>1</v>
      </c>
      <c r="AQ233" s="97">
        <f ca="1">_xlfn.XLOOKUP(L233,Пол!A:A,Пол!B:B,0,0)</f>
        <v>1</v>
      </c>
      <c r="AR233" s="97">
        <f ca="1">SUMIF(Бренд!A:A,G233,Бренд!B:B)</f>
        <v>1</v>
      </c>
      <c r="AS233" s="97">
        <f ca="1">SUMIF(Страна!A:A,M233,Страна!B:B)</f>
        <v>1</v>
      </c>
      <c r="AT233" s="64" t="e">
        <f ca="1">IF(VLOOKUP(W233,Товары!A:B,2,FALSE)=A233,"Есть в 1С","ERR")</f>
        <v>#N/A</v>
      </c>
      <c r="AU233" s="65" t="e">
        <f ca="1">IF(VLOOKUP(A233,Товары!B:B,1,FALSE)=A233,"Есть в 1С","ERR")</f>
        <v>#N/A</v>
      </c>
      <c r="AV233" s="96" t="e">
        <f ca="1">VLOOKUP(W233,Товары!A:B,2,FALSE)</f>
        <v>#N/A</v>
      </c>
      <c r="AW233" s="94" t="e">
        <f ca="1">VLOOKUP(W233,Товары!A:B,1,FALSE)</f>
        <v>#N/A</v>
      </c>
    </row>
    <row r="234" spans="1:49" x14ac:dyDescent="0.25">
      <c r="A234" s="110" t="str">
        <f t="shared" ca="1" si="20"/>
        <v>95-008-01</v>
      </c>
      <c r="B234" s="107" t="str">
        <f ca="1">_xlfn.LET(_xlpm.CAPS,0,_xlpm.Style,TRIM(_xlfn.XLOOKUP($A234,Строчный!$A:$A,Строчный!B:B,"ERR",0)),IF(_xlpm.CAPS=0,_xlpm.Style,LOWER(_xlpm.Style)))</f>
        <v>3190</v>
      </c>
      <c r="C234" s="81" t="str">
        <f ca="1">TRIM(PROPER(_xlfn.XLOOKUP($A234,Строчный!$A:$A,Строчный!C:C,"ERR",0)))</f>
        <v>Кепки</v>
      </c>
      <c r="D234" s="81" t="str">
        <f ca="1">_xlfn.LET(_xlpm.DATA,TRIM(_xlfn.XLOOKUP($A234,Строчный!$A:$A,Строчный!D:D,"ERR",0)),UPPER(MID(_xlpm.DATA,1,1))&amp;LOWER(MID(_xlpm.DATA,2,LEN(_xlpm.DATA)-1)))</f>
        <v>Кепка восьмиклинка</v>
      </c>
      <c r="E234" s="81" t="str">
        <f ca="1">PROPER(TRIM(_xlfn.XLOOKUP($A234,Строчный!$A:$A,Строчный!E:E,"ERR",0)))</f>
        <v>Fredrikson</v>
      </c>
      <c r="F234" s="81" t="str">
        <f ca="1">LOWER(TRIM(_xlfn.XLOOKUP($A234,Строчный!$A:$A,Строчный!F:F,"ERR",0)))</f>
        <v>всесезон</v>
      </c>
      <c r="G234" s="81" t="str">
        <f ca="1">UPPER(TRIM(_xlfn.XLOOKUP($A234,Строчный!$A:$A,Строчный!G:G,"ERR",0)))</f>
        <v>FREDRIKSON</v>
      </c>
      <c r="H234" s="81" t="str">
        <f ca="1">LOWER(TRIM(_xlfn.XLOOKUP($A234,Строчный!$A:$A,Строчный!H:H,"ERR",0)))</f>
        <v>684/29</v>
      </c>
      <c r="I234" s="81" t="str">
        <f ca="1">LOWER(TRIM(_xlfn.XLOOKUP($A234,Строчный!$A:$A,Строчный!I:I,"ERR",0)))</f>
        <v>светло-серый / синий</v>
      </c>
      <c r="J234" s="81" t="str">
        <f ca="1">SUBSTITUTE(LOWER(TRIM(_xlfn.XLOOKUP($A234,Строчный!$A:$A,Строчный!J:J,"ERR",0))),"подклад","Подклад")</f>
        <v>80% шерсть - 20% полиамид / Подклад: 100% вискоза</v>
      </c>
      <c r="K234" s="81" t="str">
        <f ca="1">LOWER(TRIM(_xlfn.XLOOKUP($A234,Строчный!$A:$A,Строчный!K:K,"ERR",0)))</f>
        <v>шерстяные</v>
      </c>
      <c r="L234" s="81" t="str">
        <f ca="1">PROPER(TRIM(_xlfn.XLOOKUP($A234,Строчный!$A:$A,Строчный!L:L,"ERR",0)))</f>
        <v>Унисекс</v>
      </c>
      <c r="M234" s="113" t="str">
        <f ca="1">PROPER(TRIM(_xlfn.XLOOKUP($A234,Строчный!$A:$A,Строчный!M:M,"ERR",0)))</f>
        <v>Россия</v>
      </c>
      <c r="N234" s="81" t="str">
        <f ca="1">UPPER(TRIM(_xlfn.XLOOKUP($A234,Строчный!$A:$A,Строчный!O:O,"ERR",0)))</f>
        <v/>
      </c>
      <c r="O234" s="102" t="str">
        <f ca="1">PROPER(TRIM(_xlfn.XLOOKUP($A234,Строчный!$A:$A,Строчный!P:P,"ERR",0)))</f>
        <v/>
      </c>
      <c r="P234" s="81" t="str">
        <f ca="1">PROPER(TRIM(_xlfn.XLOOKUP($A234,Строчный!$A:$A,Строчный!R:R,"ERR",0)))</f>
        <v/>
      </c>
      <c r="Q234" s="90">
        <f ca="1">VALUE(_xlfn.XLOOKUP($A234,Строчный!$A:$A,Строчный!N:N,"ERR",0))</f>
        <v>975.8</v>
      </c>
      <c r="R234" s="89" t="str">
        <f ca="1">_xlfn.XLOOKUP($G234,Фабрика!A:A,Фабрика!B:B,"ERR",0)</f>
        <v>ООО "ФРЭДРИКСОН" Россия 192029, С-Петербург, пр. Обуховской обороны, д.86, лит М</v>
      </c>
      <c r="S234" s="80" t="str">
        <f ca="1">_xlfn.XLOOKUP(RIGHT(AA234,2),Размеры!D:D,Размеры!A:A,"ERR",0)</f>
        <v>57</v>
      </c>
      <c r="T234" s="80">
        <f ca="1">VALUE(_xlfn.XLOOKUP($AA234,Строчный!$S:$S,Строчный!U:U,"ERR",0))</f>
        <v>1</v>
      </c>
      <c r="U234" s="14" t="s">
        <v>265</v>
      </c>
      <c r="V234" s="101" t="str">
        <f t="shared" ca="1" si="21"/>
        <v>Кепка FREDRIKSON арт. 3190 (светло-серый / синий)</v>
      </c>
      <c r="W234" s="100" t="str">
        <f t="shared" ca="1" si="22"/>
        <v>Кепка FREDRIKSON арт. 3190 (светло-серый / синий) {684/29}</v>
      </c>
      <c r="X234" s="18" t="str">
        <f t="shared" ca="1" si="23"/>
        <v>серый / синий</v>
      </c>
      <c r="Y234" s="18" t="str">
        <f t="shared" ca="1" si="24"/>
        <v>серый / синий</v>
      </c>
      <c r="Z234" s="117" t="s">
        <v>28</v>
      </c>
      <c r="AA234" s="73" t="str">
        <f ca="1"/>
        <v>95-008-01-57</v>
      </c>
      <c r="AB234" s="75" t="str">
        <f ca="1">VLOOKUP(C234,Группа!A:B,2,FALSE)</f>
        <v>Кепка</v>
      </c>
      <c r="AC234" s="97" t="str">
        <f ca="1">IFERROR(VLOOKUP(S234,Размеры!A:C,3,FALSE),"")</f>
        <v>57 M</v>
      </c>
      <c r="AD234" s="97" t="str">
        <f ca="1">VLOOKUP(I234,ЦветПолный!A:B,2,FALSE)</f>
        <v>01</v>
      </c>
      <c r="AE234" s="97" t="str">
        <f ca="1">IFERROR(VLOOKUP(S234,Размеры!A:D,4,FALSE),"")</f>
        <v>57</v>
      </c>
      <c r="AF234" s="97">
        <f ca="1">IF(LEFT(IFERROR(VLOOKUP(LOOKUP(2,1/SEARCH(B234,Товары!A:A),Товары!A:A),Товары!A:B,2,0),""),6)=MID(AA234,1,6),1,0)</f>
        <v>0</v>
      </c>
      <c r="AH234" s="97">
        <f ca="1">SUMIF(Группа!A:A,C234,Группа!C:C)</f>
        <v>1</v>
      </c>
      <c r="AI234" s="97">
        <f ca="1">SUMIF(Группа!B:B,AB234,Группа!C:C)</f>
        <v>1</v>
      </c>
      <c r="AJ234" s="97">
        <f ca="1">SUMIF(Формы!A:A,D234,Формы!B:B)</f>
        <v>1</v>
      </c>
      <c r="AK234" s="97">
        <f ca="1">SUMIF(Материал!A:A,K234,Материал!B:B)</f>
        <v>1</v>
      </c>
      <c r="AL234" s="97">
        <f ca="1">SUMIF(Размеры!A:A,S234,Размеры!E:E)</f>
        <v>1</v>
      </c>
      <c r="AM234" s="97">
        <f ca="1">SUMIF(Сезон!A:A,F234,Сезон!B:B)</f>
        <v>1</v>
      </c>
      <c r="AN234" s="97">
        <f ca="1">SUMIF(Состав!A:A,J234,Состав!B:B)</f>
        <v>0</v>
      </c>
      <c r="AO234" s="97">
        <f ca="1">VLOOKUP(I234,ЦветПолный!A:C,3,0)</f>
        <v>1</v>
      </c>
      <c r="AP234" s="97">
        <f>SUMIF(Цвет!A:A,Z234,Цвет!B:B)</f>
        <v>1</v>
      </c>
      <c r="AQ234" s="97">
        <f ca="1">_xlfn.XLOOKUP(L234,Пол!A:A,Пол!B:B,0,0)</f>
        <v>1</v>
      </c>
      <c r="AR234" s="97">
        <f ca="1">SUMIF(Бренд!A:A,G234,Бренд!B:B)</f>
        <v>1</v>
      </c>
      <c r="AS234" s="97">
        <f ca="1">SUMIF(Страна!A:A,M234,Страна!B:B)</f>
        <v>1</v>
      </c>
      <c r="AT234" s="64" t="e">
        <f ca="1">IF(VLOOKUP(W234,Товары!A:B,2,FALSE)=A234,"Есть в 1С","ERR")</f>
        <v>#N/A</v>
      </c>
      <c r="AU234" s="65" t="e">
        <f ca="1">IF(VLOOKUP(A234,Товары!B:B,1,FALSE)=A234,"Есть в 1С","ERR")</f>
        <v>#N/A</v>
      </c>
      <c r="AV234" s="96" t="e">
        <f ca="1">VLOOKUP(W234,Товары!A:B,2,FALSE)</f>
        <v>#N/A</v>
      </c>
      <c r="AW234" s="94" t="e">
        <f ca="1">VLOOKUP(W234,Товары!A:B,1,FALSE)</f>
        <v>#N/A</v>
      </c>
    </row>
    <row r="235" spans="1:49" x14ac:dyDescent="0.25">
      <c r="A235" s="110" t="str">
        <f t="shared" ca="1" si="20"/>
        <v>95-007-70</v>
      </c>
      <c r="B235" s="107" t="str">
        <f ca="1">_xlfn.LET(_xlpm.CAPS,0,_xlpm.Style,TRIM(_xlfn.XLOOKUP($A235,Строчный!$A:$A,Строчный!B:B,"ERR",0)),IF(_xlpm.CAPS=0,_xlpm.Style,LOWER(_xlpm.Style)))</f>
        <v>3155</v>
      </c>
      <c r="C235" s="81" t="str">
        <f ca="1">TRIM(PROPER(_xlfn.XLOOKUP($A235,Строчный!$A:$A,Строчный!C:C,"ERR",0)))</f>
        <v>Кепки</v>
      </c>
      <c r="D235" s="81" t="str">
        <f ca="1">_xlfn.LET(_xlpm.DATA,TRIM(_xlfn.XLOOKUP($A235,Строчный!$A:$A,Строчный!D:D,"ERR",0)),UPPER(MID(_xlpm.DATA,1,1))&amp;LOWER(MID(_xlpm.DATA,2,LEN(_xlpm.DATA)-1)))</f>
        <v>Кепка восьмиклинка</v>
      </c>
      <c r="E235" s="81" t="str">
        <f ca="1">PROPER(TRIM(_xlfn.XLOOKUP($A235,Строчный!$A:$A,Строчный!E:E,"ERR",0)))</f>
        <v>Fredrikson</v>
      </c>
      <c r="F235" s="81" t="str">
        <f ca="1">LOWER(TRIM(_xlfn.XLOOKUP($A235,Строчный!$A:$A,Строчный!F:F,"ERR",0)))</f>
        <v>всесезон</v>
      </c>
      <c r="G235" s="81" t="str">
        <f ca="1">UPPER(TRIM(_xlfn.XLOOKUP($A235,Строчный!$A:$A,Строчный!G:G,"ERR",0)))</f>
        <v>FREDRIKSON</v>
      </c>
      <c r="H235" s="81" t="str">
        <f ca="1">LOWER(TRIM(_xlfn.XLOOKUP($A235,Строчный!$A:$A,Строчный!H:H,"ERR",0)))</f>
        <v>657/27</v>
      </c>
      <c r="I235" s="81" t="str">
        <f ca="1">LOWER(TRIM(_xlfn.XLOOKUP($A235,Строчный!$A:$A,Строчный!I:I,"ERR",0)))</f>
        <v>темно-синий / темно-серый</v>
      </c>
      <c r="J235" s="81" t="str">
        <f ca="1">SUBSTITUTE(LOWER(TRIM(_xlfn.XLOOKUP($A235,Строчный!$A:$A,Строчный!J:J,"ERR",0))),"подклад","Подклад")</f>
        <v>80% шерсть - 20% полиамид / Подклад: 100% вискоза</v>
      </c>
      <c r="K235" s="81" t="str">
        <f ca="1">LOWER(TRIM(_xlfn.XLOOKUP($A235,Строчный!$A:$A,Строчный!K:K,"ERR",0)))</f>
        <v>шерстяные</v>
      </c>
      <c r="L235" s="81" t="str">
        <f ca="1">PROPER(TRIM(_xlfn.XLOOKUP($A235,Строчный!$A:$A,Строчный!L:L,"ERR",0)))</f>
        <v>Унисекс</v>
      </c>
      <c r="M235" s="113" t="str">
        <f ca="1">PROPER(TRIM(_xlfn.XLOOKUP($A235,Строчный!$A:$A,Строчный!M:M,"ERR",0)))</f>
        <v>Россия</v>
      </c>
      <c r="N235" s="81" t="str">
        <f ca="1">UPPER(TRIM(_xlfn.XLOOKUP($A235,Строчный!$A:$A,Строчный!O:O,"ERR",0)))</f>
        <v/>
      </c>
      <c r="O235" s="102" t="str">
        <f ca="1">PROPER(TRIM(_xlfn.XLOOKUP($A235,Строчный!$A:$A,Строчный!P:P,"ERR",0)))</f>
        <v/>
      </c>
      <c r="P235" s="81" t="str">
        <f ca="1">PROPER(TRIM(_xlfn.XLOOKUP($A235,Строчный!$A:$A,Строчный!R:R,"ERR",0)))</f>
        <v/>
      </c>
      <c r="Q235" s="90">
        <f ca="1">VALUE(_xlfn.XLOOKUP($A235,Строчный!$A:$A,Строчный!N:N,"ERR",0))</f>
        <v>975.8</v>
      </c>
      <c r="R235" s="89" t="str">
        <f ca="1">_xlfn.XLOOKUP($G235,Фабрика!A:A,Фабрика!B:B,"ERR",0)</f>
        <v>ООО "ФРЭДРИКСОН" Россия 192029, С-Петербург, пр. Обуховской обороны, д.86, лит М</v>
      </c>
      <c r="S235" s="80" t="str">
        <f ca="1">_xlfn.XLOOKUP(RIGHT(AA235,2),Размеры!D:D,Размеры!A:A,"ERR",0)</f>
        <v>62</v>
      </c>
      <c r="T235" s="80">
        <f ca="1">VALUE(_xlfn.XLOOKUP($AA235,Строчный!$S:$S,Строчный!U:U,"ERR",0))</f>
        <v>2</v>
      </c>
      <c r="U235" s="14" t="s">
        <v>265</v>
      </c>
      <c r="V235" s="101" t="str">
        <f t="shared" ca="1" si="21"/>
        <v>Кепка FREDRIKSON арт. 3155 (темно-синий / темно-серый)</v>
      </c>
      <c r="W235" s="100" t="str">
        <f t="shared" ca="1" si="22"/>
        <v>Кепка FREDRIKSON арт. 3155 (темно-синий / темно-серый) {657/27}</v>
      </c>
      <c r="X235" s="18" t="str">
        <f t="shared" ca="1" si="23"/>
        <v>синий / темно-серый</v>
      </c>
      <c r="Y235" s="18" t="str">
        <f t="shared" ca="1" si="24"/>
        <v>синий / темно-серый</v>
      </c>
      <c r="Z235" s="117" t="s">
        <v>27</v>
      </c>
      <c r="AA235" s="73" t="str">
        <f ca="1"/>
        <v>95-007-70-62</v>
      </c>
      <c r="AB235" s="75" t="str">
        <f ca="1">VLOOKUP(C235,Группа!A:B,2,FALSE)</f>
        <v>Кепка</v>
      </c>
      <c r="AC235" s="97" t="str">
        <f ca="1">IFERROR(VLOOKUP(S235,Размеры!A:C,3,FALSE),"")</f>
        <v>62 XL/XXL</v>
      </c>
      <c r="AD235" s="97" t="str">
        <f ca="1">VLOOKUP(I235,ЦветПолный!A:B,2,FALSE)</f>
        <v>70</v>
      </c>
      <c r="AE235" s="97" t="str">
        <f ca="1">IFERROR(VLOOKUP(S235,Размеры!A:D,4,FALSE),"")</f>
        <v>62</v>
      </c>
      <c r="AF235" s="97">
        <f ca="1">IF(LEFT(IFERROR(VLOOKUP(LOOKUP(2,1/SEARCH(B235,Товары!A:A),Товары!A:A),Товары!A:B,2,0),""),6)=MID(AA235,1,6),1,0)</f>
        <v>0</v>
      </c>
      <c r="AH235" s="97">
        <f ca="1">SUMIF(Группа!A:A,C235,Группа!C:C)</f>
        <v>1</v>
      </c>
      <c r="AI235" s="97">
        <f ca="1">SUMIF(Группа!B:B,AB235,Группа!C:C)</f>
        <v>1</v>
      </c>
      <c r="AJ235" s="97">
        <f ca="1">SUMIF(Формы!A:A,D235,Формы!B:B)</f>
        <v>1</v>
      </c>
      <c r="AK235" s="97">
        <f ca="1">SUMIF(Материал!A:A,K235,Материал!B:B)</f>
        <v>1</v>
      </c>
      <c r="AL235" s="97">
        <f ca="1">SUMIF(Размеры!A:A,S235,Размеры!E:E)</f>
        <v>1</v>
      </c>
      <c r="AM235" s="97">
        <f ca="1">SUMIF(Сезон!A:A,F235,Сезон!B:B)</f>
        <v>1</v>
      </c>
      <c r="AN235" s="97">
        <f ca="1">SUMIF(Состав!A:A,J235,Состав!B:B)</f>
        <v>0</v>
      </c>
      <c r="AO235" s="97">
        <f ca="1">VLOOKUP(I235,ЦветПолный!A:C,3,0)</f>
        <v>1</v>
      </c>
      <c r="AP235" s="97">
        <f>SUMIF(Цвет!A:A,Z235,Цвет!B:B)</f>
        <v>1</v>
      </c>
      <c r="AQ235" s="97">
        <f ca="1">_xlfn.XLOOKUP(L235,Пол!A:A,Пол!B:B,0,0)</f>
        <v>1</v>
      </c>
      <c r="AR235" s="97">
        <f ca="1">SUMIF(Бренд!A:A,G235,Бренд!B:B)</f>
        <v>1</v>
      </c>
      <c r="AS235" s="97">
        <f ca="1">SUMIF(Страна!A:A,M235,Страна!B:B)</f>
        <v>1</v>
      </c>
      <c r="AT235" s="64" t="e">
        <f ca="1">IF(VLOOKUP(W235,Товары!A:B,2,FALSE)=A235,"Есть в 1С","ERR")</f>
        <v>#N/A</v>
      </c>
      <c r="AU235" s="65" t="e">
        <f ca="1">IF(VLOOKUP(A235,Товары!B:B,1,FALSE)=A235,"Есть в 1С","ERR")</f>
        <v>#N/A</v>
      </c>
      <c r="AV235" s="96" t="e">
        <f ca="1">VLOOKUP(W235,Товары!A:B,2,FALSE)</f>
        <v>#N/A</v>
      </c>
      <c r="AW235" s="94" t="e">
        <f ca="1">VLOOKUP(W235,Товары!A:B,1,FALSE)</f>
        <v>#N/A</v>
      </c>
    </row>
    <row r="236" spans="1:49" x14ac:dyDescent="0.25">
      <c r="A236" s="110" t="str">
        <f t="shared" ca="1" si="20"/>
        <v>95-007-70</v>
      </c>
      <c r="B236" s="107" t="str">
        <f ca="1">_xlfn.LET(_xlpm.CAPS,0,_xlpm.Style,TRIM(_xlfn.XLOOKUP($A236,Строчный!$A:$A,Строчный!B:B,"ERR",0)),IF(_xlpm.CAPS=0,_xlpm.Style,LOWER(_xlpm.Style)))</f>
        <v>3155</v>
      </c>
      <c r="C236" s="81" t="str">
        <f ca="1">TRIM(PROPER(_xlfn.XLOOKUP($A236,Строчный!$A:$A,Строчный!C:C,"ERR",0)))</f>
        <v>Кепки</v>
      </c>
      <c r="D236" s="81" t="str">
        <f ca="1">_xlfn.LET(_xlpm.DATA,TRIM(_xlfn.XLOOKUP($A236,Строчный!$A:$A,Строчный!D:D,"ERR",0)),UPPER(MID(_xlpm.DATA,1,1))&amp;LOWER(MID(_xlpm.DATA,2,LEN(_xlpm.DATA)-1)))</f>
        <v>Кепка восьмиклинка</v>
      </c>
      <c r="E236" s="81" t="str">
        <f ca="1">PROPER(TRIM(_xlfn.XLOOKUP($A236,Строчный!$A:$A,Строчный!E:E,"ERR",0)))</f>
        <v>Fredrikson</v>
      </c>
      <c r="F236" s="81" t="str">
        <f ca="1">LOWER(TRIM(_xlfn.XLOOKUP($A236,Строчный!$A:$A,Строчный!F:F,"ERR",0)))</f>
        <v>всесезон</v>
      </c>
      <c r="G236" s="81" t="str">
        <f ca="1">UPPER(TRIM(_xlfn.XLOOKUP($A236,Строчный!$A:$A,Строчный!G:G,"ERR",0)))</f>
        <v>FREDRIKSON</v>
      </c>
      <c r="H236" s="81" t="str">
        <f ca="1">LOWER(TRIM(_xlfn.XLOOKUP($A236,Строчный!$A:$A,Строчный!H:H,"ERR",0)))</f>
        <v>657/27</v>
      </c>
      <c r="I236" s="81" t="str">
        <f ca="1">LOWER(TRIM(_xlfn.XLOOKUP($A236,Строчный!$A:$A,Строчный!I:I,"ERR",0)))</f>
        <v>темно-синий / темно-серый</v>
      </c>
      <c r="J236" s="81" t="str">
        <f ca="1">SUBSTITUTE(LOWER(TRIM(_xlfn.XLOOKUP($A236,Строчный!$A:$A,Строчный!J:J,"ERR",0))),"подклад","Подклад")</f>
        <v>80% шерсть - 20% полиамид / Подклад: 100% вискоза</v>
      </c>
      <c r="K236" s="81" t="str">
        <f ca="1">LOWER(TRIM(_xlfn.XLOOKUP($A236,Строчный!$A:$A,Строчный!K:K,"ERR",0)))</f>
        <v>шерстяные</v>
      </c>
      <c r="L236" s="81" t="str">
        <f ca="1">PROPER(TRIM(_xlfn.XLOOKUP($A236,Строчный!$A:$A,Строчный!L:L,"ERR",0)))</f>
        <v>Унисекс</v>
      </c>
      <c r="M236" s="113" t="str">
        <f ca="1">PROPER(TRIM(_xlfn.XLOOKUP($A236,Строчный!$A:$A,Строчный!M:M,"ERR",0)))</f>
        <v>Россия</v>
      </c>
      <c r="N236" s="81" t="str">
        <f ca="1">UPPER(TRIM(_xlfn.XLOOKUP($A236,Строчный!$A:$A,Строчный!O:O,"ERR",0)))</f>
        <v/>
      </c>
      <c r="O236" s="102" t="str">
        <f ca="1">PROPER(TRIM(_xlfn.XLOOKUP($A236,Строчный!$A:$A,Строчный!P:P,"ERR",0)))</f>
        <v/>
      </c>
      <c r="P236" s="81" t="str">
        <f ca="1">PROPER(TRIM(_xlfn.XLOOKUP($A236,Строчный!$A:$A,Строчный!R:R,"ERR",0)))</f>
        <v/>
      </c>
      <c r="Q236" s="90">
        <f ca="1">VALUE(_xlfn.XLOOKUP($A236,Строчный!$A:$A,Строчный!N:N,"ERR",0))</f>
        <v>975.8</v>
      </c>
      <c r="R236" s="89" t="str">
        <f ca="1">_xlfn.XLOOKUP($G236,Фабрика!A:A,Фабрика!B:B,"ERR",0)</f>
        <v>ООО "ФРЭДРИКСОН" Россия 192029, С-Петербург, пр. Обуховской обороны, д.86, лит М</v>
      </c>
      <c r="S236" s="80" t="str">
        <f ca="1">_xlfn.XLOOKUP(RIGHT(AA236,2),Размеры!D:D,Размеры!A:A,"ERR",0)</f>
        <v>61</v>
      </c>
      <c r="T236" s="80">
        <f ca="1">VALUE(_xlfn.XLOOKUP($AA236,Строчный!$S:$S,Строчный!U:U,"ERR",0))</f>
        <v>3</v>
      </c>
      <c r="U236" s="14" t="s">
        <v>265</v>
      </c>
      <c r="V236" s="101" t="str">
        <f t="shared" ca="1" si="21"/>
        <v>Кепка FREDRIKSON арт. 3155 (темно-синий / темно-серый)</v>
      </c>
      <c r="W236" s="100" t="str">
        <f t="shared" ca="1" si="22"/>
        <v>Кепка FREDRIKSON арт. 3155 (темно-синий / темно-серый) {657/27}</v>
      </c>
      <c r="X236" s="18" t="str">
        <f t="shared" ca="1" si="23"/>
        <v>синий / темно-серый</v>
      </c>
      <c r="Y236" s="18" t="str">
        <f t="shared" ca="1" si="24"/>
        <v>синий / темно-серый</v>
      </c>
      <c r="Z236" s="117" t="s">
        <v>27</v>
      </c>
      <c r="AA236" s="73" t="str">
        <f ca="1"/>
        <v>95-007-70-61</v>
      </c>
      <c r="AB236" s="75" t="str">
        <f ca="1">VLOOKUP(C236,Группа!A:B,2,FALSE)</f>
        <v>Кепка</v>
      </c>
      <c r="AC236" s="97" t="str">
        <f ca="1">IFERROR(VLOOKUP(S236,Размеры!A:C,3,FALSE),"")</f>
        <v>61 XL</v>
      </c>
      <c r="AD236" s="97" t="str">
        <f ca="1">VLOOKUP(I236,ЦветПолный!A:B,2,FALSE)</f>
        <v>70</v>
      </c>
      <c r="AE236" s="97" t="str">
        <f ca="1">IFERROR(VLOOKUP(S236,Размеры!A:D,4,FALSE),"")</f>
        <v>61</v>
      </c>
      <c r="AF236" s="97">
        <f ca="1">IF(LEFT(IFERROR(VLOOKUP(LOOKUP(2,1/SEARCH(B236,Товары!A:A),Товары!A:A),Товары!A:B,2,0),""),6)=MID(AA236,1,6),1,0)</f>
        <v>0</v>
      </c>
      <c r="AH236" s="97">
        <f ca="1">SUMIF(Группа!A:A,C236,Группа!C:C)</f>
        <v>1</v>
      </c>
      <c r="AI236" s="97">
        <f ca="1">SUMIF(Группа!B:B,AB236,Группа!C:C)</f>
        <v>1</v>
      </c>
      <c r="AJ236" s="97">
        <f ca="1">SUMIF(Формы!A:A,D236,Формы!B:B)</f>
        <v>1</v>
      </c>
      <c r="AK236" s="97">
        <f ca="1">SUMIF(Материал!A:A,K236,Материал!B:B)</f>
        <v>1</v>
      </c>
      <c r="AL236" s="97">
        <f ca="1">SUMIF(Размеры!A:A,S236,Размеры!E:E)</f>
        <v>1</v>
      </c>
      <c r="AM236" s="97">
        <f ca="1">SUMIF(Сезон!A:A,F236,Сезон!B:B)</f>
        <v>1</v>
      </c>
      <c r="AN236" s="97">
        <f ca="1">SUMIF(Состав!A:A,J236,Состав!B:B)</f>
        <v>0</v>
      </c>
      <c r="AO236" s="97">
        <f ca="1">VLOOKUP(I236,ЦветПолный!A:C,3,0)</f>
        <v>1</v>
      </c>
      <c r="AP236" s="97">
        <f>SUMIF(Цвет!A:A,Z236,Цвет!B:B)</f>
        <v>1</v>
      </c>
      <c r="AQ236" s="97">
        <f ca="1">_xlfn.XLOOKUP(L236,Пол!A:A,Пол!B:B,0,0)</f>
        <v>1</v>
      </c>
      <c r="AR236" s="97">
        <f ca="1">SUMIF(Бренд!A:A,G236,Бренд!B:B)</f>
        <v>1</v>
      </c>
      <c r="AS236" s="97">
        <f ca="1">SUMIF(Страна!A:A,M236,Страна!B:B)</f>
        <v>1</v>
      </c>
      <c r="AT236" s="64" t="e">
        <f ca="1">IF(VLOOKUP(W236,Товары!A:B,2,FALSE)=A236,"Есть в 1С","ERR")</f>
        <v>#N/A</v>
      </c>
      <c r="AU236" s="65" t="e">
        <f ca="1">IF(VLOOKUP(A236,Товары!B:B,1,FALSE)=A236,"Есть в 1С","ERR")</f>
        <v>#N/A</v>
      </c>
      <c r="AV236" s="96" t="e">
        <f ca="1">VLOOKUP(W236,Товары!A:B,2,FALSE)</f>
        <v>#N/A</v>
      </c>
      <c r="AW236" s="94" t="e">
        <f ca="1">VLOOKUP(W236,Товары!A:B,1,FALSE)</f>
        <v>#N/A</v>
      </c>
    </row>
    <row r="237" spans="1:49" x14ac:dyDescent="0.25">
      <c r="A237" s="110" t="str">
        <f t="shared" ca="1" si="20"/>
        <v>95-007-70</v>
      </c>
      <c r="B237" s="107" t="str">
        <f ca="1">_xlfn.LET(_xlpm.CAPS,0,_xlpm.Style,TRIM(_xlfn.XLOOKUP($A237,Строчный!$A:$A,Строчный!B:B,"ERR",0)),IF(_xlpm.CAPS=0,_xlpm.Style,LOWER(_xlpm.Style)))</f>
        <v>3155</v>
      </c>
      <c r="C237" s="81" t="str">
        <f ca="1">TRIM(PROPER(_xlfn.XLOOKUP($A237,Строчный!$A:$A,Строчный!C:C,"ERR",0)))</f>
        <v>Кепки</v>
      </c>
      <c r="D237" s="81" t="str">
        <f ca="1">_xlfn.LET(_xlpm.DATA,TRIM(_xlfn.XLOOKUP($A237,Строчный!$A:$A,Строчный!D:D,"ERR",0)),UPPER(MID(_xlpm.DATA,1,1))&amp;LOWER(MID(_xlpm.DATA,2,LEN(_xlpm.DATA)-1)))</f>
        <v>Кепка восьмиклинка</v>
      </c>
      <c r="E237" s="81" t="str">
        <f ca="1">PROPER(TRIM(_xlfn.XLOOKUP($A237,Строчный!$A:$A,Строчный!E:E,"ERR",0)))</f>
        <v>Fredrikson</v>
      </c>
      <c r="F237" s="81" t="str">
        <f ca="1">LOWER(TRIM(_xlfn.XLOOKUP($A237,Строчный!$A:$A,Строчный!F:F,"ERR",0)))</f>
        <v>всесезон</v>
      </c>
      <c r="G237" s="81" t="str">
        <f ca="1">UPPER(TRIM(_xlfn.XLOOKUP($A237,Строчный!$A:$A,Строчный!G:G,"ERR",0)))</f>
        <v>FREDRIKSON</v>
      </c>
      <c r="H237" s="81" t="str">
        <f ca="1">LOWER(TRIM(_xlfn.XLOOKUP($A237,Строчный!$A:$A,Строчный!H:H,"ERR",0)))</f>
        <v>657/27</v>
      </c>
      <c r="I237" s="81" t="str">
        <f ca="1">LOWER(TRIM(_xlfn.XLOOKUP($A237,Строчный!$A:$A,Строчный!I:I,"ERR",0)))</f>
        <v>темно-синий / темно-серый</v>
      </c>
      <c r="J237" s="81" t="str">
        <f ca="1">SUBSTITUTE(LOWER(TRIM(_xlfn.XLOOKUP($A237,Строчный!$A:$A,Строчный!J:J,"ERR",0))),"подклад","Подклад")</f>
        <v>80% шерсть - 20% полиамид / Подклад: 100% вискоза</v>
      </c>
      <c r="K237" s="81" t="str">
        <f ca="1">LOWER(TRIM(_xlfn.XLOOKUP($A237,Строчный!$A:$A,Строчный!K:K,"ERR",0)))</f>
        <v>шерстяные</v>
      </c>
      <c r="L237" s="81" t="str">
        <f ca="1">PROPER(TRIM(_xlfn.XLOOKUP($A237,Строчный!$A:$A,Строчный!L:L,"ERR",0)))</f>
        <v>Унисекс</v>
      </c>
      <c r="M237" s="113" t="str">
        <f ca="1">PROPER(TRIM(_xlfn.XLOOKUP($A237,Строчный!$A:$A,Строчный!M:M,"ERR",0)))</f>
        <v>Россия</v>
      </c>
      <c r="N237" s="81" t="str">
        <f ca="1">UPPER(TRIM(_xlfn.XLOOKUP($A237,Строчный!$A:$A,Строчный!O:O,"ERR",0)))</f>
        <v/>
      </c>
      <c r="O237" s="102" t="str">
        <f ca="1">PROPER(TRIM(_xlfn.XLOOKUP($A237,Строчный!$A:$A,Строчный!P:P,"ERR",0)))</f>
        <v/>
      </c>
      <c r="P237" s="81" t="str">
        <f ca="1">PROPER(TRIM(_xlfn.XLOOKUP($A237,Строчный!$A:$A,Строчный!R:R,"ERR",0)))</f>
        <v/>
      </c>
      <c r="Q237" s="90">
        <f ca="1">VALUE(_xlfn.XLOOKUP($A237,Строчный!$A:$A,Строчный!N:N,"ERR",0))</f>
        <v>975.8</v>
      </c>
      <c r="R237" s="89" t="str">
        <f ca="1">_xlfn.XLOOKUP($G237,Фабрика!A:A,Фабрика!B:B,"ERR",0)</f>
        <v>ООО "ФРЭДРИКСОН" Россия 192029, С-Петербург, пр. Обуховской обороны, д.86, лит М</v>
      </c>
      <c r="S237" s="80" t="str">
        <f ca="1">_xlfn.XLOOKUP(RIGHT(AA237,2),Размеры!D:D,Размеры!A:A,"ERR",0)</f>
        <v>60</v>
      </c>
      <c r="T237" s="80">
        <f ca="1">VALUE(_xlfn.XLOOKUP($AA237,Строчный!$S:$S,Строчный!U:U,"ERR",0))</f>
        <v>13</v>
      </c>
      <c r="U237" s="14" t="s">
        <v>265</v>
      </c>
      <c r="V237" s="101" t="str">
        <f t="shared" ca="1" si="21"/>
        <v>Кепка FREDRIKSON арт. 3155 (темно-синий / темно-серый)</v>
      </c>
      <c r="W237" s="100" t="str">
        <f t="shared" ca="1" si="22"/>
        <v>Кепка FREDRIKSON арт. 3155 (темно-синий / темно-серый) {657/27}</v>
      </c>
      <c r="X237" s="18" t="str">
        <f t="shared" ca="1" si="23"/>
        <v>синий / темно-серый</v>
      </c>
      <c r="Y237" s="18" t="str">
        <f t="shared" ca="1" si="24"/>
        <v>синий / темно-серый</v>
      </c>
      <c r="Z237" s="117" t="s">
        <v>27</v>
      </c>
      <c r="AA237" s="73" t="str">
        <f ca="1"/>
        <v>95-007-70-60</v>
      </c>
      <c r="AB237" s="75" t="str">
        <f ca="1">VLOOKUP(C237,Группа!A:B,2,FALSE)</f>
        <v>Кепка</v>
      </c>
      <c r="AC237" s="97" t="str">
        <f ca="1">IFERROR(VLOOKUP(S237,Размеры!A:C,3,FALSE),"")</f>
        <v>60 L/XL</v>
      </c>
      <c r="AD237" s="97" t="str">
        <f ca="1">VLOOKUP(I237,ЦветПолный!A:B,2,FALSE)</f>
        <v>70</v>
      </c>
      <c r="AE237" s="97" t="str">
        <f ca="1">IFERROR(VLOOKUP(S237,Размеры!A:D,4,FALSE),"")</f>
        <v>60</v>
      </c>
      <c r="AF237" s="97">
        <f ca="1">IF(LEFT(IFERROR(VLOOKUP(LOOKUP(2,1/SEARCH(B237,Товары!A:A),Товары!A:A),Товары!A:B,2,0),""),6)=MID(AA237,1,6),1,0)</f>
        <v>0</v>
      </c>
      <c r="AH237" s="97">
        <f ca="1">SUMIF(Группа!A:A,C237,Группа!C:C)</f>
        <v>1</v>
      </c>
      <c r="AI237" s="97">
        <f ca="1">SUMIF(Группа!B:B,AB237,Группа!C:C)</f>
        <v>1</v>
      </c>
      <c r="AJ237" s="97">
        <f ca="1">SUMIF(Формы!A:A,D237,Формы!B:B)</f>
        <v>1</v>
      </c>
      <c r="AK237" s="97">
        <f ca="1">SUMIF(Материал!A:A,K237,Материал!B:B)</f>
        <v>1</v>
      </c>
      <c r="AL237" s="97">
        <f ca="1">SUMIF(Размеры!A:A,S237,Размеры!E:E)</f>
        <v>1</v>
      </c>
      <c r="AM237" s="97">
        <f ca="1">SUMIF(Сезон!A:A,F237,Сезон!B:B)</f>
        <v>1</v>
      </c>
      <c r="AN237" s="97">
        <f ca="1">SUMIF(Состав!A:A,J237,Состав!B:B)</f>
        <v>0</v>
      </c>
      <c r="AO237" s="97">
        <f ca="1">VLOOKUP(I237,ЦветПолный!A:C,3,0)</f>
        <v>1</v>
      </c>
      <c r="AP237" s="97">
        <f>SUMIF(Цвет!A:A,Z237,Цвет!B:B)</f>
        <v>1</v>
      </c>
      <c r="AQ237" s="97">
        <f ca="1">_xlfn.XLOOKUP(L237,Пол!A:A,Пол!B:B,0,0)</f>
        <v>1</v>
      </c>
      <c r="AR237" s="97">
        <f ca="1">SUMIF(Бренд!A:A,G237,Бренд!B:B)</f>
        <v>1</v>
      </c>
      <c r="AS237" s="97">
        <f ca="1">SUMIF(Страна!A:A,M237,Страна!B:B)</f>
        <v>1</v>
      </c>
      <c r="AT237" s="64" t="e">
        <f ca="1">IF(VLOOKUP(W237,Товары!A:B,2,FALSE)=A237,"Есть в 1С","ERR")</f>
        <v>#N/A</v>
      </c>
      <c r="AU237" s="65" t="e">
        <f ca="1">IF(VLOOKUP(A237,Товары!B:B,1,FALSE)=A237,"Есть в 1С","ERR")</f>
        <v>#N/A</v>
      </c>
      <c r="AV237" s="96" t="e">
        <f ca="1">VLOOKUP(W237,Товары!A:B,2,FALSE)</f>
        <v>#N/A</v>
      </c>
      <c r="AW237" s="94" t="e">
        <f ca="1">VLOOKUP(W237,Товары!A:B,1,FALSE)</f>
        <v>#N/A</v>
      </c>
    </row>
    <row r="238" spans="1:49" x14ac:dyDescent="0.25">
      <c r="A238" s="110" t="str">
        <f t="shared" ca="1" si="20"/>
        <v>95-007-70</v>
      </c>
      <c r="B238" s="107" t="str">
        <f ca="1">_xlfn.LET(_xlpm.CAPS,0,_xlpm.Style,TRIM(_xlfn.XLOOKUP($A238,Строчный!$A:$A,Строчный!B:B,"ERR",0)),IF(_xlpm.CAPS=0,_xlpm.Style,LOWER(_xlpm.Style)))</f>
        <v>3155</v>
      </c>
      <c r="C238" s="81" t="str">
        <f ca="1">TRIM(PROPER(_xlfn.XLOOKUP($A238,Строчный!$A:$A,Строчный!C:C,"ERR",0)))</f>
        <v>Кепки</v>
      </c>
      <c r="D238" s="81" t="str">
        <f ca="1">_xlfn.LET(_xlpm.DATA,TRIM(_xlfn.XLOOKUP($A238,Строчный!$A:$A,Строчный!D:D,"ERR",0)),UPPER(MID(_xlpm.DATA,1,1))&amp;LOWER(MID(_xlpm.DATA,2,LEN(_xlpm.DATA)-1)))</f>
        <v>Кепка восьмиклинка</v>
      </c>
      <c r="E238" s="81" t="str">
        <f ca="1">PROPER(TRIM(_xlfn.XLOOKUP($A238,Строчный!$A:$A,Строчный!E:E,"ERR",0)))</f>
        <v>Fredrikson</v>
      </c>
      <c r="F238" s="81" t="str">
        <f ca="1">LOWER(TRIM(_xlfn.XLOOKUP($A238,Строчный!$A:$A,Строчный!F:F,"ERR",0)))</f>
        <v>всесезон</v>
      </c>
      <c r="G238" s="81" t="str">
        <f ca="1">UPPER(TRIM(_xlfn.XLOOKUP($A238,Строчный!$A:$A,Строчный!G:G,"ERR",0)))</f>
        <v>FREDRIKSON</v>
      </c>
      <c r="H238" s="81" t="str">
        <f ca="1">LOWER(TRIM(_xlfn.XLOOKUP($A238,Строчный!$A:$A,Строчный!H:H,"ERR",0)))</f>
        <v>657/27</v>
      </c>
      <c r="I238" s="81" t="str">
        <f ca="1">LOWER(TRIM(_xlfn.XLOOKUP($A238,Строчный!$A:$A,Строчный!I:I,"ERR",0)))</f>
        <v>темно-синий / темно-серый</v>
      </c>
      <c r="J238" s="81" t="str">
        <f ca="1">SUBSTITUTE(LOWER(TRIM(_xlfn.XLOOKUP($A238,Строчный!$A:$A,Строчный!J:J,"ERR",0))),"подклад","Подклад")</f>
        <v>80% шерсть - 20% полиамид / Подклад: 100% вискоза</v>
      </c>
      <c r="K238" s="81" t="str">
        <f ca="1">LOWER(TRIM(_xlfn.XLOOKUP($A238,Строчный!$A:$A,Строчный!K:K,"ERR",0)))</f>
        <v>шерстяные</v>
      </c>
      <c r="L238" s="81" t="str">
        <f ca="1">PROPER(TRIM(_xlfn.XLOOKUP($A238,Строчный!$A:$A,Строчный!L:L,"ERR",0)))</f>
        <v>Унисекс</v>
      </c>
      <c r="M238" s="113" t="str">
        <f ca="1">PROPER(TRIM(_xlfn.XLOOKUP($A238,Строчный!$A:$A,Строчный!M:M,"ERR",0)))</f>
        <v>Россия</v>
      </c>
      <c r="N238" s="81" t="str">
        <f ca="1">UPPER(TRIM(_xlfn.XLOOKUP($A238,Строчный!$A:$A,Строчный!O:O,"ERR",0)))</f>
        <v/>
      </c>
      <c r="O238" s="102" t="str">
        <f ca="1">PROPER(TRIM(_xlfn.XLOOKUP($A238,Строчный!$A:$A,Строчный!P:P,"ERR",0)))</f>
        <v/>
      </c>
      <c r="P238" s="81" t="str">
        <f ca="1">PROPER(TRIM(_xlfn.XLOOKUP($A238,Строчный!$A:$A,Строчный!R:R,"ERR",0)))</f>
        <v/>
      </c>
      <c r="Q238" s="90">
        <f ca="1">VALUE(_xlfn.XLOOKUP($A238,Строчный!$A:$A,Строчный!N:N,"ERR",0))</f>
        <v>975.8</v>
      </c>
      <c r="R238" s="89" t="str">
        <f ca="1">_xlfn.XLOOKUP($G238,Фабрика!A:A,Фабрика!B:B,"ERR",0)</f>
        <v>ООО "ФРЭДРИКСОН" Россия 192029, С-Петербург, пр. Обуховской обороны, д.86, лит М</v>
      </c>
      <c r="S238" s="80" t="str">
        <f ca="1">_xlfn.XLOOKUP(RIGHT(AA238,2),Размеры!D:D,Размеры!A:A,"ERR",0)</f>
        <v>59</v>
      </c>
      <c r="T238" s="80">
        <f ca="1">VALUE(_xlfn.XLOOKUP($AA238,Строчный!$S:$S,Строчный!U:U,"ERR",0))</f>
        <v>18</v>
      </c>
      <c r="U238" s="14" t="s">
        <v>265</v>
      </c>
      <c r="V238" s="101" t="str">
        <f t="shared" ca="1" si="21"/>
        <v>Кепка FREDRIKSON арт. 3155 (темно-синий / темно-серый)</v>
      </c>
      <c r="W238" s="100" t="str">
        <f t="shared" ca="1" si="22"/>
        <v>Кепка FREDRIKSON арт. 3155 (темно-синий / темно-серый) {657/27}</v>
      </c>
      <c r="X238" s="18" t="str">
        <f t="shared" ca="1" si="23"/>
        <v>синий / темно-серый</v>
      </c>
      <c r="Y238" s="18" t="str">
        <f t="shared" ca="1" si="24"/>
        <v>синий / темно-серый</v>
      </c>
      <c r="Z238" s="117" t="s">
        <v>27</v>
      </c>
      <c r="AA238" s="73" t="str">
        <f ca="1"/>
        <v>95-007-70-59</v>
      </c>
      <c r="AB238" s="75" t="str">
        <f ca="1">VLOOKUP(C238,Группа!A:B,2,FALSE)</f>
        <v>Кепка</v>
      </c>
      <c r="AC238" s="97" t="str">
        <f ca="1">IFERROR(VLOOKUP(S238,Размеры!A:C,3,FALSE),"")</f>
        <v>59 L</v>
      </c>
      <c r="AD238" s="97" t="str">
        <f ca="1">VLOOKUP(I238,ЦветПолный!A:B,2,FALSE)</f>
        <v>70</v>
      </c>
      <c r="AE238" s="97" t="str">
        <f ca="1">IFERROR(VLOOKUP(S238,Размеры!A:D,4,FALSE),"")</f>
        <v>59</v>
      </c>
      <c r="AF238" s="97">
        <f ca="1">IF(LEFT(IFERROR(VLOOKUP(LOOKUP(2,1/SEARCH(B238,Товары!A:A),Товары!A:A),Товары!A:B,2,0),""),6)=MID(AA238,1,6),1,0)</f>
        <v>0</v>
      </c>
      <c r="AH238" s="97">
        <f ca="1">SUMIF(Группа!A:A,C238,Группа!C:C)</f>
        <v>1</v>
      </c>
      <c r="AI238" s="97">
        <f ca="1">SUMIF(Группа!B:B,AB238,Группа!C:C)</f>
        <v>1</v>
      </c>
      <c r="AJ238" s="97">
        <f ca="1">SUMIF(Формы!A:A,D238,Формы!B:B)</f>
        <v>1</v>
      </c>
      <c r="AK238" s="97">
        <f ca="1">SUMIF(Материал!A:A,K238,Материал!B:B)</f>
        <v>1</v>
      </c>
      <c r="AL238" s="97">
        <f ca="1">SUMIF(Размеры!A:A,S238,Размеры!E:E)</f>
        <v>1</v>
      </c>
      <c r="AM238" s="97">
        <f ca="1">SUMIF(Сезон!A:A,F238,Сезон!B:B)</f>
        <v>1</v>
      </c>
      <c r="AN238" s="97">
        <f ca="1">SUMIF(Состав!A:A,J238,Состав!B:B)</f>
        <v>0</v>
      </c>
      <c r="AO238" s="97">
        <f ca="1">VLOOKUP(I238,ЦветПолный!A:C,3,0)</f>
        <v>1</v>
      </c>
      <c r="AP238" s="97">
        <f>SUMIF(Цвет!A:A,Z238,Цвет!B:B)</f>
        <v>1</v>
      </c>
      <c r="AQ238" s="97">
        <f ca="1">_xlfn.XLOOKUP(L238,Пол!A:A,Пол!B:B,0,0)</f>
        <v>1</v>
      </c>
      <c r="AR238" s="97">
        <f ca="1">SUMIF(Бренд!A:A,G238,Бренд!B:B)</f>
        <v>1</v>
      </c>
      <c r="AS238" s="97">
        <f ca="1">SUMIF(Страна!A:A,M238,Страна!B:B)</f>
        <v>1</v>
      </c>
      <c r="AT238" s="64" t="e">
        <f ca="1">IF(VLOOKUP(W238,Товары!A:B,2,FALSE)=A238,"Есть в 1С","ERR")</f>
        <v>#N/A</v>
      </c>
      <c r="AU238" s="65" t="e">
        <f ca="1">IF(VLOOKUP(A238,Товары!B:B,1,FALSE)=A238,"Есть в 1С","ERR")</f>
        <v>#N/A</v>
      </c>
      <c r="AV238" s="96" t="e">
        <f ca="1">VLOOKUP(W238,Товары!A:B,2,FALSE)</f>
        <v>#N/A</v>
      </c>
      <c r="AW238" s="94" t="e">
        <f ca="1">VLOOKUP(W238,Товары!A:B,1,FALSE)</f>
        <v>#N/A</v>
      </c>
    </row>
    <row r="239" spans="1:49" x14ac:dyDescent="0.25">
      <c r="A239" s="110" t="str">
        <f t="shared" ca="1" si="20"/>
        <v>95-007-70</v>
      </c>
      <c r="B239" s="107" t="str">
        <f ca="1">_xlfn.LET(_xlpm.CAPS,0,_xlpm.Style,TRIM(_xlfn.XLOOKUP($A239,Строчный!$A:$A,Строчный!B:B,"ERR",0)),IF(_xlpm.CAPS=0,_xlpm.Style,LOWER(_xlpm.Style)))</f>
        <v>3155</v>
      </c>
      <c r="C239" s="81" t="str">
        <f ca="1">TRIM(PROPER(_xlfn.XLOOKUP($A239,Строчный!$A:$A,Строчный!C:C,"ERR",0)))</f>
        <v>Кепки</v>
      </c>
      <c r="D239" s="81" t="str">
        <f ca="1">_xlfn.LET(_xlpm.DATA,TRIM(_xlfn.XLOOKUP($A239,Строчный!$A:$A,Строчный!D:D,"ERR",0)),UPPER(MID(_xlpm.DATA,1,1))&amp;LOWER(MID(_xlpm.DATA,2,LEN(_xlpm.DATA)-1)))</f>
        <v>Кепка восьмиклинка</v>
      </c>
      <c r="E239" s="81" t="str">
        <f ca="1">PROPER(TRIM(_xlfn.XLOOKUP($A239,Строчный!$A:$A,Строчный!E:E,"ERR",0)))</f>
        <v>Fredrikson</v>
      </c>
      <c r="F239" s="81" t="str">
        <f ca="1">LOWER(TRIM(_xlfn.XLOOKUP($A239,Строчный!$A:$A,Строчный!F:F,"ERR",0)))</f>
        <v>всесезон</v>
      </c>
      <c r="G239" s="81" t="str">
        <f ca="1">UPPER(TRIM(_xlfn.XLOOKUP($A239,Строчный!$A:$A,Строчный!G:G,"ERR",0)))</f>
        <v>FREDRIKSON</v>
      </c>
      <c r="H239" s="81" t="str">
        <f ca="1">LOWER(TRIM(_xlfn.XLOOKUP($A239,Строчный!$A:$A,Строчный!H:H,"ERR",0)))</f>
        <v>657/27</v>
      </c>
      <c r="I239" s="81" t="str">
        <f ca="1">LOWER(TRIM(_xlfn.XLOOKUP($A239,Строчный!$A:$A,Строчный!I:I,"ERR",0)))</f>
        <v>темно-синий / темно-серый</v>
      </c>
      <c r="J239" s="81" t="str">
        <f ca="1">SUBSTITUTE(LOWER(TRIM(_xlfn.XLOOKUP($A239,Строчный!$A:$A,Строчный!J:J,"ERR",0))),"подклад","Подклад")</f>
        <v>80% шерсть - 20% полиамид / Подклад: 100% вискоза</v>
      </c>
      <c r="K239" s="81" t="str">
        <f ca="1">LOWER(TRIM(_xlfn.XLOOKUP($A239,Строчный!$A:$A,Строчный!K:K,"ERR",0)))</f>
        <v>шерстяные</v>
      </c>
      <c r="L239" s="81" t="str">
        <f ca="1">PROPER(TRIM(_xlfn.XLOOKUP($A239,Строчный!$A:$A,Строчный!L:L,"ERR",0)))</f>
        <v>Унисекс</v>
      </c>
      <c r="M239" s="113" t="str">
        <f ca="1">PROPER(TRIM(_xlfn.XLOOKUP($A239,Строчный!$A:$A,Строчный!M:M,"ERR",0)))</f>
        <v>Россия</v>
      </c>
      <c r="N239" s="81" t="str">
        <f ca="1">UPPER(TRIM(_xlfn.XLOOKUP($A239,Строчный!$A:$A,Строчный!O:O,"ERR",0)))</f>
        <v/>
      </c>
      <c r="O239" s="102" t="str">
        <f ca="1">PROPER(TRIM(_xlfn.XLOOKUP($A239,Строчный!$A:$A,Строчный!P:P,"ERR",0)))</f>
        <v/>
      </c>
      <c r="P239" s="81" t="str">
        <f ca="1">PROPER(TRIM(_xlfn.XLOOKUP($A239,Строчный!$A:$A,Строчный!R:R,"ERR",0)))</f>
        <v/>
      </c>
      <c r="Q239" s="90">
        <f ca="1">VALUE(_xlfn.XLOOKUP($A239,Строчный!$A:$A,Строчный!N:N,"ERR",0))</f>
        <v>975.8</v>
      </c>
      <c r="R239" s="89" t="str">
        <f ca="1">_xlfn.XLOOKUP($G239,Фабрика!A:A,Фабрика!B:B,"ERR",0)</f>
        <v>ООО "ФРЭДРИКСОН" Россия 192029, С-Петербург, пр. Обуховской обороны, д.86, лит М</v>
      </c>
      <c r="S239" s="80" t="str">
        <f ca="1">_xlfn.XLOOKUP(RIGHT(AA239,2),Размеры!D:D,Размеры!A:A,"ERR",0)</f>
        <v>58</v>
      </c>
      <c r="T239" s="80">
        <f ca="1">VALUE(_xlfn.XLOOKUP($AA239,Строчный!$S:$S,Строчный!U:U,"ERR",0))</f>
        <v>13</v>
      </c>
      <c r="U239" s="14" t="s">
        <v>265</v>
      </c>
      <c r="V239" s="101" t="str">
        <f t="shared" ca="1" si="21"/>
        <v>Кепка FREDRIKSON арт. 3155 (темно-синий / темно-серый)</v>
      </c>
      <c r="W239" s="100" t="str">
        <f t="shared" ca="1" si="22"/>
        <v>Кепка FREDRIKSON арт. 3155 (темно-синий / темно-серый) {657/27}</v>
      </c>
      <c r="X239" s="18" t="str">
        <f t="shared" ca="1" si="23"/>
        <v>синий / темно-серый</v>
      </c>
      <c r="Y239" s="18" t="str">
        <f t="shared" ca="1" si="24"/>
        <v>синий / темно-серый</v>
      </c>
      <c r="Z239" s="117" t="s">
        <v>27</v>
      </c>
      <c r="AA239" s="73" t="str">
        <f ca="1"/>
        <v>95-007-70-58</v>
      </c>
      <c r="AB239" s="75" t="str">
        <f ca="1">VLOOKUP(C239,Группа!A:B,2,FALSE)</f>
        <v>Кепка</v>
      </c>
      <c r="AC239" s="97" t="str">
        <f ca="1">IFERROR(VLOOKUP(S239,Размеры!A:C,3,FALSE),"")</f>
        <v>58 M/L</v>
      </c>
      <c r="AD239" s="97" t="str">
        <f ca="1">VLOOKUP(I239,ЦветПолный!A:B,2,FALSE)</f>
        <v>70</v>
      </c>
      <c r="AE239" s="97" t="str">
        <f ca="1">IFERROR(VLOOKUP(S239,Размеры!A:D,4,FALSE),"")</f>
        <v>58</v>
      </c>
      <c r="AF239" s="97">
        <f ca="1">IF(LEFT(IFERROR(VLOOKUP(LOOKUP(2,1/SEARCH(B239,Товары!A:A),Товары!A:A),Товары!A:B,2,0),""),6)=MID(AA239,1,6),1,0)</f>
        <v>0</v>
      </c>
      <c r="AH239" s="97">
        <f ca="1">SUMIF(Группа!A:A,C239,Группа!C:C)</f>
        <v>1</v>
      </c>
      <c r="AI239" s="97">
        <f ca="1">SUMIF(Группа!B:B,AB239,Группа!C:C)</f>
        <v>1</v>
      </c>
      <c r="AJ239" s="97">
        <f ca="1">SUMIF(Формы!A:A,D239,Формы!B:B)</f>
        <v>1</v>
      </c>
      <c r="AK239" s="97">
        <f ca="1">SUMIF(Материал!A:A,K239,Материал!B:B)</f>
        <v>1</v>
      </c>
      <c r="AL239" s="97">
        <f ca="1">SUMIF(Размеры!A:A,S239,Размеры!E:E)</f>
        <v>1</v>
      </c>
      <c r="AM239" s="97">
        <f ca="1">SUMIF(Сезон!A:A,F239,Сезон!B:B)</f>
        <v>1</v>
      </c>
      <c r="AN239" s="97">
        <f ca="1">SUMIF(Состав!A:A,J239,Состав!B:B)</f>
        <v>0</v>
      </c>
      <c r="AO239" s="97">
        <f ca="1">VLOOKUP(I239,ЦветПолный!A:C,3,0)</f>
        <v>1</v>
      </c>
      <c r="AP239" s="97">
        <f>SUMIF(Цвет!A:A,Z239,Цвет!B:B)</f>
        <v>1</v>
      </c>
      <c r="AQ239" s="97">
        <f ca="1">_xlfn.XLOOKUP(L239,Пол!A:A,Пол!B:B,0,0)</f>
        <v>1</v>
      </c>
      <c r="AR239" s="97">
        <f ca="1">SUMIF(Бренд!A:A,G239,Бренд!B:B)</f>
        <v>1</v>
      </c>
      <c r="AS239" s="97">
        <f ca="1">SUMIF(Страна!A:A,M239,Страна!B:B)</f>
        <v>1</v>
      </c>
      <c r="AT239" s="64" t="e">
        <f ca="1">IF(VLOOKUP(W239,Товары!A:B,2,FALSE)=A239,"Есть в 1С","ERR")</f>
        <v>#N/A</v>
      </c>
      <c r="AU239" s="65" t="e">
        <f ca="1">IF(VLOOKUP(A239,Товары!B:B,1,FALSE)=A239,"Есть в 1С","ERR")</f>
        <v>#N/A</v>
      </c>
      <c r="AV239" s="96" t="e">
        <f ca="1">VLOOKUP(W239,Товары!A:B,2,FALSE)</f>
        <v>#N/A</v>
      </c>
      <c r="AW239" s="94" t="e">
        <f ca="1">VLOOKUP(W239,Товары!A:B,1,FALSE)</f>
        <v>#N/A</v>
      </c>
    </row>
    <row r="240" spans="1:49" x14ac:dyDescent="0.25">
      <c r="A240" s="110" t="str">
        <f t="shared" ca="1" si="20"/>
        <v>95-007-70</v>
      </c>
      <c r="B240" s="107" t="str">
        <f ca="1">_xlfn.LET(_xlpm.CAPS,0,_xlpm.Style,TRIM(_xlfn.XLOOKUP($A240,Строчный!$A:$A,Строчный!B:B,"ERR",0)),IF(_xlpm.CAPS=0,_xlpm.Style,LOWER(_xlpm.Style)))</f>
        <v>3155</v>
      </c>
      <c r="C240" s="81" t="str">
        <f ca="1">TRIM(PROPER(_xlfn.XLOOKUP($A240,Строчный!$A:$A,Строчный!C:C,"ERR",0)))</f>
        <v>Кепки</v>
      </c>
      <c r="D240" s="81" t="str">
        <f ca="1">_xlfn.LET(_xlpm.DATA,TRIM(_xlfn.XLOOKUP($A240,Строчный!$A:$A,Строчный!D:D,"ERR",0)),UPPER(MID(_xlpm.DATA,1,1))&amp;LOWER(MID(_xlpm.DATA,2,LEN(_xlpm.DATA)-1)))</f>
        <v>Кепка восьмиклинка</v>
      </c>
      <c r="E240" s="81" t="str">
        <f ca="1">PROPER(TRIM(_xlfn.XLOOKUP($A240,Строчный!$A:$A,Строчный!E:E,"ERR",0)))</f>
        <v>Fredrikson</v>
      </c>
      <c r="F240" s="81" t="str">
        <f ca="1">LOWER(TRIM(_xlfn.XLOOKUP($A240,Строчный!$A:$A,Строчный!F:F,"ERR",0)))</f>
        <v>всесезон</v>
      </c>
      <c r="G240" s="81" t="str">
        <f ca="1">UPPER(TRIM(_xlfn.XLOOKUP($A240,Строчный!$A:$A,Строчный!G:G,"ERR",0)))</f>
        <v>FREDRIKSON</v>
      </c>
      <c r="H240" s="81" t="str">
        <f ca="1">LOWER(TRIM(_xlfn.XLOOKUP($A240,Строчный!$A:$A,Строчный!H:H,"ERR",0)))</f>
        <v>657/27</v>
      </c>
      <c r="I240" s="81" t="str">
        <f ca="1">LOWER(TRIM(_xlfn.XLOOKUP($A240,Строчный!$A:$A,Строчный!I:I,"ERR",0)))</f>
        <v>темно-синий / темно-серый</v>
      </c>
      <c r="J240" s="81" t="str">
        <f ca="1">SUBSTITUTE(LOWER(TRIM(_xlfn.XLOOKUP($A240,Строчный!$A:$A,Строчный!J:J,"ERR",0))),"подклад","Подклад")</f>
        <v>80% шерсть - 20% полиамид / Подклад: 100% вискоза</v>
      </c>
      <c r="K240" s="81" t="str">
        <f ca="1">LOWER(TRIM(_xlfn.XLOOKUP($A240,Строчный!$A:$A,Строчный!K:K,"ERR",0)))</f>
        <v>шерстяные</v>
      </c>
      <c r="L240" s="81" t="str">
        <f ca="1">PROPER(TRIM(_xlfn.XLOOKUP($A240,Строчный!$A:$A,Строчный!L:L,"ERR",0)))</f>
        <v>Унисекс</v>
      </c>
      <c r="M240" s="113" t="str">
        <f ca="1">PROPER(TRIM(_xlfn.XLOOKUP($A240,Строчный!$A:$A,Строчный!M:M,"ERR",0)))</f>
        <v>Россия</v>
      </c>
      <c r="N240" s="81" t="str">
        <f ca="1">UPPER(TRIM(_xlfn.XLOOKUP($A240,Строчный!$A:$A,Строчный!O:O,"ERR",0)))</f>
        <v/>
      </c>
      <c r="O240" s="102" t="str">
        <f ca="1">PROPER(TRIM(_xlfn.XLOOKUP($A240,Строчный!$A:$A,Строчный!P:P,"ERR",0)))</f>
        <v/>
      </c>
      <c r="P240" s="81" t="str">
        <f ca="1">PROPER(TRIM(_xlfn.XLOOKUP($A240,Строчный!$A:$A,Строчный!R:R,"ERR",0)))</f>
        <v/>
      </c>
      <c r="Q240" s="90">
        <f ca="1">VALUE(_xlfn.XLOOKUP($A240,Строчный!$A:$A,Строчный!N:N,"ERR",0))</f>
        <v>975.8</v>
      </c>
      <c r="R240" s="89" t="str">
        <f ca="1">_xlfn.XLOOKUP($G240,Фабрика!A:A,Фабрика!B:B,"ERR",0)</f>
        <v>ООО "ФРЭДРИКСОН" Россия 192029, С-Петербург, пр. Обуховской обороны, д.86, лит М</v>
      </c>
      <c r="S240" s="80" t="str">
        <f ca="1">_xlfn.XLOOKUP(RIGHT(AA240,2),Размеры!D:D,Размеры!A:A,"ERR",0)</f>
        <v>57</v>
      </c>
      <c r="T240" s="80">
        <f ca="1">VALUE(_xlfn.XLOOKUP($AA240,Строчный!$S:$S,Строчный!U:U,"ERR",0))</f>
        <v>8</v>
      </c>
      <c r="U240" s="14" t="s">
        <v>265</v>
      </c>
      <c r="V240" s="101" t="str">
        <f t="shared" ca="1" si="21"/>
        <v>Кепка FREDRIKSON арт. 3155 (темно-синий / темно-серый)</v>
      </c>
      <c r="W240" s="100" t="str">
        <f t="shared" ca="1" si="22"/>
        <v>Кепка FREDRIKSON арт. 3155 (темно-синий / темно-серый) {657/27}</v>
      </c>
      <c r="X240" s="18" t="str">
        <f t="shared" ca="1" si="23"/>
        <v>синий / темно-серый</v>
      </c>
      <c r="Y240" s="18" t="str">
        <f t="shared" ca="1" si="24"/>
        <v>синий / темно-серый</v>
      </c>
      <c r="Z240" s="117" t="s">
        <v>27</v>
      </c>
      <c r="AA240" s="73" t="str">
        <f ca="1"/>
        <v>95-007-70-57</v>
      </c>
      <c r="AB240" s="75" t="str">
        <f ca="1">VLOOKUP(C240,Группа!A:B,2,FALSE)</f>
        <v>Кепка</v>
      </c>
      <c r="AC240" s="97" t="str">
        <f ca="1">IFERROR(VLOOKUP(S240,Размеры!A:C,3,FALSE),"")</f>
        <v>57 M</v>
      </c>
      <c r="AD240" s="97" t="str">
        <f ca="1">VLOOKUP(I240,ЦветПолный!A:B,2,FALSE)</f>
        <v>70</v>
      </c>
      <c r="AE240" s="97" t="str">
        <f ca="1">IFERROR(VLOOKUP(S240,Размеры!A:D,4,FALSE),"")</f>
        <v>57</v>
      </c>
      <c r="AF240" s="97">
        <f ca="1">IF(LEFT(IFERROR(VLOOKUP(LOOKUP(2,1/SEARCH(B240,Товары!A:A),Товары!A:A),Товары!A:B,2,0),""),6)=MID(AA240,1,6),1,0)</f>
        <v>0</v>
      </c>
      <c r="AH240" s="97">
        <f ca="1">SUMIF(Группа!A:A,C240,Группа!C:C)</f>
        <v>1</v>
      </c>
      <c r="AI240" s="97">
        <f ca="1">SUMIF(Группа!B:B,AB240,Группа!C:C)</f>
        <v>1</v>
      </c>
      <c r="AJ240" s="97">
        <f ca="1">SUMIF(Формы!A:A,D240,Формы!B:B)</f>
        <v>1</v>
      </c>
      <c r="AK240" s="97">
        <f ca="1">SUMIF(Материал!A:A,K240,Материал!B:B)</f>
        <v>1</v>
      </c>
      <c r="AL240" s="97">
        <f ca="1">SUMIF(Размеры!A:A,S240,Размеры!E:E)</f>
        <v>1</v>
      </c>
      <c r="AM240" s="97">
        <f ca="1">SUMIF(Сезон!A:A,F240,Сезон!B:B)</f>
        <v>1</v>
      </c>
      <c r="AN240" s="97">
        <f ca="1">SUMIF(Состав!A:A,J240,Состав!B:B)</f>
        <v>0</v>
      </c>
      <c r="AO240" s="97">
        <f ca="1">VLOOKUP(I240,ЦветПолный!A:C,3,0)</f>
        <v>1</v>
      </c>
      <c r="AP240" s="97">
        <f>SUMIF(Цвет!A:A,Z240,Цвет!B:B)</f>
        <v>1</v>
      </c>
      <c r="AQ240" s="97">
        <f ca="1">_xlfn.XLOOKUP(L240,Пол!A:A,Пол!B:B,0,0)</f>
        <v>1</v>
      </c>
      <c r="AR240" s="97">
        <f ca="1">SUMIF(Бренд!A:A,G240,Бренд!B:B)</f>
        <v>1</v>
      </c>
      <c r="AS240" s="97">
        <f ca="1">SUMIF(Страна!A:A,M240,Страна!B:B)</f>
        <v>1</v>
      </c>
      <c r="AT240" s="64" t="e">
        <f ca="1">IF(VLOOKUP(W240,Товары!A:B,2,FALSE)=A240,"Есть в 1С","ERR")</f>
        <v>#N/A</v>
      </c>
      <c r="AU240" s="65" t="e">
        <f ca="1">IF(VLOOKUP(A240,Товары!B:B,1,FALSE)=A240,"Есть в 1С","ERR")</f>
        <v>#N/A</v>
      </c>
      <c r="AV240" s="96" t="e">
        <f ca="1">VLOOKUP(W240,Товары!A:B,2,FALSE)</f>
        <v>#N/A</v>
      </c>
      <c r="AW240" s="94" t="e">
        <f ca="1">VLOOKUP(W240,Товары!A:B,1,FALSE)</f>
        <v>#N/A</v>
      </c>
    </row>
    <row r="241" spans="1:49" x14ac:dyDescent="0.25">
      <c r="A241" s="110" t="str">
        <f t="shared" ca="1" si="20"/>
        <v>95-007-70</v>
      </c>
      <c r="B241" s="107" t="str">
        <f ca="1">_xlfn.LET(_xlpm.CAPS,0,_xlpm.Style,TRIM(_xlfn.XLOOKUP($A241,Строчный!$A:$A,Строчный!B:B,"ERR",0)),IF(_xlpm.CAPS=0,_xlpm.Style,LOWER(_xlpm.Style)))</f>
        <v>3155</v>
      </c>
      <c r="C241" s="81" t="str">
        <f ca="1">TRIM(PROPER(_xlfn.XLOOKUP($A241,Строчный!$A:$A,Строчный!C:C,"ERR",0)))</f>
        <v>Кепки</v>
      </c>
      <c r="D241" s="81" t="str">
        <f ca="1">_xlfn.LET(_xlpm.DATA,TRIM(_xlfn.XLOOKUP($A241,Строчный!$A:$A,Строчный!D:D,"ERR",0)),UPPER(MID(_xlpm.DATA,1,1))&amp;LOWER(MID(_xlpm.DATA,2,LEN(_xlpm.DATA)-1)))</f>
        <v>Кепка восьмиклинка</v>
      </c>
      <c r="E241" s="81" t="str">
        <f ca="1">PROPER(TRIM(_xlfn.XLOOKUP($A241,Строчный!$A:$A,Строчный!E:E,"ERR",0)))</f>
        <v>Fredrikson</v>
      </c>
      <c r="F241" s="81" t="str">
        <f ca="1">LOWER(TRIM(_xlfn.XLOOKUP($A241,Строчный!$A:$A,Строчный!F:F,"ERR",0)))</f>
        <v>всесезон</v>
      </c>
      <c r="G241" s="81" t="str">
        <f ca="1">UPPER(TRIM(_xlfn.XLOOKUP($A241,Строчный!$A:$A,Строчный!G:G,"ERR",0)))</f>
        <v>FREDRIKSON</v>
      </c>
      <c r="H241" s="81" t="str">
        <f ca="1">LOWER(TRIM(_xlfn.XLOOKUP($A241,Строчный!$A:$A,Строчный!H:H,"ERR",0)))</f>
        <v>657/27</v>
      </c>
      <c r="I241" s="81" t="str">
        <f ca="1">LOWER(TRIM(_xlfn.XLOOKUP($A241,Строчный!$A:$A,Строчный!I:I,"ERR",0)))</f>
        <v>темно-синий / темно-серый</v>
      </c>
      <c r="J241" s="81" t="str">
        <f ca="1">SUBSTITUTE(LOWER(TRIM(_xlfn.XLOOKUP($A241,Строчный!$A:$A,Строчный!J:J,"ERR",0))),"подклад","Подклад")</f>
        <v>80% шерсть - 20% полиамид / Подклад: 100% вискоза</v>
      </c>
      <c r="K241" s="81" t="str">
        <f ca="1">LOWER(TRIM(_xlfn.XLOOKUP($A241,Строчный!$A:$A,Строчный!K:K,"ERR",0)))</f>
        <v>шерстяные</v>
      </c>
      <c r="L241" s="81" t="str">
        <f ca="1">PROPER(TRIM(_xlfn.XLOOKUP($A241,Строчный!$A:$A,Строчный!L:L,"ERR",0)))</f>
        <v>Унисекс</v>
      </c>
      <c r="M241" s="113" t="str">
        <f ca="1">PROPER(TRIM(_xlfn.XLOOKUP($A241,Строчный!$A:$A,Строчный!M:M,"ERR",0)))</f>
        <v>Россия</v>
      </c>
      <c r="N241" s="81" t="str">
        <f ca="1">UPPER(TRIM(_xlfn.XLOOKUP($A241,Строчный!$A:$A,Строчный!O:O,"ERR",0)))</f>
        <v/>
      </c>
      <c r="O241" s="102" t="str">
        <f ca="1">PROPER(TRIM(_xlfn.XLOOKUP($A241,Строчный!$A:$A,Строчный!P:P,"ERR",0)))</f>
        <v/>
      </c>
      <c r="P241" s="81" t="str">
        <f ca="1">PROPER(TRIM(_xlfn.XLOOKUP($A241,Строчный!$A:$A,Строчный!R:R,"ERR",0)))</f>
        <v/>
      </c>
      <c r="Q241" s="90">
        <f ca="1">VALUE(_xlfn.XLOOKUP($A241,Строчный!$A:$A,Строчный!N:N,"ERR",0))</f>
        <v>975.8</v>
      </c>
      <c r="R241" s="89" t="str">
        <f ca="1">_xlfn.XLOOKUP($G241,Фабрика!A:A,Фабрика!B:B,"ERR",0)</f>
        <v>ООО "ФРЭДРИКСОН" Россия 192029, С-Петербург, пр. Обуховской обороны, д.86, лит М</v>
      </c>
      <c r="S241" s="80" t="str">
        <f ca="1">_xlfn.XLOOKUP(RIGHT(AA241,2),Размеры!D:D,Размеры!A:A,"ERR",0)</f>
        <v>56</v>
      </c>
      <c r="T241" s="80">
        <f ca="1">VALUE(_xlfn.XLOOKUP($AA241,Строчный!$S:$S,Строчный!U:U,"ERR",0))</f>
        <v>4</v>
      </c>
      <c r="U241" s="14" t="s">
        <v>265</v>
      </c>
      <c r="V241" s="101" t="str">
        <f t="shared" ca="1" si="21"/>
        <v>Кепка FREDRIKSON арт. 3155 (темно-синий / темно-серый)</v>
      </c>
      <c r="W241" s="100" t="str">
        <f t="shared" ca="1" si="22"/>
        <v>Кепка FREDRIKSON арт. 3155 (темно-синий / темно-серый) {657/27}</v>
      </c>
      <c r="X241" s="18" t="str">
        <f t="shared" ca="1" si="23"/>
        <v>синий / темно-серый</v>
      </c>
      <c r="Y241" s="18" t="str">
        <f t="shared" ca="1" si="24"/>
        <v>синий / темно-серый</v>
      </c>
      <c r="Z241" s="117" t="s">
        <v>27</v>
      </c>
      <c r="AA241" s="73" t="str">
        <f ca="1"/>
        <v>95-007-70-56</v>
      </c>
      <c r="AB241" s="75" t="str">
        <f ca="1">VLOOKUP(C241,Группа!A:B,2,FALSE)</f>
        <v>Кепка</v>
      </c>
      <c r="AC241" s="97" t="str">
        <f ca="1">IFERROR(VLOOKUP(S241,Размеры!A:C,3,FALSE),"")</f>
        <v>56 S/M</v>
      </c>
      <c r="AD241" s="97" t="str">
        <f ca="1">VLOOKUP(I241,ЦветПолный!A:B,2,FALSE)</f>
        <v>70</v>
      </c>
      <c r="AE241" s="97" t="str">
        <f ca="1">IFERROR(VLOOKUP(S241,Размеры!A:D,4,FALSE),"")</f>
        <v>56</v>
      </c>
      <c r="AF241" s="97">
        <f ca="1">IF(LEFT(IFERROR(VLOOKUP(LOOKUP(2,1/SEARCH(B241,Товары!A:A),Товары!A:A),Товары!A:B,2,0),""),6)=MID(AA241,1,6),1,0)</f>
        <v>0</v>
      </c>
      <c r="AH241" s="97">
        <f ca="1">SUMIF(Группа!A:A,C241,Группа!C:C)</f>
        <v>1</v>
      </c>
      <c r="AI241" s="97">
        <f ca="1">SUMIF(Группа!B:B,AB241,Группа!C:C)</f>
        <v>1</v>
      </c>
      <c r="AJ241" s="97">
        <f ca="1">SUMIF(Формы!A:A,D241,Формы!B:B)</f>
        <v>1</v>
      </c>
      <c r="AK241" s="97">
        <f ca="1">SUMIF(Материал!A:A,K241,Материал!B:B)</f>
        <v>1</v>
      </c>
      <c r="AL241" s="97">
        <f ca="1">SUMIF(Размеры!A:A,S241,Размеры!E:E)</f>
        <v>1</v>
      </c>
      <c r="AM241" s="97">
        <f ca="1">SUMIF(Сезон!A:A,F241,Сезон!B:B)</f>
        <v>1</v>
      </c>
      <c r="AN241" s="97">
        <f ca="1">SUMIF(Состав!A:A,J241,Состав!B:B)</f>
        <v>0</v>
      </c>
      <c r="AO241" s="97">
        <f ca="1">VLOOKUP(I241,ЦветПолный!A:C,3,0)</f>
        <v>1</v>
      </c>
      <c r="AP241" s="97">
        <f>SUMIF(Цвет!A:A,Z241,Цвет!B:B)</f>
        <v>1</v>
      </c>
      <c r="AQ241" s="97">
        <f ca="1">_xlfn.XLOOKUP(L241,Пол!A:A,Пол!B:B,0,0)</f>
        <v>1</v>
      </c>
      <c r="AR241" s="97">
        <f ca="1">SUMIF(Бренд!A:A,G241,Бренд!B:B)</f>
        <v>1</v>
      </c>
      <c r="AS241" s="97">
        <f ca="1">SUMIF(Страна!A:A,M241,Страна!B:B)</f>
        <v>1</v>
      </c>
      <c r="AT241" s="64" t="e">
        <f ca="1">IF(VLOOKUP(W241,Товары!A:B,2,FALSE)=A241,"Есть в 1С","ERR")</f>
        <v>#N/A</v>
      </c>
      <c r="AU241" s="65" t="e">
        <f ca="1">IF(VLOOKUP(A241,Товары!B:B,1,FALSE)=A241,"Есть в 1С","ERR")</f>
        <v>#N/A</v>
      </c>
      <c r="AV241" s="96" t="e">
        <f ca="1">VLOOKUP(W241,Товары!A:B,2,FALSE)</f>
        <v>#N/A</v>
      </c>
      <c r="AW241" s="94" t="e">
        <f ca="1">VLOOKUP(W241,Товары!A:B,1,FALSE)</f>
        <v>#N/A</v>
      </c>
    </row>
    <row r="242" spans="1:49" x14ac:dyDescent="0.25">
      <c r="A242" s="110" t="str">
        <f t="shared" ca="1" si="20"/>
        <v>95-007-66</v>
      </c>
      <c r="B242" s="107" t="str">
        <f ca="1">_xlfn.LET(_xlpm.CAPS,0,_xlpm.Style,TRIM(_xlfn.XLOOKUP($A242,Строчный!$A:$A,Строчный!B:B,"ERR",0)),IF(_xlpm.CAPS=0,_xlpm.Style,LOWER(_xlpm.Style)))</f>
        <v>3155</v>
      </c>
      <c r="C242" s="81" t="str">
        <f ca="1">TRIM(PROPER(_xlfn.XLOOKUP($A242,Строчный!$A:$A,Строчный!C:C,"ERR",0)))</f>
        <v>Кепки</v>
      </c>
      <c r="D242" s="81" t="str">
        <f ca="1">_xlfn.LET(_xlpm.DATA,TRIM(_xlfn.XLOOKUP($A242,Строчный!$A:$A,Строчный!D:D,"ERR",0)),UPPER(MID(_xlpm.DATA,1,1))&amp;LOWER(MID(_xlpm.DATA,2,LEN(_xlpm.DATA)-1)))</f>
        <v>Кепка восьмиклинка</v>
      </c>
      <c r="E242" s="81" t="str">
        <f ca="1">PROPER(TRIM(_xlfn.XLOOKUP($A242,Строчный!$A:$A,Строчный!E:E,"ERR",0)))</f>
        <v>Fredrikson</v>
      </c>
      <c r="F242" s="81" t="str">
        <f ca="1">LOWER(TRIM(_xlfn.XLOOKUP($A242,Строчный!$A:$A,Строчный!F:F,"ERR",0)))</f>
        <v>всесезон</v>
      </c>
      <c r="G242" s="81" t="str">
        <f ca="1">UPPER(TRIM(_xlfn.XLOOKUP($A242,Строчный!$A:$A,Строчный!G:G,"ERR",0)))</f>
        <v>FREDRIKSON</v>
      </c>
      <c r="H242" s="81" t="str">
        <f ca="1">LOWER(TRIM(_xlfn.XLOOKUP($A242,Строчный!$A:$A,Строчный!H:H,"ERR",0)))</f>
        <v>624/70</v>
      </c>
      <c r="I242" s="81" t="str">
        <f ca="1">LOWER(TRIM(_xlfn.XLOOKUP($A242,Строчный!$A:$A,Строчный!I:I,"ERR",0)))</f>
        <v>светло-серый / серый</v>
      </c>
      <c r="J242" s="81" t="str">
        <f ca="1">SUBSTITUTE(LOWER(TRIM(_xlfn.XLOOKUP($A242,Строчный!$A:$A,Строчный!J:J,"ERR",0))),"подклад","Подклад")</f>
        <v>80% шерсть - 20% полиамид / Подклад: 100% вискоза</v>
      </c>
      <c r="K242" s="81" t="str">
        <f ca="1">LOWER(TRIM(_xlfn.XLOOKUP($A242,Строчный!$A:$A,Строчный!K:K,"ERR",0)))</f>
        <v>шерстяные</v>
      </c>
      <c r="L242" s="81" t="str">
        <f ca="1">PROPER(TRIM(_xlfn.XLOOKUP($A242,Строчный!$A:$A,Строчный!L:L,"ERR",0)))</f>
        <v>Унисекс</v>
      </c>
      <c r="M242" s="113" t="str">
        <f ca="1">PROPER(TRIM(_xlfn.XLOOKUP($A242,Строчный!$A:$A,Строчный!M:M,"ERR",0)))</f>
        <v>Россия</v>
      </c>
      <c r="N242" s="81" t="str">
        <f ca="1">UPPER(TRIM(_xlfn.XLOOKUP($A242,Строчный!$A:$A,Строчный!O:O,"ERR",0)))</f>
        <v/>
      </c>
      <c r="O242" s="102" t="str">
        <f ca="1">PROPER(TRIM(_xlfn.XLOOKUP($A242,Строчный!$A:$A,Строчный!P:P,"ERR",0)))</f>
        <v/>
      </c>
      <c r="P242" s="81" t="str">
        <f ca="1">PROPER(TRIM(_xlfn.XLOOKUP($A242,Строчный!$A:$A,Строчный!R:R,"ERR",0)))</f>
        <v/>
      </c>
      <c r="Q242" s="90">
        <f ca="1">VALUE(_xlfn.XLOOKUP($A242,Строчный!$A:$A,Строчный!N:N,"ERR",0))</f>
        <v>975.8</v>
      </c>
      <c r="R242" s="89" t="str">
        <f ca="1">_xlfn.XLOOKUP($G242,Фабрика!A:A,Фабрика!B:B,"ERR",0)</f>
        <v>ООО "ФРЭДРИКСОН" Россия 192029, С-Петербург, пр. Обуховской обороны, д.86, лит М</v>
      </c>
      <c r="S242" s="80" t="str">
        <f ca="1">_xlfn.XLOOKUP(RIGHT(AA242,2),Размеры!D:D,Размеры!A:A,"ERR",0)</f>
        <v>62</v>
      </c>
      <c r="T242" s="80">
        <f ca="1">VALUE(_xlfn.XLOOKUP($AA242,Строчный!$S:$S,Строчный!U:U,"ERR",0))</f>
        <v>1</v>
      </c>
      <c r="U242" s="14" t="s">
        <v>265</v>
      </c>
      <c r="V242" s="101" t="str">
        <f t="shared" ca="1" si="21"/>
        <v>Кепка FREDRIKSON арт. 3155 (светло-серый / серый)</v>
      </c>
      <c r="W242" s="100" t="str">
        <f t="shared" ca="1" si="22"/>
        <v>Кепка FREDRIKSON арт. 3155 (светло-серый / серый) {624/70}</v>
      </c>
      <c r="X242" s="18" t="str">
        <f t="shared" ca="1" si="23"/>
        <v>серый / серый</v>
      </c>
      <c r="Y242" s="18" t="str">
        <f t="shared" ca="1" si="24"/>
        <v>серый / серый</v>
      </c>
      <c r="Z242" s="117" t="s">
        <v>28</v>
      </c>
      <c r="AA242" s="73" t="str">
        <f ca="1"/>
        <v>95-007-66-62</v>
      </c>
      <c r="AB242" s="75" t="str">
        <f ca="1">VLOOKUP(C242,Группа!A:B,2,FALSE)</f>
        <v>Кепка</v>
      </c>
      <c r="AC242" s="97" t="str">
        <f ca="1">IFERROR(VLOOKUP(S242,Размеры!A:C,3,FALSE),"")</f>
        <v>62 XL/XXL</v>
      </c>
      <c r="AD242" s="97" t="str">
        <f ca="1">VLOOKUP(I242,ЦветПолный!A:B,2,FALSE)</f>
        <v>66</v>
      </c>
      <c r="AE242" s="97" t="str">
        <f ca="1">IFERROR(VLOOKUP(S242,Размеры!A:D,4,FALSE),"")</f>
        <v>62</v>
      </c>
      <c r="AF242" s="97">
        <f ca="1">IF(LEFT(IFERROR(VLOOKUP(LOOKUP(2,1/SEARCH(B242,Товары!A:A),Товары!A:A),Товары!A:B,2,0),""),6)=MID(AA242,1,6),1,0)</f>
        <v>0</v>
      </c>
      <c r="AH242" s="97">
        <f ca="1">SUMIF(Группа!A:A,C242,Группа!C:C)</f>
        <v>1</v>
      </c>
      <c r="AI242" s="97">
        <f ca="1">SUMIF(Группа!B:B,AB242,Группа!C:C)</f>
        <v>1</v>
      </c>
      <c r="AJ242" s="97">
        <f ca="1">SUMIF(Формы!A:A,D242,Формы!B:B)</f>
        <v>1</v>
      </c>
      <c r="AK242" s="97">
        <f ca="1">SUMIF(Материал!A:A,K242,Материал!B:B)</f>
        <v>1</v>
      </c>
      <c r="AL242" s="97">
        <f ca="1">SUMIF(Размеры!A:A,S242,Размеры!E:E)</f>
        <v>1</v>
      </c>
      <c r="AM242" s="97">
        <f ca="1">SUMIF(Сезон!A:A,F242,Сезон!B:B)</f>
        <v>1</v>
      </c>
      <c r="AN242" s="97">
        <f ca="1">SUMIF(Состав!A:A,J242,Состав!B:B)</f>
        <v>0</v>
      </c>
      <c r="AO242" s="97">
        <f ca="1">VLOOKUP(I242,ЦветПолный!A:C,3,0)</f>
        <v>1</v>
      </c>
      <c r="AP242" s="97">
        <f>SUMIF(Цвет!A:A,Z242,Цвет!B:B)</f>
        <v>1</v>
      </c>
      <c r="AQ242" s="97">
        <f ca="1">_xlfn.XLOOKUP(L242,Пол!A:A,Пол!B:B,0,0)</f>
        <v>1</v>
      </c>
      <c r="AR242" s="97">
        <f ca="1">SUMIF(Бренд!A:A,G242,Бренд!B:B)</f>
        <v>1</v>
      </c>
      <c r="AS242" s="97">
        <f ca="1">SUMIF(Страна!A:A,M242,Страна!B:B)</f>
        <v>1</v>
      </c>
      <c r="AT242" s="64" t="e">
        <f ca="1">IF(VLOOKUP(W242,Товары!A:B,2,FALSE)=A242,"Есть в 1С","ERR")</f>
        <v>#N/A</v>
      </c>
      <c r="AU242" s="65" t="e">
        <f ca="1">IF(VLOOKUP(A242,Товары!B:B,1,FALSE)=A242,"Есть в 1С","ERR")</f>
        <v>#N/A</v>
      </c>
      <c r="AV242" s="96" t="e">
        <f ca="1">VLOOKUP(W242,Товары!A:B,2,FALSE)</f>
        <v>#N/A</v>
      </c>
      <c r="AW242" s="94" t="e">
        <f ca="1">VLOOKUP(W242,Товары!A:B,1,FALSE)</f>
        <v>#N/A</v>
      </c>
    </row>
    <row r="243" spans="1:49" x14ac:dyDescent="0.25">
      <c r="A243" s="110" t="str">
        <f t="shared" ca="1" si="20"/>
        <v>95-007-66</v>
      </c>
      <c r="B243" s="107" t="str">
        <f ca="1">_xlfn.LET(_xlpm.CAPS,0,_xlpm.Style,TRIM(_xlfn.XLOOKUP($A243,Строчный!$A:$A,Строчный!B:B,"ERR",0)),IF(_xlpm.CAPS=0,_xlpm.Style,LOWER(_xlpm.Style)))</f>
        <v>3155</v>
      </c>
      <c r="C243" s="81" t="str">
        <f ca="1">TRIM(PROPER(_xlfn.XLOOKUP($A243,Строчный!$A:$A,Строчный!C:C,"ERR",0)))</f>
        <v>Кепки</v>
      </c>
      <c r="D243" s="81" t="str">
        <f ca="1">_xlfn.LET(_xlpm.DATA,TRIM(_xlfn.XLOOKUP($A243,Строчный!$A:$A,Строчный!D:D,"ERR",0)),UPPER(MID(_xlpm.DATA,1,1))&amp;LOWER(MID(_xlpm.DATA,2,LEN(_xlpm.DATA)-1)))</f>
        <v>Кепка восьмиклинка</v>
      </c>
      <c r="E243" s="81" t="str">
        <f ca="1">PROPER(TRIM(_xlfn.XLOOKUP($A243,Строчный!$A:$A,Строчный!E:E,"ERR",0)))</f>
        <v>Fredrikson</v>
      </c>
      <c r="F243" s="81" t="str">
        <f ca="1">LOWER(TRIM(_xlfn.XLOOKUP($A243,Строчный!$A:$A,Строчный!F:F,"ERR",0)))</f>
        <v>всесезон</v>
      </c>
      <c r="G243" s="81" t="str">
        <f ca="1">UPPER(TRIM(_xlfn.XLOOKUP($A243,Строчный!$A:$A,Строчный!G:G,"ERR",0)))</f>
        <v>FREDRIKSON</v>
      </c>
      <c r="H243" s="81" t="str">
        <f ca="1">LOWER(TRIM(_xlfn.XLOOKUP($A243,Строчный!$A:$A,Строчный!H:H,"ERR",0)))</f>
        <v>624/70</v>
      </c>
      <c r="I243" s="81" t="str">
        <f ca="1">LOWER(TRIM(_xlfn.XLOOKUP($A243,Строчный!$A:$A,Строчный!I:I,"ERR",0)))</f>
        <v>светло-серый / серый</v>
      </c>
      <c r="J243" s="81" t="str">
        <f ca="1">SUBSTITUTE(LOWER(TRIM(_xlfn.XLOOKUP($A243,Строчный!$A:$A,Строчный!J:J,"ERR",0))),"подклад","Подклад")</f>
        <v>80% шерсть - 20% полиамид / Подклад: 100% вискоза</v>
      </c>
      <c r="K243" s="81" t="str">
        <f ca="1">LOWER(TRIM(_xlfn.XLOOKUP($A243,Строчный!$A:$A,Строчный!K:K,"ERR",0)))</f>
        <v>шерстяные</v>
      </c>
      <c r="L243" s="81" t="str">
        <f ca="1">PROPER(TRIM(_xlfn.XLOOKUP($A243,Строчный!$A:$A,Строчный!L:L,"ERR",0)))</f>
        <v>Унисекс</v>
      </c>
      <c r="M243" s="113" t="str">
        <f ca="1">PROPER(TRIM(_xlfn.XLOOKUP($A243,Строчный!$A:$A,Строчный!M:M,"ERR",0)))</f>
        <v>Россия</v>
      </c>
      <c r="N243" s="81" t="str">
        <f ca="1">UPPER(TRIM(_xlfn.XLOOKUP($A243,Строчный!$A:$A,Строчный!O:O,"ERR",0)))</f>
        <v/>
      </c>
      <c r="O243" s="102" t="str">
        <f ca="1">PROPER(TRIM(_xlfn.XLOOKUP($A243,Строчный!$A:$A,Строчный!P:P,"ERR",0)))</f>
        <v/>
      </c>
      <c r="P243" s="81" t="str">
        <f ca="1">PROPER(TRIM(_xlfn.XLOOKUP($A243,Строчный!$A:$A,Строчный!R:R,"ERR",0)))</f>
        <v/>
      </c>
      <c r="Q243" s="90">
        <f ca="1">VALUE(_xlfn.XLOOKUP($A243,Строчный!$A:$A,Строчный!N:N,"ERR",0))</f>
        <v>975.8</v>
      </c>
      <c r="R243" s="89" t="str">
        <f ca="1">_xlfn.XLOOKUP($G243,Фабрика!A:A,Фабрика!B:B,"ERR",0)</f>
        <v>ООО "ФРЭДРИКСОН" Россия 192029, С-Петербург, пр. Обуховской обороны, д.86, лит М</v>
      </c>
      <c r="S243" s="80" t="str">
        <f ca="1">_xlfn.XLOOKUP(RIGHT(AA243,2),Размеры!D:D,Размеры!A:A,"ERR",0)</f>
        <v>61</v>
      </c>
      <c r="T243" s="80">
        <f ca="1">VALUE(_xlfn.XLOOKUP($AA243,Строчный!$S:$S,Строчный!U:U,"ERR",0))</f>
        <v>4</v>
      </c>
      <c r="U243" s="14" t="s">
        <v>265</v>
      </c>
      <c r="V243" s="101" t="str">
        <f t="shared" ca="1" si="21"/>
        <v>Кепка FREDRIKSON арт. 3155 (светло-серый / серый)</v>
      </c>
      <c r="W243" s="100" t="str">
        <f t="shared" ca="1" si="22"/>
        <v>Кепка FREDRIKSON арт. 3155 (светло-серый / серый) {624/70}</v>
      </c>
      <c r="X243" s="18" t="str">
        <f t="shared" ca="1" si="23"/>
        <v>серый / серый</v>
      </c>
      <c r="Y243" s="18" t="str">
        <f t="shared" ca="1" si="24"/>
        <v>серый / серый</v>
      </c>
      <c r="Z243" s="117" t="s">
        <v>28</v>
      </c>
      <c r="AA243" s="73" t="str">
        <f ca="1"/>
        <v>95-007-66-61</v>
      </c>
      <c r="AB243" s="75" t="str">
        <f ca="1">VLOOKUP(C243,Группа!A:B,2,FALSE)</f>
        <v>Кепка</v>
      </c>
      <c r="AC243" s="97" t="str">
        <f ca="1">IFERROR(VLOOKUP(S243,Размеры!A:C,3,FALSE),"")</f>
        <v>61 XL</v>
      </c>
      <c r="AD243" s="97" t="str">
        <f ca="1">VLOOKUP(I243,ЦветПолный!A:B,2,FALSE)</f>
        <v>66</v>
      </c>
      <c r="AE243" s="97" t="str">
        <f ca="1">IFERROR(VLOOKUP(S243,Размеры!A:D,4,FALSE),"")</f>
        <v>61</v>
      </c>
      <c r="AF243" s="97">
        <f ca="1">IF(LEFT(IFERROR(VLOOKUP(LOOKUP(2,1/SEARCH(B243,Товары!A:A),Товары!A:A),Товары!A:B,2,0),""),6)=MID(AA243,1,6),1,0)</f>
        <v>0</v>
      </c>
      <c r="AH243" s="97">
        <f ca="1">SUMIF(Группа!A:A,C243,Группа!C:C)</f>
        <v>1</v>
      </c>
      <c r="AI243" s="97">
        <f ca="1">SUMIF(Группа!B:B,AB243,Группа!C:C)</f>
        <v>1</v>
      </c>
      <c r="AJ243" s="97">
        <f ca="1">SUMIF(Формы!A:A,D243,Формы!B:B)</f>
        <v>1</v>
      </c>
      <c r="AK243" s="97">
        <f ca="1">SUMIF(Материал!A:A,K243,Материал!B:B)</f>
        <v>1</v>
      </c>
      <c r="AL243" s="97">
        <f ca="1">SUMIF(Размеры!A:A,S243,Размеры!E:E)</f>
        <v>1</v>
      </c>
      <c r="AM243" s="97">
        <f ca="1">SUMIF(Сезон!A:A,F243,Сезон!B:B)</f>
        <v>1</v>
      </c>
      <c r="AN243" s="97">
        <f ca="1">SUMIF(Состав!A:A,J243,Состав!B:B)</f>
        <v>0</v>
      </c>
      <c r="AO243" s="97">
        <f ca="1">VLOOKUP(I243,ЦветПолный!A:C,3,0)</f>
        <v>1</v>
      </c>
      <c r="AP243" s="97">
        <f>SUMIF(Цвет!A:A,Z243,Цвет!B:B)</f>
        <v>1</v>
      </c>
      <c r="AQ243" s="97">
        <f ca="1">_xlfn.XLOOKUP(L243,Пол!A:A,Пол!B:B,0,0)</f>
        <v>1</v>
      </c>
      <c r="AR243" s="97">
        <f ca="1">SUMIF(Бренд!A:A,G243,Бренд!B:B)</f>
        <v>1</v>
      </c>
      <c r="AS243" s="97">
        <f ca="1">SUMIF(Страна!A:A,M243,Страна!B:B)</f>
        <v>1</v>
      </c>
      <c r="AT243" s="64" t="e">
        <f ca="1">IF(VLOOKUP(W243,Товары!A:B,2,FALSE)=A243,"Есть в 1С","ERR")</f>
        <v>#N/A</v>
      </c>
      <c r="AU243" s="65" t="e">
        <f ca="1">IF(VLOOKUP(A243,Товары!B:B,1,FALSE)=A243,"Есть в 1С","ERR")</f>
        <v>#N/A</v>
      </c>
      <c r="AV243" s="96" t="e">
        <f ca="1">VLOOKUP(W243,Товары!A:B,2,FALSE)</f>
        <v>#N/A</v>
      </c>
      <c r="AW243" s="94" t="e">
        <f ca="1">VLOOKUP(W243,Товары!A:B,1,FALSE)</f>
        <v>#N/A</v>
      </c>
    </row>
    <row r="244" spans="1:49" x14ac:dyDescent="0.25">
      <c r="A244" s="110" t="str">
        <f t="shared" ca="1" si="20"/>
        <v>95-007-66</v>
      </c>
      <c r="B244" s="107" t="str">
        <f ca="1">_xlfn.LET(_xlpm.CAPS,0,_xlpm.Style,TRIM(_xlfn.XLOOKUP($A244,Строчный!$A:$A,Строчный!B:B,"ERR",0)),IF(_xlpm.CAPS=0,_xlpm.Style,LOWER(_xlpm.Style)))</f>
        <v>3155</v>
      </c>
      <c r="C244" s="81" t="str">
        <f ca="1">TRIM(PROPER(_xlfn.XLOOKUP($A244,Строчный!$A:$A,Строчный!C:C,"ERR",0)))</f>
        <v>Кепки</v>
      </c>
      <c r="D244" s="81" t="str">
        <f ca="1">_xlfn.LET(_xlpm.DATA,TRIM(_xlfn.XLOOKUP($A244,Строчный!$A:$A,Строчный!D:D,"ERR",0)),UPPER(MID(_xlpm.DATA,1,1))&amp;LOWER(MID(_xlpm.DATA,2,LEN(_xlpm.DATA)-1)))</f>
        <v>Кепка восьмиклинка</v>
      </c>
      <c r="E244" s="81" t="str">
        <f ca="1">PROPER(TRIM(_xlfn.XLOOKUP($A244,Строчный!$A:$A,Строчный!E:E,"ERR",0)))</f>
        <v>Fredrikson</v>
      </c>
      <c r="F244" s="81" t="str">
        <f ca="1">LOWER(TRIM(_xlfn.XLOOKUP($A244,Строчный!$A:$A,Строчный!F:F,"ERR",0)))</f>
        <v>всесезон</v>
      </c>
      <c r="G244" s="81" t="str">
        <f ca="1">UPPER(TRIM(_xlfn.XLOOKUP($A244,Строчный!$A:$A,Строчный!G:G,"ERR",0)))</f>
        <v>FREDRIKSON</v>
      </c>
      <c r="H244" s="81" t="str">
        <f ca="1">LOWER(TRIM(_xlfn.XLOOKUP($A244,Строчный!$A:$A,Строчный!H:H,"ERR",0)))</f>
        <v>624/70</v>
      </c>
      <c r="I244" s="81" t="str">
        <f ca="1">LOWER(TRIM(_xlfn.XLOOKUP($A244,Строчный!$A:$A,Строчный!I:I,"ERR",0)))</f>
        <v>светло-серый / серый</v>
      </c>
      <c r="J244" s="81" t="str">
        <f ca="1">SUBSTITUTE(LOWER(TRIM(_xlfn.XLOOKUP($A244,Строчный!$A:$A,Строчный!J:J,"ERR",0))),"подклад","Подклад")</f>
        <v>80% шерсть - 20% полиамид / Подклад: 100% вискоза</v>
      </c>
      <c r="K244" s="81" t="str">
        <f ca="1">LOWER(TRIM(_xlfn.XLOOKUP($A244,Строчный!$A:$A,Строчный!K:K,"ERR",0)))</f>
        <v>шерстяные</v>
      </c>
      <c r="L244" s="81" t="str">
        <f ca="1">PROPER(TRIM(_xlfn.XLOOKUP($A244,Строчный!$A:$A,Строчный!L:L,"ERR",0)))</f>
        <v>Унисекс</v>
      </c>
      <c r="M244" s="113" t="str">
        <f ca="1">PROPER(TRIM(_xlfn.XLOOKUP($A244,Строчный!$A:$A,Строчный!M:M,"ERR",0)))</f>
        <v>Россия</v>
      </c>
      <c r="N244" s="81" t="str">
        <f ca="1">UPPER(TRIM(_xlfn.XLOOKUP($A244,Строчный!$A:$A,Строчный!O:O,"ERR",0)))</f>
        <v/>
      </c>
      <c r="O244" s="102" t="str">
        <f ca="1">PROPER(TRIM(_xlfn.XLOOKUP($A244,Строчный!$A:$A,Строчный!P:P,"ERR",0)))</f>
        <v/>
      </c>
      <c r="P244" s="81" t="str">
        <f ca="1">PROPER(TRIM(_xlfn.XLOOKUP($A244,Строчный!$A:$A,Строчный!R:R,"ERR",0)))</f>
        <v/>
      </c>
      <c r="Q244" s="90">
        <f ca="1">VALUE(_xlfn.XLOOKUP($A244,Строчный!$A:$A,Строчный!N:N,"ERR",0))</f>
        <v>975.8</v>
      </c>
      <c r="R244" s="89" t="str">
        <f ca="1">_xlfn.XLOOKUP($G244,Фабрика!A:A,Фабрика!B:B,"ERR",0)</f>
        <v>ООО "ФРЭДРИКСОН" Россия 192029, С-Петербург, пр. Обуховской обороны, д.86, лит М</v>
      </c>
      <c r="S244" s="80" t="str">
        <f ca="1">_xlfn.XLOOKUP(RIGHT(AA244,2),Размеры!D:D,Размеры!A:A,"ERR",0)</f>
        <v>60</v>
      </c>
      <c r="T244" s="80">
        <f ca="1">VALUE(_xlfn.XLOOKUP($AA244,Строчный!$S:$S,Строчный!U:U,"ERR",0))</f>
        <v>6</v>
      </c>
      <c r="U244" s="14" t="s">
        <v>265</v>
      </c>
      <c r="V244" s="101" t="str">
        <f t="shared" ca="1" si="21"/>
        <v>Кепка FREDRIKSON арт. 3155 (светло-серый / серый)</v>
      </c>
      <c r="W244" s="100" t="str">
        <f t="shared" ca="1" si="22"/>
        <v>Кепка FREDRIKSON арт. 3155 (светло-серый / серый) {624/70}</v>
      </c>
      <c r="X244" s="18" t="str">
        <f t="shared" ca="1" si="23"/>
        <v>серый / серый</v>
      </c>
      <c r="Y244" s="18" t="str">
        <f t="shared" ca="1" si="24"/>
        <v>серый / серый</v>
      </c>
      <c r="Z244" s="117" t="s">
        <v>28</v>
      </c>
      <c r="AA244" s="73" t="str">
        <f ca="1"/>
        <v>95-007-66-60</v>
      </c>
      <c r="AB244" s="75" t="str">
        <f ca="1">VLOOKUP(C244,Группа!A:B,2,FALSE)</f>
        <v>Кепка</v>
      </c>
      <c r="AC244" s="97" t="str">
        <f ca="1">IFERROR(VLOOKUP(S244,Размеры!A:C,3,FALSE),"")</f>
        <v>60 L/XL</v>
      </c>
      <c r="AD244" s="97" t="str">
        <f ca="1">VLOOKUP(I244,ЦветПолный!A:B,2,FALSE)</f>
        <v>66</v>
      </c>
      <c r="AE244" s="97" t="str">
        <f ca="1">IFERROR(VLOOKUP(S244,Размеры!A:D,4,FALSE),"")</f>
        <v>60</v>
      </c>
      <c r="AF244" s="97">
        <f ca="1">IF(LEFT(IFERROR(VLOOKUP(LOOKUP(2,1/SEARCH(B244,Товары!A:A),Товары!A:A),Товары!A:B,2,0),""),6)=MID(AA244,1,6),1,0)</f>
        <v>0</v>
      </c>
      <c r="AH244" s="97">
        <f ca="1">SUMIF(Группа!A:A,C244,Группа!C:C)</f>
        <v>1</v>
      </c>
      <c r="AI244" s="97">
        <f ca="1">SUMIF(Группа!B:B,AB244,Группа!C:C)</f>
        <v>1</v>
      </c>
      <c r="AJ244" s="97">
        <f ca="1">SUMIF(Формы!A:A,D244,Формы!B:B)</f>
        <v>1</v>
      </c>
      <c r="AK244" s="97">
        <f ca="1">SUMIF(Материал!A:A,K244,Материал!B:B)</f>
        <v>1</v>
      </c>
      <c r="AL244" s="97">
        <f ca="1">SUMIF(Размеры!A:A,S244,Размеры!E:E)</f>
        <v>1</v>
      </c>
      <c r="AM244" s="97">
        <f ca="1">SUMIF(Сезон!A:A,F244,Сезон!B:B)</f>
        <v>1</v>
      </c>
      <c r="AN244" s="97">
        <f ca="1">SUMIF(Состав!A:A,J244,Состав!B:B)</f>
        <v>0</v>
      </c>
      <c r="AO244" s="97">
        <f ca="1">VLOOKUP(I244,ЦветПолный!A:C,3,0)</f>
        <v>1</v>
      </c>
      <c r="AP244" s="97">
        <f>SUMIF(Цвет!A:A,Z244,Цвет!B:B)</f>
        <v>1</v>
      </c>
      <c r="AQ244" s="97">
        <f ca="1">_xlfn.XLOOKUP(L244,Пол!A:A,Пол!B:B,0,0)</f>
        <v>1</v>
      </c>
      <c r="AR244" s="97">
        <f ca="1">SUMIF(Бренд!A:A,G244,Бренд!B:B)</f>
        <v>1</v>
      </c>
      <c r="AS244" s="97">
        <f ca="1">SUMIF(Страна!A:A,M244,Страна!B:B)</f>
        <v>1</v>
      </c>
      <c r="AT244" s="64" t="e">
        <f ca="1">IF(VLOOKUP(W244,Товары!A:B,2,FALSE)=A244,"Есть в 1С","ERR")</f>
        <v>#N/A</v>
      </c>
      <c r="AU244" s="65" t="e">
        <f ca="1">IF(VLOOKUP(A244,Товары!B:B,1,FALSE)=A244,"Есть в 1С","ERR")</f>
        <v>#N/A</v>
      </c>
      <c r="AV244" s="96" t="e">
        <f ca="1">VLOOKUP(W244,Товары!A:B,2,FALSE)</f>
        <v>#N/A</v>
      </c>
      <c r="AW244" s="94" t="e">
        <f ca="1">VLOOKUP(W244,Товары!A:B,1,FALSE)</f>
        <v>#N/A</v>
      </c>
    </row>
    <row r="245" spans="1:49" x14ac:dyDescent="0.25">
      <c r="A245" s="110" t="str">
        <f t="shared" ca="1" si="20"/>
        <v>95-007-66</v>
      </c>
      <c r="B245" s="107" t="str">
        <f ca="1">_xlfn.LET(_xlpm.CAPS,0,_xlpm.Style,TRIM(_xlfn.XLOOKUP($A245,Строчный!$A:$A,Строчный!B:B,"ERR",0)),IF(_xlpm.CAPS=0,_xlpm.Style,LOWER(_xlpm.Style)))</f>
        <v>3155</v>
      </c>
      <c r="C245" s="81" t="str">
        <f ca="1">TRIM(PROPER(_xlfn.XLOOKUP($A245,Строчный!$A:$A,Строчный!C:C,"ERR",0)))</f>
        <v>Кепки</v>
      </c>
      <c r="D245" s="81" t="str">
        <f ca="1">_xlfn.LET(_xlpm.DATA,TRIM(_xlfn.XLOOKUP($A245,Строчный!$A:$A,Строчный!D:D,"ERR",0)),UPPER(MID(_xlpm.DATA,1,1))&amp;LOWER(MID(_xlpm.DATA,2,LEN(_xlpm.DATA)-1)))</f>
        <v>Кепка восьмиклинка</v>
      </c>
      <c r="E245" s="81" t="str">
        <f ca="1">PROPER(TRIM(_xlfn.XLOOKUP($A245,Строчный!$A:$A,Строчный!E:E,"ERR",0)))</f>
        <v>Fredrikson</v>
      </c>
      <c r="F245" s="81" t="str">
        <f ca="1">LOWER(TRIM(_xlfn.XLOOKUP($A245,Строчный!$A:$A,Строчный!F:F,"ERR",0)))</f>
        <v>всесезон</v>
      </c>
      <c r="G245" s="81" t="str">
        <f ca="1">UPPER(TRIM(_xlfn.XLOOKUP($A245,Строчный!$A:$A,Строчный!G:G,"ERR",0)))</f>
        <v>FREDRIKSON</v>
      </c>
      <c r="H245" s="81" t="str">
        <f ca="1">LOWER(TRIM(_xlfn.XLOOKUP($A245,Строчный!$A:$A,Строчный!H:H,"ERR",0)))</f>
        <v>624/70</v>
      </c>
      <c r="I245" s="81" t="str">
        <f ca="1">LOWER(TRIM(_xlfn.XLOOKUP($A245,Строчный!$A:$A,Строчный!I:I,"ERR",0)))</f>
        <v>светло-серый / серый</v>
      </c>
      <c r="J245" s="81" t="str">
        <f ca="1">SUBSTITUTE(LOWER(TRIM(_xlfn.XLOOKUP($A245,Строчный!$A:$A,Строчный!J:J,"ERR",0))),"подклад","Подклад")</f>
        <v>80% шерсть - 20% полиамид / Подклад: 100% вискоза</v>
      </c>
      <c r="K245" s="81" t="str">
        <f ca="1">LOWER(TRIM(_xlfn.XLOOKUP($A245,Строчный!$A:$A,Строчный!K:K,"ERR",0)))</f>
        <v>шерстяные</v>
      </c>
      <c r="L245" s="81" t="str">
        <f ca="1">PROPER(TRIM(_xlfn.XLOOKUP($A245,Строчный!$A:$A,Строчный!L:L,"ERR",0)))</f>
        <v>Унисекс</v>
      </c>
      <c r="M245" s="113" t="str">
        <f ca="1">PROPER(TRIM(_xlfn.XLOOKUP($A245,Строчный!$A:$A,Строчный!M:M,"ERR",0)))</f>
        <v>Россия</v>
      </c>
      <c r="N245" s="81" t="str">
        <f ca="1">UPPER(TRIM(_xlfn.XLOOKUP($A245,Строчный!$A:$A,Строчный!O:O,"ERR",0)))</f>
        <v/>
      </c>
      <c r="O245" s="102" t="str">
        <f ca="1">PROPER(TRIM(_xlfn.XLOOKUP($A245,Строчный!$A:$A,Строчный!P:P,"ERR",0)))</f>
        <v/>
      </c>
      <c r="P245" s="81" t="str">
        <f ca="1">PROPER(TRIM(_xlfn.XLOOKUP($A245,Строчный!$A:$A,Строчный!R:R,"ERR",0)))</f>
        <v/>
      </c>
      <c r="Q245" s="90">
        <f ca="1">VALUE(_xlfn.XLOOKUP($A245,Строчный!$A:$A,Строчный!N:N,"ERR",0))</f>
        <v>975.8</v>
      </c>
      <c r="R245" s="89" t="str">
        <f ca="1">_xlfn.XLOOKUP($G245,Фабрика!A:A,Фабрика!B:B,"ERR",0)</f>
        <v>ООО "ФРЭДРИКСОН" Россия 192029, С-Петербург, пр. Обуховской обороны, д.86, лит М</v>
      </c>
      <c r="S245" s="80" t="str">
        <f ca="1">_xlfn.XLOOKUP(RIGHT(AA245,2),Размеры!D:D,Размеры!A:A,"ERR",0)</f>
        <v>59</v>
      </c>
      <c r="T245" s="80">
        <f ca="1">VALUE(_xlfn.XLOOKUP($AA245,Строчный!$S:$S,Строчный!U:U,"ERR",0))</f>
        <v>8</v>
      </c>
      <c r="U245" s="14" t="s">
        <v>265</v>
      </c>
      <c r="V245" s="101" t="str">
        <f t="shared" ca="1" si="21"/>
        <v>Кепка FREDRIKSON арт. 3155 (светло-серый / серый)</v>
      </c>
      <c r="W245" s="100" t="str">
        <f t="shared" ca="1" si="22"/>
        <v>Кепка FREDRIKSON арт. 3155 (светло-серый / серый) {624/70}</v>
      </c>
      <c r="X245" s="18" t="str">
        <f t="shared" ca="1" si="23"/>
        <v>серый / серый</v>
      </c>
      <c r="Y245" s="18" t="str">
        <f t="shared" ca="1" si="24"/>
        <v>серый / серый</v>
      </c>
      <c r="Z245" s="117" t="s">
        <v>28</v>
      </c>
      <c r="AA245" s="73" t="str">
        <f ca="1"/>
        <v>95-007-66-59</v>
      </c>
      <c r="AB245" s="75" t="str">
        <f ca="1">VLOOKUP(C245,Группа!A:B,2,FALSE)</f>
        <v>Кепка</v>
      </c>
      <c r="AC245" s="97" t="str">
        <f ca="1">IFERROR(VLOOKUP(S245,Размеры!A:C,3,FALSE),"")</f>
        <v>59 L</v>
      </c>
      <c r="AD245" s="97" t="str">
        <f ca="1">VLOOKUP(I245,ЦветПолный!A:B,2,FALSE)</f>
        <v>66</v>
      </c>
      <c r="AE245" s="97" t="str">
        <f ca="1">IFERROR(VLOOKUP(S245,Размеры!A:D,4,FALSE),"")</f>
        <v>59</v>
      </c>
      <c r="AF245" s="97">
        <f ca="1">IF(LEFT(IFERROR(VLOOKUP(LOOKUP(2,1/SEARCH(B245,Товары!A:A),Товары!A:A),Товары!A:B,2,0),""),6)=MID(AA245,1,6),1,0)</f>
        <v>0</v>
      </c>
      <c r="AH245" s="97">
        <f ca="1">SUMIF(Группа!A:A,C245,Группа!C:C)</f>
        <v>1</v>
      </c>
      <c r="AI245" s="97">
        <f ca="1">SUMIF(Группа!B:B,AB245,Группа!C:C)</f>
        <v>1</v>
      </c>
      <c r="AJ245" s="97">
        <f ca="1">SUMIF(Формы!A:A,D245,Формы!B:B)</f>
        <v>1</v>
      </c>
      <c r="AK245" s="97">
        <f ca="1">SUMIF(Материал!A:A,K245,Материал!B:B)</f>
        <v>1</v>
      </c>
      <c r="AL245" s="97">
        <f ca="1">SUMIF(Размеры!A:A,S245,Размеры!E:E)</f>
        <v>1</v>
      </c>
      <c r="AM245" s="97">
        <f ca="1">SUMIF(Сезон!A:A,F245,Сезон!B:B)</f>
        <v>1</v>
      </c>
      <c r="AN245" s="97">
        <f ca="1">SUMIF(Состав!A:A,J245,Состав!B:B)</f>
        <v>0</v>
      </c>
      <c r="AO245" s="97">
        <f ca="1">VLOOKUP(I245,ЦветПолный!A:C,3,0)</f>
        <v>1</v>
      </c>
      <c r="AP245" s="97">
        <f>SUMIF(Цвет!A:A,Z245,Цвет!B:B)</f>
        <v>1</v>
      </c>
      <c r="AQ245" s="97">
        <f ca="1">_xlfn.XLOOKUP(L245,Пол!A:A,Пол!B:B,0,0)</f>
        <v>1</v>
      </c>
      <c r="AR245" s="97">
        <f ca="1">SUMIF(Бренд!A:A,G245,Бренд!B:B)</f>
        <v>1</v>
      </c>
      <c r="AS245" s="97">
        <f ca="1">SUMIF(Страна!A:A,M245,Страна!B:B)</f>
        <v>1</v>
      </c>
      <c r="AT245" s="64" t="e">
        <f ca="1">IF(VLOOKUP(W245,Товары!A:B,2,FALSE)=A245,"Есть в 1С","ERR")</f>
        <v>#N/A</v>
      </c>
      <c r="AU245" s="65" t="e">
        <f ca="1">IF(VLOOKUP(A245,Товары!B:B,1,FALSE)=A245,"Есть в 1С","ERR")</f>
        <v>#N/A</v>
      </c>
      <c r="AV245" s="96" t="e">
        <f ca="1">VLOOKUP(W245,Товары!A:B,2,FALSE)</f>
        <v>#N/A</v>
      </c>
      <c r="AW245" s="94" t="e">
        <f ca="1">VLOOKUP(W245,Товары!A:B,1,FALSE)</f>
        <v>#N/A</v>
      </c>
    </row>
    <row r="246" spans="1:49" x14ac:dyDescent="0.25">
      <c r="A246" s="110" t="str">
        <f t="shared" ca="1" si="20"/>
        <v>95-007-66</v>
      </c>
      <c r="B246" s="107" t="str">
        <f ca="1">_xlfn.LET(_xlpm.CAPS,0,_xlpm.Style,TRIM(_xlfn.XLOOKUP($A246,Строчный!$A:$A,Строчный!B:B,"ERR",0)),IF(_xlpm.CAPS=0,_xlpm.Style,LOWER(_xlpm.Style)))</f>
        <v>3155</v>
      </c>
      <c r="C246" s="81" t="str">
        <f ca="1">TRIM(PROPER(_xlfn.XLOOKUP($A246,Строчный!$A:$A,Строчный!C:C,"ERR",0)))</f>
        <v>Кепки</v>
      </c>
      <c r="D246" s="81" t="str">
        <f ca="1">_xlfn.LET(_xlpm.DATA,TRIM(_xlfn.XLOOKUP($A246,Строчный!$A:$A,Строчный!D:D,"ERR",0)),UPPER(MID(_xlpm.DATA,1,1))&amp;LOWER(MID(_xlpm.DATA,2,LEN(_xlpm.DATA)-1)))</f>
        <v>Кепка восьмиклинка</v>
      </c>
      <c r="E246" s="81" t="str">
        <f ca="1">PROPER(TRIM(_xlfn.XLOOKUP($A246,Строчный!$A:$A,Строчный!E:E,"ERR",0)))</f>
        <v>Fredrikson</v>
      </c>
      <c r="F246" s="81" t="str">
        <f ca="1">LOWER(TRIM(_xlfn.XLOOKUP($A246,Строчный!$A:$A,Строчный!F:F,"ERR",0)))</f>
        <v>всесезон</v>
      </c>
      <c r="G246" s="81" t="str">
        <f ca="1">UPPER(TRIM(_xlfn.XLOOKUP($A246,Строчный!$A:$A,Строчный!G:G,"ERR",0)))</f>
        <v>FREDRIKSON</v>
      </c>
      <c r="H246" s="81" t="str">
        <f ca="1">LOWER(TRIM(_xlfn.XLOOKUP($A246,Строчный!$A:$A,Строчный!H:H,"ERR",0)))</f>
        <v>624/70</v>
      </c>
      <c r="I246" s="81" t="str">
        <f ca="1">LOWER(TRIM(_xlfn.XLOOKUP($A246,Строчный!$A:$A,Строчный!I:I,"ERR",0)))</f>
        <v>светло-серый / серый</v>
      </c>
      <c r="J246" s="81" t="str">
        <f ca="1">SUBSTITUTE(LOWER(TRIM(_xlfn.XLOOKUP($A246,Строчный!$A:$A,Строчный!J:J,"ERR",0))),"подклад","Подклад")</f>
        <v>80% шерсть - 20% полиамид / Подклад: 100% вискоза</v>
      </c>
      <c r="K246" s="81" t="str">
        <f ca="1">LOWER(TRIM(_xlfn.XLOOKUP($A246,Строчный!$A:$A,Строчный!K:K,"ERR",0)))</f>
        <v>шерстяные</v>
      </c>
      <c r="L246" s="81" t="str">
        <f ca="1">PROPER(TRIM(_xlfn.XLOOKUP($A246,Строчный!$A:$A,Строчный!L:L,"ERR",0)))</f>
        <v>Унисекс</v>
      </c>
      <c r="M246" s="113" t="str">
        <f ca="1">PROPER(TRIM(_xlfn.XLOOKUP($A246,Строчный!$A:$A,Строчный!M:M,"ERR",0)))</f>
        <v>Россия</v>
      </c>
      <c r="N246" s="81" t="str">
        <f ca="1">UPPER(TRIM(_xlfn.XLOOKUP($A246,Строчный!$A:$A,Строчный!O:O,"ERR",0)))</f>
        <v/>
      </c>
      <c r="O246" s="102" t="str">
        <f ca="1">PROPER(TRIM(_xlfn.XLOOKUP($A246,Строчный!$A:$A,Строчный!P:P,"ERR",0)))</f>
        <v/>
      </c>
      <c r="P246" s="81" t="str">
        <f ca="1">PROPER(TRIM(_xlfn.XLOOKUP($A246,Строчный!$A:$A,Строчный!R:R,"ERR",0)))</f>
        <v/>
      </c>
      <c r="Q246" s="90">
        <f ca="1">VALUE(_xlfn.XLOOKUP($A246,Строчный!$A:$A,Строчный!N:N,"ERR",0))</f>
        <v>975.8</v>
      </c>
      <c r="R246" s="89" t="str">
        <f ca="1">_xlfn.XLOOKUP($G246,Фабрика!A:A,Фабрика!B:B,"ERR",0)</f>
        <v>ООО "ФРЭДРИКСОН" Россия 192029, С-Петербург, пр. Обуховской обороны, д.86, лит М</v>
      </c>
      <c r="S246" s="80" t="str">
        <f ca="1">_xlfn.XLOOKUP(RIGHT(AA246,2),Размеры!D:D,Размеры!A:A,"ERR",0)</f>
        <v>58</v>
      </c>
      <c r="T246" s="80">
        <f ca="1">VALUE(_xlfn.XLOOKUP($AA246,Строчный!$S:$S,Строчный!U:U,"ERR",0))</f>
        <v>6</v>
      </c>
      <c r="U246" s="14" t="s">
        <v>265</v>
      </c>
      <c r="V246" s="101" t="str">
        <f t="shared" ca="1" si="21"/>
        <v>Кепка FREDRIKSON арт. 3155 (светло-серый / серый)</v>
      </c>
      <c r="W246" s="100" t="str">
        <f t="shared" ca="1" si="22"/>
        <v>Кепка FREDRIKSON арт. 3155 (светло-серый / серый) {624/70}</v>
      </c>
      <c r="X246" s="18" t="str">
        <f t="shared" ca="1" si="23"/>
        <v>серый / серый</v>
      </c>
      <c r="Y246" s="18" t="str">
        <f t="shared" ca="1" si="24"/>
        <v>серый / серый</v>
      </c>
      <c r="Z246" s="117" t="s">
        <v>28</v>
      </c>
      <c r="AA246" s="73" t="str">
        <f ca="1"/>
        <v>95-007-66-58</v>
      </c>
      <c r="AB246" s="75" t="str">
        <f ca="1">VLOOKUP(C246,Группа!A:B,2,FALSE)</f>
        <v>Кепка</v>
      </c>
      <c r="AC246" s="97" t="str">
        <f ca="1">IFERROR(VLOOKUP(S246,Размеры!A:C,3,FALSE),"")</f>
        <v>58 M/L</v>
      </c>
      <c r="AD246" s="97" t="str">
        <f ca="1">VLOOKUP(I246,ЦветПолный!A:B,2,FALSE)</f>
        <v>66</v>
      </c>
      <c r="AE246" s="97" t="str">
        <f ca="1">IFERROR(VLOOKUP(S246,Размеры!A:D,4,FALSE),"")</f>
        <v>58</v>
      </c>
      <c r="AF246" s="97">
        <f ca="1">IF(LEFT(IFERROR(VLOOKUP(LOOKUP(2,1/SEARCH(B246,Товары!A:A),Товары!A:A),Товары!A:B,2,0),""),6)=MID(AA246,1,6),1,0)</f>
        <v>0</v>
      </c>
      <c r="AH246" s="97">
        <f ca="1">SUMIF(Группа!A:A,C246,Группа!C:C)</f>
        <v>1</v>
      </c>
      <c r="AI246" s="97">
        <f ca="1">SUMIF(Группа!B:B,AB246,Группа!C:C)</f>
        <v>1</v>
      </c>
      <c r="AJ246" s="97">
        <f ca="1">SUMIF(Формы!A:A,D246,Формы!B:B)</f>
        <v>1</v>
      </c>
      <c r="AK246" s="97">
        <f ca="1">SUMIF(Материал!A:A,K246,Материал!B:B)</f>
        <v>1</v>
      </c>
      <c r="AL246" s="97">
        <f ca="1">SUMIF(Размеры!A:A,S246,Размеры!E:E)</f>
        <v>1</v>
      </c>
      <c r="AM246" s="97">
        <f ca="1">SUMIF(Сезон!A:A,F246,Сезон!B:B)</f>
        <v>1</v>
      </c>
      <c r="AN246" s="97">
        <f ca="1">SUMIF(Состав!A:A,J246,Состав!B:B)</f>
        <v>0</v>
      </c>
      <c r="AO246" s="97">
        <f ca="1">VLOOKUP(I246,ЦветПолный!A:C,3,0)</f>
        <v>1</v>
      </c>
      <c r="AP246" s="97">
        <f>SUMIF(Цвет!A:A,Z246,Цвет!B:B)</f>
        <v>1</v>
      </c>
      <c r="AQ246" s="97">
        <f ca="1">_xlfn.XLOOKUP(L246,Пол!A:A,Пол!B:B,0,0)</f>
        <v>1</v>
      </c>
      <c r="AR246" s="97">
        <f ca="1">SUMIF(Бренд!A:A,G246,Бренд!B:B)</f>
        <v>1</v>
      </c>
      <c r="AS246" s="97">
        <f ca="1">SUMIF(Страна!A:A,M246,Страна!B:B)</f>
        <v>1</v>
      </c>
      <c r="AT246" s="64" t="e">
        <f ca="1">IF(VLOOKUP(W246,Товары!A:B,2,FALSE)=A246,"Есть в 1С","ERR")</f>
        <v>#N/A</v>
      </c>
      <c r="AU246" s="65" t="e">
        <f ca="1">IF(VLOOKUP(A246,Товары!B:B,1,FALSE)=A246,"Есть в 1С","ERR")</f>
        <v>#N/A</v>
      </c>
      <c r="AV246" s="96" t="e">
        <f ca="1">VLOOKUP(W246,Товары!A:B,2,FALSE)</f>
        <v>#N/A</v>
      </c>
      <c r="AW246" s="94" t="e">
        <f ca="1">VLOOKUP(W246,Товары!A:B,1,FALSE)</f>
        <v>#N/A</v>
      </c>
    </row>
    <row r="247" spans="1:49" x14ac:dyDescent="0.25">
      <c r="A247" s="110" t="str">
        <f t="shared" ca="1" si="20"/>
        <v>95-007-66</v>
      </c>
      <c r="B247" s="107" t="str">
        <f ca="1">_xlfn.LET(_xlpm.CAPS,0,_xlpm.Style,TRIM(_xlfn.XLOOKUP($A247,Строчный!$A:$A,Строчный!B:B,"ERR",0)),IF(_xlpm.CAPS=0,_xlpm.Style,LOWER(_xlpm.Style)))</f>
        <v>3155</v>
      </c>
      <c r="C247" s="81" t="str">
        <f ca="1">TRIM(PROPER(_xlfn.XLOOKUP($A247,Строчный!$A:$A,Строчный!C:C,"ERR",0)))</f>
        <v>Кепки</v>
      </c>
      <c r="D247" s="81" t="str">
        <f ca="1">_xlfn.LET(_xlpm.DATA,TRIM(_xlfn.XLOOKUP($A247,Строчный!$A:$A,Строчный!D:D,"ERR",0)),UPPER(MID(_xlpm.DATA,1,1))&amp;LOWER(MID(_xlpm.DATA,2,LEN(_xlpm.DATA)-1)))</f>
        <v>Кепка восьмиклинка</v>
      </c>
      <c r="E247" s="81" t="str">
        <f ca="1">PROPER(TRIM(_xlfn.XLOOKUP($A247,Строчный!$A:$A,Строчный!E:E,"ERR",0)))</f>
        <v>Fredrikson</v>
      </c>
      <c r="F247" s="81" t="str">
        <f ca="1">LOWER(TRIM(_xlfn.XLOOKUP($A247,Строчный!$A:$A,Строчный!F:F,"ERR",0)))</f>
        <v>всесезон</v>
      </c>
      <c r="G247" s="81" t="str">
        <f ca="1">UPPER(TRIM(_xlfn.XLOOKUP($A247,Строчный!$A:$A,Строчный!G:G,"ERR",0)))</f>
        <v>FREDRIKSON</v>
      </c>
      <c r="H247" s="81" t="str">
        <f ca="1">LOWER(TRIM(_xlfn.XLOOKUP($A247,Строчный!$A:$A,Строчный!H:H,"ERR",0)))</f>
        <v>624/70</v>
      </c>
      <c r="I247" s="81" t="str">
        <f ca="1">LOWER(TRIM(_xlfn.XLOOKUP($A247,Строчный!$A:$A,Строчный!I:I,"ERR",0)))</f>
        <v>светло-серый / серый</v>
      </c>
      <c r="J247" s="81" t="str">
        <f ca="1">SUBSTITUTE(LOWER(TRIM(_xlfn.XLOOKUP($A247,Строчный!$A:$A,Строчный!J:J,"ERR",0))),"подклад","Подклад")</f>
        <v>80% шерсть - 20% полиамид / Подклад: 100% вискоза</v>
      </c>
      <c r="K247" s="81" t="str">
        <f ca="1">LOWER(TRIM(_xlfn.XLOOKUP($A247,Строчный!$A:$A,Строчный!K:K,"ERR",0)))</f>
        <v>шерстяные</v>
      </c>
      <c r="L247" s="81" t="str">
        <f ca="1">PROPER(TRIM(_xlfn.XLOOKUP($A247,Строчный!$A:$A,Строчный!L:L,"ERR",0)))</f>
        <v>Унисекс</v>
      </c>
      <c r="M247" s="113" t="str">
        <f ca="1">PROPER(TRIM(_xlfn.XLOOKUP($A247,Строчный!$A:$A,Строчный!M:M,"ERR",0)))</f>
        <v>Россия</v>
      </c>
      <c r="N247" s="81" t="str">
        <f ca="1">UPPER(TRIM(_xlfn.XLOOKUP($A247,Строчный!$A:$A,Строчный!O:O,"ERR",0)))</f>
        <v/>
      </c>
      <c r="O247" s="102" t="str">
        <f ca="1">PROPER(TRIM(_xlfn.XLOOKUP($A247,Строчный!$A:$A,Строчный!P:P,"ERR",0)))</f>
        <v/>
      </c>
      <c r="P247" s="81" t="str">
        <f ca="1">PROPER(TRIM(_xlfn.XLOOKUP($A247,Строчный!$A:$A,Строчный!R:R,"ERR",0)))</f>
        <v/>
      </c>
      <c r="Q247" s="90">
        <f ca="1">VALUE(_xlfn.XLOOKUP($A247,Строчный!$A:$A,Строчный!N:N,"ERR",0))</f>
        <v>975.8</v>
      </c>
      <c r="R247" s="89" t="str">
        <f ca="1">_xlfn.XLOOKUP($G247,Фабрика!A:A,Фабрика!B:B,"ERR",0)</f>
        <v>ООО "ФРЭДРИКСОН" Россия 192029, С-Петербург, пр. Обуховской обороны, д.86, лит М</v>
      </c>
      <c r="S247" s="80" t="str">
        <f ca="1">_xlfn.XLOOKUP(RIGHT(AA247,2),Размеры!D:D,Размеры!A:A,"ERR",0)</f>
        <v>57</v>
      </c>
      <c r="T247" s="80">
        <f ca="1">VALUE(_xlfn.XLOOKUP($AA247,Строчный!$S:$S,Строчный!U:U,"ERR",0))</f>
        <v>4</v>
      </c>
      <c r="U247" s="14" t="s">
        <v>265</v>
      </c>
      <c r="V247" s="101" t="str">
        <f t="shared" ca="1" si="21"/>
        <v>Кепка FREDRIKSON арт. 3155 (светло-серый / серый)</v>
      </c>
      <c r="W247" s="100" t="str">
        <f t="shared" ca="1" si="22"/>
        <v>Кепка FREDRIKSON арт. 3155 (светло-серый / серый) {624/70}</v>
      </c>
      <c r="X247" s="18" t="str">
        <f t="shared" ca="1" si="23"/>
        <v>серый / серый</v>
      </c>
      <c r="Y247" s="18" t="str">
        <f t="shared" ca="1" si="24"/>
        <v>серый / серый</v>
      </c>
      <c r="Z247" s="117" t="s">
        <v>28</v>
      </c>
      <c r="AA247" s="73" t="str">
        <f ca="1"/>
        <v>95-007-66-57</v>
      </c>
      <c r="AB247" s="75" t="str">
        <f ca="1">VLOOKUP(C247,Группа!A:B,2,FALSE)</f>
        <v>Кепка</v>
      </c>
      <c r="AC247" s="97" t="str">
        <f ca="1">IFERROR(VLOOKUP(S247,Размеры!A:C,3,FALSE),"")</f>
        <v>57 M</v>
      </c>
      <c r="AD247" s="97" t="str">
        <f ca="1">VLOOKUP(I247,ЦветПолный!A:B,2,FALSE)</f>
        <v>66</v>
      </c>
      <c r="AE247" s="97" t="str">
        <f ca="1">IFERROR(VLOOKUP(S247,Размеры!A:D,4,FALSE),"")</f>
        <v>57</v>
      </c>
      <c r="AF247" s="97">
        <f ca="1">IF(LEFT(IFERROR(VLOOKUP(LOOKUP(2,1/SEARCH(B247,Товары!A:A),Товары!A:A),Товары!A:B,2,0),""),6)=MID(AA247,1,6),1,0)</f>
        <v>0</v>
      </c>
      <c r="AH247" s="97">
        <f ca="1">SUMIF(Группа!A:A,C247,Группа!C:C)</f>
        <v>1</v>
      </c>
      <c r="AI247" s="97">
        <f ca="1">SUMIF(Группа!B:B,AB247,Группа!C:C)</f>
        <v>1</v>
      </c>
      <c r="AJ247" s="97">
        <f ca="1">SUMIF(Формы!A:A,D247,Формы!B:B)</f>
        <v>1</v>
      </c>
      <c r="AK247" s="97">
        <f ca="1">SUMIF(Материал!A:A,K247,Материал!B:B)</f>
        <v>1</v>
      </c>
      <c r="AL247" s="97">
        <f ca="1">SUMIF(Размеры!A:A,S247,Размеры!E:E)</f>
        <v>1</v>
      </c>
      <c r="AM247" s="97">
        <f ca="1">SUMIF(Сезон!A:A,F247,Сезон!B:B)</f>
        <v>1</v>
      </c>
      <c r="AN247" s="97">
        <f ca="1">SUMIF(Состав!A:A,J247,Состав!B:B)</f>
        <v>0</v>
      </c>
      <c r="AO247" s="97">
        <f ca="1">VLOOKUP(I247,ЦветПолный!A:C,3,0)</f>
        <v>1</v>
      </c>
      <c r="AP247" s="97">
        <f>SUMIF(Цвет!A:A,Z247,Цвет!B:B)</f>
        <v>1</v>
      </c>
      <c r="AQ247" s="97">
        <f ca="1">_xlfn.XLOOKUP(L247,Пол!A:A,Пол!B:B,0,0)</f>
        <v>1</v>
      </c>
      <c r="AR247" s="97">
        <f ca="1">SUMIF(Бренд!A:A,G247,Бренд!B:B)</f>
        <v>1</v>
      </c>
      <c r="AS247" s="97">
        <f ca="1">SUMIF(Страна!A:A,M247,Страна!B:B)</f>
        <v>1</v>
      </c>
      <c r="AT247" s="64" t="e">
        <f ca="1">IF(VLOOKUP(W247,Товары!A:B,2,FALSE)=A247,"Есть в 1С","ERR")</f>
        <v>#N/A</v>
      </c>
      <c r="AU247" s="65" t="e">
        <f ca="1">IF(VLOOKUP(A247,Товары!B:B,1,FALSE)=A247,"Есть в 1С","ERR")</f>
        <v>#N/A</v>
      </c>
      <c r="AV247" s="96" t="e">
        <f ca="1">VLOOKUP(W247,Товары!A:B,2,FALSE)</f>
        <v>#N/A</v>
      </c>
      <c r="AW247" s="94" t="e">
        <f ca="1">VLOOKUP(W247,Товары!A:B,1,FALSE)</f>
        <v>#N/A</v>
      </c>
    </row>
    <row r="248" spans="1:49" x14ac:dyDescent="0.25">
      <c r="A248" s="110" t="str">
        <f t="shared" ca="1" si="20"/>
        <v>95-007-66</v>
      </c>
      <c r="B248" s="107" t="str">
        <f ca="1">_xlfn.LET(_xlpm.CAPS,0,_xlpm.Style,TRIM(_xlfn.XLOOKUP($A248,Строчный!$A:$A,Строчный!B:B,"ERR",0)),IF(_xlpm.CAPS=0,_xlpm.Style,LOWER(_xlpm.Style)))</f>
        <v>3155</v>
      </c>
      <c r="C248" s="81" t="str">
        <f ca="1">TRIM(PROPER(_xlfn.XLOOKUP($A248,Строчный!$A:$A,Строчный!C:C,"ERR",0)))</f>
        <v>Кепки</v>
      </c>
      <c r="D248" s="81" t="str">
        <f ca="1">_xlfn.LET(_xlpm.DATA,TRIM(_xlfn.XLOOKUP($A248,Строчный!$A:$A,Строчный!D:D,"ERR",0)),UPPER(MID(_xlpm.DATA,1,1))&amp;LOWER(MID(_xlpm.DATA,2,LEN(_xlpm.DATA)-1)))</f>
        <v>Кепка восьмиклинка</v>
      </c>
      <c r="E248" s="81" t="str">
        <f ca="1">PROPER(TRIM(_xlfn.XLOOKUP($A248,Строчный!$A:$A,Строчный!E:E,"ERR",0)))</f>
        <v>Fredrikson</v>
      </c>
      <c r="F248" s="81" t="str">
        <f ca="1">LOWER(TRIM(_xlfn.XLOOKUP($A248,Строчный!$A:$A,Строчный!F:F,"ERR",0)))</f>
        <v>всесезон</v>
      </c>
      <c r="G248" s="81" t="str">
        <f ca="1">UPPER(TRIM(_xlfn.XLOOKUP($A248,Строчный!$A:$A,Строчный!G:G,"ERR",0)))</f>
        <v>FREDRIKSON</v>
      </c>
      <c r="H248" s="81" t="str">
        <f ca="1">LOWER(TRIM(_xlfn.XLOOKUP($A248,Строчный!$A:$A,Строчный!H:H,"ERR",0)))</f>
        <v>624/70</v>
      </c>
      <c r="I248" s="81" t="str">
        <f ca="1">LOWER(TRIM(_xlfn.XLOOKUP($A248,Строчный!$A:$A,Строчный!I:I,"ERR",0)))</f>
        <v>светло-серый / серый</v>
      </c>
      <c r="J248" s="81" t="str">
        <f ca="1">SUBSTITUTE(LOWER(TRIM(_xlfn.XLOOKUP($A248,Строчный!$A:$A,Строчный!J:J,"ERR",0))),"подклад","Подклад")</f>
        <v>80% шерсть - 20% полиамид / Подклад: 100% вискоза</v>
      </c>
      <c r="K248" s="81" t="str">
        <f ca="1">LOWER(TRIM(_xlfn.XLOOKUP($A248,Строчный!$A:$A,Строчный!K:K,"ERR",0)))</f>
        <v>шерстяные</v>
      </c>
      <c r="L248" s="81" t="str">
        <f ca="1">PROPER(TRIM(_xlfn.XLOOKUP($A248,Строчный!$A:$A,Строчный!L:L,"ERR",0)))</f>
        <v>Унисекс</v>
      </c>
      <c r="M248" s="113" t="str">
        <f ca="1">PROPER(TRIM(_xlfn.XLOOKUP($A248,Строчный!$A:$A,Строчный!M:M,"ERR",0)))</f>
        <v>Россия</v>
      </c>
      <c r="N248" s="81" t="str">
        <f ca="1">UPPER(TRIM(_xlfn.XLOOKUP($A248,Строчный!$A:$A,Строчный!O:O,"ERR",0)))</f>
        <v/>
      </c>
      <c r="O248" s="102" t="str">
        <f ca="1">PROPER(TRIM(_xlfn.XLOOKUP($A248,Строчный!$A:$A,Строчный!P:P,"ERR",0)))</f>
        <v/>
      </c>
      <c r="P248" s="81" t="str">
        <f ca="1">PROPER(TRIM(_xlfn.XLOOKUP($A248,Строчный!$A:$A,Строчный!R:R,"ERR",0)))</f>
        <v/>
      </c>
      <c r="Q248" s="90">
        <f ca="1">VALUE(_xlfn.XLOOKUP($A248,Строчный!$A:$A,Строчный!N:N,"ERR",0))</f>
        <v>975.8</v>
      </c>
      <c r="R248" s="89" t="str">
        <f ca="1">_xlfn.XLOOKUP($G248,Фабрика!A:A,Фабрика!B:B,"ERR",0)</f>
        <v>ООО "ФРЭДРИКСОН" Россия 192029, С-Петербург, пр. Обуховской обороны, д.86, лит М</v>
      </c>
      <c r="S248" s="80" t="str">
        <f ca="1">_xlfn.XLOOKUP(RIGHT(AA248,2),Размеры!D:D,Размеры!A:A,"ERR",0)</f>
        <v>56</v>
      </c>
      <c r="T248" s="80">
        <f ca="1">VALUE(_xlfn.XLOOKUP($AA248,Строчный!$S:$S,Строчный!U:U,"ERR",0))</f>
        <v>2</v>
      </c>
      <c r="U248" s="14" t="s">
        <v>265</v>
      </c>
      <c r="V248" s="101" t="str">
        <f t="shared" ca="1" si="21"/>
        <v>Кепка FREDRIKSON арт. 3155 (светло-серый / серый)</v>
      </c>
      <c r="W248" s="100" t="str">
        <f t="shared" ca="1" si="22"/>
        <v>Кепка FREDRIKSON арт. 3155 (светло-серый / серый) {624/70}</v>
      </c>
      <c r="X248" s="18" t="str">
        <f t="shared" ca="1" si="23"/>
        <v>серый / серый</v>
      </c>
      <c r="Y248" s="18" t="str">
        <f t="shared" ca="1" si="24"/>
        <v>серый / серый</v>
      </c>
      <c r="Z248" s="117" t="s">
        <v>28</v>
      </c>
      <c r="AA248" s="73" t="str">
        <f ca="1"/>
        <v>95-007-66-56</v>
      </c>
      <c r="AB248" s="75" t="str">
        <f ca="1">VLOOKUP(C248,Группа!A:B,2,FALSE)</f>
        <v>Кепка</v>
      </c>
      <c r="AC248" s="97" t="str">
        <f ca="1">IFERROR(VLOOKUP(S248,Размеры!A:C,3,FALSE),"")</f>
        <v>56 S/M</v>
      </c>
      <c r="AD248" s="97" t="str">
        <f ca="1">VLOOKUP(I248,ЦветПолный!A:B,2,FALSE)</f>
        <v>66</v>
      </c>
      <c r="AE248" s="97" t="str">
        <f ca="1">IFERROR(VLOOKUP(S248,Размеры!A:D,4,FALSE),"")</f>
        <v>56</v>
      </c>
      <c r="AF248" s="97">
        <f ca="1">IF(LEFT(IFERROR(VLOOKUP(LOOKUP(2,1/SEARCH(B248,Товары!A:A),Товары!A:A),Товары!A:B,2,0),""),6)=MID(AA248,1,6),1,0)</f>
        <v>0</v>
      </c>
      <c r="AH248" s="97">
        <f ca="1">SUMIF(Группа!A:A,C248,Группа!C:C)</f>
        <v>1</v>
      </c>
      <c r="AI248" s="97">
        <f ca="1">SUMIF(Группа!B:B,AB248,Группа!C:C)</f>
        <v>1</v>
      </c>
      <c r="AJ248" s="97">
        <f ca="1">SUMIF(Формы!A:A,D248,Формы!B:B)</f>
        <v>1</v>
      </c>
      <c r="AK248" s="97">
        <f ca="1">SUMIF(Материал!A:A,K248,Материал!B:B)</f>
        <v>1</v>
      </c>
      <c r="AL248" s="97">
        <f ca="1">SUMIF(Размеры!A:A,S248,Размеры!E:E)</f>
        <v>1</v>
      </c>
      <c r="AM248" s="97">
        <f ca="1">SUMIF(Сезон!A:A,F248,Сезон!B:B)</f>
        <v>1</v>
      </c>
      <c r="AN248" s="97">
        <f ca="1">SUMIF(Состав!A:A,J248,Состав!B:B)</f>
        <v>0</v>
      </c>
      <c r="AO248" s="97">
        <f ca="1">VLOOKUP(I248,ЦветПолный!A:C,3,0)</f>
        <v>1</v>
      </c>
      <c r="AP248" s="97">
        <f>SUMIF(Цвет!A:A,Z248,Цвет!B:B)</f>
        <v>1</v>
      </c>
      <c r="AQ248" s="97">
        <f ca="1">_xlfn.XLOOKUP(L248,Пол!A:A,Пол!B:B,0,0)</f>
        <v>1</v>
      </c>
      <c r="AR248" s="97">
        <f ca="1">SUMIF(Бренд!A:A,G248,Бренд!B:B)</f>
        <v>1</v>
      </c>
      <c r="AS248" s="97">
        <f ca="1">SUMIF(Страна!A:A,M248,Страна!B:B)</f>
        <v>1</v>
      </c>
      <c r="AT248" s="64" t="e">
        <f ca="1">IF(VLOOKUP(W248,Товары!A:B,2,FALSE)=A248,"Есть в 1С","ERR")</f>
        <v>#N/A</v>
      </c>
      <c r="AU248" s="65" t="e">
        <f ca="1">IF(VLOOKUP(A248,Товары!B:B,1,FALSE)=A248,"Есть в 1С","ERR")</f>
        <v>#N/A</v>
      </c>
      <c r="AV248" s="96" t="e">
        <f ca="1">VLOOKUP(W248,Товары!A:B,2,FALSE)</f>
        <v>#N/A</v>
      </c>
      <c r="AW248" s="94" t="e">
        <f ca="1">VLOOKUP(W248,Товары!A:B,1,FALSE)</f>
        <v>#N/A</v>
      </c>
    </row>
    <row r="249" spans="1:49" x14ac:dyDescent="0.25">
      <c r="A249" s="110" t="str">
        <f t="shared" ca="1" si="20"/>
        <v>95-006-57</v>
      </c>
      <c r="B249" s="107" t="str">
        <f ca="1">_xlfn.LET(_xlpm.CAPS,0,_xlpm.Style,TRIM(_xlfn.XLOOKUP($A249,Строчный!$A:$A,Строчный!B:B,"ERR",0)),IF(_xlpm.CAPS=0,_xlpm.Style,LOWER(_xlpm.Style)))</f>
        <v>3147</v>
      </c>
      <c r="C249" s="81" t="str">
        <f ca="1">TRIM(PROPER(_xlfn.XLOOKUP($A249,Строчный!$A:$A,Строчный!C:C,"ERR",0)))</f>
        <v>Кепки</v>
      </c>
      <c r="D249" s="81" t="str">
        <f ca="1">_xlfn.LET(_xlpm.DATA,TRIM(_xlfn.XLOOKUP($A249,Строчный!$A:$A,Строчный!D:D,"ERR",0)),UPPER(MID(_xlpm.DATA,1,1))&amp;LOWER(MID(_xlpm.DATA,2,LEN(_xlpm.DATA)-1)))</f>
        <v>Кепка шестиклинка</v>
      </c>
      <c r="E249" s="81" t="str">
        <f ca="1">PROPER(TRIM(_xlfn.XLOOKUP($A249,Строчный!$A:$A,Строчный!E:E,"ERR",0)))</f>
        <v>Fredrikson</v>
      </c>
      <c r="F249" s="81" t="str">
        <f ca="1">LOWER(TRIM(_xlfn.XLOOKUP($A249,Строчный!$A:$A,Строчный!F:F,"ERR",0)))</f>
        <v>всесезон</v>
      </c>
      <c r="G249" s="81" t="str">
        <f ca="1">UPPER(TRIM(_xlfn.XLOOKUP($A249,Строчный!$A:$A,Строчный!G:G,"ERR",0)))</f>
        <v>FREDRIKSON</v>
      </c>
      <c r="H249" s="81" t="str">
        <f ca="1">LOWER(TRIM(_xlfn.XLOOKUP($A249,Строчный!$A:$A,Строчный!H:H,"ERR",0)))</f>
        <v>685/55</v>
      </c>
      <c r="I249" s="81" t="str">
        <f ca="1">LOWER(TRIM(_xlfn.XLOOKUP($A249,Строчный!$A:$A,Строчный!I:I,"ERR",0)))</f>
        <v>светло-бежевый / черный</v>
      </c>
      <c r="J249" s="81" t="str">
        <f ca="1">SUBSTITUTE(LOWER(TRIM(_xlfn.XLOOKUP($A249,Строчный!$A:$A,Строчный!J:J,"ERR",0))),"подклад","Подклад")</f>
        <v>80% шерсть - 20% полиамид / Подклад: 100% вискоза</v>
      </c>
      <c r="K249" s="81" t="str">
        <f ca="1">LOWER(TRIM(_xlfn.XLOOKUP($A249,Строчный!$A:$A,Строчный!K:K,"ERR",0)))</f>
        <v>шерстяные</v>
      </c>
      <c r="L249" s="81" t="str">
        <f ca="1">PROPER(TRIM(_xlfn.XLOOKUP($A249,Строчный!$A:$A,Строчный!L:L,"ERR",0)))</f>
        <v>Унисекс</v>
      </c>
      <c r="M249" s="113" t="str">
        <f ca="1">PROPER(TRIM(_xlfn.XLOOKUP($A249,Строчный!$A:$A,Строчный!M:M,"ERR",0)))</f>
        <v>Россия</v>
      </c>
      <c r="N249" s="81" t="str">
        <f ca="1">UPPER(TRIM(_xlfn.XLOOKUP($A249,Строчный!$A:$A,Строчный!O:O,"ERR",0)))</f>
        <v/>
      </c>
      <c r="O249" s="102" t="str">
        <f ca="1">PROPER(TRIM(_xlfn.XLOOKUP($A249,Строчный!$A:$A,Строчный!P:P,"ERR",0)))</f>
        <v/>
      </c>
      <c r="P249" s="81" t="str">
        <f ca="1">PROPER(TRIM(_xlfn.XLOOKUP($A249,Строчный!$A:$A,Строчный!R:R,"ERR",0)))</f>
        <v/>
      </c>
      <c r="Q249" s="90">
        <f ca="1">VALUE(_xlfn.XLOOKUP($A249,Строчный!$A:$A,Строчный!N:N,"ERR",0))</f>
        <v>975.8</v>
      </c>
      <c r="R249" s="89" t="str">
        <f ca="1">_xlfn.XLOOKUP($G249,Фабрика!A:A,Фабрика!B:B,"ERR",0)</f>
        <v>ООО "ФРЭДРИКСОН" Россия 192029, С-Петербург, пр. Обуховской обороны, д.86, лит М</v>
      </c>
      <c r="S249" s="80" t="str">
        <f ca="1">_xlfn.XLOOKUP(RIGHT(AA249,2),Размеры!D:D,Размеры!A:A,"ERR",0)</f>
        <v>61</v>
      </c>
      <c r="T249" s="80">
        <f ca="1">VALUE(_xlfn.XLOOKUP($AA249,Строчный!$S:$S,Строчный!U:U,"ERR",0))</f>
        <v>1</v>
      </c>
      <c r="U249" s="14" t="s">
        <v>265</v>
      </c>
      <c r="V249" s="101" t="str">
        <f t="shared" ca="1" si="21"/>
        <v>Кепка FREDRIKSON арт. 3147 (светло-бежевый / черный)</v>
      </c>
      <c r="W249" s="100" t="str">
        <f t="shared" ca="1" si="22"/>
        <v>Кепка FREDRIKSON арт. 3147 (светло-бежевый / черный) {685/55}</v>
      </c>
      <c r="X249" s="18" t="str">
        <f t="shared" ca="1" si="23"/>
        <v>бежевый / черный</v>
      </c>
      <c r="Y249" s="18" t="str">
        <f t="shared" ca="1" si="24"/>
        <v>бежевый / черный</v>
      </c>
      <c r="Z249" s="117" t="s">
        <v>52</v>
      </c>
      <c r="AA249" s="73" t="str">
        <f ca="1"/>
        <v>95-006-57-61</v>
      </c>
      <c r="AB249" s="75" t="str">
        <f ca="1">VLOOKUP(C249,Группа!A:B,2,FALSE)</f>
        <v>Кепка</v>
      </c>
      <c r="AC249" s="97" t="str">
        <f ca="1">IFERROR(VLOOKUP(S249,Размеры!A:C,3,FALSE),"")</f>
        <v>61 XL</v>
      </c>
      <c r="AD249" s="97" t="str">
        <f ca="1">VLOOKUP(I249,ЦветПолный!A:B,2,FALSE)</f>
        <v>57</v>
      </c>
      <c r="AE249" s="97" t="str">
        <f ca="1">IFERROR(VLOOKUP(S249,Размеры!A:D,4,FALSE),"")</f>
        <v>61</v>
      </c>
      <c r="AF249" s="97">
        <f ca="1">IF(LEFT(IFERROR(VLOOKUP(LOOKUP(2,1/SEARCH(B249,Товары!A:A),Товары!A:A),Товары!A:B,2,0),""),6)=MID(AA249,1,6),1,0)</f>
        <v>0</v>
      </c>
      <c r="AH249" s="97">
        <f ca="1">SUMIF(Группа!A:A,C249,Группа!C:C)</f>
        <v>1</v>
      </c>
      <c r="AI249" s="97">
        <f ca="1">SUMIF(Группа!B:B,AB249,Группа!C:C)</f>
        <v>1</v>
      </c>
      <c r="AJ249" s="97">
        <f ca="1">SUMIF(Формы!A:A,D249,Формы!B:B)</f>
        <v>1</v>
      </c>
      <c r="AK249" s="97">
        <f ca="1">SUMIF(Материал!A:A,K249,Материал!B:B)</f>
        <v>1</v>
      </c>
      <c r="AL249" s="97">
        <f ca="1">SUMIF(Размеры!A:A,S249,Размеры!E:E)</f>
        <v>1</v>
      </c>
      <c r="AM249" s="97">
        <f ca="1">SUMIF(Сезон!A:A,F249,Сезон!B:B)</f>
        <v>1</v>
      </c>
      <c r="AN249" s="97">
        <f ca="1">SUMIF(Состав!A:A,J249,Состав!B:B)</f>
        <v>0</v>
      </c>
      <c r="AO249" s="97">
        <f ca="1">VLOOKUP(I249,ЦветПолный!A:C,3,0)</f>
        <v>1</v>
      </c>
      <c r="AP249" s="97">
        <f>SUMIF(Цвет!A:A,Z249,Цвет!B:B)</f>
        <v>1</v>
      </c>
      <c r="AQ249" s="97">
        <f ca="1">_xlfn.XLOOKUP(L249,Пол!A:A,Пол!B:B,0,0)</f>
        <v>1</v>
      </c>
      <c r="AR249" s="97">
        <f ca="1">SUMIF(Бренд!A:A,G249,Бренд!B:B)</f>
        <v>1</v>
      </c>
      <c r="AS249" s="97">
        <f ca="1">SUMIF(Страна!A:A,M249,Страна!B:B)</f>
        <v>1</v>
      </c>
      <c r="AT249" s="64" t="e">
        <f ca="1">IF(VLOOKUP(W249,Товары!A:B,2,FALSE)=A249,"Есть в 1С","ERR")</f>
        <v>#N/A</v>
      </c>
      <c r="AU249" s="65" t="e">
        <f ca="1">IF(VLOOKUP(A249,Товары!B:B,1,FALSE)=A249,"Есть в 1С","ERR")</f>
        <v>#N/A</v>
      </c>
      <c r="AV249" s="96" t="e">
        <f ca="1">VLOOKUP(W249,Товары!A:B,2,FALSE)</f>
        <v>#N/A</v>
      </c>
      <c r="AW249" s="94" t="e">
        <f ca="1">VLOOKUP(W249,Товары!A:B,1,FALSE)</f>
        <v>#N/A</v>
      </c>
    </row>
    <row r="250" spans="1:49" x14ac:dyDescent="0.25">
      <c r="A250" s="110" t="str">
        <f t="shared" ca="1" si="20"/>
        <v>95-006-57</v>
      </c>
      <c r="B250" s="107" t="str">
        <f ca="1">_xlfn.LET(_xlpm.CAPS,0,_xlpm.Style,TRIM(_xlfn.XLOOKUP($A250,Строчный!$A:$A,Строчный!B:B,"ERR",0)),IF(_xlpm.CAPS=0,_xlpm.Style,LOWER(_xlpm.Style)))</f>
        <v>3147</v>
      </c>
      <c r="C250" s="81" t="str">
        <f ca="1">TRIM(PROPER(_xlfn.XLOOKUP($A250,Строчный!$A:$A,Строчный!C:C,"ERR",0)))</f>
        <v>Кепки</v>
      </c>
      <c r="D250" s="81" t="str">
        <f ca="1">_xlfn.LET(_xlpm.DATA,TRIM(_xlfn.XLOOKUP($A250,Строчный!$A:$A,Строчный!D:D,"ERR",0)),UPPER(MID(_xlpm.DATA,1,1))&amp;LOWER(MID(_xlpm.DATA,2,LEN(_xlpm.DATA)-1)))</f>
        <v>Кепка шестиклинка</v>
      </c>
      <c r="E250" s="81" t="str">
        <f ca="1">PROPER(TRIM(_xlfn.XLOOKUP($A250,Строчный!$A:$A,Строчный!E:E,"ERR",0)))</f>
        <v>Fredrikson</v>
      </c>
      <c r="F250" s="81" t="str">
        <f ca="1">LOWER(TRIM(_xlfn.XLOOKUP($A250,Строчный!$A:$A,Строчный!F:F,"ERR",0)))</f>
        <v>всесезон</v>
      </c>
      <c r="G250" s="81" t="str">
        <f ca="1">UPPER(TRIM(_xlfn.XLOOKUP($A250,Строчный!$A:$A,Строчный!G:G,"ERR",0)))</f>
        <v>FREDRIKSON</v>
      </c>
      <c r="H250" s="81" t="str">
        <f ca="1">LOWER(TRIM(_xlfn.XLOOKUP($A250,Строчный!$A:$A,Строчный!H:H,"ERR",0)))</f>
        <v>685/55</v>
      </c>
      <c r="I250" s="81" t="str">
        <f ca="1">LOWER(TRIM(_xlfn.XLOOKUP($A250,Строчный!$A:$A,Строчный!I:I,"ERR",0)))</f>
        <v>светло-бежевый / черный</v>
      </c>
      <c r="J250" s="81" t="str">
        <f ca="1">SUBSTITUTE(LOWER(TRIM(_xlfn.XLOOKUP($A250,Строчный!$A:$A,Строчный!J:J,"ERR",0))),"подклад","Подклад")</f>
        <v>80% шерсть - 20% полиамид / Подклад: 100% вискоза</v>
      </c>
      <c r="K250" s="81" t="str">
        <f ca="1">LOWER(TRIM(_xlfn.XLOOKUP($A250,Строчный!$A:$A,Строчный!K:K,"ERR",0)))</f>
        <v>шерстяные</v>
      </c>
      <c r="L250" s="81" t="str">
        <f ca="1">PROPER(TRIM(_xlfn.XLOOKUP($A250,Строчный!$A:$A,Строчный!L:L,"ERR",0)))</f>
        <v>Унисекс</v>
      </c>
      <c r="M250" s="113" t="str">
        <f ca="1">PROPER(TRIM(_xlfn.XLOOKUP($A250,Строчный!$A:$A,Строчный!M:M,"ERR",0)))</f>
        <v>Россия</v>
      </c>
      <c r="N250" s="81" t="str">
        <f ca="1">UPPER(TRIM(_xlfn.XLOOKUP($A250,Строчный!$A:$A,Строчный!O:O,"ERR",0)))</f>
        <v/>
      </c>
      <c r="O250" s="102" t="str">
        <f ca="1">PROPER(TRIM(_xlfn.XLOOKUP($A250,Строчный!$A:$A,Строчный!P:P,"ERR",0)))</f>
        <v/>
      </c>
      <c r="P250" s="81" t="str">
        <f ca="1">PROPER(TRIM(_xlfn.XLOOKUP($A250,Строчный!$A:$A,Строчный!R:R,"ERR",0)))</f>
        <v/>
      </c>
      <c r="Q250" s="90">
        <f ca="1">VALUE(_xlfn.XLOOKUP($A250,Строчный!$A:$A,Строчный!N:N,"ERR",0))</f>
        <v>975.8</v>
      </c>
      <c r="R250" s="89" t="str">
        <f ca="1">_xlfn.XLOOKUP($G250,Фабрика!A:A,Фабрика!B:B,"ERR",0)</f>
        <v>ООО "ФРЭДРИКСОН" Россия 192029, С-Петербург, пр. Обуховской обороны, д.86, лит М</v>
      </c>
      <c r="S250" s="80" t="str">
        <f ca="1">_xlfn.XLOOKUP(RIGHT(AA250,2),Размеры!D:D,Размеры!A:A,"ERR",0)</f>
        <v>60</v>
      </c>
      <c r="T250" s="80">
        <f ca="1">VALUE(_xlfn.XLOOKUP($AA250,Строчный!$S:$S,Строчный!U:U,"ERR",0))</f>
        <v>1</v>
      </c>
      <c r="U250" s="14" t="s">
        <v>265</v>
      </c>
      <c r="V250" s="101" t="str">
        <f t="shared" ca="1" si="21"/>
        <v>Кепка FREDRIKSON арт. 3147 (светло-бежевый / черный)</v>
      </c>
      <c r="W250" s="100" t="str">
        <f t="shared" ca="1" si="22"/>
        <v>Кепка FREDRIKSON арт. 3147 (светло-бежевый / черный) {685/55}</v>
      </c>
      <c r="X250" s="18" t="str">
        <f t="shared" ca="1" si="23"/>
        <v>бежевый / черный</v>
      </c>
      <c r="Y250" s="18" t="str">
        <f t="shared" ca="1" si="24"/>
        <v>бежевый / черный</v>
      </c>
      <c r="Z250" s="117" t="s">
        <v>52</v>
      </c>
      <c r="AA250" s="73" t="str">
        <f ca="1"/>
        <v>95-006-57-60</v>
      </c>
      <c r="AB250" s="75" t="str">
        <f ca="1">VLOOKUP(C250,Группа!A:B,2,FALSE)</f>
        <v>Кепка</v>
      </c>
      <c r="AC250" s="97" t="str">
        <f ca="1">IFERROR(VLOOKUP(S250,Размеры!A:C,3,FALSE),"")</f>
        <v>60 L/XL</v>
      </c>
      <c r="AD250" s="97" t="str">
        <f ca="1">VLOOKUP(I250,ЦветПолный!A:B,2,FALSE)</f>
        <v>57</v>
      </c>
      <c r="AE250" s="97" t="str">
        <f ca="1">IFERROR(VLOOKUP(S250,Размеры!A:D,4,FALSE),"")</f>
        <v>60</v>
      </c>
      <c r="AF250" s="97">
        <f ca="1">IF(LEFT(IFERROR(VLOOKUP(LOOKUP(2,1/SEARCH(B250,Товары!A:A),Товары!A:A),Товары!A:B,2,0),""),6)=MID(AA250,1,6),1,0)</f>
        <v>0</v>
      </c>
      <c r="AH250" s="97">
        <f ca="1">SUMIF(Группа!A:A,C250,Группа!C:C)</f>
        <v>1</v>
      </c>
      <c r="AI250" s="97">
        <f ca="1">SUMIF(Группа!B:B,AB250,Группа!C:C)</f>
        <v>1</v>
      </c>
      <c r="AJ250" s="97">
        <f ca="1">SUMIF(Формы!A:A,D250,Формы!B:B)</f>
        <v>1</v>
      </c>
      <c r="AK250" s="97">
        <f ca="1">SUMIF(Материал!A:A,K250,Материал!B:B)</f>
        <v>1</v>
      </c>
      <c r="AL250" s="97">
        <f ca="1">SUMIF(Размеры!A:A,S250,Размеры!E:E)</f>
        <v>1</v>
      </c>
      <c r="AM250" s="97">
        <f ca="1">SUMIF(Сезон!A:A,F250,Сезон!B:B)</f>
        <v>1</v>
      </c>
      <c r="AN250" s="97">
        <f ca="1">SUMIF(Состав!A:A,J250,Состав!B:B)</f>
        <v>0</v>
      </c>
      <c r="AO250" s="97">
        <f ca="1">VLOOKUP(I250,ЦветПолный!A:C,3,0)</f>
        <v>1</v>
      </c>
      <c r="AP250" s="97">
        <f>SUMIF(Цвет!A:A,Z250,Цвет!B:B)</f>
        <v>1</v>
      </c>
      <c r="AQ250" s="97">
        <f ca="1">_xlfn.XLOOKUP(L250,Пол!A:A,Пол!B:B,0,0)</f>
        <v>1</v>
      </c>
      <c r="AR250" s="97">
        <f ca="1">SUMIF(Бренд!A:A,G250,Бренд!B:B)</f>
        <v>1</v>
      </c>
      <c r="AS250" s="97">
        <f ca="1">SUMIF(Страна!A:A,M250,Страна!B:B)</f>
        <v>1</v>
      </c>
      <c r="AT250" s="64" t="e">
        <f ca="1">IF(VLOOKUP(W250,Товары!A:B,2,FALSE)=A250,"Есть в 1С","ERR")</f>
        <v>#N/A</v>
      </c>
      <c r="AU250" s="65" t="e">
        <f ca="1">IF(VLOOKUP(A250,Товары!B:B,1,FALSE)=A250,"Есть в 1С","ERR")</f>
        <v>#N/A</v>
      </c>
      <c r="AV250" s="96" t="e">
        <f ca="1">VLOOKUP(W250,Товары!A:B,2,FALSE)</f>
        <v>#N/A</v>
      </c>
      <c r="AW250" s="94" t="e">
        <f ca="1">VLOOKUP(W250,Товары!A:B,1,FALSE)</f>
        <v>#N/A</v>
      </c>
    </row>
    <row r="251" spans="1:49" x14ac:dyDescent="0.25">
      <c r="A251" s="110" t="str">
        <f t="shared" ca="1" si="20"/>
        <v>95-006-57</v>
      </c>
      <c r="B251" s="107" t="str">
        <f ca="1">_xlfn.LET(_xlpm.CAPS,0,_xlpm.Style,TRIM(_xlfn.XLOOKUP($A251,Строчный!$A:$A,Строчный!B:B,"ERR",0)),IF(_xlpm.CAPS=0,_xlpm.Style,LOWER(_xlpm.Style)))</f>
        <v>3147</v>
      </c>
      <c r="C251" s="81" t="str">
        <f ca="1">TRIM(PROPER(_xlfn.XLOOKUP($A251,Строчный!$A:$A,Строчный!C:C,"ERR",0)))</f>
        <v>Кепки</v>
      </c>
      <c r="D251" s="81" t="str">
        <f ca="1">_xlfn.LET(_xlpm.DATA,TRIM(_xlfn.XLOOKUP($A251,Строчный!$A:$A,Строчный!D:D,"ERR",0)),UPPER(MID(_xlpm.DATA,1,1))&amp;LOWER(MID(_xlpm.DATA,2,LEN(_xlpm.DATA)-1)))</f>
        <v>Кепка шестиклинка</v>
      </c>
      <c r="E251" s="81" t="str">
        <f ca="1">PROPER(TRIM(_xlfn.XLOOKUP($A251,Строчный!$A:$A,Строчный!E:E,"ERR",0)))</f>
        <v>Fredrikson</v>
      </c>
      <c r="F251" s="81" t="str">
        <f ca="1">LOWER(TRIM(_xlfn.XLOOKUP($A251,Строчный!$A:$A,Строчный!F:F,"ERR",0)))</f>
        <v>всесезон</v>
      </c>
      <c r="G251" s="81" t="str">
        <f ca="1">UPPER(TRIM(_xlfn.XLOOKUP($A251,Строчный!$A:$A,Строчный!G:G,"ERR",0)))</f>
        <v>FREDRIKSON</v>
      </c>
      <c r="H251" s="81" t="str">
        <f ca="1">LOWER(TRIM(_xlfn.XLOOKUP($A251,Строчный!$A:$A,Строчный!H:H,"ERR",0)))</f>
        <v>685/55</v>
      </c>
      <c r="I251" s="81" t="str">
        <f ca="1">LOWER(TRIM(_xlfn.XLOOKUP($A251,Строчный!$A:$A,Строчный!I:I,"ERR",0)))</f>
        <v>светло-бежевый / черный</v>
      </c>
      <c r="J251" s="81" t="str">
        <f ca="1">SUBSTITUTE(LOWER(TRIM(_xlfn.XLOOKUP($A251,Строчный!$A:$A,Строчный!J:J,"ERR",0))),"подклад","Подклад")</f>
        <v>80% шерсть - 20% полиамид / Подклад: 100% вискоза</v>
      </c>
      <c r="K251" s="81" t="str">
        <f ca="1">LOWER(TRIM(_xlfn.XLOOKUP($A251,Строчный!$A:$A,Строчный!K:K,"ERR",0)))</f>
        <v>шерстяные</v>
      </c>
      <c r="L251" s="81" t="str">
        <f ca="1">PROPER(TRIM(_xlfn.XLOOKUP($A251,Строчный!$A:$A,Строчный!L:L,"ERR",0)))</f>
        <v>Унисекс</v>
      </c>
      <c r="M251" s="113" t="str">
        <f ca="1">PROPER(TRIM(_xlfn.XLOOKUP($A251,Строчный!$A:$A,Строчный!M:M,"ERR",0)))</f>
        <v>Россия</v>
      </c>
      <c r="N251" s="81" t="str">
        <f ca="1">UPPER(TRIM(_xlfn.XLOOKUP($A251,Строчный!$A:$A,Строчный!O:O,"ERR",0)))</f>
        <v/>
      </c>
      <c r="O251" s="102" t="str">
        <f ca="1">PROPER(TRIM(_xlfn.XLOOKUP($A251,Строчный!$A:$A,Строчный!P:P,"ERR",0)))</f>
        <v/>
      </c>
      <c r="P251" s="81" t="str">
        <f ca="1">PROPER(TRIM(_xlfn.XLOOKUP($A251,Строчный!$A:$A,Строчный!R:R,"ERR",0)))</f>
        <v/>
      </c>
      <c r="Q251" s="90">
        <f ca="1">VALUE(_xlfn.XLOOKUP($A251,Строчный!$A:$A,Строчный!N:N,"ERR",0))</f>
        <v>975.8</v>
      </c>
      <c r="R251" s="89" t="str">
        <f ca="1">_xlfn.XLOOKUP($G251,Фабрика!A:A,Фабрика!B:B,"ERR",0)</f>
        <v>ООО "ФРЭДРИКСОН" Россия 192029, С-Петербург, пр. Обуховской обороны, д.86, лит М</v>
      </c>
      <c r="S251" s="80" t="str">
        <f ca="1">_xlfn.XLOOKUP(RIGHT(AA251,2),Размеры!D:D,Размеры!A:A,"ERR",0)</f>
        <v>59</v>
      </c>
      <c r="T251" s="80">
        <f ca="1">VALUE(_xlfn.XLOOKUP($AA251,Строчный!$S:$S,Строчный!U:U,"ERR",0))</f>
        <v>2</v>
      </c>
      <c r="U251" s="14" t="s">
        <v>265</v>
      </c>
      <c r="V251" s="101" t="str">
        <f t="shared" ca="1" si="21"/>
        <v>Кепка FREDRIKSON арт. 3147 (светло-бежевый / черный)</v>
      </c>
      <c r="W251" s="100" t="str">
        <f t="shared" ca="1" si="22"/>
        <v>Кепка FREDRIKSON арт. 3147 (светло-бежевый / черный) {685/55}</v>
      </c>
      <c r="X251" s="18" t="str">
        <f t="shared" ca="1" si="23"/>
        <v>бежевый / черный</v>
      </c>
      <c r="Y251" s="18" t="str">
        <f t="shared" ca="1" si="24"/>
        <v>бежевый / черный</v>
      </c>
      <c r="Z251" s="117" t="s">
        <v>52</v>
      </c>
      <c r="AA251" s="73" t="str">
        <f ca="1"/>
        <v>95-006-57-59</v>
      </c>
      <c r="AB251" s="75" t="str">
        <f ca="1">VLOOKUP(C251,Группа!A:B,2,FALSE)</f>
        <v>Кепка</v>
      </c>
      <c r="AC251" s="97" t="str">
        <f ca="1">IFERROR(VLOOKUP(S251,Размеры!A:C,3,FALSE),"")</f>
        <v>59 L</v>
      </c>
      <c r="AD251" s="97" t="str">
        <f ca="1">VLOOKUP(I251,ЦветПолный!A:B,2,FALSE)</f>
        <v>57</v>
      </c>
      <c r="AE251" s="97" t="str">
        <f ca="1">IFERROR(VLOOKUP(S251,Размеры!A:D,4,FALSE),"")</f>
        <v>59</v>
      </c>
      <c r="AF251" s="97">
        <f ca="1">IF(LEFT(IFERROR(VLOOKUP(LOOKUP(2,1/SEARCH(B251,Товары!A:A),Товары!A:A),Товары!A:B,2,0),""),6)=MID(AA251,1,6),1,0)</f>
        <v>0</v>
      </c>
      <c r="AH251" s="97">
        <f ca="1">SUMIF(Группа!A:A,C251,Группа!C:C)</f>
        <v>1</v>
      </c>
      <c r="AI251" s="97">
        <f ca="1">SUMIF(Группа!B:B,AB251,Группа!C:C)</f>
        <v>1</v>
      </c>
      <c r="AJ251" s="97">
        <f ca="1">SUMIF(Формы!A:A,D251,Формы!B:B)</f>
        <v>1</v>
      </c>
      <c r="AK251" s="97">
        <f ca="1">SUMIF(Материал!A:A,K251,Материал!B:B)</f>
        <v>1</v>
      </c>
      <c r="AL251" s="97">
        <f ca="1">SUMIF(Размеры!A:A,S251,Размеры!E:E)</f>
        <v>1</v>
      </c>
      <c r="AM251" s="97">
        <f ca="1">SUMIF(Сезон!A:A,F251,Сезон!B:B)</f>
        <v>1</v>
      </c>
      <c r="AN251" s="97">
        <f ca="1">SUMIF(Состав!A:A,J251,Состав!B:B)</f>
        <v>0</v>
      </c>
      <c r="AO251" s="97">
        <f ca="1">VLOOKUP(I251,ЦветПолный!A:C,3,0)</f>
        <v>1</v>
      </c>
      <c r="AP251" s="97">
        <f>SUMIF(Цвет!A:A,Z251,Цвет!B:B)</f>
        <v>1</v>
      </c>
      <c r="AQ251" s="97">
        <f ca="1">_xlfn.XLOOKUP(L251,Пол!A:A,Пол!B:B,0,0)</f>
        <v>1</v>
      </c>
      <c r="AR251" s="97">
        <f ca="1">SUMIF(Бренд!A:A,G251,Бренд!B:B)</f>
        <v>1</v>
      </c>
      <c r="AS251" s="97">
        <f ca="1">SUMIF(Страна!A:A,M251,Страна!B:B)</f>
        <v>1</v>
      </c>
      <c r="AT251" s="64" t="e">
        <f ca="1">IF(VLOOKUP(W251,Товары!A:B,2,FALSE)=A251,"Есть в 1С","ERR")</f>
        <v>#N/A</v>
      </c>
      <c r="AU251" s="65" t="e">
        <f ca="1">IF(VLOOKUP(A251,Товары!B:B,1,FALSE)=A251,"Есть в 1С","ERR")</f>
        <v>#N/A</v>
      </c>
      <c r="AV251" s="96" t="e">
        <f ca="1">VLOOKUP(W251,Товары!A:B,2,FALSE)</f>
        <v>#N/A</v>
      </c>
      <c r="AW251" s="94" t="e">
        <f ca="1">VLOOKUP(W251,Товары!A:B,1,FALSE)</f>
        <v>#N/A</v>
      </c>
    </row>
    <row r="252" spans="1:49" x14ac:dyDescent="0.25">
      <c r="A252" s="110" t="str">
        <f t="shared" ca="1" si="20"/>
        <v>95-006-57</v>
      </c>
      <c r="B252" s="107" t="str">
        <f ca="1">_xlfn.LET(_xlpm.CAPS,0,_xlpm.Style,TRIM(_xlfn.XLOOKUP($A252,Строчный!$A:$A,Строчный!B:B,"ERR",0)),IF(_xlpm.CAPS=0,_xlpm.Style,LOWER(_xlpm.Style)))</f>
        <v>3147</v>
      </c>
      <c r="C252" s="81" t="str">
        <f ca="1">TRIM(PROPER(_xlfn.XLOOKUP($A252,Строчный!$A:$A,Строчный!C:C,"ERR",0)))</f>
        <v>Кепки</v>
      </c>
      <c r="D252" s="81" t="str">
        <f ca="1">_xlfn.LET(_xlpm.DATA,TRIM(_xlfn.XLOOKUP($A252,Строчный!$A:$A,Строчный!D:D,"ERR",0)),UPPER(MID(_xlpm.DATA,1,1))&amp;LOWER(MID(_xlpm.DATA,2,LEN(_xlpm.DATA)-1)))</f>
        <v>Кепка шестиклинка</v>
      </c>
      <c r="E252" s="81" t="str">
        <f ca="1">PROPER(TRIM(_xlfn.XLOOKUP($A252,Строчный!$A:$A,Строчный!E:E,"ERR",0)))</f>
        <v>Fredrikson</v>
      </c>
      <c r="F252" s="81" t="str">
        <f ca="1">LOWER(TRIM(_xlfn.XLOOKUP($A252,Строчный!$A:$A,Строчный!F:F,"ERR",0)))</f>
        <v>всесезон</v>
      </c>
      <c r="G252" s="81" t="str">
        <f ca="1">UPPER(TRIM(_xlfn.XLOOKUP($A252,Строчный!$A:$A,Строчный!G:G,"ERR",0)))</f>
        <v>FREDRIKSON</v>
      </c>
      <c r="H252" s="81" t="str">
        <f ca="1">LOWER(TRIM(_xlfn.XLOOKUP($A252,Строчный!$A:$A,Строчный!H:H,"ERR",0)))</f>
        <v>685/55</v>
      </c>
      <c r="I252" s="81" t="str">
        <f ca="1">LOWER(TRIM(_xlfn.XLOOKUP($A252,Строчный!$A:$A,Строчный!I:I,"ERR",0)))</f>
        <v>светло-бежевый / черный</v>
      </c>
      <c r="J252" s="81" t="str">
        <f ca="1">SUBSTITUTE(LOWER(TRIM(_xlfn.XLOOKUP($A252,Строчный!$A:$A,Строчный!J:J,"ERR",0))),"подклад","Подклад")</f>
        <v>80% шерсть - 20% полиамид / Подклад: 100% вискоза</v>
      </c>
      <c r="K252" s="81" t="str">
        <f ca="1">LOWER(TRIM(_xlfn.XLOOKUP($A252,Строчный!$A:$A,Строчный!K:K,"ERR",0)))</f>
        <v>шерстяные</v>
      </c>
      <c r="L252" s="81" t="str">
        <f ca="1">PROPER(TRIM(_xlfn.XLOOKUP($A252,Строчный!$A:$A,Строчный!L:L,"ERR",0)))</f>
        <v>Унисекс</v>
      </c>
      <c r="M252" s="113" t="str">
        <f ca="1">PROPER(TRIM(_xlfn.XLOOKUP($A252,Строчный!$A:$A,Строчный!M:M,"ERR",0)))</f>
        <v>Россия</v>
      </c>
      <c r="N252" s="81" t="str">
        <f ca="1">UPPER(TRIM(_xlfn.XLOOKUP($A252,Строчный!$A:$A,Строчный!O:O,"ERR",0)))</f>
        <v/>
      </c>
      <c r="O252" s="102" t="str">
        <f ca="1">PROPER(TRIM(_xlfn.XLOOKUP($A252,Строчный!$A:$A,Строчный!P:P,"ERR",0)))</f>
        <v/>
      </c>
      <c r="P252" s="81" t="str">
        <f ca="1">PROPER(TRIM(_xlfn.XLOOKUP($A252,Строчный!$A:$A,Строчный!R:R,"ERR",0)))</f>
        <v/>
      </c>
      <c r="Q252" s="90">
        <f ca="1">VALUE(_xlfn.XLOOKUP($A252,Строчный!$A:$A,Строчный!N:N,"ERR",0))</f>
        <v>975.8</v>
      </c>
      <c r="R252" s="89" t="str">
        <f ca="1">_xlfn.XLOOKUP($G252,Фабрика!A:A,Фабрика!B:B,"ERR",0)</f>
        <v>ООО "ФРЭДРИКСОН" Россия 192029, С-Петербург, пр. Обуховской обороны, д.86, лит М</v>
      </c>
      <c r="S252" s="80" t="str">
        <f ca="1">_xlfn.XLOOKUP(RIGHT(AA252,2),Размеры!D:D,Размеры!A:A,"ERR",0)</f>
        <v>58</v>
      </c>
      <c r="T252" s="80">
        <f ca="1">VALUE(_xlfn.XLOOKUP($AA252,Строчный!$S:$S,Строчный!U:U,"ERR",0))</f>
        <v>1</v>
      </c>
      <c r="U252" s="14" t="s">
        <v>265</v>
      </c>
      <c r="V252" s="101" t="str">
        <f t="shared" ca="1" si="21"/>
        <v>Кепка FREDRIKSON арт. 3147 (светло-бежевый / черный)</v>
      </c>
      <c r="W252" s="100" t="str">
        <f t="shared" ca="1" si="22"/>
        <v>Кепка FREDRIKSON арт. 3147 (светло-бежевый / черный) {685/55}</v>
      </c>
      <c r="X252" s="18" t="str">
        <f t="shared" ca="1" si="23"/>
        <v>бежевый / черный</v>
      </c>
      <c r="Y252" s="18" t="str">
        <f t="shared" ca="1" si="24"/>
        <v>бежевый / черный</v>
      </c>
      <c r="Z252" s="117" t="s">
        <v>52</v>
      </c>
      <c r="AA252" s="73" t="str">
        <f ca="1"/>
        <v>95-006-57-58</v>
      </c>
      <c r="AB252" s="75" t="str">
        <f ca="1">VLOOKUP(C252,Группа!A:B,2,FALSE)</f>
        <v>Кепка</v>
      </c>
      <c r="AC252" s="97" t="str">
        <f ca="1">IFERROR(VLOOKUP(S252,Размеры!A:C,3,FALSE),"")</f>
        <v>58 M/L</v>
      </c>
      <c r="AD252" s="97" t="str">
        <f ca="1">VLOOKUP(I252,ЦветПолный!A:B,2,FALSE)</f>
        <v>57</v>
      </c>
      <c r="AE252" s="97" t="str">
        <f ca="1">IFERROR(VLOOKUP(S252,Размеры!A:D,4,FALSE),"")</f>
        <v>58</v>
      </c>
      <c r="AF252" s="97">
        <f ca="1">IF(LEFT(IFERROR(VLOOKUP(LOOKUP(2,1/SEARCH(B252,Товары!A:A),Товары!A:A),Товары!A:B,2,0),""),6)=MID(AA252,1,6),1,0)</f>
        <v>0</v>
      </c>
      <c r="AH252" s="97">
        <f ca="1">SUMIF(Группа!A:A,C252,Группа!C:C)</f>
        <v>1</v>
      </c>
      <c r="AI252" s="97">
        <f ca="1">SUMIF(Группа!B:B,AB252,Группа!C:C)</f>
        <v>1</v>
      </c>
      <c r="AJ252" s="97">
        <f ca="1">SUMIF(Формы!A:A,D252,Формы!B:B)</f>
        <v>1</v>
      </c>
      <c r="AK252" s="97">
        <f ca="1">SUMIF(Материал!A:A,K252,Материал!B:B)</f>
        <v>1</v>
      </c>
      <c r="AL252" s="97">
        <f ca="1">SUMIF(Размеры!A:A,S252,Размеры!E:E)</f>
        <v>1</v>
      </c>
      <c r="AM252" s="97">
        <f ca="1">SUMIF(Сезон!A:A,F252,Сезон!B:B)</f>
        <v>1</v>
      </c>
      <c r="AN252" s="97">
        <f ca="1">SUMIF(Состав!A:A,J252,Состав!B:B)</f>
        <v>0</v>
      </c>
      <c r="AO252" s="97">
        <f ca="1">VLOOKUP(I252,ЦветПолный!A:C,3,0)</f>
        <v>1</v>
      </c>
      <c r="AP252" s="97">
        <f>SUMIF(Цвет!A:A,Z252,Цвет!B:B)</f>
        <v>1</v>
      </c>
      <c r="AQ252" s="97">
        <f ca="1">_xlfn.XLOOKUP(L252,Пол!A:A,Пол!B:B,0,0)</f>
        <v>1</v>
      </c>
      <c r="AR252" s="97">
        <f ca="1">SUMIF(Бренд!A:A,G252,Бренд!B:B)</f>
        <v>1</v>
      </c>
      <c r="AS252" s="97">
        <f ca="1">SUMIF(Страна!A:A,M252,Страна!B:B)</f>
        <v>1</v>
      </c>
      <c r="AT252" s="64" t="e">
        <f ca="1">IF(VLOOKUP(W252,Товары!A:B,2,FALSE)=A252,"Есть в 1С","ERR")</f>
        <v>#N/A</v>
      </c>
      <c r="AU252" s="65" t="e">
        <f ca="1">IF(VLOOKUP(A252,Товары!B:B,1,FALSE)=A252,"Есть в 1С","ERR")</f>
        <v>#N/A</v>
      </c>
      <c r="AV252" s="96" t="e">
        <f ca="1">VLOOKUP(W252,Товары!A:B,2,FALSE)</f>
        <v>#N/A</v>
      </c>
      <c r="AW252" s="94" t="e">
        <f ca="1">VLOOKUP(W252,Товары!A:B,1,FALSE)</f>
        <v>#N/A</v>
      </c>
    </row>
    <row r="253" spans="1:49" x14ac:dyDescent="0.25">
      <c r="A253" s="110" t="str">
        <f t="shared" ca="1" si="20"/>
        <v>95-006-57</v>
      </c>
      <c r="B253" s="107" t="str">
        <f ca="1">_xlfn.LET(_xlpm.CAPS,0,_xlpm.Style,TRIM(_xlfn.XLOOKUP($A253,Строчный!$A:$A,Строчный!B:B,"ERR",0)),IF(_xlpm.CAPS=0,_xlpm.Style,LOWER(_xlpm.Style)))</f>
        <v>3147</v>
      </c>
      <c r="C253" s="81" t="str">
        <f ca="1">TRIM(PROPER(_xlfn.XLOOKUP($A253,Строчный!$A:$A,Строчный!C:C,"ERR",0)))</f>
        <v>Кепки</v>
      </c>
      <c r="D253" s="81" t="str">
        <f ca="1">_xlfn.LET(_xlpm.DATA,TRIM(_xlfn.XLOOKUP($A253,Строчный!$A:$A,Строчный!D:D,"ERR",0)),UPPER(MID(_xlpm.DATA,1,1))&amp;LOWER(MID(_xlpm.DATA,2,LEN(_xlpm.DATA)-1)))</f>
        <v>Кепка шестиклинка</v>
      </c>
      <c r="E253" s="81" t="str">
        <f ca="1">PROPER(TRIM(_xlfn.XLOOKUP($A253,Строчный!$A:$A,Строчный!E:E,"ERR",0)))</f>
        <v>Fredrikson</v>
      </c>
      <c r="F253" s="81" t="str">
        <f ca="1">LOWER(TRIM(_xlfn.XLOOKUP($A253,Строчный!$A:$A,Строчный!F:F,"ERR",0)))</f>
        <v>всесезон</v>
      </c>
      <c r="G253" s="81" t="str">
        <f ca="1">UPPER(TRIM(_xlfn.XLOOKUP($A253,Строчный!$A:$A,Строчный!G:G,"ERR",0)))</f>
        <v>FREDRIKSON</v>
      </c>
      <c r="H253" s="81" t="str">
        <f ca="1">LOWER(TRIM(_xlfn.XLOOKUP($A253,Строчный!$A:$A,Строчный!H:H,"ERR",0)))</f>
        <v>685/55</v>
      </c>
      <c r="I253" s="81" t="str">
        <f ca="1">LOWER(TRIM(_xlfn.XLOOKUP($A253,Строчный!$A:$A,Строчный!I:I,"ERR",0)))</f>
        <v>светло-бежевый / черный</v>
      </c>
      <c r="J253" s="81" t="str">
        <f ca="1">SUBSTITUTE(LOWER(TRIM(_xlfn.XLOOKUP($A253,Строчный!$A:$A,Строчный!J:J,"ERR",0))),"подклад","Подклад")</f>
        <v>80% шерсть - 20% полиамид / Подклад: 100% вискоза</v>
      </c>
      <c r="K253" s="81" t="str">
        <f ca="1">LOWER(TRIM(_xlfn.XLOOKUP($A253,Строчный!$A:$A,Строчный!K:K,"ERR",0)))</f>
        <v>шерстяные</v>
      </c>
      <c r="L253" s="81" t="str">
        <f ca="1">PROPER(TRIM(_xlfn.XLOOKUP($A253,Строчный!$A:$A,Строчный!L:L,"ERR",0)))</f>
        <v>Унисекс</v>
      </c>
      <c r="M253" s="113" t="str">
        <f ca="1">PROPER(TRIM(_xlfn.XLOOKUP($A253,Строчный!$A:$A,Строчный!M:M,"ERR",0)))</f>
        <v>Россия</v>
      </c>
      <c r="N253" s="81" t="str">
        <f ca="1">UPPER(TRIM(_xlfn.XLOOKUP($A253,Строчный!$A:$A,Строчный!O:O,"ERR",0)))</f>
        <v/>
      </c>
      <c r="O253" s="102" t="str">
        <f ca="1">PROPER(TRIM(_xlfn.XLOOKUP($A253,Строчный!$A:$A,Строчный!P:P,"ERR",0)))</f>
        <v/>
      </c>
      <c r="P253" s="81" t="str">
        <f ca="1">PROPER(TRIM(_xlfn.XLOOKUP($A253,Строчный!$A:$A,Строчный!R:R,"ERR",0)))</f>
        <v/>
      </c>
      <c r="Q253" s="90">
        <f ca="1">VALUE(_xlfn.XLOOKUP($A253,Строчный!$A:$A,Строчный!N:N,"ERR",0))</f>
        <v>975.8</v>
      </c>
      <c r="R253" s="89" t="str">
        <f ca="1">_xlfn.XLOOKUP($G253,Фабрика!A:A,Фабрика!B:B,"ERR",0)</f>
        <v>ООО "ФРЭДРИКСОН" Россия 192029, С-Петербург, пр. Обуховской обороны, д.86, лит М</v>
      </c>
      <c r="S253" s="80" t="str">
        <f ca="1">_xlfn.XLOOKUP(RIGHT(AA253,2),Размеры!D:D,Размеры!A:A,"ERR",0)</f>
        <v>57</v>
      </c>
      <c r="T253" s="80">
        <f ca="1">VALUE(_xlfn.XLOOKUP($AA253,Строчный!$S:$S,Строчный!U:U,"ERR",0))</f>
        <v>1</v>
      </c>
      <c r="U253" s="14" t="s">
        <v>265</v>
      </c>
      <c r="V253" s="101" t="str">
        <f t="shared" ca="1" si="21"/>
        <v>Кепка FREDRIKSON арт. 3147 (светло-бежевый / черный)</v>
      </c>
      <c r="W253" s="100" t="str">
        <f t="shared" ca="1" si="22"/>
        <v>Кепка FREDRIKSON арт. 3147 (светло-бежевый / черный) {685/55}</v>
      </c>
      <c r="X253" s="18" t="str">
        <f t="shared" ca="1" si="23"/>
        <v>бежевый / черный</v>
      </c>
      <c r="Y253" s="18" t="str">
        <f t="shared" ca="1" si="24"/>
        <v>бежевый / черный</v>
      </c>
      <c r="Z253" s="117" t="s">
        <v>52</v>
      </c>
      <c r="AA253" s="73" t="str">
        <f ca="1"/>
        <v>95-006-57-57</v>
      </c>
      <c r="AB253" s="75" t="str">
        <f ca="1">VLOOKUP(C253,Группа!A:B,2,FALSE)</f>
        <v>Кепка</v>
      </c>
      <c r="AC253" s="97" t="str">
        <f ca="1">IFERROR(VLOOKUP(S253,Размеры!A:C,3,FALSE),"")</f>
        <v>57 M</v>
      </c>
      <c r="AD253" s="97" t="str">
        <f ca="1">VLOOKUP(I253,ЦветПолный!A:B,2,FALSE)</f>
        <v>57</v>
      </c>
      <c r="AE253" s="97" t="str">
        <f ca="1">IFERROR(VLOOKUP(S253,Размеры!A:D,4,FALSE),"")</f>
        <v>57</v>
      </c>
      <c r="AF253" s="97">
        <f ca="1">IF(LEFT(IFERROR(VLOOKUP(LOOKUP(2,1/SEARCH(B253,Товары!A:A),Товары!A:A),Товары!A:B,2,0),""),6)=MID(AA253,1,6),1,0)</f>
        <v>0</v>
      </c>
      <c r="AH253" s="97">
        <f ca="1">SUMIF(Группа!A:A,C253,Группа!C:C)</f>
        <v>1</v>
      </c>
      <c r="AI253" s="97">
        <f ca="1">SUMIF(Группа!B:B,AB253,Группа!C:C)</f>
        <v>1</v>
      </c>
      <c r="AJ253" s="97">
        <f ca="1">SUMIF(Формы!A:A,D253,Формы!B:B)</f>
        <v>1</v>
      </c>
      <c r="AK253" s="97">
        <f ca="1">SUMIF(Материал!A:A,K253,Материал!B:B)</f>
        <v>1</v>
      </c>
      <c r="AL253" s="97">
        <f ca="1">SUMIF(Размеры!A:A,S253,Размеры!E:E)</f>
        <v>1</v>
      </c>
      <c r="AM253" s="97">
        <f ca="1">SUMIF(Сезон!A:A,F253,Сезон!B:B)</f>
        <v>1</v>
      </c>
      <c r="AN253" s="97">
        <f ca="1">SUMIF(Состав!A:A,J253,Состав!B:B)</f>
        <v>0</v>
      </c>
      <c r="AO253" s="97">
        <f ca="1">VLOOKUP(I253,ЦветПолный!A:C,3,0)</f>
        <v>1</v>
      </c>
      <c r="AP253" s="97">
        <f>SUMIF(Цвет!A:A,Z253,Цвет!B:B)</f>
        <v>1</v>
      </c>
      <c r="AQ253" s="97">
        <f ca="1">_xlfn.XLOOKUP(L253,Пол!A:A,Пол!B:B,0,0)</f>
        <v>1</v>
      </c>
      <c r="AR253" s="97">
        <f ca="1">SUMIF(Бренд!A:A,G253,Бренд!B:B)</f>
        <v>1</v>
      </c>
      <c r="AS253" s="97">
        <f ca="1">SUMIF(Страна!A:A,M253,Страна!B:B)</f>
        <v>1</v>
      </c>
      <c r="AT253" s="64" t="e">
        <f ca="1">IF(VLOOKUP(W253,Товары!A:B,2,FALSE)=A253,"Есть в 1С","ERR")</f>
        <v>#N/A</v>
      </c>
      <c r="AU253" s="65" t="e">
        <f ca="1">IF(VLOOKUP(A253,Товары!B:B,1,FALSE)=A253,"Есть в 1С","ERR")</f>
        <v>#N/A</v>
      </c>
      <c r="AV253" s="96" t="e">
        <f ca="1">VLOOKUP(W253,Товары!A:B,2,FALSE)</f>
        <v>#N/A</v>
      </c>
      <c r="AW253" s="94" t="e">
        <f ca="1">VLOOKUP(W253,Товары!A:B,1,FALSE)</f>
        <v>#N/A</v>
      </c>
    </row>
    <row r="254" spans="1:49" x14ac:dyDescent="0.25">
      <c r="A254" s="110" t="str">
        <f t="shared" ca="1" si="20"/>
        <v>95-006-53</v>
      </c>
      <c r="B254" s="107" t="str">
        <f ca="1">_xlfn.LET(_xlpm.CAPS,0,_xlpm.Style,TRIM(_xlfn.XLOOKUP($A254,Строчный!$A:$A,Строчный!B:B,"ERR",0)),IF(_xlpm.CAPS=0,_xlpm.Style,LOWER(_xlpm.Style)))</f>
        <v>3147</v>
      </c>
      <c r="C254" s="81" t="str">
        <f ca="1">TRIM(PROPER(_xlfn.XLOOKUP($A254,Строчный!$A:$A,Строчный!C:C,"ERR",0)))</f>
        <v>Кепки</v>
      </c>
      <c r="D254" s="81" t="str">
        <f ca="1">_xlfn.LET(_xlpm.DATA,TRIM(_xlfn.XLOOKUP($A254,Строчный!$A:$A,Строчный!D:D,"ERR",0)),UPPER(MID(_xlpm.DATA,1,1))&amp;LOWER(MID(_xlpm.DATA,2,LEN(_xlpm.DATA)-1)))</f>
        <v>Кепка шестиклинка</v>
      </c>
      <c r="E254" s="81" t="str">
        <f ca="1">PROPER(TRIM(_xlfn.XLOOKUP($A254,Строчный!$A:$A,Строчный!E:E,"ERR",0)))</f>
        <v>Fredrikson</v>
      </c>
      <c r="F254" s="81" t="str">
        <f ca="1">LOWER(TRIM(_xlfn.XLOOKUP($A254,Строчный!$A:$A,Строчный!F:F,"ERR",0)))</f>
        <v>всесезон</v>
      </c>
      <c r="G254" s="81" t="str">
        <f ca="1">UPPER(TRIM(_xlfn.XLOOKUP($A254,Строчный!$A:$A,Строчный!G:G,"ERR",0)))</f>
        <v>FREDRIKSON</v>
      </c>
      <c r="H254" s="81" t="str">
        <f ca="1">LOWER(TRIM(_xlfn.XLOOKUP($A254,Строчный!$A:$A,Строчный!H:H,"ERR",0)))</f>
        <v>642/70</v>
      </c>
      <c r="I254" s="81" t="str">
        <f ca="1">LOWER(TRIM(_xlfn.XLOOKUP($A254,Строчный!$A:$A,Строчный!I:I,"ERR",0)))</f>
        <v>бежевый / черный</v>
      </c>
      <c r="J254" s="81" t="str">
        <f ca="1">SUBSTITUTE(LOWER(TRIM(_xlfn.XLOOKUP($A254,Строчный!$A:$A,Строчный!J:J,"ERR",0))),"подклад","Подклад")</f>
        <v>80% шерсть - 20% полиамид / Подклад: 100% вискоза</v>
      </c>
      <c r="K254" s="81" t="str">
        <f ca="1">LOWER(TRIM(_xlfn.XLOOKUP($A254,Строчный!$A:$A,Строчный!K:K,"ERR",0)))</f>
        <v>шерстяные</v>
      </c>
      <c r="L254" s="81" t="str">
        <f ca="1">PROPER(TRIM(_xlfn.XLOOKUP($A254,Строчный!$A:$A,Строчный!L:L,"ERR",0)))</f>
        <v>Унисекс</v>
      </c>
      <c r="M254" s="113" t="str">
        <f ca="1">PROPER(TRIM(_xlfn.XLOOKUP($A254,Строчный!$A:$A,Строчный!M:M,"ERR",0)))</f>
        <v>Россия</v>
      </c>
      <c r="N254" s="81" t="str">
        <f ca="1">UPPER(TRIM(_xlfn.XLOOKUP($A254,Строчный!$A:$A,Строчный!O:O,"ERR",0)))</f>
        <v/>
      </c>
      <c r="O254" s="102" t="str">
        <f ca="1">PROPER(TRIM(_xlfn.XLOOKUP($A254,Строчный!$A:$A,Строчный!P:P,"ERR",0)))</f>
        <v/>
      </c>
      <c r="P254" s="81" t="str">
        <f ca="1">PROPER(TRIM(_xlfn.XLOOKUP($A254,Строчный!$A:$A,Строчный!R:R,"ERR",0)))</f>
        <v/>
      </c>
      <c r="Q254" s="90">
        <f ca="1">VALUE(_xlfn.XLOOKUP($A254,Строчный!$A:$A,Строчный!N:N,"ERR",0))</f>
        <v>975.8</v>
      </c>
      <c r="R254" s="89" t="str">
        <f ca="1">_xlfn.XLOOKUP($G254,Фабрика!A:A,Фабрика!B:B,"ERR",0)</f>
        <v>ООО "ФРЭДРИКСОН" Россия 192029, С-Петербург, пр. Обуховской обороны, д.86, лит М</v>
      </c>
      <c r="S254" s="80" t="str">
        <f ca="1">_xlfn.XLOOKUP(RIGHT(AA254,2),Размеры!D:D,Размеры!A:A,"ERR",0)</f>
        <v>60</v>
      </c>
      <c r="T254" s="80">
        <f ca="1">VALUE(_xlfn.XLOOKUP($AA254,Строчный!$S:$S,Строчный!U:U,"ERR",0))</f>
        <v>12</v>
      </c>
      <c r="U254" s="14" t="s">
        <v>265</v>
      </c>
      <c r="V254" s="101" t="str">
        <f t="shared" ca="1" si="21"/>
        <v>Кепка FREDRIKSON арт. 3147 (бежевый / черный)</v>
      </c>
      <c r="W254" s="100" t="str">
        <f t="shared" ca="1" si="22"/>
        <v>Кепка FREDRIKSON арт. 3147 (бежевый / черный) {642/70}</v>
      </c>
      <c r="X254" s="18" t="str">
        <f t="shared" ca="1" si="23"/>
        <v>бежевый</v>
      </c>
      <c r="Y254" s="18" t="str">
        <f t="shared" ca="1" si="24"/>
        <v>черный</v>
      </c>
      <c r="Z254" s="117" t="s">
        <v>27</v>
      </c>
      <c r="AA254" s="73" t="str">
        <f ca="1"/>
        <v>95-006-53-60</v>
      </c>
      <c r="AB254" s="75" t="str">
        <f ca="1">VLOOKUP(C254,Группа!A:B,2,FALSE)</f>
        <v>Кепка</v>
      </c>
      <c r="AC254" s="97" t="str">
        <f ca="1">IFERROR(VLOOKUP(S254,Размеры!A:C,3,FALSE),"")</f>
        <v>60 L/XL</v>
      </c>
      <c r="AD254" s="97" t="str">
        <f ca="1">VLOOKUP(I254,ЦветПолный!A:B,2,FALSE)</f>
        <v>53</v>
      </c>
      <c r="AE254" s="97" t="str">
        <f ca="1">IFERROR(VLOOKUP(S254,Размеры!A:D,4,FALSE),"")</f>
        <v>60</v>
      </c>
      <c r="AF254" s="97">
        <f ca="1">IF(LEFT(IFERROR(VLOOKUP(LOOKUP(2,1/SEARCH(B254,Товары!A:A),Товары!A:A),Товары!A:B,2,0),""),6)=MID(AA254,1,6),1,0)</f>
        <v>0</v>
      </c>
      <c r="AH254" s="97">
        <f ca="1">SUMIF(Группа!A:A,C254,Группа!C:C)</f>
        <v>1</v>
      </c>
      <c r="AI254" s="97">
        <f ca="1">SUMIF(Группа!B:B,AB254,Группа!C:C)</f>
        <v>1</v>
      </c>
      <c r="AJ254" s="97">
        <f ca="1">SUMIF(Формы!A:A,D254,Формы!B:B)</f>
        <v>1</v>
      </c>
      <c r="AK254" s="97">
        <f ca="1">SUMIF(Материал!A:A,K254,Материал!B:B)</f>
        <v>1</v>
      </c>
      <c r="AL254" s="97">
        <f ca="1">SUMIF(Размеры!A:A,S254,Размеры!E:E)</f>
        <v>1</v>
      </c>
      <c r="AM254" s="97">
        <f ca="1">SUMIF(Сезон!A:A,F254,Сезон!B:B)</f>
        <v>1</v>
      </c>
      <c r="AN254" s="97">
        <f ca="1">SUMIF(Состав!A:A,J254,Состав!B:B)</f>
        <v>0</v>
      </c>
      <c r="AO254" s="97">
        <f ca="1">VLOOKUP(I254,ЦветПолный!A:C,3,0)</f>
        <v>1</v>
      </c>
      <c r="AP254" s="97">
        <f>SUMIF(Цвет!A:A,Z254,Цвет!B:B)</f>
        <v>1</v>
      </c>
      <c r="AQ254" s="97">
        <f ca="1">_xlfn.XLOOKUP(L254,Пол!A:A,Пол!B:B,0,0)</f>
        <v>1</v>
      </c>
      <c r="AR254" s="97">
        <f ca="1">SUMIF(Бренд!A:A,G254,Бренд!B:B)</f>
        <v>1</v>
      </c>
      <c r="AS254" s="97">
        <f ca="1">SUMIF(Страна!A:A,M254,Страна!B:B)</f>
        <v>1</v>
      </c>
      <c r="AT254" s="64" t="e">
        <f ca="1">IF(VLOOKUP(W254,Товары!A:B,2,FALSE)=A254,"Есть в 1С","ERR")</f>
        <v>#N/A</v>
      </c>
      <c r="AU254" s="65" t="e">
        <f ca="1">IF(VLOOKUP(A254,Товары!B:B,1,FALSE)=A254,"Есть в 1С","ERR")</f>
        <v>#N/A</v>
      </c>
      <c r="AV254" s="96" t="e">
        <f ca="1">VLOOKUP(W254,Товары!A:B,2,FALSE)</f>
        <v>#N/A</v>
      </c>
      <c r="AW254" s="94" t="e">
        <f ca="1">VLOOKUP(W254,Товары!A:B,1,FALSE)</f>
        <v>#N/A</v>
      </c>
    </row>
    <row r="255" spans="1:49" x14ac:dyDescent="0.25">
      <c r="A255" s="110" t="str">
        <f t="shared" ca="1" si="20"/>
        <v>95-006-53</v>
      </c>
      <c r="B255" s="107" t="str">
        <f ca="1">_xlfn.LET(_xlpm.CAPS,0,_xlpm.Style,TRIM(_xlfn.XLOOKUP($A255,Строчный!$A:$A,Строчный!B:B,"ERR",0)),IF(_xlpm.CAPS=0,_xlpm.Style,LOWER(_xlpm.Style)))</f>
        <v>3147</v>
      </c>
      <c r="C255" s="81" t="str">
        <f ca="1">TRIM(PROPER(_xlfn.XLOOKUP($A255,Строчный!$A:$A,Строчный!C:C,"ERR",0)))</f>
        <v>Кепки</v>
      </c>
      <c r="D255" s="81" t="str">
        <f ca="1">_xlfn.LET(_xlpm.DATA,TRIM(_xlfn.XLOOKUP($A255,Строчный!$A:$A,Строчный!D:D,"ERR",0)),UPPER(MID(_xlpm.DATA,1,1))&amp;LOWER(MID(_xlpm.DATA,2,LEN(_xlpm.DATA)-1)))</f>
        <v>Кепка шестиклинка</v>
      </c>
      <c r="E255" s="81" t="str">
        <f ca="1">PROPER(TRIM(_xlfn.XLOOKUP($A255,Строчный!$A:$A,Строчный!E:E,"ERR",0)))</f>
        <v>Fredrikson</v>
      </c>
      <c r="F255" s="81" t="str">
        <f ca="1">LOWER(TRIM(_xlfn.XLOOKUP($A255,Строчный!$A:$A,Строчный!F:F,"ERR",0)))</f>
        <v>всесезон</v>
      </c>
      <c r="G255" s="81" t="str">
        <f ca="1">UPPER(TRIM(_xlfn.XLOOKUP($A255,Строчный!$A:$A,Строчный!G:G,"ERR",0)))</f>
        <v>FREDRIKSON</v>
      </c>
      <c r="H255" s="81" t="str">
        <f ca="1">LOWER(TRIM(_xlfn.XLOOKUP($A255,Строчный!$A:$A,Строчный!H:H,"ERR",0)))</f>
        <v>642/70</v>
      </c>
      <c r="I255" s="81" t="str">
        <f ca="1">LOWER(TRIM(_xlfn.XLOOKUP($A255,Строчный!$A:$A,Строчный!I:I,"ERR",0)))</f>
        <v>бежевый / черный</v>
      </c>
      <c r="J255" s="81" t="str">
        <f ca="1">SUBSTITUTE(LOWER(TRIM(_xlfn.XLOOKUP($A255,Строчный!$A:$A,Строчный!J:J,"ERR",0))),"подклад","Подклад")</f>
        <v>80% шерсть - 20% полиамид / Подклад: 100% вискоза</v>
      </c>
      <c r="K255" s="81" t="str">
        <f ca="1">LOWER(TRIM(_xlfn.XLOOKUP($A255,Строчный!$A:$A,Строчный!K:K,"ERR",0)))</f>
        <v>шерстяные</v>
      </c>
      <c r="L255" s="81" t="str">
        <f ca="1">PROPER(TRIM(_xlfn.XLOOKUP($A255,Строчный!$A:$A,Строчный!L:L,"ERR",0)))</f>
        <v>Унисекс</v>
      </c>
      <c r="M255" s="113" t="str">
        <f ca="1">PROPER(TRIM(_xlfn.XLOOKUP($A255,Строчный!$A:$A,Строчный!M:M,"ERR",0)))</f>
        <v>Россия</v>
      </c>
      <c r="N255" s="81" t="str">
        <f ca="1">UPPER(TRIM(_xlfn.XLOOKUP($A255,Строчный!$A:$A,Строчный!O:O,"ERR",0)))</f>
        <v/>
      </c>
      <c r="O255" s="102" t="str">
        <f ca="1">PROPER(TRIM(_xlfn.XLOOKUP($A255,Строчный!$A:$A,Строчный!P:P,"ERR",0)))</f>
        <v/>
      </c>
      <c r="P255" s="81" t="str">
        <f ca="1">PROPER(TRIM(_xlfn.XLOOKUP($A255,Строчный!$A:$A,Строчный!R:R,"ERR",0)))</f>
        <v/>
      </c>
      <c r="Q255" s="90">
        <f ca="1">VALUE(_xlfn.XLOOKUP($A255,Строчный!$A:$A,Строчный!N:N,"ERR",0))</f>
        <v>975.8</v>
      </c>
      <c r="R255" s="89" t="str">
        <f ca="1">_xlfn.XLOOKUP($G255,Фабрика!A:A,Фабрика!B:B,"ERR",0)</f>
        <v>ООО "ФРЭДРИКСОН" Россия 192029, С-Петербург, пр. Обуховской обороны, д.86, лит М</v>
      </c>
      <c r="S255" s="80" t="str">
        <f ca="1">_xlfn.XLOOKUP(RIGHT(AA255,2),Размеры!D:D,Размеры!A:A,"ERR",0)</f>
        <v>59</v>
      </c>
      <c r="T255" s="80">
        <f ca="1">VALUE(_xlfn.XLOOKUP($AA255,Строчный!$S:$S,Строчный!U:U,"ERR",0))</f>
        <v>15</v>
      </c>
      <c r="U255" s="14" t="s">
        <v>265</v>
      </c>
      <c r="V255" s="101" t="str">
        <f t="shared" ca="1" si="21"/>
        <v>Кепка FREDRIKSON арт. 3147 (бежевый / черный)</v>
      </c>
      <c r="W255" s="100" t="str">
        <f t="shared" ca="1" si="22"/>
        <v>Кепка FREDRIKSON арт. 3147 (бежевый / черный) {642/70}</v>
      </c>
      <c r="X255" s="18" t="str">
        <f t="shared" ca="1" si="23"/>
        <v>бежевый</v>
      </c>
      <c r="Y255" s="18" t="str">
        <f t="shared" ca="1" si="24"/>
        <v>черный</v>
      </c>
      <c r="Z255" s="117" t="s">
        <v>27</v>
      </c>
      <c r="AA255" s="73" t="str">
        <f ca="1"/>
        <v>95-006-53-59</v>
      </c>
      <c r="AB255" s="75" t="str">
        <f ca="1">VLOOKUP(C255,Группа!A:B,2,FALSE)</f>
        <v>Кепка</v>
      </c>
      <c r="AC255" s="97" t="str">
        <f ca="1">IFERROR(VLOOKUP(S255,Размеры!A:C,3,FALSE),"")</f>
        <v>59 L</v>
      </c>
      <c r="AD255" s="97" t="str">
        <f ca="1">VLOOKUP(I255,ЦветПолный!A:B,2,FALSE)</f>
        <v>53</v>
      </c>
      <c r="AE255" s="97" t="str">
        <f ca="1">IFERROR(VLOOKUP(S255,Размеры!A:D,4,FALSE),"")</f>
        <v>59</v>
      </c>
      <c r="AF255" s="97">
        <f ca="1">IF(LEFT(IFERROR(VLOOKUP(LOOKUP(2,1/SEARCH(B255,Товары!A:A),Товары!A:A),Товары!A:B,2,0),""),6)=MID(AA255,1,6),1,0)</f>
        <v>0</v>
      </c>
      <c r="AH255" s="97">
        <f ca="1">SUMIF(Группа!A:A,C255,Группа!C:C)</f>
        <v>1</v>
      </c>
      <c r="AI255" s="97">
        <f ca="1">SUMIF(Группа!B:B,AB255,Группа!C:C)</f>
        <v>1</v>
      </c>
      <c r="AJ255" s="97">
        <f ca="1">SUMIF(Формы!A:A,D255,Формы!B:B)</f>
        <v>1</v>
      </c>
      <c r="AK255" s="97">
        <f ca="1">SUMIF(Материал!A:A,K255,Материал!B:B)</f>
        <v>1</v>
      </c>
      <c r="AL255" s="97">
        <f ca="1">SUMIF(Размеры!A:A,S255,Размеры!E:E)</f>
        <v>1</v>
      </c>
      <c r="AM255" s="97">
        <f ca="1">SUMIF(Сезон!A:A,F255,Сезон!B:B)</f>
        <v>1</v>
      </c>
      <c r="AN255" s="97">
        <f ca="1">SUMIF(Состав!A:A,J255,Состав!B:B)</f>
        <v>0</v>
      </c>
      <c r="AO255" s="97">
        <f ca="1">VLOOKUP(I255,ЦветПолный!A:C,3,0)</f>
        <v>1</v>
      </c>
      <c r="AP255" s="97">
        <f>SUMIF(Цвет!A:A,Z255,Цвет!B:B)</f>
        <v>1</v>
      </c>
      <c r="AQ255" s="97">
        <f ca="1">_xlfn.XLOOKUP(L255,Пол!A:A,Пол!B:B,0,0)</f>
        <v>1</v>
      </c>
      <c r="AR255" s="97">
        <f ca="1">SUMIF(Бренд!A:A,G255,Бренд!B:B)</f>
        <v>1</v>
      </c>
      <c r="AS255" s="97">
        <f ca="1">SUMIF(Страна!A:A,M255,Страна!B:B)</f>
        <v>1</v>
      </c>
      <c r="AT255" s="64" t="e">
        <f ca="1">IF(VLOOKUP(W255,Товары!A:B,2,FALSE)=A255,"Есть в 1С","ERR")</f>
        <v>#N/A</v>
      </c>
      <c r="AU255" s="65" t="e">
        <f ca="1">IF(VLOOKUP(A255,Товары!B:B,1,FALSE)=A255,"Есть в 1С","ERR")</f>
        <v>#N/A</v>
      </c>
      <c r="AV255" s="96" t="e">
        <f ca="1">VLOOKUP(W255,Товары!A:B,2,FALSE)</f>
        <v>#N/A</v>
      </c>
      <c r="AW255" s="94" t="e">
        <f ca="1">VLOOKUP(W255,Товары!A:B,1,FALSE)</f>
        <v>#N/A</v>
      </c>
    </row>
    <row r="256" spans="1:49" x14ac:dyDescent="0.25">
      <c r="A256" s="110" t="str">
        <f t="shared" ca="1" si="20"/>
        <v>95-006-53</v>
      </c>
      <c r="B256" s="107" t="str">
        <f ca="1">_xlfn.LET(_xlpm.CAPS,0,_xlpm.Style,TRIM(_xlfn.XLOOKUP($A256,Строчный!$A:$A,Строчный!B:B,"ERR",0)),IF(_xlpm.CAPS=0,_xlpm.Style,LOWER(_xlpm.Style)))</f>
        <v>3147</v>
      </c>
      <c r="C256" s="81" t="str">
        <f ca="1">TRIM(PROPER(_xlfn.XLOOKUP($A256,Строчный!$A:$A,Строчный!C:C,"ERR",0)))</f>
        <v>Кепки</v>
      </c>
      <c r="D256" s="81" t="str">
        <f ca="1">_xlfn.LET(_xlpm.DATA,TRIM(_xlfn.XLOOKUP($A256,Строчный!$A:$A,Строчный!D:D,"ERR",0)),UPPER(MID(_xlpm.DATA,1,1))&amp;LOWER(MID(_xlpm.DATA,2,LEN(_xlpm.DATA)-1)))</f>
        <v>Кепка шестиклинка</v>
      </c>
      <c r="E256" s="81" t="str">
        <f ca="1">PROPER(TRIM(_xlfn.XLOOKUP($A256,Строчный!$A:$A,Строчный!E:E,"ERR",0)))</f>
        <v>Fredrikson</v>
      </c>
      <c r="F256" s="81" t="str">
        <f ca="1">LOWER(TRIM(_xlfn.XLOOKUP($A256,Строчный!$A:$A,Строчный!F:F,"ERR",0)))</f>
        <v>всесезон</v>
      </c>
      <c r="G256" s="81" t="str">
        <f ca="1">UPPER(TRIM(_xlfn.XLOOKUP($A256,Строчный!$A:$A,Строчный!G:G,"ERR",0)))</f>
        <v>FREDRIKSON</v>
      </c>
      <c r="H256" s="81" t="str">
        <f ca="1">LOWER(TRIM(_xlfn.XLOOKUP($A256,Строчный!$A:$A,Строчный!H:H,"ERR",0)))</f>
        <v>642/70</v>
      </c>
      <c r="I256" s="81" t="str">
        <f ca="1">LOWER(TRIM(_xlfn.XLOOKUP($A256,Строчный!$A:$A,Строчный!I:I,"ERR",0)))</f>
        <v>бежевый / черный</v>
      </c>
      <c r="J256" s="81" t="str">
        <f ca="1">SUBSTITUTE(LOWER(TRIM(_xlfn.XLOOKUP($A256,Строчный!$A:$A,Строчный!J:J,"ERR",0))),"подклад","Подклад")</f>
        <v>80% шерсть - 20% полиамид / Подклад: 100% вискоза</v>
      </c>
      <c r="K256" s="81" t="str">
        <f ca="1">LOWER(TRIM(_xlfn.XLOOKUP($A256,Строчный!$A:$A,Строчный!K:K,"ERR",0)))</f>
        <v>шерстяные</v>
      </c>
      <c r="L256" s="81" t="str">
        <f ca="1">PROPER(TRIM(_xlfn.XLOOKUP($A256,Строчный!$A:$A,Строчный!L:L,"ERR",0)))</f>
        <v>Унисекс</v>
      </c>
      <c r="M256" s="113" t="str">
        <f ca="1">PROPER(TRIM(_xlfn.XLOOKUP($A256,Строчный!$A:$A,Строчный!M:M,"ERR",0)))</f>
        <v>Россия</v>
      </c>
      <c r="N256" s="81" t="str">
        <f ca="1">UPPER(TRIM(_xlfn.XLOOKUP($A256,Строчный!$A:$A,Строчный!O:O,"ERR",0)))</f>
        <v/>
      </c>
      <c r="O256" s="102" t="str">
        <f ca="1">PROPER(TRIM(_xlfn.XLOOKUP($A256,Строчный!$A:$A,Строчный!P:P,"ERR",0)))</f>
        <v/>
      </c>
      <c r="P256" s="81" t="str">
        <f ca="1">PROPER(TRIM(_xlfn.XLOOKUP($A256,Строчный!$A:$A,Строчный!R:R,"ERR",0)))</f>
        <v/>
      </c>
      <c r="Q256" s="90">
        <f ca="1">VALUE(_xlfn.XLOOKUP($A256,Строчный!$A:$A,Строчный!N:N,"ERR",0))</f>
        <v>975.8</v>
      </c>
      <c r="R256" s="89" t="str">
        <f ca="1">_xlfn.XLOOKUP($G256,Фабрика!A:A,Фабрика!B:B,"ERR",0)</f>
        <v>ООО "ФРЭДРИКСОН" Россия 192029, С-Петербург, пр. Обуховской обороны, д.86, лит М</v>
      </c>
      <c r="S256" s="80" t="str">
        <f ca="1">_xlfn.XLOOKUP(RIGHT(AA256,2),Размеры!D:D,Размеры!A:A,"ERR",0)</f>
        <v>58</v>
      </c>
      <c r="T256" s="80">
        <f ca="1">VALUE(_xlfn.XLOOKUP($AA256,Строчный!$S:$S,Строчный!U:U,"ERR",0))</f>
        <v>12</v>
      </c>
      <c r="U256" s="14" t="s">
        <v>265</v>
      </c>
      <c r="V256" s="101" t="str">
        <f t="shared" ca="1" si="21"/>
        <v>Кепка FREDRIKSON арт. 3147 (бежевый / черный)</v>
      </c>
      <c r="W256" s="100" t="str">
        <f t="shared" ca="1" si="22"/>
        <v>Кепка FREDRIKSON арт. 3147 (бежевый / черный) {642/70}</v>
      </c>
      <c r="X256" s="18" t="str">
        <f t="shared" ca="1" si="23"/>
        <v>бежевый</v>
      </c>
      <c r="Y256" s="18" t="str">
        <f t="shared" ca="1" si="24"/>
        <v>черный</v>
      </c>
      <c r="Z256" s="117" t="s">
        <v>27</v>
      </c>
      <c r="AA256" s="73" t="str">
        <f ca="1"/>
        <v>95-006-53-58</v>
      </c>
      <c r="AB256" s="75" t="str">
        <f ca="1">VLOOKUP(C256,Группа!A:B,2,FALSE)</f>
        <v>Кепка</v>
      </c>
      <c r="AC256" s="97" t="str">
        <f ca="1">IFERROR(VLOOKUP(S256,Размеры!A:C,3,FALSE),"")</f>
        <v>58 M/L</v>
      </c>
      <c r="AD256" s="97" t="str">
        <f ca="1">VLOOKUP(I256,ЦветПолный!A:B,2,FALSE)</f>
        <v>53</v>
      </c>
      <c r="AE256" s="97" t="str">
        <f ca="1">IFERROR(VLOOKUP(S256,Размеры!A:D,4,FALSE),"")</f>
        <v>58</v>
      </c>
      <c r="AF256" s="97">
        <f ca="1">IF(LEFT(IFERROR(VLOOKUP(LOOKUP(2,1/SEARCH(B256,Товары!A:A),Товары!A:A),Товары!A:B,2,0),""),6)=MID(AA256,1,6),1,0)</f>
        <v>0</v>
      </c>
      <c r="AH256" s="97">
        <f ca="1">SUMIF(Группа!A:A,C256,Группа!C:C)</f>
        <v>1</v>
      </c>
      <c r="AI256" s="97">
        <f ca="1">SUMIF(Группа!B:B,AB256,Группа!C:C)</f>
        <v>1</v>
      </c>
      <c r="AJ256" s="97">
        <f ca="1">SUMIF(Формы!A:A,D256,Формы!B:B)</f>
        <v>1</v>
      </c>
      <c r="AK256" s="97">
        <f ca="1">SUMIF(Материал!A:A,K256,Материал!B:B)</f>
        <v>1</v>
      </c>
      <c r="AL256" s="97">
        <f ca="1">SUMIF(Размеры!A:A,S256,Размеры!E:E)</f>
        <v>1</v>
      </c>
      <c r="AM256" s="97">
        <f ca="1">SUMIF(Сезон!A:A,F256,Сезон!B:B)</f>
        <v>1</v>
      </c>
      <c r="AN256" s="97">
        <f ca="1">SUMIF(Состав!A:A,J256,Состав!B:B)</f>
        <v>0</v>
      </c>
      <c r="AO256" s="97">
        <f ca="1">VLOOKUP(I256,ЦветПолный!A:C,3,0)</f>
        <v>1</v>
      </c>
      <c r="AP256" s="97">
        <f>SUMIF(Цвет!A:A,Z256,Цвет!B:B)</f>
        <v>1</v>
      </c>
      <c r="AQ256" s="97">
        <f ca="1">_xlfn.XLOOKUP(L256,Пол!A:A,Пол!B:B,0,0)</f>
        <v>1</v>
      </c>
      <c r="AR256" s="97">
        <f ca="1">SUMIF(Бренд!A:A,G256,Бренд!B:B)</f>
        <v>1</v>
      </c>
      <c r="AS256" s="97">
        <f ca="1">SUMIF(Страна!A:A,M256,Страна!B:B)</f>
        <v>1</v>
      </c>
      <c r="AT256" s="64" t="e">
        <f ca="1">IF(VLOOKUP(W256,Товары!A:B,2,FALSE)=A256,"Есть в 1С","ERR")</f>
        <v>#N/A</v>
      </c>
      <c r="AU256" s="65" t="e">
        <f ca="1">IF(VLOOKUP(A256,Товары!B:B,1,FALSE)=A256,"Есть в 1С","ERR")</f>
        <v>#N/A</v>
      </c>
      <c r="AV256" s="96" t="e">
        <f ca="1">VLOOKUP(W256,Товары!A:B,2,FALSE)</f>
        <v>#N/A</v>
      </c>
      <c r="AW256" s="94" t="e">
        <f ca="1">VLOOKUP(W256,Товары!A:B,1,FALSE)</f>
        <v>#N/A</v>
      </c>
    </row>
    <row r="257" spans="1:49" x14ac:dyDescent="0.25">
      <c r="A257" s="110" t="str">
        <f t="shared" ca="1" si="20"/>
        <v>95-006-53</v>
      </c>
      <c r="B257" s="107" t="str">
        <f ca="1">_xlfn.LET(_xlpm.CAPS,0,_xlpm.Style,TRIM(_xlfn.XLOOKUP($A257,Строчный!$A:$A,Строчный!B:B,"ERR",0)),IF(_xlpm.CAPS=0,_xlpm.Style,LOWER(_xlpm.Style)))</f>
        <v>3147</v>
      </c>
      <c r="C257" s="81" t="str">
        <f ca="1">TRIM(PROPER(_xlfn.XLOOKUP($A257,Строчный!$A:$A,Строчный!C:C,"ERR",0)))</f>
        <v>Кепки</v>
      </c>
      <c r="D257" s="81" t="str">
        <f ca="1">_xlfn.LET(_xlpm.DATA,TRIM(_xlfn.XLOOKUP($A257,Строчный!$A:$A,Строчный!D:D,"ERR",0)),UPPER(MID(_xlpm.DATA,1,1))&amp;LOWER(MID(_xlpm.DATA,2,LEN(_xlpm.DATA)-1)))</f>
        <v>Кепка шестиклинка</v>
      </c>
      <c r="E257" s="81" t="str">
        <f ca="1">PROPER(TRIM(_xlfn.XLOOKUP($A257,Строчный!$A:$A,Строчный!E:E,"ERR",0)))</f>
        <v>Fredrikson</v>
      </c>
      <c r="F257" s="81" t="str">
        <f ca="1">LOWER(TRIM(_xlfn.XLOOKUP($A257,Строчный!$A:$A,Строчный!F:F,"ERR",0)))</f>
        <v>всесезон</v>
      </c>
      <c r="G257" s="81" t="str">
        <f ca="1">UPPER(TRIM(_xlfn.XLOOKUP($A257,Строчный!$A:$A,Строчный!G:G,"ERR",0)))</f>
        <v>FREDRIKSON</v>
      </c>
      <c r="H257" s="81" t="str">
        <f ca="1">LOWER(TRIM(_xlfn.XLOOKUP($A257,Строчный!$A:$A,Строчный!H:H,"ERR",0)))</f>
        <v>642/70</v>
      </c>
      <c r="I257" s="81" t="str">
        <f ca="1">LOWER(TRIM(_xlfn.XLOOKUP($A257,Строчный!$A:$A,Строчный!I:I,"ERR",0)))</f>
        <v>бежевый / черный</v>
      </c>
      <c r="J257" s="81" t="str">
        <f ca="1">SUBSTITUTE(LOWER(TRIM(_xlfn.XLOOKUP($A257,Строчный!$A:$A,Строчный!J:J,"ERR",0))),"подклад","Подклад")</f>
        <v>80% шерсть - 20% полиамид / Подклад: 100% вискоза</v>
      </c>
      <c r="K257" s="81" t="str">
        <f ca="1">LOWER(TRIM(_xlfn.XLOOKUP($A257,Строчный!$A:$A,Строчный!K:K,"ERR",0)))</f>
        <v>шерстяные</v>
      </c>
      <c r="L257" s="81" t="str">
        <f ca="1">PROPER(TRIM(_xlfn.XLOOKUP($A257,Строчный!$A:$A,Строчный!L:L,"ERR",0)))</f>
        <v>Унисекс</v>
      </c>
      <c r="M257" s="113" t="str">
        <f ca="1">PROPER(TRIM(_xlfn.XLOOKUP($A257,Строчный!$A:$A,Строчный!M:M,"ERR",0)))</f>
        <v>Россия</v>
      </c>
      <c r="N257" s="81" t="str">
        <f ca="1">UPPER(TRIM(_xlfn.XLOOKUP($A257,Строчный!$A:$A,Строчный!O:O,"ERR",0)))</f>
        <v/>
      </c>
      <c r="O257" s="102" t="str">
        <f ca="1">PROPER(TRIM(_xlfn.XLOOKUP($A257,Строчный!$A:$A,Строчный!P:P,"ERR",0)))</f>
        <v/>
      </c>
      <c r="P257" s="81" t="str">
        <f ca="1">PROPER(TRIM(_xlfn.XLOOKUP($A257,Строчный!$A:$A,Строчный!R:R,"ERR",0)))</f>
        <v/>
      </c>
      <c r="Q257" s="90">
        <f ca="1">VALUE(_xlfn.XLOOKUP($A257,Строчный!$A:$A,Строчный!N:N,"ERR",0))</f>
        <v>975.8</v>
      </c>
      <c r="R257" s="89" t="str">
        <f ca="1">_xlfn.XLOOKUP($G257,Фабрика!A:A,Фабрика!B:B,"ERR",0)</f>
        <v>ООО "ФРЭДРИКСОН" Россия 192029, С-Петербург, пр. Обуховской обороны, д.86, лит М</v>
      </c>
      <c r="S257" s="80" t="str">
        <f ca="1">_xlfn.XLOOKUP(RIGHT(AA257,2),Размеры!D:D,Размеры!A:A,"ERR",0)</f>
        <v>57</v>
      </c>
      <c r="T257" s="80">
        <f ca="1">VALUE(_xlfn.XLOOKUP($AA257,Строчный!$S:$S,Строчный!U:U,"ERR",0))</f>
        <v>6</v>
      </c>
      <c r="U257" s="14" t="s">
        <v>265</v>
      </c>
      <c r="V257" s="101" t="str">
        <f t="shared" ca="1" si="21"/>
        <v>Кепка FREDRIKSON арт. 3147 (бежевый / черный)</v>
      </c>
      <c r="W257" s="100" t="str">
        <f t="shared" ca="1" si="22"/>
        <v>Кепка FREDRIKSON арт. 3147 (бежевый / черный) {642/70}</v>
      </c>
      <c r="X257" s="18" t="str">
        <f t="shared" ca="1" si="23"/>
        <v>бежевый</v>
      </c>
      <c r="Y257" s="18" t="str">
        <f t="shared" ca="1" si="24"/>
        <v>черный</v>
      </c>
      <c r="Z257" s="117" t="s">
        <v>27</v>
      </c>
      <c r="AA257" s="73" t="str">
        <f ca="1"/>
        <v>95-006-53-57</v>
      </c>
      <c r="AB257" s="75" t="str">
        <f ca="1">VLOOKUP(C257,Группа!A:B,2,FALSE)</f>
        <v>Кепка</v>
      </c>
      <c r="AC257" s="97" t="str">
        <f ca="1">IFERROR(VLOOKUP(S257,Размеры!A:C,3,FALSE),"")</f>
        <v>57 M</v>
      </c>
      <c r="AD257" s="97" t="str">
        <f ca="1">VLOOKUP(I257,ЦветПолный!A:B,2,FALSE)</f>
        <v>53</v>
      </c>
      <c r="AE257" s="97" t="str">
        <f ca="1">IFERROR(VLOOKUP(S257,Размеры!A:D,4,FALSE),"")</f>
        <v>57</v>
      </c>
      <c r="AF257" s="97">
        <f ca="1">IF(LEFT(IFERROR(VLOOKUP(LOOKUP(2,1/SEARCH(B257,Товары!A:A),Товары!A:A),Товары!A:B,2,0),""),6)=MID(AA257,1,6),1,0)</f>
        <v>0</v>
      </c>
      <c r="AH257" s="97">
        <f ca="1">SUMIF(Группа!A:A,C257,Группа!C:C)</f>
        <v>1</v>
      </c>
      <c r="AI257" s="97">
        <f ca="1">SUMIF(Группа!B:B,AB257,Группа!C:C)</f>
        <v>1</v>
      </c>
      <c r="AJ257" s="97">
        <f ca="1">SUMIF(Формы!A:A,D257,Формы!B:B)</f>
        <v>1</v>
      </c>
      <c r="AK257" s="97">
        <f ca="1">SUMIF(Материал!A:A,K257,Материал!B:B)</f>
        <v>1</v>
      </c>
      <c r="AL257" s="97">
        <f ca="1">SUMIF(Размеры!A:A,S257,Размеры!E:E)</f>
        <v>1</v>
      </c>
      <c r="AM257" s="97">
        <f ca="1">SUMIF(Сезон!A:A,F257,Сезон!B:B)</f>
        <v>1</v>
      </c>
      <c r="AN257" s="97">
        <f ca="1">SUMIF(Состав!A:A,J257,Состав!B:B)</f>
        <v>0</v>
      </c>
      <c r="AO257" s="97">
        <f ca="1">VLOOKUP(I257,ЦветПолный!A:C,3,0)</f>
        <v>1</v>
      </c>
      <c r="AP257" s="97">
        <f>SUMIF(Цвет!A:A,Z257,Цвет!B:B)</f>
        <v>1</v>
      </c>
      <c r="AQ257" s="97">
        <f ca="1">_xlfn.XLOOKUP(L257,Пол!A:A,Пол!B:B,0,0)</f>
        <v>1</v>
      </c>
      <c r="AR257" s="97">
        <f ca="1">SUMIF(Бренд!A:A,G257,Бренд!B:B)</f>
        <v>1</v>
      </c>
      <c r="AS257" s="97">
        <f ca="1">SUMIF(Страна!A:A,M257,Страна!B:B)</f>
        <v>1</v>
      </c>
      <c r="AT257" s="64" t="e">
        <f ca="1">IF(VLOOKUP(W257,Товары!A:B,2,FALSE)=A257,"Есть в 1С","ERR")</f>
        <v>#N/A</v>
      </c>
      <c r="AU257" s="65" t="e">
        <f ca="1">IF(VLOOKUP(A257,Товары!B:B,1,FALSE)=A257,"Есть в 1С","ERR")</f>
        <v>#N/A</v>
      </c>
      <c r="AV257" s="96" t="e">
        <f ca="1">VLOOKUP(W257,Товары!A:B,2,FALSE)</f>
        <v>#N/A</v>
      </c>
      <c r="AW257" s="94" t="e">
        <f ca="1">VLOOKUP(W257,Товары!A:B,1,FALSE)</f>
        <v>#N/A</v>
      </c>
    </row>
    <row r="258" spans="1:49" x14ac:dyDescent="0.25">
      <c r="A258" s="110" t="str">
        <f t="shared" ca="1" si="20"/>
        <v>95-006-53</v>
      </c>
      <c r="B258" s="107" t="str">
        <f ca="1">_xlfn.LET(_xlpm.CAPS,0,_xlpm.Style,TRIM(_xlfn.XLOOKUP($A258,Строчный!$A:$A,Строчный!B:B,"ERR",0)),IF(_xlpm.CAPS=0,_xlpm.Style,LOWER(_xlpm.Style)))</f>
        <v>3147</v>
      </c>
      <c r="C258" s="81" t="str">
        <f ca="1">TRIM(PROPER(_xlfn.XLOOKUP($A258,Строчный!$A:$A,Строчный!C:C,"ERR",0)))</f>
        <v>Кепки</v>
      </c>
      <c r="D258" s="81" t="str">
        <f ca="1">_xlfn.LET(_xlpm.DATA,TRIM(_xlfn.XLOOKUP($A258,Строчный!$A:$A,Строчный!D:D,"ERR",0)),UPPER(MID(_xlpm.DATA,1,1))&amp;LOWER(MID(_xlpm.DATA,2,LEN(_xlpm.DATA)-1)))</f>
        <v>Кепка шестиклинка</v>
      </c>
      <c r="E258" s="81" t="str">
        <f ca="1">PROPER(TRIM(_xlfn.XLOOKUP($A258,Строчный!$A:$A,Строчный!E:E,"ERR",0)))</f>
        <v>Fredrikson</v>
      </c>
      <c r="F258" s="81" t="str">
        <f ca="1">LOWER(TRIM(_xlfn.XLOOKUP($A258,Строчный!$A:$A,Строчный!F:F,"ERR",0)))</f>
        <v>всесезон</v>
      </c>
      <c r="G258" s="81" t="str">
        <f ca="1">UPPER(TRIM(_xlfn.XLOOKUP($A258,Строчный!$A:$A,Строчный!G:G,"ERR",0)))</f>
        <v>FREDRIKSON</v>
      </c>
      <c r="H258" s="81" t="str">
        <f ca="1">LOWER(TRIM(_xlfn.XLOOKUP($A258,Строчный!$A:$A,Строчный!H:H,"ERR",0)))</f>
        <v>642/70</v>
      </c>
      <c r="I258" s="81" t="str">
        <f ca="1">LOWER(TRIM(_xlfn.XLOOKUP($A258,Строчный!$A:$A,Строчный!I:I,"ERR",0)))</f>
        <v>бежевый / черный</v>
      </c>
      <c r="J258" s="81" t="str">
        <f ca="1">SUBSTITUTE(LOWER(TRIM(_xlfn.XLOOKUP($A258,Строчный!$A:$A,Строчный!J:J,"ERR",0))),"подклад","Подклад")</f>
        <v>80% шерсть - 20% полиамид / Подклад: 100% вискоза</v>
      </c>
      <c r="K258" s="81" t="str">
        <f ca="1">LOWER(TRIM(_xlfn.XLOOKUP($A258,Строчный!$A:$A,Строчный!K:K,"ERR",0)))</f>
        <v>шерстяные</v>
      </c>
      <c r="L258" s="81" t="str">
        <f ca="1">PROPER(TRIM(_xlfn.XLOOKUP($A258,Строчный!$A:$A,Строчный!L:L,"ERR",0)))</f>
        <v>Унисекс</v>
      </c>
      <c r="M258" s="113" t="str">
        <f ca="1">PROPER(TRIM(_xlfn.XLOOKUP($A258,Строчный!$A:$A,Строчный!M:M,"ERR",0)))</f>
        <v>Россия</v>
      </c>
      <c r="N258" s="81" t="str">
        <f ca="1">UPPER(TRIM(_xlfn.XLOOKUP($A258,Строчный!$A:$A,Строчный!O:O,"ERR",0)))</f>
        <v/>
      </c>
      <c r="O258" s="102" t="str">
        <f ca="1">PROPER(TRIM(_xlfn.XLOOKUP($A258,Строчный!$A:$A,Строчный!P:P,"ERR",0)))</f>
        <v/>
      </c>
      <c r="P258" s="81" t="str">
        <f ca="1">PROPER(TRIM(_xlfn.XLOOKUP($A258,Строчный!$A:$A,Строчный!R:R,"ERR",0)))</f>
        <v/>
      </c>
      <c r="Q258" s="90">
        <f ca="1">VALUE(_xlfn.XLOOKUP($A258,Строчный!$A:$A,Строчный!N:N,"ERR",0))</f>
        <v>975.8</v>
      </c>
      <c r="R258" s="89" t="str">
        <f ca="1">_xlfn.XLOOKUP($G258,Фабрика!A:A,Фабрика!B:B,"ERR",0)</f>
        <v>ООО "ФРЭДРИКСОН" Россия 192029, С-Петербург, пр. Обуховской обороны, д.86, лит М</v>
      </c>
      <c r="S258" s="80" t="str">
        <f ca="1">_xlfn.XLOOKUP(RIGHT(AA258,2),Размеры!D:D,Размеры!A:A,"ERR",0)</f>
        <v>56</v>
      </c>
      <c r="T258" s="80">
        <f ca="1">VALUE(_xlfn.XLOOKUP($AA258,Строчный!$S:$S,Строчный!U:U,"ERR",0))</f>
        <v>2</v>
      </c>
      <c r="U258" s="14" t="s">
        <v>265</v>
      </c>
      <c r="V258" s="101" t="str">
        <f t="shared" ca="1" si="21"/>
        <v>Кепка FREDRIKSON арт. 3147 (бежевый / черный)</v>
      </c>
      <c r="W258" s="100" t="str">
        <f t="shared" ca="1" si="22"/>
        <v>Кепка FREDRIKSON арт. 3147 (бежевый / черный) {642/70}</v>
      </c>
      <c r="X258" s="18" t="str">
        <f t="shared" ca="1" si="23"/>
        <v>бежевый</v>
      </c>
      <c r="Y258" s="18" t="str">
        <f t="shared" ca="1" si="24"/>
        <v>черный</v>
      </c>
      <c r="Z258" s="117" t="s">
        <v>28</v>
      </c>
      <c r="AA258" s="73" t="str">
        <f ca="1"/>
        <v>95-006-53-56</v>
      </c>
      <c r="AB258" s="75" t="str">
        <f ca="1">VLOOKUP(C258,Группа!A:B,2,FALSE)</f>
        <v>Кепка</v>
      </c>
      <c r="AC258" s="97" t="str">
        <f ca="1">IFERROR(VLOOKUP(S258,Размеры!A:C,3,FALSE),"")</f>
        <v>56 S/M</v>
      </c>
      <c r="AD258" s="97" t="str">
        <f ca="1">VLOOKUP(I258,ЦветПолный!A:B,2,FALSE)</f>
        <v>53</v>
      </c>
      <c r="AE258" s="97" t="str">
        <f ca="1">IFERROR(VLOOKUP(S258,Размеры!A:D,4,FALSE),"")</f>
        <v>56</v>
      </c>
      <c r="AF258" s="97">
        <f ca="1">IF(LEFT(IFERROR(VLOOKUP(LOOKUP(2,1/SEARCH(B258,Товары!A:A),Товары!A:A),Товары!A:B,2,0),""),6)=MID(AA258,1,6),1,0)</f>
        <v>0</v>
      </c>
      <c r="AH258" s="97">
        <f ca="1">SUMIF(Группа!A:A,C258,Группа!C:C)</f>
        <v>1</v>
      </c>
      <c r="AI258" s="97">
        <f ca="1">SUMIF(Группа!B:B,AB258,Группа!C:C)</f>
        <v>1</v>
      </c>
      <c r="AJ258" s="97">
        <f ca="1">SUMIF(Формы!A:A,D258,Формы!B:B)</f>
        <v>1</v>
      </c>
      <c r="AK258" s="97">
        <f ca="1">SUMIF(Материал!A:A,K258,Материал!B:B)</f>
        <v>1</v>
      </c>
      <c r="AL258" s="97">
        <f ca="1">SUMIF(Размеры!A:A,S258,Размеры!E:E)</f>
        <v>1</v>
      </c>
      <c r="AM258" s="97">
        <f ca="1">SUMIF(Сезон!A:A,F258,Сезон!B:B)</f>
        <v>1</v>
      </c>
      <c r="AN258" s="97">
        <f ca="1">SUMIF(Состав!A:A,J258,Состав!B:B)</f>
        <v>0</v>
      </c>
      <c r="AO258" s="97">
        <f ca="1">VLOOKUP(I258,ЦветПолный!A:C,3,0)</f>
        <v>1</v>
      </c>
      <c r="AP258" s="97">
        <f>SUMIF(Цвет!A:A,Z258,Цвет!B:B)</f>
        <v>1</v>
      </c>
      <c r="AQ258" s="97">
        <f ca="1">_xlfn.XLOOKUP(L258,Пол!A:A,Пол!B:B,0,0)</f>
        <v>1</v>
      </c>
      <c r="AR258" s="97">
        <f ca="1">SUMIF(Бренд!A:A,G258,Бренд!B:B)</f>
        <v>1</v>
      </c>
      <c r="AS258" s="97">
        <f ca="1">SUMIF(Страна!A:A,M258,Страна!B:B)</f>
        <v>1</v>
      </c>
      <c r="AT258" s="64" t="e">
        <f ca="1">IF(VLOOKUP(W258,Товары!A:B,2,FALSE)=A258,"Есть в 1С","ERR")</f>
        <v>#N/A</v>
      </c>
      <c r="AU258" s="65" t="e">
        <f ca="1">IF(VLOOKUP(A258,Товары!B:B,1,FALSE)=A258,"Есть в 1С","ERR")</f>
        <v>#N/A</v>
      </c>
      <c r="AV258" s="96" t="e">
        <f ca="1">VLOOKUP(W258,Товары!A:B,2,FALSE)</f>
        <v>#N/A</v>
      </c>
      <c r="AW258" s="94" t="e">
        <f ca="1">VLOOKUP(W258,Товары!A:B,1,FALSE)</f>
        <v>#N/A</v>
      </c>
    </row>
    <row r="259" spans="1:49" x14ac:dyDescent="0.25">
      <c r="A259" s="110" t="str">
        <f t="shared" ca="1" si="20"/>
        <v>95-006-47</v>
      </c>
      <c r="B259" s="107" t="str">
        <f ca="1">_xlfn.LET(_xlpm.CAPS,0,_xlpm.Style,TRIM(_xlfn.XLOOKUP($A259,Строчный!$A:$A,Строчный!B:B,"ERR",0)),IF(_xlpm.CAPS=0,_xlpm.Style,LOWER(_xlpm.Style)))</f>
        <v>3147</v>
      </c>
      <c r="C259" s="81" t="str">
        <f ca="1">TRIM(PROPER(_xlfn.XLOOKUP($A259,Строчный!$A:$A,Строчный!C:C,"ERR",0)))</f>
        <v>Кепки</v>
      </c>
      <c r="D259" s="81" t="str">
        <f ca="1">_xlfn.LET(_xlpm.DATA,TRIM(_xlfn.XLOOKUP($A259,Строчный!$A:$A,Строчный!D:D,"ERR",0)),UPPER(MID(_xlpm.DATA,1,1))&amp;LOWER(MID(_xlpm.DATA,2,LEN(_xlpm.DATA)-1)))</f>
        <v>Кепка шестиклинка</v>
      </c>
      <c r="E259" s="81" t="str">
        <f ca="1">PROPER(TRIM(_xlfn.XLOOKUP($A259,Строчный!$A:$A,Строчный!E:E,"ERR",0)))</f>
        <v>Fredrikson</v>
      </c>
      <c r="F259" s="81" t="str">
        <f ca="1">LOWER(TRIM(_xlfn.XLOOKUP($A259,Строчный!$A:$A,Строчный!F:F,"ERR",0)))</f>
        <v>всесезон</v>
      </c>
      <c r="G259" s="81" t="str">
        <f ca="1">UPPER(TRIM(_xlfn.XLOOKUP($A259,Строчный!$A:$A,Строчный!G:G,"ERR",0)))</f>
        <v>FREDRIKSON</v>
      </c>
      <c r="H259" s="81" t="str">
        <f ca="1">LOWER(TRIM(_xlfn.XLOOKUP($A259,Строчный!$A:$A,Строчный!H:H,"ERR",0)))</f>
        <v>641/76</v>
      </c>
      <c r="I259" s="81" t="str">
        <f ca="1">LOWER(TRIM(_xlfn.XLOOKUP($A259,Строчный!$A:$A,Строчный!I:I,"ERR",0)))</f>
        <v>серый / черный</v>
      </c>
      <c r="J259" s="81" t="str">
        <f ca="1">SUBSTITUTE(LOWER(TRIM(_xlfn.XLOOKUP($A259,Строчный!$A:$A,Строчный!J:J,"ERR",0))),"подклад","Подклад")</f>
        <v>80% шерсть - 20% полиамид / Подклад: 100% вискоза</v>
      </c>
      <c r="K259" s="81" t="str">
        <f ca="1">LOWER(TRIM(_xlfn.XLOOKUP($A259,Строчный!$A:$A,Строчный!K:K,"ERR",0)))</f>
        <v>шерстяные</v>
      </c>
      <c r="L259" s="81" t="str">
        <f ca="1">PROPER(TRIM(_xlfn.XLOOKUP($A259,Строчный!$A:$A,Строчный!L:L,"ERR",0)))</f>
        <v>Унисекс</v>
      </c>
      <c r="M259" s="113" t="str">
        <f ca="1">PROPER(TRIM(_xlfn.XLOOKUP($A259,Строчный!$A:$A,Строчный!M:M,"ERR",0)))</f>
        <v>Россия</v>
      </c>
      <c r="N259" s="81" t="str">
        <f ca="1">UPPER(TRIM(_xlfn.XLOOKUP($A259,Строчный!$A:$A,Строчный!O:O,"ERR",0)))</f>
        <v/>
      </c>
      <c r="O259" s="102" t="str">
        <f ca="1">PROPER(TRIM(_xlfn.XLOOKUP($A259,Строчный!$A:$A,Строчный!P:P,"ERR",0)))</f>
        <v/>
      </c>
      <c r="P259" s="81" t="str">
        <f ca="1">PROPER(TRIM(_xlfn.XLOOKUP($A259,Строчный!$A:$A,Строчный!R:R,"ERR",0)))</f>
        <v/>
      </c>
      <c r="Q259" s="90">
        <f ca="1">VALUE(_xlfn.XLOOKUP($A259,Строчный!$A:$A,Строчный!N:N,"ERR",0))</f>
        <v>975.8</v>
      </c>
      <c r="R259" s="89" t="str">
        <f ca="1">_xlfn.XLOOKUP($G259,Фабрика!A:A,Фабрика!B:B,"ERR",0)</f>
        <v>ООО "ФРЭДРИКСОН" Россия 192029, С-Петербург, пр. Обуховской обороны, д.86, лит М</v>
      </c>
      <c r="S259" s="80" t="str">
        <f ca="1">_xlfn.XLOOKUP(RIGHT(AA259,2),Размеры!D:D,Размеры!A:A,"ERR",0)</f>
        <v>60</v>
      </c>
      <c r="T259" s="80">
        <f ca="1">VALUE(_xlfn.XLOOKUP($AA259,Строчный!$S:$S,Строчный!U:U,"ERR",0))</f>
        <v>3</v>
      </c>
      <c r="U259" s="14" t="s">
        <v>265</v>
      </c>
      <c r="V259" s="101" t="str">
        <f t="shared" ca="1" si="21"/>
        <v>Кепка FREDRIKSON арт. 3147 (серый / черный)</v>
      </c>
      <c r="W259" s="100" t="str">
        <f t="shared" ca="1" si="22"/>
        <v>Кепка FREDRIKSON арт. 3147 (серый / черный) {641/76}</v>
      </c>
      <c r="X259" s="18" t="str">
        <f t="shared" ca="1" si="23"/>
        <v>серый</v>
      </c>
      <c r="Y259" s="18" t="str">
        <f t="shared" ca="1" si="24"/>
        <v>черный</v>
      </c>
      <c r="Z259" s="117" t="s">
        <v>28</v>
      </c>
      <c r="AA259" s="73" t="str">
        <f ca="1"/>
        <v>95-006-47-60</v>
      </c>
      <c r="AB259" s="75" t="str">
        <f ca="1">VLOOKUP(C259,Группа!A:B,2,FALSE)</f>
        <v>Кепка</v>
      </c>
      <c r="AC259" s="97" t="str">
        <f ca="1">IFERROR(VLOOKUP(S259,Размеры!A:C,3,FALSE),"")</f>
        <v>60 L/XL</v>
      </c>
      <c r="AD259" s="97" t="str">
        <f ca="1">VLOOKUP(I259,ЦветПолный!A:B,2,FALSE)</f>
        <v>47</v>
      </c>
      <c r="AE259" s="97" t="str">
        <f ca="1">IFERROR(VLOOKUP(S259,Размеры!A:D,4,FALSE),"")</f>
        <v>60</v>
      </c>
      <c r="AF259" s="97">
        <f ca="1">IF(LEFT(IFERROR(VLOOKUP(LOOKUP(2,1/SEARCH(B259,Товары!A:A),Товары!A:A),Товары!A:B,2,0),""),6)=MID(AA259,1,6),1,0)</f>
        <v>0</v>
      </c>
      <c r="AH259" s="97">
        <f ca="1">SUMIF(Группа!A:A,C259,Группа!C:C)</f>
        <v>1</v>
      </c>
      <c r="AI259" s="97">
        <f ca="1">SUMIF(Группа!B:B,AB259,Группа!C:C)</f>
        <v>1</v>
      </c>
      <c r="AJ259" s="97">
        <f ca="1">SUMIF(Формы!A:A,D259,Формы!B:B)</f>
        <v>1</v>
      </c>
      <c r="AK259" s="97">
        <f ca="1">SUMIF(Материал!A:A,K259,Материал!B:B)</f>
        <v>1</v>
      </c>
      <c r="AL259" s="97">
        <f ca="1">SUMIF(Размеры!A:A,S259,Размеры!E:E)</f>
        <v>1</v>
      </c>
      <c r="AM259" s="97">
        <f ca="1">SUMIF(Сезон!A:A,F259,Сезон!B:B)</f>
        <v>1</v>
      </c>
      <c r="AN259" s="97">
        <f ca="1">SUMIF(Состав!A:A,J259,Состав!B:B)</f>
        <v>0</v>
      </c>
      <c r="AO259" s="97">
        <f ca="1">VLOOKUP(I259,ЦветПолный!A:C,3,0)</f>
        <v>1</v>
      </c>
      <c r="AP259" s="97">
        <f>SUMIF(Цвет!A:A,Z259,Цвет!B:B)</f>
        <v>1</v>
      </c>
      <c r="AQ259" s="97">
        <f ca="1">_xlfn.XLOOKUP(L259,Пол!A:A,Пол!B:B,0,0)</f>
        <v>1</v>
      </c>
      <c r="AR259" s="97">
        <f ca="1">SUMIF(Бренд!A:A,G259,Бренд!B:B)</f>
        <v>1</v>
      </c>
      <c r="AS259" s="97">
        <f ca="1">SUMIF(Страна!A:A,M259,Страна!B:B)</f>
        <v>1</v>
      </c>
      <c r="AT259" s="64" t="e">
        <f ca="1">IF(VLOOKUP(W259,Товары!A:B,2,FALSE)=A259,"Есть в 1С","ERR")</f>
        <v>#N/A</v>
      </c>
      <c r="AU259" s="65" t="e">
        <f ca="1">IF(VLOOKUP(A259,Товары!B:B,1,FALSE)=A259,"Есть в 1С","ERR")</f>
        <v>#N/A</v>
      </c>
      <c r="AV259" s="96" t="e">
        <f ca="1">VLOOKUP(W259,Товары!A:B,2,FALSE)</f>
        <v>#N/A</v>
      </c>
      <c r="AW259" s="94" t="e">
        <f ca="1">VLOOKUP(W259,Товары!A:B,1,FALSE)</f>
        <v>#N/A</v>
      </c>
    </row>
    <row r="260" spans="1:49" x14ac:dyDescent="0.25">
      <c r="A260" s="110" t="str">
        <f t="shared" ca="1" si="20"/>
        <v>95-006-47</v>
      </c>
      <c r="B260" s="107" t="str">
        <f ca="1">_xlfn.LET(_xlpm.CAPS,0,_xlpm.Style,TRIM(_xlfn.XLOOKUP($A260,Строчный!$A:$A,Строчный!B:B,"ERR",0)),IF(_xlpm.CAPS=0,_xlpm.Style,LOWER(_xlpm.Style)))</f>
        <v>3147</v>
      </c>
      <c r="C260" s="81" t="str">
        <f ca="1">TRIM(PROPER(_xlfn.XLOOKUP($A260,Строчный!$A:$A,Строчный!C:C,"ERR",0)))</f>
        <v>Кепки</v>
      </c>
      <c r="D260" s="81" t="str">
        <f ca="1">_xlfn.LET(_xlpm.DATA,TRIM(_xlfn.XLOOKUP($A260,Строчный!$A:$A,Строчный!D:D,"ERR",0)),UPPER(MID(_xlpm.DATA,1,1))&amp;LOWER(MID(_xlpm.DATA,2,LEN(_xlpm.DATA)-1)))</f>
        <v>Кепка шестиклинка</v>
      </c>
      <c r="E260" s="81" t="str">
        <f ca="1">PROPER(TRIM(_xlfn.XLOOKUP($A260,Строчный!$A:$A,Строчный!E:E,"ERR",0)))</f>
        <v>Fredrikson</v>
      </c>
      <c r="F260" s="81" t="str">
        <f ca="1">LOWER(TRIM(_xlfn.XLOOKUP($A260,Строчный!$A:$A,Строчный!F:F,"ERR",0)))</f>
        <v>всесезон</v>
      </c>
      <c r="G260" s="81" t="str">
        <f ca="1">UPPER(TRIM(_xlfn.XLOOKUP($A260,Строчный!$A:$A,Строчный!G:G,"ERR",0)))</f>
        <v>FREDRIKSON</v>
      </c>
      <c r="H260" s="81" t="str">
        <f ca="1">LOWER(TRIM(_xlfn.XLOOKUP($A260,Строчный!$A:$A,Строчный!H:H,"ERR",0)))</f>
        <v>641/76</v>
      </c>
      <c r="I260" s="81" t="str">
        <f ca="1">LOWER(TRIM(_xlfn.XLOOKUP($A260,Строчный!$A:$A,Строчный!I:I,"ERR",0)))</f>
        <v>серый / черный</v>
      </c>
      <c r="J260" s="81" t="str">
        <f ca="1">SUBSTITUTE(LOWER(TRIM(_xlfn.XLOOKUP($A260,Строчный!$A:$A,Строчный!J:J,"ERR",0))),"подклад","Подклад")</f>
        <v>80% шерсть - 20% полиамид / Подклад: 100% вискоза</v>
      </c>
      <c r="K260" s="81" t="str">
        <f ca="1">LOWER(TRIM(_xlfn.XLOOKUP($A260,Строчный!$A:$A,Строчный!K:K,"ERR",0)))</f>
        <v>шерстяные</v>
      </c>
      <c r="L260" s="81" t="str">
        <f ca="1">PROPER(TRIM(_xlfn.XLOOKUP($A260,Строчный!$A:$A,Строчный!L:L,"ERR",0)))</f>
        <v>Унисекс</v>
      </c>
      <c r="M260" s="113" t="str">
        <f ca="1">PROPER(TRIM(_xlfn.XLOOKUP($A260,Строчный!$A:$A,Строчный!M:M,"ERR",0)))</f>
        <v>Россия</v>
      </c>
      <c r="N260" s="81" t="str">
        <f ca="1">UPPER(TRIM(_xlfn.XLOOKUP($A260,Строчный!$A:$A,Строчный!O:O,"ERR",0)))</f>
        <v/>
      </c>
      <c r="O260" s="102" t="str">
        <f ca="1">PROPER(TRIM(_xlfn.XLOOKUP($A260,Строчный!$A:$A,Строчный!P:P,"ERR",0)))</f>
        <v/>
      </c>
      <c r="P260" s="81" t="str">
        <f ca="1">PROPER(TRIM(_xlfn.XLOOKUP($A260,Строчный!$A:$A,Строчный!R:R,"ERR",0)))</f>
        <v/>
      </c>
      <c r="Q260" s="90">
        <f ca="1">VALUE(_xlfn.XLOOKUP($A260,Строчный!$A:$A,Строчный!N:N,"ERR",0))</f>
        <v>975.8</v>
      </c>
      <c r="R260" s="89" t="str">
        <f ca="1">_xlfn.XLOOKUP($G260,Фабрика!A:A,Фабрика!B:B,"ERR",0)</f>
        <v>ООО "ФРЭДРИКСОН" Россия 192029, С-Петербург, пр. Обуховской обороны, д.86, лит М</v>
      </c>
      <c r="S260" s="80" t="str">
        <f ca="1">_xlfn.XLOOKUP(RIGHT(AA260,2),Размеры!D:D,Размеры!A:A,"ERR",0)</f>
        <v>59</v>
      </c>
      <c r="T260" s="80">
        <f ca="1">VALUE(_xlfn.XLOOKUP($AA260,Строчный!$S:$S,Строчный!U:U,"ERR",0))</f>
        <v>4</v>
      </c>
      <c r="U260" s="14" t="s">
        <v>265</v>
      </c>
      <c r="V260" s="101" t="str">
        <f t="shared" ca="1" si="21"/>
        <v>Кепка FREDRIKSON арт. 3147 (серый / черный)</v>
      </c>
      <c r="W260" s="100" t="str">
        <f t="shared" ca="1" si="22"/>
        <v>Кепка FREDRIKSON арт. 3147 (серый / черный) {641/76}</v>
      </c>
      <c r="X260" s="18" t="str">
        <f t="shared" ca="1" si="23"/>
        <v>серый</v>
      </c>
      <c r="Y260" s="18" t="str">
        <f t="shared" ca="1" si="24"/>
        <v>черный</v>
      </c>
      <c r="Z260" s="117" t="s">
        <v>28</v>
      </c>
      <c r="AA260" s="73" t="str">
        <f ca="1"/>
        <v>95-006-47-59</v>
      </c>
      <c r="AB260" s="75" t="str">
        <f ca="1">VLOOKUP(C260,Группа!A:B,2,FALSE)</f>
        <v>Кепка</v>
      </c>
      <c r="AC260" s="97" t="str">
        <f ca="1">IFERROR(VLOOKUP(S260,Размеры!A:C,3,FALSE),"")</f>
        <v>59 L</v>
      </c>
      <c r="AD260" s="97" t="str">
        <f ca="1">VLOOKUP(I260,ЦветПолный!A:B,2,FALSE)</f>
        <v>47</v>
      </c>
      <c r="AE260" s="97" t="str">
        <f ca="1">IFERROR(VLOOKUP(S260,Размеры!A:D,4,FALSE),"")</f>
        <v>59</v>
      </c>
      <c r="AF260" s="97">
        <f ca="1">IF(LEFT(IFERROR(VLOOKUP(LOOKUP(2,1/SEARCH(B260,Товары!A:A),Товары!A:A),Товары!A:B,2,0),""),6)=MID(AA260,1,6),1,0)</f>
        <v>0</v>
      </c>
      <c r="AH260" s="97">
        <f ca="1">SUMIF(Группа!A:A,C260,Группа!C:C)</f>
        <v>1</v>
      </c>
      <c r="AI260" s="97">
        <f ca="1">SUMIF(Группа!B:B,AB260,Группа!C:C)</f>
        <v>1</v>
      </c>
      <c r="AJ260" s="97">
        <f ca="1">SUMIF(Формы!A:A,D260,Формы!B:B)</f>
        <v>1</v>
      </c>
      <c r="AK260" s="97">
        <f ca="1">SUMIF(Материал!A:A,K260,Материал!B:B)</f>
        <v>1</v>
      </c>
      <c r="AL260" s="97">
        <f ca="1">SUMIF(Размеры!A:A,S260,Размеры!E:E)</f>
        <v>1</v>
      </c>
      <c r="AM260" s="97">
        <f ca="1">SUMIF(Сезон!A:A,F260,Сезон!B:B)</f>
        <v>1</v>
      </c>
      <c r="AN260" s="97">
        <f ca="1">SUMIF(Состав!A:A,J260,Состав!B:B)</f>
        <v>0</v>
      </c>
      <c r="AO260" s="97">
        <f ca="1">VLOOKUP(I260,ЦветПолный!A:C,3,0)</f>
        <v>1</v>
      </c>
      <c r="AP260" s="97">
        <f>SUMIF(Цвет!A:A,Z260,Цвет!B:B)</f>
        <v>1</v>
      </c>
      <c r="AQ260" s="97">
        <f ca="1">_xlfn.XLOOKUP(L260,Пол!A:A,Пол!B:B,0,0)</f>
        <v>1</v>
      </c>
      <c r="AR260" s="97">
        <f ca="1">SUMIF(Бренд!A:A,G260,Бренд!B:B)</f>
        <v>1</v>
      </c>
      <c r="AS260" s="97">
        <f ca="1">SUMIF(Страна!A:A,M260,Страна!B:B)</f>
        <v>1</v>
      </c>
      <c r="AT260" s="64" t="e">
        <f ca="1">IF(VLOOKUP(W260,Товары!A:B,2,FALSE)=A260,"Есть в 1С","ERR")</f>
        <v>#N/A</v>
      </c>
      <c r="AU260" s="65" t="e">
        <f ca="1">IF(VLOOKUP(A260,Товары!B:B,1,FALSE)=A260,"Есть в 1С","ERR")</f>
        <v>#N/A</v>
      </c>
      <c r="AV260" s="96" t="e">
        <f ca="1">VLOOKUP(W260,Товары!A:B,2,FALSE)</f>
        <v>#N/A</v>
      </c>
      <c r="AW260" s="94" t="e">
        <f ca="1">VLOOKUP(W260,Товары!A:B,1,FALSE)</f>
        <v>#N/A</v>
      </c>
    </row>
    <row r="261" spans="1:49" x14ac:dyDescent="0.25">
      <c r="A261" s="110" t="str">
        <f t="shared" ca="1" si="20"/>
        <v>95-006-47</v>
      </c>
      <c r="B261" s="107" t="str">
        <f ca="1">_xlfn.LET(_xlpm.CAPS,0,_xlpm.Style,TRIM(_xlfn.XLOOKUP($A261,Строчный!$A:$A,Строчный!B:B,"ERR",0)),IF(_xlpm.CAPS=0,_xlpm.Style,LOWER(_xlpm.Style)))</f>
        <v>3147</v>
      </c>
      <c r="C261" s="81" t="str">
        <f ca="1">TRIM(PROPER(_xlfn.XLOOKUP($A261,Строчный!$A:$A,Строчный!C:C,"ERR",0)))</f>
        <v>Кепки</v>
      </c>
      <c r="D261" s="81" t="str">
        <f ca="1">_xlfn.LET(_xlpm.DATA,TRIM(_xlfn.XLOOKUP($A261,Строчный!$A:$A,Строчный!D:D,"ERR",0)),UPPER(MID(_xlpm.DATA,1,1))&amp;LOWER(MID(_xlpm.DATA,2,LEN(_xlpm.DATA)-1)))</f>
        <v>Кепка шестиклинка</v>
      </c>
      <c r="E261" s="81" t="str">
        <f ca="1">PROPER(TRIM(_xlfn.XLOOKUP($A261,Строчный!$A:$A,Строчный!E:E,"ERR",0)))</f>
        <v>Fredrikson</v>
      </c>
      <c r="F261" s="81" t="str">
        <f ca="1">LOWER(TRIM(_xlfn.XLOOKUP($A261,Строчный!$A:$A,Строчный!F:F,"ERR",0)))</f>
        <v>всесезон</v>
      </c>
      <c r="G261" s="81" t="str">
        <f ca="1">UPPER(TRIM(_xlfn.XLOOKUP($A261,Строчный!$A:$A,Строчный!G:G,"ERR",0)))</f>
        <v>FREDRIKSON</v>
      </c>
      <c r="H261" s="81" t="str">
        <f ca="1">LOWER(TRIM(_xlfn.XLOOKUP($A261,Строчный!$A:$A,Строчный!H:H,"ERR",0)))</f>
        <v>641/76</v>
      </c>
      <c r="I261" s="81" t="str">
        <f ca="1">LOWER(TRIM(_xlfn.XLOOKUP($A261,Строчный!$A:$A,Строчный!I:I,"ERR",0)))</f>
        <v>серый / черный</v>
      </c>
      <c r="J261" s="81" t="str">
        <f ca="1">SUBSTITUTE(LOWER(TRIM(_xlfn.XLOOKUP($A261,Строчный!$A:$A,Строчный!J:J,"ERR",0))),"подклад","Подклад")</f>
        <v>80% шерсть - 20% полиамид / Подклад: 100% вискоза</v>
      </c>
      <c r="K261" s="81" t="str">
        <f ca="1">LOWER(TRIM(_xlfn.XLOOKUP($A261,Строчный!$A:$A,Строчный!K:K,"ERR",0)))</f>
        <v>шерстяные</v>
      </c>
      <c r="L261" s="81" t="str">
        <f ca="1">PROPER(TRIM(_xlfn.XLOOKUP($A261,Строчный!$A:$A,Строчный!L:L,"ERR",0)))</f>
        <v>Унисекс</v>
      </c>
      <c r="M261" s="113" t="str">
        <f ca="1">PROPER(TRIM(_xlfn.XLOOKUP($A261,Строчный!$A:$A,Строчный!M:M,"ERR",0)))</f>
        <v>Россия</v>
      </c>
      <c r="N261" s="81" t="str">
        <f ca="1">UPPER(TRIM(_xlfn.XLOOKUP($A261,Строчный!$A:$A,Строчный!O:O,"ERR",0)))</f>
        <v/>
      </c>
      <c r="O261" s="102" t="str">
        <f ca="1">PROPER(TRIM(_xlfn.XLOOKUP($A261,Строчный!$A:$A,Строчный!P:P,"ERR",0)))</f>
        <v/>
      </c>
      <c r="P261" s="81" t="str">
        <f ca="1">PROPER(TRIM(_xlfn.XLOOKUP($A261,Строчный!$A:$A,Строчный!R:R,"ERR",0)))</f>
        <v/>
      </c>
      <c r="Q261" s="90">
        <f ca="1">VALUE(_xlfn.XLOOKUP($A261,Строчный!$A:$A,Строчный!N:N,"ERR",0))</f>
        <v>975.8</v>
      </c>
      <c r="R261" s="89" t="str">
        <f ca="1">_xlfn.XLOOKUP($G261,Фабрика!A:A,Фабрика!B:B,"ERR",0)</f>
        <v>ООО "ФРЭДРИКСОН" Россия 192029, С-Петербург, пр. Обуховской обороны, д.86, лит М</v>
      </c>
      <c r="S261" s="80" t="str">
        <f ca="1">_xlfn.XLOOKUP(RIGHT(AA261,2),Размеры!D:D,Размеры!A:A,"ERR",0)</f>
        <v>58</v>
      </c>
      <c r="T261" s="80">
        <f ca="1">VALUE(_xlfn.XLOOKUP($AA261,Строчный!$S:$S,Строчный!U:U,"ERR",0))</f>
        <v>3</v>
      </c>
      <c r="U261" s="14" t="s">
        <v>265</v>
      </c>
      <c r="V261" s="101" t="str">
        <f t="shared" ca="1" si="21"/>
        <v>Кепка FREDRIKSON арт. 3147 (серый / черный)</v>
      </c>
      <c r="W261" s="100" t="str">
        <f t="shared" ca="1" si="22"/>
        <v>Кепка FREDRIKSON арт. 3147 (серый / черный) {641/76}</v>
      </c>
      <c r="X261" s="18" t="str">
        <f t="shared" ca="1" si="23"/>
        <v>серый</v>
      </c>
      <c r="Y261" s="18" t="str">
        <f t="shared" ca="1" si="24"/>
        <v>черный</v>
      </c>
      <c r="Z261" s="117" t="s">
        <v>28</v>
      </c>
      <c r="AA261" s="73" t="str">
        <f ca="1"/>
        <v>95-006-47-58</v>
      </c>
      <c r="AB261" s="75" t="str">
        <f ca="1">VLOOKUP(C261,Группа!A:B,2,FALSE)</f>
        <v>Кепка</v>
      </c>
      <c r="AC261" s="97" t="str">
        <f ca="1">IFERROR(VLOOKUP(S261,Размеры!A:C,3,FALSE),"")</f>
        <v>58 M/L</v>
      </c>
      <c r="AD261" s="97" t="str">
        <f ca="1">VLOOKUP(I261,ЦветПолный!A:B,2,FALSE)</f>
        <v>47</v>
      </c>
      <c r="AE261" s="97" t="str">
        <f ca="1">IFERROR(VLOOKUP(S261,Размеры!A:D,4,FALSE),"")</f>
        <v>58</v>
      </c>
      <c r="AF261" s="97">
        <f ca="1">IF(LEFT(IFERROR(VLOOKUP(LOOKUP(2,1/SEARCH(B261,Товары!A:A),Товары!A:A),Товары!A:B,2,0),""),6)=MID(AA261,1,6),1,0)</f>
        <v>0</v>
      </c>
      <c r="AH261" s="97">
        <f ca="1">SUMIF(Группа!A:A,C261,Группа!C:C)</f>
        <v>1</v>
      </c>
      <c r="AI261" s="97">
        <f ca="1">SUMIF(Группа!B:B,AB261,Группа!C:C)</f>
        <v>1</v>
      </c>
      <c r="AJ261" s="97">
        <f ca="1">SUMIF(Формы!A:A,D261,Формы!B:B)</f>
        <v>1</v>
      </c>
      <c r="AK261" s="97">
        <f ca="1">SUMIF(Материал!A:A,K261,Материал!B:B)</f>
        <v>1</v>
      </c>
      <c r="AL261" s="97">
        <f ca="1">SUMIF(Размеры!A:A,S261,Размеры!E:E)</f>
        <v>1</v>
      </c>
      <c r="AM261" s="97">
        <f ca="1">SUMIF(Сезон!A:A,F261,Сезон!B:B)</f>
        <v>1</v>
      </c>
      <c r="AN261" s="97">
        <f ca="1">SUMIF(Состав!A:A,J261,Состав!B:B)</f>
        <v>0</v>
      </c>
      <c r="AO261" s="97">
        <f ca="1">VLOOKUP(I261,ЦветПолный!A:C,3,0)</f>
        <v>1</v>
      </c>
      <c r="AP261" s="97">
        <f>SUMIF(Цвет!A:A,Z261,Цвет!B:B)</f>
        <v>1</v>
      </c>
      <c r="AQ261" s="97">
        <f ca="1">_xlfn.XLOOKUP(L261,Пол!A:A,Пол!B:B,0,0)</f>
        <v>1</v>
      </c>
      <c r="AR261" s="97">
        <f ca="1">SUMIF(Бренд!A:A,G261,Бренд!B:B)</f>
        <v>1</v>
      </c>
      <c r="AS261" s="97">
        <f ca="1">SUMIF(Страна!A:A,M261,Страна!B:B)</f>
        <v>1</v>
      </c>
      <c r="AT261" s="64" t="e">
        <f ca="1">IF(VLOOKUP(W261,Товары!A:B,2,FALSE)=A261,"Есть в 1С","ERR")</f>
        <v>#N/A</v>
      </c>
      <c r="AU261" s="65" t="e">
        <f ca="1">IF(VLOOKUP(A261,Товары!B:B,1,FALSE)=A261,"Есть в 1С","ERR")</f>
        <v>#N/A</v>
      </c>
      <c r="AV261" s="96" t="e">
        <f ca="1">VLOOKUP(W261,Товары!A:B,2,FALSE)</f>
        <v>#N/A</v>
      </c>
      <c r="AW261" s="94" t="e">
        <f ca="1">VLOOKUP(W261,Товары!A:B,1,FALSE)</f>
        <v>#N/A</v>
      </c>
    </row>
    <row r="262" spans="1:49" x14ac:dyDescent="0.25">
      <c r="A262" s="110" t="str">
        <f t="shared" ca="1" si="20"/>
        <v>95-006-47</v>
      </c>
      <c r="B262" s="107" t="str">
        <f ca="1">_xlfn.LET(_xlpm.CAPS,0,_xlpm.Style,TRIM(_xlfn.XLOOKUP($A262,Строчный!$A:$A,Строчный!B:B,"ERR",0)),IF(_xlpm.CAPS=0,_xlpm.Style,LOWER(_xlpm.Style)))</f>
        <v>3147</v>
      </c>
      <c r="C262" s="81" t="str">
        <f ca="1">TRIM(PROPER(_xlfn.XLOOKUP($A262,Строчный!$A:$A,Строчный!C:C,"ERR",0)))</f>
        <v>Кепки</v>
      </c>
      <c r="D262" s="81" t="str">
        <f ca="1">_xlfn.LET(_xlpm.DATA,TRIM(_xlfn.XLOOKUP($A262,Строчный!$A:$A,Строчный!D:D,"ERR",0)),UPPER(MID(_xlpm.DATA,1,1))&amp;LOWER(MID(_xlpm.DATA,2,LEN(_xlpm.DATA)-1)))</f>
        <v>Кепка шестиклинка</v>
      </c>
      <c r="E262" s="81" t="str">
        <f ca="1">PROPER(TRIM(_xlfn.XLOOKUP($A262,Строчный!$A:$A,Строчный!E:E,"ERR",0)))</f>
        <v>Fredrikson</v>
      </c>
      <c r="F262" s="81" t="str">
        <f ca="1">LOWER(TRIM(_xlfn.XLOOKUP($A262,Строчный!$A:$A,Строчный!F:F,"ERR",0)))</f>
        <v>всесезон</v>
      </c>
      <c r="G262" s="81" t="str">
        <f ca="1">UPPER(TRIM(_xlfn.XLOOKUP($A262,Строчный!$A:$A,Строчный!G:G,"ERR",0)))</f>
        <v>FREDRIKSON</v>
      </c>
      <c r="H262" s="81" t="str">
        <f ca="1">LOWER(TRIM(_xlfn.XLOOKUP($A262,Строчный!$A:$A,Строчный!H:H,"ERR",0)))</f>
        <v>641/76</v>
      </c>
      <c r="I262" s="81" t="str">
        <f ca="1">LOWER(TRIM(_xlfn.XLOOKUP($A262,Строчный!$A:$A,Строчный!I:I,"ERR",0)))</f>
        <v>серый / черный</v>
      </c>
      <c r="J262" s="81" t="str">
        <f ca="1">SUBSTITUTE(LOWER(TRIM(_xlfn.XLOOKUP($A262,Строчный!$A:$A,Строчный!J:J,"ERR",0))),"подклад","Подклад")</f>
        <v>80% шерсть - 20% полиамид / Подклад: 100% вискоза</v>
      </c>
      <c r="K262" s="81" t="str">
        <f ca="1">LOWER(TRIM(_xlfn.XLOOKUP($A262,Строчный!$A:$A,Строчный!K:K,"ERR",0)))</f>
        <v>шерстяные</v>
      </c>
      <c r="L262" s="81" t="str">
        <f ca="1">PROPER(TRIM(_xlfn.XLOOKUP($A262,Строчный!$A:$A,Строчный!L:L,"ERR",0)))</f>
        <v>Унисекс</v>
      </c>
      <c r="M262" s="113" t="str">
        <f ca="1">PROPER(TRIM(_xlfn.XLOOKUP($A262,Строчный!$A:$A,Строчный!M:M,"ERR",0)))</f>
        <v>Россия</v>
      </c>
      <c r="N262" s="81" t="str">
        <f ca="1">UPPER(TRIM(_xlfn.XLOOKUP($A262,Строчный!$A:$A,Строчный!O:O,"ERR",0)))</f>
        <v/>
      </c>
      <c r="O262" s="102" t="str">
        <f ca="1">PROPER(TRIM(_xlfn.XLOOKUP($A262,Строчный!$A:$A,Строчный!P:P,"ERR",0)))</f>
        <v/>
      </c>
      <c r="P262" s="81" t="str">
        <f ca="1">PROPER(TRIM(_xlfn.XLOOKUP($A262,Строчный!$A:$A,Строчный!R:R,"ERR",0)))</f>
        <v/>
      </c>
      <c r="Q262" s="90">
        <f ca="1">VALUE(_xlfn.XLOOKUP($A262,Строчный!$A:$A,Строчный!N:N,"ERR",0))</f>
        <v>975.8</v>
      </c>
      <c r="R262" s="89" t="str">
        <f ca="1">_xlfn.XLOOKUP($G262,Фабрика!A:A,Фабрика!B:B,"ERR",0)</f>
        <v>ООО "ФРЭДРИКСОН" Россия 192029, С-Петербург, пр. Обуховской обороны, д.86, лит М</v>
      </c>
      <c r="S262" s="80" t="str">
        <f ca="1">_xlfn.XLOOKUP(RIGHT(AA262,2),Размеры!D:D,Размеры!A:A,"ERR",0)</f>
        <v>57</v>
      </c>
      <c r="T262" s="80">
        <f ca="1">VALUE(_xlfn.XLOOKUP($AA262,Строчный!$S:$S,Строчный!U:U,"ERR",0))</f>
        <v>2</v>
      </c>
      <c r="U262" s="14" t="s">
        <v>265</v>
      </c>
      <c r="V262" s="101" t="str">
        <f t="shared" ca="1" si="21"/>
        <v>Кепка FREDRIKSON арт. 3147 (серый / черный)</v>
      </c>
      <c r="W262" s="100" t="str">
        <f t="shared" ca="1" si="22"/>
        <v>Кепка FREDRIKSON арт. 3147 (серый / черный) {641/76}</v>
      </c>
      <c r="X262" s="18" t="str">
        <f t="shared" ca="1" si="23"/>
        <v>серый</v>
      </c>
      <c r="Y262" s="18" t="str">
        <f t="shared" ca="1" si="24"/>
        <v>черный</v>
      </c>
      <c r="Z262" s="117" t="s">
        <v>28</v>
      </c>
      <c r="AA262" s="73" t="str">
        <f ca="1"/>
        <v>95-006-47-57</v>
      </c>
      <c r="AB262" s="75" t="str">
        <f ca="1">VLOOKUP(C262,Группа!A:B,2,FALSE)</f>
        <v>Кепка</v>
      </c>
      <c r="AC262" s="97" t="str">
        <f ca="1">IFERROR(VLOOKUP(S262,Размеры!A:C,3,FALSE),"")</f>
        <v>57 M</v>
      </c>
      <c r="AD262" s="97" t="str">
        <f ca="1">VLOOKUP(I262,ЦветПолный!A:B,2,FALSE)</f>
        <v>47</v>
      </c>
      <c r="AE262" s="97" t="str">
        <f ca="1">IFERROR(VLOOKUP(S262,Размеры!A:D,4,FALSE),"")</f>
        <v>57</v>
      </c>
      <c r="AF262" s="97">
        <f ca="1">IF(LEFT(IFERROR(VLOOKUP(LOOKUP(2,1/SEARCH(B262,Товары!A:A),Товары!A:A),Товары!A:B,2,0),""),6)=MID(AA262,1,6),1,0)</f>
        <v>0</v>
      </c>
      <c r="AH262" s="97">
        <f ca="1">SUMIF(Группа!A:A,C262,Группа!C:C)</f>
        <v>1</v>
      </c>
      <c r="AI262" s="97">
        <f ca="1">SUMIF(Группа!B:B,AB262,Группа!C:C)</f>
        <v>1</v>
      </c>
      <c r="AJ262" s="97">
        <f ca="1">SUMIF(Формы!A:A,D262,Формы!B:B)</f>
        <v>1</v>
      </c>
      <c r="AK262" s="97">
        <f ca="1">SUMIF(Материал!A:A,K262,Материал!B:B)</f>
        <v>1</v>
      </c>
      <c r="AL262" s="97">
        <f ca="1">SUMIF(Размеры!A:A,S262,Размеры!E:E)</f>
        <v>1</v>
      </c>
      <c r="AM262" s="97">
        <f ca="1">SUMIF(Сезон!A:A,F262,Сезон!B:B)</f>
        <v>1</v>
      </c>
      <c r="AN262" s="97">
        <f ca="1">SUMIF(Состав!A:A,J262,Состав!B:B)</f>
        <v>0</v>
      </c>
      <c r="AO262" s="97">
        <f ca="1">VLOOKUP(I262,ЦветПолный!A:C,3,0)</f>
        <v>1</v>
      </c>
      <c r="AP262" s="97">
        <f>SUMIF(Цвет!A:A,Z262,Цвет!B:B)</f>
        <v>1</v>
      </c>
      <c r="AQ262" s="97">
        <f ca="1">_xlfn.XLOOKUP(L262,Пол!A:A,Пол!B:B,0,0)</f>
        <v>1</v>
      </c>
      <c r="AR262" s="97">
        <f ca="1">SUMIF(Бренд!A:A,G262,Бренд!B:B)</f>
        <v>1</v>
      </c>
      <c r="AS262" s="97">
        <f ca="1">SUMIF(Страна!A:A,M262,Страна!B:B)</f>
        <v>1</v>
      </c>
      <c r="AT262" s="64" t="e">
        <f ca="1">IF(VLOOKUP(W262,Товары!A:B,2,FALSE)=A262,"Есть в 1С","ERR")</f>
        <v>#N/A</v>
      </c>
      <c r="AU262" s="65" t="e">
        <f ca="1">IF(VLOOKUP(A262,Товары!B:B,1,FALSE)=A262,"Есть в 1С","ERR")</f>
        <v>#N/A</v>
      </c>
      <c r="AV262" s="96" t="e">
        <f ca="1">VLOOKUP(W262,Товары!A:B,2,FALSE)</f>
        <v>#N/A</v>
      </c>
      <c r="AW262" s="94" t="e">
        <f ca="1">VLOOKUP(W262,Товары!A:B,1,FALSE)</f>
        <v>#N/A</v>
      </c>
    </row>
    <row r="263" spans="1:49" x14ac:dyDescent="0.25">
      <c r="A263" s="110" t="str">
        <f t="shared" ca="1" si="20"/>
        <v>95-006-47</v>
      </c>
      <c r="B263" s="107" t="str">
        <f ca="1">_xlfn.LET(_xlpm.CAPS,0,_xlpm.Style,TRIM(_xlfn.XLOOKUP($A263,Строчный!$A:$A,Строчный!B:B,"ERR",0)),IF(_xlpm.CAPS=0,_xlpm.Style,LOWER(_xlpm.Style)))</f>
        <v>3147</v>
      </c>
      <c r="C263" s="81" t="str">
        <f ca="1">TRIM(PROPER(_xlfn.XLOOKUP($A263,Строчный!$A:$A,Строчный!C:C,"ERR",0)))</f>
        <v>Кепки</v>
      </c>
      <c r="D263" s="81" t="str">
        <f ca="1">_xlfn.LET(_xlpm.DATA,TRIM(_xlfn.XLOOKUP($A263,Строчный!$A:$A,Строчный!D:D,"ERR",0)),UPPER(MID(_xlpm.DATA,1,1))&amp;LOWER(MID(_xlpm.DATA,2,LEN(_xlpm.DATA)-1)))</f>
        <v>Кепка шестиклинка</v>
      </c>
      <c r="E263" s="81" t="str">
        <f ca="1">PROPER(TRIM(_xlfn.XLOOKUP($A263,Строчный!$A:$A,Строчный!E:E,"ERR",0)))</f>
        <v>Fredrikson</v>
      </c>
      <c r="F263" s="81" t="str">
        <f ca="1">LOWER(TRIM(_xlfn.XLOOKUP($A263,Строчный!$A:$A,Строчный!F:F,"ERR",0)))</f>
        <v>всесезон</v>
      </c>
      <c r="G263" s="81" t="str">
        <f ca="1">UPPER(TRIM(_xlfn.XLOOKUP($A263,Строчный!$A:$A,Строчный!G:G,"ERR",0)))</f>
        <v>FREDRIKSON</v>
      </c>
      <c r="H263" s="81" t="str">
        <f ca="1">LOWER(TRIM(_xlfn.XLOOKUP($A263,Строчный!$A:$A,Строчный!H:H,"ERR",0)))</f>
        <v>641/76</v>
      </c>
      <c r="I263" s="81" t="str">
        <f ca="1">LOWER(TRIM(_xlfn.XLOOKUP($A263,Строчный!$A:$A,Строчный!I:I,"ERR",0)))</f>
        <v>серый / черный</v>
      </c>
      <c r="J263" s="81" t="str">
        <f ca="1">SUBSTITUTE(LOWER(TRIM(_xlfn.XLOOKUP($A263,Строчный!$A:$A,Строчный!J:J,"ERR",0))),"подклад","Подклад")</f>
        <v>80% шерсть - 20% полиамид / Подклад: 100% вискоза</v>
      </c>
      <c r="K263" s="81" t="str">
        <f ca="1">LOWER(TRIM(_xlfn.XLOOKUP($A263,Строчный!$A:$A,Строчный!K:K,"ERR",0)))</f>
        <v>шерстяные</v>
      </c>
      <c r="L263" s="81" t="str">
        <f ca="1">PROPER(TRIM(_xlfn.XLOOKUP($A263,Строчный!$A:$A,Строчный!L:L,"ERR",0)))</f>
        <v>Унисекс</v>
      </c>
      <c r="M263" s="113" t="str">
        <f ca="1">PROPER(TRIM(_xlfn.XLOOKUP($A263,Строчный!$A:$A,Строчный!M:M,"ERR",0)))</f>
        <v>Россия</v>
      </c>
      <c r="N263" s="81" t="str">
        <f ca="1">UPPER(TRIM(_xlfn.XLOOKUP($A263,Строчный!$A:$A,Строчный!O:O,"ERR",0)))</f>
        <v/>
      </c>
      <c r="O263" s="102" t="str">
        <f ca="1">PROPER(TRIM(_xlfn.XLOOKUP($A263,Строчный!$A:$A,Строчный!P:P,"ERR",0)))</f>
        <v/>
      </c>
      <c r="P263" s="81" t="str">
        <f ca="1">PROPER(TRIM(_xlfn.XLOOKUP($A263,Строчный!$A:$A,Строчный!R:R,"ERR",0)))</f>
        <v/>
      </c>
      <c r="Q263" s="90">
        <f ca="1">VALUE(_xlfn.XLOOKUP($A263,Строчный!$A:$A,Строчный!N:N,"ERR",0))</f>
        <v>975.8</v>
      </c>
      <c r="R263" s="89" t="str">
        <f ca="1">_xlfn.XLOOKUP($G263,Фабрика!A:A,Фабрика!B:B,"ERR",0)</f>
        <v>ООО "ФРЭДРИКСОН" Россия 192029, С-Петербург, пр. Обуховской обороны, д.86, лит М</v>
      </c>
      <c r="S263" s="80" t="str">
        <f ca="1">_xlfn.XLOOKUP(RIGHT(AA263,2),Размеры!D:D,Размеры!A:A,"ERR",0)</f>
        <v>56</v>
      </c>
      <c r="T263" s="80">
        <f ca="1">VALUE(_xlfn.XLOOKUP($AA263,Строчный!$S:$S,Строчный!U:U,"ERR",0))</f>
        <v>1</v>
      </c>
      <c r="U263" s="14" t="s">
        <v>265</v>
      </c>
      <c r="V263" s="101" t="str">
        <f t="shared" ca="1" si="21"/>
        <v>Кепка FREDRIKSON арт. 3147 (серый / черный)</v>
      </c>
      <c r="W263" s="100" t="str">
        <f t="shared" ca="1" si="22"/>
        <v>Кепка FREDRIKSON арт. 3147 (серый / черный) {641/76}</v>
      </c>
      <c r="X263" s="18" t="str">
        <f t="shared" ca="1" si="23"/>
        <v>серый</v>
      </c>
      <c r="Y263" s="18" t="str">
        <f t="shared" ca="1" si="24"/>
        <v>черный</v>
      </c>
      <c r="Z263" s="117" t="s">
        <v>28</v>
      </c>
      <c r="AA263" s="73" t="str">
        <f ca="1"/>
        <v>95-006-47-56</v>
      </c>
      <c r="AB263" s="75" t="str">
        <f ca="1">VLOOKUP(C263,Группа!A:B,2,FALSE)</f>
        <v>Кепка</v>
      </c>
      <c r="AC263" s="97" t="str">
        <f ca="1">IFERROR(VLOOKUP(S263,Размеры!A:C,3,FALSE),"")</f>
        <v>56 S/M</v>
      </c>
      <c r="AD263" s="97" t="str">
        <f ca="1">VLOOKUP(I263,ЦветПолный!A:B,2,FALSE)</f>
        <v>47</v>
      </c>
      <c r="AE263" s="97" t="str">
        <f ca="1">IFERROR(VLOOKUP(S263,Размеры!A:D,4,FALSE),"")</f>
        <v>56</v>
      </c>
      <c r="AF263" s="97">
        <f ca="1">IF(LEFT(IFERROR(VLOOKUP(LOOKUP(2,1/SEARCH(B263,Товары!A:A),Товары!A:A),Товары!A:B,2,0),""),6)=MID(AA263,1,6),1,0)</f>
        <v>0</v>
      </c>
      <c r="AH263" s="97">
        <f ca="1">SUMIF(Группа!A:A,C263,Группа!C:C)</f>
        <v>1</v>
      </c>
      <c r="AI263" s="97">
        <f ca="1">SUMIF(Группа!B:B,AB263,Группа!C:C)</f>
        <v>1</v>
      </c>
      <c r="AJ263" s="97">
        <f ca="1">SUMIF(Формы!A:A,D263,Формы!B:B)</f>
        <v>1</v>
      </c>
      <c r="AK263" s="97">
        <f ca="1">SUMIF(Материал!A:A,K263,Материал!B:B)</f>
        <v>1</v>
      </c>
      <c r="AL263" s="97">
        <f ca="1">SUMIF(Размеры!A:A,S263,Размеры!E:E)</f>
        <v>1</v>
      </c>
      <c r="AM263" s="97">
        <f ca="1">SUMIF(Сезон!A:A,F263,Сезон!B:B)</f>
        <v>1</v>
      </c>
      <c r="AN263" s="97">
        <f ca="1">SUMIF(Состав!A:A,J263,Состав!B:B)</f>
        <v>0</v>
      </c>
      <c r="AO263" s="97">
        <f ca="1">VLOOKUP(I263,ЦветПолный!A:C,3,0)</f>
        <v>1</v>
      </c>
      <c r="AP263" s="97">
        <f>SUMIF(Цвет!A:A,Z263,Цвет!B:B)</f>
        <v>1</v>
      </c>
      <c r="AQ263" s="97">
        <f ca="1">_xlfn.XLOOKUP(L263,Пол!A:A,Пол!B:B,0,0)</f>
        <v>1</v>
      </c>
      <c r="AR263" s="97">
        <f ca="1">SUMIF(Бренд!A:A,G263,Бренд!B:B)</f>
        <v>1</v>
      </c>
      <c r="AS263" s="97">
        <f ca="1">SUMIF(Страна!A:A,M263,Страна!B:B)</f>
        <v>1</v>
      </c>
      <c r="AT263" s="64" t="e">
        <f ca="1">IF(VLOOKUP(W263,Товары!A:B,2,FALSE)=A263,"Есть в 1С","ERR")</f>
        <v>#N/A</v>
      </c>
      <c r="AU263" s="65" t="e">
        <f ca="1">IF(VLOOKUP(A263,Товары!B:B,1,FALSE)=A263,"Есть в 1С","ERR")</f>
        <v>#N/A</v>
      </c>
      <c r="AV263" s="96" t="e">
        <f ca="1">VLOOKUP(W263,Товары!A:B,2,FALSE)</f>
        <v>#N/A</v>
      </c>
      <c r="AW263" s="94" t="e">
        <f ca="1">VLOOKUP(W263,Товары!A:B,1,FALSE)</f>
        <v>#N/A</v>
      </c>
    </row>
    <row r="264" spans="1:49" x14ac:dyDescent="0.25">
      <c r="A264" s="110" t="str">
        <f t="shared" ca="1" si="20"/>
        <v>95-006-16</v>
      </c>
      <c r="B264" s="107" t="str">
        <f ca="1">_xlfn.LET(_xlpm.CAPS,0,_xlpm.Style,TRIM(_xlfn.XLOOKUP($A264,Строчный!$A:$A,Строчный!B:B,"ERR",0)),IF(_xlpm.CAPS=0,_xlpm.Style,LOWER(_xlpm.Style)))</f>
        <v>3147</v>
      </c>
      <c r="C264" s="81" t="str">
        <f ca="1">TRIM(PROPER(_xlfn.XLOOKUP($A264,Строчный!$A:$A,Строчный!C:C,"ERR",0)))</f>
        <v>Кепки</v>
      </c>
      <c r="D264" s="81" t="str">
        <f ca="1">_xlfn.LET(_xlpm.DATA,TRIM(_xlfn.XLOOKUP($A264,Строчный!$A:$A,Строчный!D:D,"ERR",0)),UPPER(MID(_xlpm.DATA,1,1))&amp;LOWER(MID(_xlpm.DATA,2,LEN(_xlpm.DATA)-1)))</f>
        <v>Кепка шестиклинка</v>
      </c>
      <c r="E264" s="81" t="str">
        <f ca="1">PROPER(TRIM(_xlfn.XLOOKUP($A264,Строчный!$A:$A,Строчный!E:E,"ERR",0)))</f>
        <v>Fredrikson</v>
      </c>
      <c r="F264" s="81" t="str">
        <f ca="1">LOWER(TRIM(_xlfn.XLOOKUP($A264,Строчный!$A:$A,Строчный!F:F,"ERR",0)))</f>
        <v>всесезон</v>
      </c>
      <c r="G264" s="81" t="str">
        <f ca="1">UPPER(TRIM(_xlfn.XLOOKUP($A264,Строчный!$A:$A,Строчный!G:G,"ERR",0)))</f>
        <v>FREDRIKSON</v>
      </c>
      <c r="H264" s="81" t="str">
        <f ca="1">LOWER(TRIM(_xlfn.XLOOKUP($A264,Строчный!$A:$A,Строчный!H:H,"ERR",0)))</f>
        <v>626/78</v>
      </c>
      <c r="I264" s="81" t="str">
        <f ca="1">LOWER(TRIM(_xlfn.XLOOKUP($A264,Строчный!$A:$A,Строчный!I:I,"ERR",0)))</f>
        <v>темно-синий / серый</v>
      </c>
      <c r="J264" s="81" t="str">
        <f ca="1">SUBSTITUTE(LOWER(TRIM(_xlfn.XLOOKUP($A264,Строчный!$A:$A,Строчный!J:J,"ERR",0))),"подклад","Подклад")</f>
        <v>80% шерсть - 20% полиамид / Подклад: 100% вискоза</v>
      </c>
      <c r="K264" s="81" t="str">
        <f ca="1">LOWER(TRIM(_xlfn.XLOOKUP($A264,Строчный!$A:$A,Строчный!K:K,"ERR",0)))</f>
        <v>шерстяные</v>
      </c>
      <c r="L264" s="81" t="str">
        <f ca="1">PROPER(TRIM(_xlfn.XLOOKUP($A264,Строчный!$A:$A,Строчный!L:L,"ERR",0)))</f>
        <v>Унисекс</v>
      </c>
      <c r="M264" s="113" t="str">
        <f ca="1">PROPER(TRIM(_xlfn.XLOOKUP($A264,Строчный!$A:$A,Строчный!M:M,"ERR",0)))</f>
        <v>Россия</v>
      </c>
      <c r="N264" s="81" t="str">
        <f ca="1">UPPER(TRIM(_xlfn.XLOOKUP($A264,Строчный!$A:$A,Строчный!O:O,"ERR",0)))</f>
        <v/>
      </c>
      <c r="O264" s="102" t="str">
        <f ca="1">PROPER(TRIM(_xlfn.XLOOKUP($A264,Строчный!$A:$A,Строчный!P:P,"ERR",0)))</f>
        <v/>
      </c>
      <c r="P264" s="81" t="str">
        <f ca="1">PROPER(TRIM(_xlfn.XLOOKUP($A264,Строчный!$A:$A,Строчный!R:R,"ERR",0)))</f>
        <v/>
      </c>
      <c r="Q264" s="90">
        <f ca="1">VALUE(_xlfn.XLOOKUP($A264,Строчный!$A:$A,Строчный!N:N,"ERR",0))</f>
        <v>975.8</v>
      </c>
      <c r="R264" s="89" t="str">
        <f ca="1">_xlfn.XLOOKUP($G264,Фабрика!A:A,Фабрика!B:B,"ERR",0)</f>
        <v>ООО "ФРЭДРИКСОН" Россия 192029, С-Петербург, пр. Обуховской обороны, д.86, лит М</v>
      </c>
      <c r="S264" s="80" t="str">
        <f ca="1">_xlfn.XLOOKUP(RIGHT(AA264,2),Размеры!D:D,Размеры!A:A,"ERR",0)</f>
        <v>60</v>
      </c>
      <c r="T264" s="80">
        <f ca="1">VALUE(_xlfn.XLOOKUP($AA264,Строчный!$S:$S,Строчный!U:U,"ERR",0))</f>
        <v>3</v>
      </c>
      <c r="U264" s="14" t="s">
        <v>265</v>
      </c>
      <c r="V264" s="101" t="str">
        <f t="shared" ca="1" si="21"/>
        <v>Кепка FREDRIKSON арт. 3147 (темно-синий / серый)</v>
      </c>
      <c r="W264" s="100" t="str">
        <f t="shared" ca="1" si="22"/>
        <v>Кепка FREDRIKSON арт. 3147 (темно-синий / серый) {626/78}</v>
      </c>
      <c r="X264" s="18" t="str">
        <f t="shared" ca="1" si="23"/>
        <v>синий / серый</v>
      </c>
      <c r="Y264" s="18" t="str">
        <f t="shared" ca="1" si="24"/>
        <v>синий / серый</v>
      </c>
      <c r="Z264" s="117" t="s">
        <v>52</v>
      </c>
      <c r="AA264" s="73" t="str">
        <f ca="1"/>
        <v>95-006-16-60</v>
      </c>
      <c r="AB264" s="75" t="str">
        <f ca="1">VLOOKUP(C264,Группа!A:B,2,FALSE)</f>
        <v>Кепка</v>
      </c>
      <c r="AC264" s="97" t="str">
        <f ca="1">IFERROR(VLOOKUP(S264,Размеры!A:C,3,FALSE),"")</f>
        <v>60 L/XL</v>
      </c>
      <c r="AD264" s="97" t="str">
        <f ca="1">VLOOKUP(I264,ЦветПолный!A:B,2,FALSE)</f>
        <v>16</v>
      </c>
      <c r="AE264" s="97" t="str">
        <f ca="1">IFERROR(VLOOKUP(S264,Размеры!A:D,4,FALSE),"")</f>
        <v>60</v>
      </c>
      <c r="AF264" s="97">
        <f ca="1">IF(LEFT(IFERROR(VLOOKUP(LOOKUP(2,1/SEARCH(B264,Товары!A:A),Товары!A:A),Товары!A:B,2,0),""),6)=MID(AA264,1,6),1,0)</f>
        <v>0</v>
      </c>
      <c r="AH264" s="97">
        <f ca="1">SUMIF(Группа!A:A,C264,Группа!C:C)</f>
        <v>1</v>
      </c>
      <c r="AI264" s="97">
        <f ca="1">SUMIF(Группа!B:B,AB264,Группа!C:C)</f>
        <v>1</v>
      </c>
      <c r="AJ264" s="97">
        <f ca="1">SUMIF(Формы!A:A,D264,Формы!B:B)</f>
        <v>1</v>
      </c>
      <c r="AK264" s="97">
        <f ca="1">SUMIF(Материал!A:A,K264,Материал!B:B)</f>
        <v>1</v>
      </c>
      <c r="AL264" s="97">
        <f ca="1">SUMIF(Размеры!A:A,S264,Размеры!E:E)</f>
        <v>1</v>
      </c>
      <c r="AM264" s="97">
        <f ca="1">SUMIF(Сезон!A:A,F264,Сезон!B:B)</f>
        <v>1</v>
      </c>
      <c r="AN264" s="97">
        <f ca="1">SUMIF(Состав!A:A,J264,Состав!B:B)</f>
        <v>0</v>
      </c>
      <c r="AO264" s="97">
        <f ca="1">VLOOKUP(I264,ЦветПолный!A:C,3,0)</f>
        <v>1</v>
      </c>
      <c r="AP264" s="97">
        <f>SUMIF(Цвет!A:A,Z264,Цвет!B:B)</f>
        <v>1</v>
      </c>
      <c r="AQ264" s="97">
        <f ca="1">_xlfn.XLOOKUP(L264,Пол!A:A,Пол!B:B,0,0)</f>
        <v>1</v>
      </c>
      <c r="AR264" s="97">
        <f ca="1">SUMIF(Бренд!A:A,G264,Бренд!B:B)</f>
        <v>1</v>
      </c>
      <c r="AS264" s="97">
        <f ca="1">SUMIF(Страна!A:A,M264,Страна!B:B)</f>
        <v>1</v>
      </c>
      <c r="AT264" s="64" t="e">
        <f ca="1">IF(VLOOKUP(W264,Товары!A:B,2,FALSE)=A264,"Есть в 1С","ERR")</f>
        <v>#N/A</v>
      </c>
      <c r="AU264" s="65" t="e">
        <f ca="1">IF(VLOOKUP(A264,Товары!B:B,1,FALSE)=A264,"Есть в 1С","ERR")</f>
        <v>#N/A</v>
      </c>
      <c r="AV264" s="96" t="e">
        <f ca="1">VLOOKUP(W264,Товары!A:B,2,FALSE)</f>
        <v>#N/A</v>
      </c>
      <c r="AW264" s="94" t="e">
        <f ca="1">VLOOKUP(W264,Товары!A:B,1,FALSE)</f>
        <v>#N/A</v>
      </c>
    </row>
    <row r="265" spans="1:49" x14ac:dyDescent="0.25">
      <c r="A265" s="110" t="str">
        <f t="shared" ca="1" si="20"/>
        <v>95-006-16</v>
      </c>
      <c r="B265" s="107" t="str">
        <f ca="1">_xlfn.LET(_xlpm.CAPS,0,_xlpm.Style,TRIM(_xlfn.XLOOKUP($A265,Строчный!$A:$A,Строчный!B:B,"ERR",0)),IF(_xlpm.CAPS=0,_xlpm.Style,LOWER(_xlpm.Style)))</f>
        <v>3147</v>
      </c>
      <c r="C265" s="81" t="str">
        <f ca="1">TRIM(PROPER(_xlfn.XLOOKUP($A265,Строчный!$A:$A,Строчный!C:C,"ERR",0)))</f>
        <v>Кепки</v>
      </c>
      <c r="D265" s="81" t="str">
        <f ca="1">_xlfn.LET(_xlpm.DATA,TRIM(_xlfn.XLOOKUP($A265,Строчный!$A:$A,Строчный!D:D,"ERR",0)),UPPER(MID(_xlpm.DATA,1,1))&amp;LOWER(MID(_xlpm.DATA,2,LEN(_xlpm.DATA)-1)))</f>
        <v>Кепка шестиклинка</v>
      </c>
      <c r="E265" s="81" t="str">
        <f ca="1">PROPER(TRIM(_xlfn.XLOOKUP($A265,Строчный!$A:$A,Строчный!E:E,"ERR",0)))</f>
        <v>Fredrikson</v>
      </c>
      <c r="F265" s="81" t="str">
        <f ca="1">LOWER(TRIM(_xlfn.XLOOKUP($A265,Строчный!$A:$A,Строчный!F:F,"ERR",0)))</f>
        <v>всесезон</v>
      </c>
      <c r="G265" s="81" t="str">
        <f ca="1">UPPER(TRIM(_xlfn.XLOOKUP($A265,Строчный!$A:$A,Строчный!G:G,"ERR",0)))</f>
        <v>FREDRIKSON</v>
      </c>
      <c r="H265" s="81" t="str">
        <f ca="1">LOWER(TRIM(_xlfn.XLOOKUP($A265,Строчный!$A:$A,Строчный!H:H,"ERR",0)))</f>
        <v>626/78</v>
      </c>
      <c r="I265" s="81" t="str">
        <f ca="1">LOWER(TRIM(_xlfn.XLOOKUP($A265,Строчный!$A:$A,Строчный!I:I,"ERR",0)))</f>
        <v>темно-синий / серый</v>
      </c>
      <c r="J265" s="81" t="str">
        <f ca="1">SUBSTITUTE(LOWER(TRIM(_xlfn.XLOOKUP($A265,Строчный!$A:$A,Строчный!J:J,"ERR",0))),"подклад","Подклад")</f>
        <v>80% шерсть - 20% полиамид / Подклад: 100% вискоза</v>
      </c>
      <c r="K265" s="81" t="str">
        <f ca="1">LOWER(TRIM(_xlfn.XLOOKUP($A265,Строчный!$A:$A,Строчный!K:K,"ERR",0)))</f>
        <v>шерстяные</v>
      </c>
      <c r="L265" s="81" t="str">
        <f ca="1">PROPER(TRIM(_xlfn.XLOOKUP($A265,Строчный!$A:$A,Строчный!L:L,"ERR",0)))</f>
        <v>Унисекс</v>
      </c>
      <c r="M265" s="113" t="str">
        <f ca="1">PROPER(TRIM(_xlfn.XLOOKUP($A265,Строчный!$A:$A,Строчный!M:M,"ERR",0)))</f>
        <v>Россия</v>
      </c>
      <c r="N265" s="81" t="str">
        <f ca="1">UPPER(TRIM(_xlfn.XLOOKUP($A265,Строчный!$A:$A,Строчный!O:O,"ERR",0)))</f>
        <v/>
      </c>
      <c r="O265" s="102" t="str">
        <f ca="1">PROPER(TRIM(_xlfn.XLOOKUP($A265,Строчный!$A:$A,Строчный!P:P,"ERR",0)))</f>
        <v/>
      </c>
      <c r="P265" s="81" t="str">
        <f ca="1">PROPER(TRIM(_xlfn.XLOOKUP($A265,Строчный!$A:$A,Строчный!R:R,"ERR",0)))</f>
        <v/>
      </c>
      <c r="Q265" s="90">
        <f ca="1">VALUE(_xlfn.XLOOKUP($A265,Строчный!$A:$A,Строчный!N:N,"ERR",0))</f>
        <v>975.8</v>
      </c>
      <c r="R265" s="89" t="str">
        <f ca="1">_xlfn.XLOOKUP($G265,Фабрика!A:A,Фабрика!B:B,"ERR",0)</f>
        <v>ООО "ФРЭДРИКСОН" Россия 192029, С-Петербург, пр. Обуховской обороны, д.86, лит М</v>
      </c>
      <c r="S265" s="80" t="str">
        <f ca="1">_xlfn.XLOOKUP(RIGHT(AA265,2),Размеры!D:D,Размеры!A:A,"ERR",0)</f>
        <v>59</v>
      </c>
      <c r="T265" s="80">
        <f ca="1">VALUE(_xlfn.XLOOKUP($AA265,Строчный!$S:$S,Строчный!U:U,"ERR",0))</f>
        <v>4</v>
      </c>
      <c r="U265" s="14" t="s">
        <v>265</v>
      </c>
      <c r="V265" s="101" t="str">
        <f t="shared" ca="1" si="21"/>
        <v>Кепка FREDRIKSON арт. 3147 (темно-синий / серый)</v>
      </c>
      <c r="W265" s="100" t="str">
        <f t="shared" ca="1" si="22"/>
        <v>Кепка FREDRIKSON арт. 3147 (темно-синий / серый) {626/78}</v>
      </c>
      <c r="X265" s="18" t="str">
        <f t="shared" ca="1" si="23"/>
        <v>синий / серый</v>
      </c>
      <c r="Y265" s="18" t="str">
        <f t="shared" ca="1" si="24"/>
        <v>синий / серый</v>
      </c>
      <c r="Z265" s="117" t="s">
        <v>52</v>
      </c>
      <c r="AA265" s="73" t="str">
        <f ca="1"/>
        <v>95-006-16-59</v>
      </c>
      <c r="AB265" s="75" t="str">
        <f ca="1">VLOOKUP(C265,Группа!A:B,2,FALSE)</f>
        <v>Кепка</v>
      </c>
      <c r="AC265" s="97" t="str">
        <f ca="1">IFERROR(VLOOKUP(S265,Размеры!A:C,3,FALSE),"")</f>
        <v>59 L</v>
      </c>
      <c r="AD265" s="97" t="str">
        <f ca="1">VLOOKUP(I265,ЦветПолный!A:B,2,FALSE)</f>
        <v>16</v>
      </c>
      <c r="AE265" s="97" t="str">
        <f ca="1">IFERROR(VLOOKUP(S265,Размеры!A:D,4,FALSE),"")</f>
        <v>59</v>
      </c>
      <c r="AF265" s="97">
        <f ca="1">IF(LEFT(IFERROR(VLOOKUP(LOOKUP(2,1/SEARCH(B265,Товары!A:A),Товары!A:A),Товары!A:B,2,0),""),6)=MID(AA265,1,6),1,0)</f>
        <v>0</v>
      </c>
      <c r="AH265" s="97">
        <f ca="1">SUMIF(Группа!A:A,C265,Группа!C:C)</f>
        <v>1</v>
      </c>
      <c r="AI265" s="97">
        <f ca="1">SUMIF(Группа!B:B,AB265,Группа!C:C)</f>
        <v>1</v>
      </c>
      <c r="AJ265" s="97">
        <f ca="1">SUMIF(Формы!A:A,D265,Формы!B:B)</f>
        <v>1</v>
      </c>
      <c r="AK265" s="97">
        <f ca="1">SUMIF(Материал!A:A,K265,Материал!B:B)</f>
        <v>1</v>
      </c>
      <c r="AL265" s="97">
        <f ca="1">SUMIF(Размеры!A:A,S265,Размеры!E:E)</f>
        <v>1</v>
      </c>
      <c r="AM265" s="97">
        <f ca="1">SUMIF(Сезон!A:A,F265,Сезон!B:B)</f>
        <v>1</v>
      </c>
      <c r="AN265" s="97">
        <f ca="1">SUMIF(Состав!A:A,J265,Состав!B:B)</f>
        <v>0</v>
      </c>
      <c r="AO265" s="97">
        <f ca="1">VLOOKUP(I265,ЦветПолный!A:C,3,0)</f>
        <v>1</v>
      </c>
      <c r="AP265" s="97">
        <f>SUMIF(Цвет!A:A,Z265,Цвет!B:B)</f>
        <v>1</v>
      </c>
      <c r="AQ265" s="97">
        <f ca="1">_xlfn.XLOOKUP(L265,Пол!A:A,Пол!B:B,0,0)</f>
        <v>1</v>
      </c>
      <c r="AR265" s="97">
        <f ca="1">SUMIF(Бренд!A:A,G265,Бренд!B:B)</f>
        <v>1</v>
      </c>
      <c r="AS265" s="97">
        <f ca="1">SUMIF(Страна!A:A,M265,Страна!B:B)</f>
        <v>1</v>
      </c>
      <c r="AT265" s="64" t="e">
        <f ca="1">IF(VLOOKUP(W265,Товары!A:B,2,FALSE)=A265,"Есть в 1С","ERR")</f>
        <v>#N/A</v>
      </c>
      <c r="AU265" s="65" t="e">
        <f ca="1">IF(VLOOKUP(A265,Товары!B:B,1,FALSE)=A265,"Есть в 1С","ERR")</f>
        <v>#N/A</v>
      </c>
      <c r="AV265" s="96" t="e">
        <f ca="1">VLOOKUP(W265,Товары!A:B,2,FALSE)</f>
        <v>#N/A</v>
      </c>
      <c r="AW265" s="94" t="e">
        <f ca="1">VLOOKUP(W265,Товары!A:B,1,FALSE)</f>
        <v>#N/A</v>
      </c>
    </row>
    <row r="266" spans="1:49" x14ac:dyDescent="0.25">
      <c r="A266" s="110" t="str">
        <f t="shared" ca="1" si="20"/>
        <v>95-006-16</v>
      </c>
      <c r="B266" s="107" t="str">
        <f ca="1">_xlfn.LET(_xlpm.CAPS,0,_xlpm.Style,TRIM(_xlfn.XLOOKUP($A266,Строчный!$A:$A,Строчный!B:B,"ERR",0)),IF(_xlpm.CAPS=0,_xlpm.Style,LOWER(_xlpm.Style)))</f>
        <v>3147</v>
      </c>
      <c r="C266" s="81" t="str">
        <f ca="1">TRIM(PROPER(_xlfn.XLOOKUP($A266,Строчный!$A:$A,Строчный!C:C,"ERR",0)))</f>
        <v>Кепки</v>
      </c>
      <c r="D266" s="81" t="str">
        <f ca="1">_xlfn.LET(_xlpm.DATA,TRIM(_xlfn.XLOOKUP($A266,Строчный!$A:$A,Строчный!D:D,"ERR",0)),UPPER(MID(_xlpm.DATA,1,1))&amp;LOWER(MID(_xlpm.DATA,2,LEN(_xlpm.DATA)-1)))</f>
        <v>Кепка шестиклинка</v>
      </c>
      <c r="E266" s="81" t="str">
        <f ca="1">PROPER(TRIM(_xlfn.XLOOKUP($A266,Строчный!$A:$A,Строчный!E:E,"ERR",0)))</f>
        <v>Fredrikson</v>
      </c>
      <c r="F266" s="81" t="str">
        <f ca="1">LOWER(TRIM(_xlfn.XLOOKUP($A266,Строчный!$A:$A,Строчный!F:F,"ERR",0)))</f>
        <v>всесезон</v>
      </c>
      <c r="G266" s="81" t="str">
        <f ca="1">UPPER(TRIM(_xlfn.XLOOKUP($A266,Строчный!$A:$A,Строчный!G:G,"ERR",0)))</f>
        <v>FREDRIKSON</v>
      </c>
      <c r="H266" s="81" t="str">
        <f ca="1">LOWER(TRIM(_xlfn.XLOOKUP($A266,Строчный!$A:$A,Строчный!H:H,"ERR",0)))</f>
        <v>626/78</v>
      </c>
      <c r="I266" s="81" t="str">
        <f ca="1">LOWER(TRIM(_xlfn.XLOOKUP($A266,Строчный!$A:$A,Строчный!I:I,"ERR",0)))</f>
        <v>темно-синий / серый</v>
      </c>
      <c r="J266" s="81" t="str">
        <f ca="1">SUBSTITUTE(LOWER(TRIM(_xlfn.XLOOKUP($A266,Строчный!$A:$A,Строчный!J:J,"ERR",0))),"подклад","Подклад")</f>
        <v>80% шерсть - 20% полиамид / Подклад: 100% вискоза</v>
      </c>
      <c r="K266" s="81" t="str">
        <f ca="1">LOWER(TRIM(_xlfn.XLOOKUP($A266,Строчный!$A:$A,Строчный!K:K,"ERR",0)))</f>
        <v>шерстяные</v>
      </c>
      <c r="L266" s="81" t="str">
        <f ca="1">PROPER(TRIM(_xlfn.XLOOKUP($A266,Строчный!$A:$A,Строчный!L:L,"ERR",0)))</f>
        <v>Унисекс</v>
      </c>
      <c r="M266" s="113" t="str">
        <f ca="1">PROPER(TRIM(_xlfn.XLOOKUP($A266,Строчный!$A:$A,Строчный!M:M,"ERR",0)))</f>
        <v>Россия</v>
      </c>
      <c r="N266" s="81" t="str">
        <f ca="1">UPPER(TRIM(_xlfn.XLOOKUP($A266,Строчный!$A:$A,Строчный!O:O,"ERR",0)))</f>
        <v/>
      </c>
      <c r="O266" s="102" t="str">
        <f ca="1">PROPER(TRIM(_xlfn.XLOOKUP($A266,Строчный!$A:$A,Строчный!P:P,"ERR",0)))</f>
        <v/>
      </c>
      <c r="P266" s="81" t="str">
        <f ca="1">PROPER(TRIM(_xlfn.XLOOKUP($A266,Строчный!$A:$A,Строчный!R:R,"ERR",0)))</f>
        <v/>
      </c>
      <c r="Q266" s="90">
        <f ca="1">VALUE(_xlfn.XLOOKUP($A266,Строчный!$A:$A,Строчный!N:N,"ERR",0))</f>
        <v>975.8</v>
      </c>
      <c r="R266" s="89" t="str">
        <f ca="1">_xlfn.XLOOKUP($G266,Фабрика!A:A,Фабрика!B:B,"ERR",0)</f>
        <v>ООО "ФРЭДРИКСОН" Россия 192029, С-Петербург, пр. Обуховской обороны, д.86, лит М</v>
      </c>
      <c r="S266" s="80" t="str">
        <f ca="1">_xlfn.XLOOKUP(RIGHT(AA266,2),Размеры!D:D,Размеры!A:A,"ERR",0)</f>
        <v>58</v>
      </c>
      <c r="T266" s="80">
        <f ca="1">VALUE(_xlfn.XLOOKUP($AA266,Строчный!$S:$S,Строчный!U:U,"ERR",0))</f>
        <v>3</v>
      </c>
      <c r="U266" s="14" t="s">
        <v>265</v>
      </c>
      <c r="V266" s="101" t="str">
        <f t="shared" ca="1" si="21"/>
        <v>Кепка FREDRIKSON арт. 3147 (темно-синий / серый)</v>
      </c>
      <c r="W266" s="100" t="str">
        <f t="shared" ca="1" si="22"/>
        <v>Кепка FREDRIKSON арт. 3147 (темно-синий / серый) {626/78}</v>
      </c>
      <c r="X266" s="18" t="str">
        <f t="shared" ca="1" si="23"/>
        <v>синий / серый</v>
      </c>
      <c r="Y266" s="18" t="str">
        <f t="shared" ca="1" si="24"/>
        <v>синий / серый</v>
      </c>
      <c r="Z266" s="117" t="s">
        <v>52</v>
      </c>
      <c r="AA266" s="73" t="str">
        <f ca="1"/>
        <v>95-006-16-58</v>
      </c>
      <c r="AB266" s="75" t="str">
        <f ca="1">VLOOKUP(C266,Группа!A:B,2,FALSE)</f>
        <v>Кепка</v>
      </c>
      <c r="AC266" s="97" t="str">
        <f ca="1">IFERROR(VLOOKUP(S266,Размеры!A:C,3,FALSE),"")</f>
        <v>58 M/L</v>
      </c>
      <c r="AD266" s="97" t="str">
        <f ca="1">VLOOKUP(I266,ЦветПолный!A:B,2,FALSE)</f>
        <v>16</v>
      </c>
      <c r="AE266" s="97" t="str">
        <f ca="1">IFERROR(VLOOKUP(S266,Размеры!A:D,4,FALSE),"")</f>
        <v>58</v>
      </c>
      <c r="AF266" s="97">
        <f ca="1">IF(LEFT(IFERROR(VLOOKUP(LOOKUP(2,1/SEARCH(B266,Товары!A:A),Товары!A:A),Товары!A:B,2,0),""),6)=MID(AA266,1,6),1,0)</f>
        <v>0</v>
      </c>
      <c r="AH266" s="97">
        <f ca="1">SUMIF(Группа!A:A,C266,Группа!C:C)</f>
        <v>1</v>
      </c>
      <c r="AI266" s="97">
        <f ca="1">SUMIF(Группа!B:B,AB266,Группа!C:C)</f>
        <v>1</v>
      </c>
      <c r="AJ266" s="97">
        <f ca="1">SUMIF(Формы!A:A,D266,Формы!B:B)</f>
        <v>1</v>
      </c>
      <c r="AK266" s="97">
        <f ca="1">SUMIF(Материал!A:A,K266,Материал!B:B)</f>
        <v>1</v>
      </c>
      <c r="AL266" s="97">
        <f ca="1">SUMIF(Размеры!A:A,S266,Размеры!E:E)</f>
        <v>1</v>
      </c>
      <c r="AM266" s="97">
        <f ca="1">SUMIF(Сезон!A:A,F266,Сезон!B:B)</f>
        <v>1</v>
      </c>
      <c r="AN266" s="97">
        <f ca="1">SUMIF(Состав!A:A,J266,Состав!B:B)</f>
        <v>0</v>
      </c>
      <c r="AO266" s="97">
        <f ca="1">VLOOKUP(I266,ЦветПолный!A:C,3,0)</f>
        <v>1</v>
      </c>
      <c r="AP266" s="97">
        <f>SUMIF(Цвет!A:A,Z266,Цвет!B:B)</f>
        <v>1</v>
      </c>
      <c r="AQ266" s="97">
        <f ca="1">_xlfn.XLOOKUP(L266,Пол!A:A,Пол!B:B,0,0)</f>
        <v>1</v>
      </c>
      <c r="AR266" s="97">
        <f ca="1">SUMIF(Бренд!A:A,G266,Бренд!B:B)</f>
        <v>1</v>
      </c>
      <c r="AS266" s="97">
        <f ca="1">SUMIF(Страна!A:A,M266,Страна!B:B)</f>
        <v>1</v>
      </c>
      <c r="AT266" s="64" t="e">
        <f ca="1">IF(VLOOKUP(W266,Товары!A:B,2,FALSE)=A266,"Есть в 1С","ERR")</f>
        <v>#N/A</v>
      </c>
      <c r="AU266" s="65" t="e">
        <f ca="1">IF(VLOOKUP(A266,Товары!B:B,1,FALSE)=A266,"Есть в 1С","ERR")</f>
        <v>#N/A</v>
      </c>
      <c r="AV266" s="96" t="e">
        <f ca="1">VLOOKUP(W266,Товары!A:B,2,FALSE)</f>
        <v>#N/A</v>
      </c>
      <c r="AW266" s="94" t="e">
        <f ca="1">VLOOKUP(W266,Товары!A:B,1,FALSE)</f>
        <v>#N/A</v>
      </c>
    </row>
    <row r="267" spans="1:49" x14ac:dyDescent="0.25">
      <c r="A267" s="110" t="str">
        <f t="shared" ca="1" si="20"/>
        <v>95-006-16</v>
      </c>
      <c r="B267" s="107" t="str">
        <f ca="1">_xlfn.LET(_xlpm.CAPS,0,_xlpm.Style,TRIM(_xlfn.XLOOKUP($A267,Строчный!$A:$A,Строчный!B:B,"ERR",0)),IF(_xlpm.CAPS=0,_xlpm.Style,LOWER(_xlpm.Style)))</f>
        <v>3147</v>
      </c>
      <c r="C267" s="81" t="str">
        <f ca="1">TRIM(PROPER(_xlfn.XLOOKUP($A267,Строчный!$A:$A,Строчный!C:C,"ERR",0)))</f>
        <v>Кепки</v>
      </c>
      <c r="D267" s="81" t="str">
        <f ca="1">_xlfn.LET(_xlpm.DATA,TRIM(_xlfn.XLOOKUP($A267,Строчный!$A:$A,Строчный!D:D,"ERR",0)),UPPER(MID(_xlpm.DATA,1,1))&amp;LOWER(MID(_xlpm.DATA,2,LEN(_xlpm.DATA)-1)))</f>
        <v>Кепка шестиклинка</v>
      </c>
      <c r="E267" s="81" t="str">
        <f ca="1">PROPER(TRIM(_xlfn.XLOOKUP($A267,Строчный!$A:$A,Строчный!E:E,"ERR",0)))</f>
        <v>Fredrikson</v>
      </c>
      <c r="F267" s="81" t="str">
        <f ca="1">LOWER(TRIM(_xlfn.XLOOKUP($A267,Строчный!$A:$A,Строчный!F:F,"ERR",0)))</f>
        <v>всесезон</v>
      </c>
      <c r="G267" s="81" t="str">
        <f ca="1">UPPER(TRIM(_xlfn.XLOOKUP($A267,Строчный!$A:$A,Строчный!G:G,"ERR",0)))</f>
        <v>FREDRIKSON</v>
      </c>
      <c r="H267" s="81" t="str">
        <f ca="1">LOWER(TRIM(_xlfn.XLOOKUP($A267,Строчный!$A:$A,Строчный!H:H,"ERR",0)))</f>
        <v>626/78</v>
      </c>
      <c r="I267" s="81" t="str">
        <f ca="1">LOWER(TRIM(_xlfn.XLOOKUP($A267,Строчный!$A:$A,Строчный!I:I,"ERR",0)))</f>
        <v>темно-синий / серый</v>
      </c>
      <c r="J267" s="81" t="str">
        <f ca="1">SUBSTITUTE(LOWER(TRIM(_xlfn.XLOOKUP($A267,Строчный!$A:$A,Строчный!J:J,"ERR",0))),"подклад","Подклад")</f>
        <v>80% шерсть - 20% полиамид / Подклад: 100% вискоза</v>
      </c>
      <c r="K267" s="81" t="str">
        <f ca="1">LOWER(TRIM(_xlfn.XLOOKUP($A267,Строчный!$A:$A,Строчный!K:K,"ERR",0)))</f>
        <v>шерстяные</v>
      </c>
      <c r="L267" s="81" t="str">
        <f ca="1">PROPER(TRIM(_xlfn.XLOOKUP($A267,Строчный!$A:$A,Строчный!L:L,"ERR",0)))</f>
        <v>Унисекс</v>
      </c>
      <c r="M267" s="113" t="str">
        <f ca="1">PROPER(TRIM(_xlfn.XLOOKUP($A267,Строчный!$A:$A,Строчный!M:M,"ERR",0)))</f>
        <v>Россия</v>
      </c>
      <c r="N267" s="81" t="str">
        <f ca="1">UPPER(TRIM(_xlfn.XLOOKUP($A267,Строчный!$A:$A,Строчный!O:O,"ERR",0)))</f>
        <v/>
      </c>
      <c r="O267" s="102" t="str">
        <f ca="1">PROPER(TRIM(_xlfn.XLOOKUP($A267,Строчный!$A:$A,Строчный!P:P,"ERR",0)))</f>
        <v/>
      </c>
      <c r="P267" s="81" t="str">
        <f ca="1">PROPER(TRIM(_xlfn.XLOOKUP($A267,Строчный!$A:$A,Строчный!R:R,"ERR",0)))</f>
        <v/>
      </c>
      <c r="Q267" s="90">
        <f ca="1">VALUE(_xlfn.XLOOKUP($A267,Строчный!$A:$A,Строчный!N:N,"ERR",0))</f>
        <v>975.8</v>
      </c>
      <c r="R267" s="89" t="str">
        <f ca="1">_xlfn.XLOOKUP($G267,Фабрика!A:A,Фабрика!B:B,"ERR",0)</f>
        <v>ООО "ФРЭДРИКСОН" Россия 192029, С-Петербург, пр. Обуховской обороны, д.86, лит М</v>
      </c>
      <c r="S267" s="80" t="str">
        <f ca="1">_xlfn.XLOOKUP(RIGHT(AA267,2),Размеры!D:D,Размеры!A:A,"ERR",0)</f>
        <v>57</v>
      </c>
      <c r="T267" s="80">
        <f ca="1">VALUE(_xlfn.XLOOKUP($AA267,Строчный!$S:$S,Строчный!U:U,"ERR",0))</f>
        <v>2</v>
      </c>
      <c r="U267" s="14" t="s">
        <v>265</v>
      </c>
      <c r="V267" s="101" t="str">
        <f t="shared" ca="1" si="21"/>
        <v>Кепка FREDRIKSON арт. 3147 (темно-синий / серый)</v>
      </c>
      <c r="W267" s="100" t="str">
        <f t="shared" ca="1" si="22"/>
        <v>Кепка FREDRIKSON арт. 3147 (темно-синий / серый) {626/78}</v>
      </c>
      <c r="X267" s="18" t="str">
        <f t="shared" ca="1" si="23"/>
        <v>синий / серый</v>
      </c>
      <c r="Y267" s="18" t="str">
        <f t="shared" ca="1" si="24"/>
        <v>синий / серый</v>
      </c>
      <c r="Z267" s="117" t="s">
        <v>52</v>
      </c>
      <c r="AA267" s="73" t="str">
        <f ca="1"/>
        <v>95-006-16-57</v>
      </c>
      <c r="AB267" s="75" t="str">
        <f ca="1">VLOOKUP(C267,Группа!A:B,2,FALSE)</f>
        <v>Кепка</v>
      </c>
      <c r="AC267" s="97" t="str">
        <f ca="1">IFERROR(VLOOKUP(S267,Размеры!A:C,3,FALSE),"")</f>
        <v>57 M</v>
      </c>
      <c r="AD267" s="97" t="str">
        <f ca="1">VLOOKUP(I267,ЦветПолный!A:B,2,FALSE)</f>
        <v>16</v>
      </c>
      <c r="AE267" s="97" t="str">
        <f ca="1">IFERROR(VLOOKUP(S267,Размеры!A:D,4,FALSE),"")</f>
        <v>57</v>
      </c>
      <c r="AF267" s="97">
        <f ca="1">IF(LEFT(IFERROR(VLOOKUP(LOOKUP(2,1/SEARCH(B267,Товары!A:A),Товары!A:A),Товары!A:B,2,0),""),6)=MID(AA267,1,6),1,0)</f>
        <v>0</v>
      </c>
      <c r="AH267" s="97">
        <f ca="1">SUMIF(Группа!A:A,C267,Группа!C:C)</f>
        <v>1</v>
      </c>
      <c r="AI267" s="97">
        <f ca="1">SUMIF(Группа!B:B,AB267,Группа!C:C)</f>
        <v>1</v>
      </c>
      <c r="AJ267" s="97">
        <f ca="1">SUMIF(Формы!A:A,D267,Формы!B:B)</f>
        <v>1</v>
      </c>
      <c r="AK267" s="97">
        <f ca="1">SUMIF(Материал!A:A,K267,Материал!B:B)</f>
        <v>1</v>
      </c>
      <c r="AL267" s="97">
        <f ca="1">SUMIF(Размеры!A:A,S267,Размеры!E:E)</f>
        <v>1</v>
      </c>
      <c r="AM267" s="97">
        <f ca="1">SUMIF(Сезон!A:A,F267,Сезон!B:B)</f>
        <v>1</v>
      </c>
      <c r="AN267" s="97">
        <f ca="1">SUMIF(Состав!A:A,J267,Состав!B:B)</f>
        <v>0</v>
      </c>
      <c r="AO267" s="97">
        <f ca="1">VLOOKUP(I267,ЦветПолный!A:C,3,0)</f>
        <v>1</v>
      </c>
      <c r="AP267" s="97">
        <f>SUMIF(Цвет!A:A,Z267,Цвет!B:B)</f>
        <v>1</v>
      </c>
      <c r="AQ267" s="97">
        <f ca="1">_xlfn.XLOOKUP(L267,Пол!A:A,Пол!B:B,0,0)</f>
        <v>1</v>
      </c>
      <c r="AR267" s="97">
        <f ca="1">SUMIF(Бренд!A:A,G267,Бренд!B:B)</f>
        <v>1</v>
      </c>
      <c r="AS267" s="97">
        <f ca="1">SUMIF(Страна!A:A,M267,Страна!B:B)</f>
        <v>1</v>
      </c>
      <c r="AT267" s="64" t="e">
        <f ca="1">IF(VLOOKUP(W267,Товары!A:B,2,FALSE)=A267,"Есть в 1С","ERR")</f>
        <v>#N/A</v>
      </c>
      <c r="AU267" s="65" t="e">
        <f ca="1">IF(VLOOKUP(A267,Товары!B:B,1,FALSE)=A267,"Есть в 1С","ERR")</f>
        <v>#N/A</v>
      </c>
      <c r="AV267" s="96" t="e">
        <f ca="1">VLOOKUP(W267,Товары!A:B,2,FALSE)</f>
        <v>#N/A</v>
      </c>
      <c r="AW267" s="94" t="e">
        <f ca="1">VLOOKUP(W267,Товары!A:B,1,FALSE)</f>
        <v>#N/A</v>
      </c>
    </row>
    <row r="268" spans="1:49" x14ac:dyDescent="0.25">
      <c r="A268" s="110" t="str">
        <f t="shared" ca="1" si="20"/>
        <v>95-006-11</v>
      </c>
      <c r="B268" s="107" t="str">
        <f ca="1">_xlfn.LET(_xlpm.CAPS,0,_xlpm.Style,TRIM(_xlfn.XLOOKUP($A268,Строчный!$A:$A,Строчный!B:B,"ERR",0)),IF(_xlpm.CAPS=0,_xlpm.Style,LOWER(_xlpm.Style)))</f>
        <v>3147</v>
      </c>
      <c r="C268" s="81" t="str">
        <f ca="1">TRIM(PROPER(_xlfn.XLOOKUP($A268,Строчный!$A:$A,Строчный!C:C,"ERR",0)))</f>
        <v>Кепки</v>
      </c>
      <c r="D268" s="81" t="str">
        <f ca="1">_xlfn.LET(_xlpm.DATA,TRIM(_xlfn.XLOOKUP($A268,Строчный!$A:$A,Строчный!D:D,"ERR",0)),UPPER(MID(_xlpm.DATA,1,1))&amp;LOWER(MID(_xlpm.DATA,2,LEN(_xlpm.DATA)-1)))</f>
        <v>Кепка шестиклинка</v>
      </c>
      <c r="E268" s="81" t="str">
        <f ca="1">PROPER(TRIM(_xlfn.XLOOKUP($A268,Строчный!$A:$A,Строчный!E:E,"ERR",0)))</f>
        <v>Fredrikson</v>
      </c>
      <c r="F268" s="81" t="str">
        <f ca="1">LOWER(TRIM(_xlfn.XLOOKUP($A268,Строчный!$A:$A,Строчный!F:F,"ERR",0)))</f>
        <v>всесезон</v>
      </c>
      <c r="G268" s="81" t="str">
        <f ca="1">UPPER(TRIM(_xlfn.XLOOKUP($A268,Строчный!$A:$A,Строчный!G:G,"ERR",0)))</f>
        <v>FREDRIKSON</v>
      </c>
      <c r="H268" s="81" t="str">
        <f ca="1">LOWER(TRIM(_xlfn.XLOOKUP($A268,Строчный!$A:$A,Строчный!H:H,"ERR",0)))</f>
        <v>640/77</v>
      </c>
      <c r="I268" s="81" t="str">
        <f ca="1">LOWER(TRIM(_xlfn.XLOOKUP($A268,Строчный!$A:$A,Строчный!I:I,"ERR",0)))</f>
        <v>светло-серый / черный</v>
      </c>
      <c r="J268" s="81" t="str">
        <f ca="1">SUBSTITUTE(LOWER(TRIM(_xlfn.XLOOKUP($A268,Строчный!$A:$A,Строчный!J:J,"ERR",0))),"подклад","Подклад")</f>
        <v>80% шерсть - 20% полиамид / Подклад: 100% вискоза</v>
      </c>
      <c r="K268" s="81" t="str">
        <f ca="1">LOWER(TRIM(_xlfn.XLOOKUP($A268,Строчный!$A:$A,Строчный!K:K,"ERR",0)))</f>
        <v>шерстяные</v>
      </c>
      <c r="L268" s="81" t="str">
        <f ca="1">PROPER(TRIM(_xlfn.XLOOKUP($A268,Строчный!$A:$A,Строчный!L:L,"ERR",0)))</f>
        <v>Унисекс</v>
      </c>
      <c r="M268" s="113" t="str">
        <f ca="1">PROPER(TRIM(_xlfn.XLOOKUP($A268,Строчный!$A:$A,Строчный!M:M,"ERR",0)))</f>
        <v>Россия</v>
      </c>
      <c r="N268" s="81" t="str">
        <f ca="1">UPPER(TRIM(_xlfn.XLOOKUP($A268,Строчный!$A:$A,Строчный!O:O,"ERR",0)))</f>
        <v/>
      </c>
      <c r="O268" s="102" t="str">
        <f ca="1">PROPER(TRIM(_xlfn.XLOOKUP($A268,Строчный!$A:$A,Строчный!P:P,"ERR",0)))</f>
        <v/>
      </c>
      <c r="P268" s="81" t="str">
        <f ca="1">PROPER(TRIM(_xlfn.XLOOKUP($A268,Строчный!$A:$A,Строчный!R:R,"ERR",0)))</f>
        <v/>
      </c>
      <c r="Q268" s="90">
        <f ca="1">VALUE(_xlfn.XLOOKUP($A268,Строчный!$A:$A,Строчный!N:N,"ERR",0))</f>
        <v>975.8</v>
      </c>
      <c r="R268" s="89" t="str">
        <f ca="1">_xlfn.XLOOKUP($G268,Фабрика!A:A,Фабрика!B:B,"ERR",0)</f>
        <v>ООО "ФРЭДРИКСОН" Россия 192029, С-Петербург, пр. Обуховской обороны, д.86, лит М</v>
      </c>
      <c r="S268" s="80" t="str">
        <f ca="1">_xlfn.XLOOKUP(RIGHT(AA268,2),Размеры!D:D,Размеры!A:A,"ERR",0)</f>
        <v>61</v>
      </c>
      <c r="T268" s="80">
        <f ca="1">VALUE(_xlfn.XLOOKUP($AA268,Строчный!$S:$S,Строчный!U:U,"ERR",0))</f>
        <v>4</v>
      </c>
      <c r="U268" s="14" t="s">
        <v>265</v>
      </c>
      <c r="V268" s="101" t="str">
        <f t="shared" ca="1" si="21"/>
        <v>Кепка FREDRIKSON арт. 3147 (светло-серый / черный)</v>
      </c>
      <c r="W268" s="100" t="str">
        <f t="shared" ca="1" si="22"/>
        <v>Кепка FREDRIKSON арт. 3147 (светло-серый / черный) {640/77}</v>
      </c>
      <c r="X268" s="18" t="str">
        <f t="shared" ca="1" si="23"/>
        <v>серый / черный</v>
      </c>
      <c r="Y268" s="18" t="str">
        <f t="shared" ca="1" si="24"/>
        <v>серый / черный</v>
      </c>
      <c r="Z268" s="117" t="s">
        <v>52</v>
      </c>
      <c r="AA268" s="73" t="str">
        <f ca="1"/>
        <v>95-006-11-61</v>
      </c>
      <c r="AB268" s="75" t="str">
        <f ca="1">VLOOKUP(C268,Группа!A:B,2,FALSE)</f>
        <v>Кепка</v>
      </c>
      <c r="AC268" s="97" t="str">
        <f ca="1">IFERROR(VLOOKUP(S268,Размеры!A:C,3,FALSE),"")</f>
        <v>61 XL</v>
      </c>
      <c r="AD268" s="97" t="str">
        <f ca="1">VLOOKUP(I268,ЦветПолный!A:B,2,FALSE)</f>
        <v>11</v>
      </c>
      <c r="AE268" s="97" t="str">
        <f ca="1">IFERROR(VLOOKUP(S268,Размеры!A:D,4,FALSE),"")</f>
        <v>61</v>
      </c>
      <c r="AF268" s="97">
        <f ca="1">IF(LEFT(IFERROR(VLOOKUP(LOOKUP(2,1/SEARCH(B268,Товары!A:A),Товары!A:A),Товары!A:B,2,0),""),6)=MID(AA268,1,6),1,0)</f>
        <v>0</v>
      </c>
      <c r="AH268" s="97">
        <f ca="1">SUMIF(Группа!A:A,C268,Группа!C:C)</f>
        <v>1</v>
      </c>
      <c r="AI268" s="97">
        <f ca="1">SUMIF(Группа!B:B,AB268,Группа!C:C)</f>
        <v>1</v>
      </c>
      <c r="AJ268" s="97">
        <f ca="1">SUMIF(Формы!A:A,D268,Формы!B:B)</f>
        <v>1</v>
      </c>
      <c r="AK268" s="97">
        <f ca="1">SUMIF(Материал!A:A,K268,Материал!B:B)</f>
        <v>1</v>
      </c>
      <c r="AL268" s="97">
        <f ca="1">SUMIF(Размеры!A:A,S268,Размеры!E:E)</f>
        <v>1</v>
      </c>
      <c r="AM268" s="97">
        <f ca="1">SUMIF(Сезон!A:A,F268,Сезон!B:B)</f>
        <v>1</v>
      </c>
      <c r="AN268" s="97">
        <f ca="1">SUMIF(Состав!A:A,J268,Состав!B:B)</f>
        <v>0</v>
      </c>
      <c r="AO268" s="97">
        <f ca="1">VLOOKUP(I268,ЦветПолный!A:C,3,0)</f>
        <v>1</v>
      </c>
      <c r="AP268" s="97">
        <f>SUMIF(Цвет!A:A,Z268,Цвет!B:B)</f>
        <v>1</v>
      </c>
      <c r="AQ268" s="97">
        <f ca="1">_xlfn.XLOOKUP(L268,Пол!A:A,Пол!B:B,0,0)</f>
        <v>1</v>
      </c>
      <c r="AR268" s="97">
        <f ca="1">SUMIF(Бренд!A:A,G268,Бренд!B:B)</f>
        <v>1</v>
      </c>
      <c r="AS268" s="97">
        <f ca="1">SUMIF(Страна!A:A,M268,Страна!B:B)</f>
        <v>1</v>
      </c>
      <c r="AT268" s="64" t="e">
        <f ca="1">IF(VLOOKUP(W268,Товары!A:B,2,FALSE)=A268,"Есть в 1С","ERR")</f>
        <v>#N/A</v>
      </c>
      <c r="AU268" s="65" t="e">
        <f ca="1">IF(VLOOKUP(A268,Товары!B:B,1,FALSE)=A268,"Есть в 1С","ERR")</f>
        <v>#N/A</v>
      </c>
      <c r="AV268" s="96" t="e">
        <f ca="1">VLOOKUP(W268,Товары!A:B,2,FALSE)</f>
        <v>#N/A</v>
      </c>
      <c r="AW268" s="94" t="e">
        <f ca="1">VLOOKUP(W268,Товары!A:B,1,FALSE)</f>
        <v>#N/A</v>
      </c>
    </row>
    <row r="269" spans="1:49" x14ac:dyDescent="0.25">
      <c r="A269" s="110" t="str">
        <f t="shared" ca="1" si="20"/>
        <v>95-006-11</v>
      </c>
      <c r="B269" s="107" t="str">
        <f ca="1">_xlfn.LET(_xlpm.CAPS,0,_xlpm.Style,TRIM(_xlfn.XLOOKUP($A269,Строчный!$A:$A,Строчный!B:B,"ERR",0)),IF(_xlpm.CAPS=0,_xlpm.Style,LOWER(_xlpm.Style)))</f>
        <v>3147</v>
      </c>
      <c r="C269" s="81" t="str">
        <f ca="1">TRIM(PROPER(_xlfn.XLOOKUP($A269,Строчный!$A:$A,Строчный!C:C,"ERR",0)))</f>
        <v>Кепки</v>
      </c>
      <c r="D269" s="81" t="str">
        <f ca="1">_xlfn.LET(_xlpm.DATA,TRIM(_xlfn.XLOOKUP($A269,Строчный!$A:$A,Строчный!D:D,"ERR",0)),UPPER(MID(_xlpm.DATA,1,1))&amp;LOWER(MID(_xlpm.DATA,2,LEN(_xlpm.DATA)-1)))</f>
        <v>Кепка шестиклинка</v>
      </c>
      <c r="E269" s="81" t="str">
        <f ca="1">PROPER(TRIM(_xlfn.XLOOKUP($A269,Строчный!$A:$A,Строчный!E:E,"ERR",0)))</f>
        <v>Fredrikson</v>
      </c>
      <c r="F269" s="81" t="str">
        <f ca="1">LOWER(TRIM(_xlfn.XLOOKUP($A269,Строчный!$A:$A,Строчный!F:F,"ERR",0)))</f>
        <v>всесезон</v>
      </c>
      <c r="G269" s="81" t="str">
        <f ca="1">UPPER(TRIM(_xlfn.XLOOKUP($A269,Строчный!$A:$A,Строчный!G:G,"ERR",0)))</f>
        <v>FREDRIKSON</v>
      </c>
      <c r="H269" s="81" t="str">
        <f ca="1">LOWER(TRIM(_xlfn.XLOOKUP($A269,Строчный!$A:$A,Строчный!H:H,"ERR",0)))</f>
        <v>640/77</v>
      </c>
      <c r="I269" s="81" t="str">
        <f ca="1">LOWER(TRIM(_xlfn.XLOOKUP($A269,Строчный!$A:$A,Строчный!I:I,"ERR",0)))</f>
        <v>светло-серый / черный</v>
      </c>
      <c r="J269" s="81" t="str">
        <f ca="1">SUBSTITUTE(LOWER(TRIM(_xlfn.XLOOKUP($A269,Строчный!$A:$A,Строчный!J:J,"ERR",0))),"подклад","Подклад")</f>
        <v>80% шерсть - 20% полиамид / Подклад: 100% вискоза</v>
      </c>
      <c r="K269" s="81" t="str">
        <f ca="1">LOWER(TRIM(_xlfn.XLOOKUP($A269,Строчный!$A:$A,Строчный!K:K,"ERR",0)))</f>
        <v>шерстяные</v>
      </c>
      <c r="L269" s="81" t="str">
        <f ca="1">PROPER(TRIM(_xlfn.XLOOKUP($A269,Строчный!$A:$A,Строчный!L:L,"ERR",0)))</f>
        <v>Унисекс</v>
      </c>
      <c r="M269" s="113" t="str">
        <f ca="1">PROPER(TRIM(_xlfn.XLOOKUP($A269,Строчный!$A:$A,Строчный!M:M,"ERR",0)))</f>
        <v>Россия</v>
      </c>
      <c r="N269" s="81" t="str">
        <f ca="1">UPPER(TRIM(_xlfn.XLOOKUP($A269,Строчный!$A:$A,Строчный!O:O,"ERR",0)))</f>
        <v/>
      </c>
      <c r="O269" s="102" t="str">
        <f ca="1">PROPER(TRIM(_xlfn.XLOOKUP($A269,Строчный!$A:$A,Строчный!P:P,"ERR",0)))</f>
        <v/>
      </c>
      <c r="P269" s="81" t="str">
        <f ca="1">PROPER(TRIM(_xlfn.XLOOKUP($A269,Строчный!$A:$A,Строчный!R:R,"ERR",0)))</f>
        <v/>
      </c>
      <c r="Q269" s="90">
        <f ca="1">VALUE(_xlfn.XLOOKUP($A269,Строчный!$A:$A,Строчный!N:N,"ERR",0))</f>
        <v>975.8</v>
      </c>
      <c r="R269" s="89" t="str">
        <f ca="1">_xlfn.XLOOKUP($G269,Фабрика!A:A,Фабрика!B:B,"ERR",0)</f>
        <v>ООО "ФРЭДРИКСОН" Россия 192029, С-Петербург, пр. Обуховской обороны, д.86, лит М</v>
      </c>
      <c r="S269" s="80" t="str">
        <f ca="1">_xlfn.XLOOKUP(RIGHT(AA269,2),Размеры!D:D,Размеры!A:A,"ERR",0)</f>
        <v>60</v>
      </c>
      <c r="T269" s="80">
        <f ca="1">VALUE(_xlfn.XLOOKUP($AA269,Строчный!$S:$S,Строчный!U:U,"ERR",0))</f>
        <v>9</v>
      </c>
      <c r="U269" s="14" t="s">
        <v>265</v>
      </c>
      <c r="V269" s="101" t="str">
        <f t="shared" ca="1" si="21"/>
        <v>Кепка FREDRIKSON арт. 3147 (светло-серый / черный)</v>
      </c>
      <c r="W269" s="100" t="str">
        <f t="shared" ca="1" si="22"/>
        <v>Кепка FREDRIKSON арт. 3147 (светло-серый / черный) {640/77}</v>
      </c>
      <c r="X269" s="18" t="str">
        <f t="shared" ca="1" si="23"/>
        <v>серый / черный</v>
      </c>
      <c r="Y269" s="18" t="str">
        <f t="shared" ca="1" si="24"/>
        <v>серый / черный</v>
      </c>
      <c r="Z269" s="117" t="s">
        <v>52</v>
      </c>
      <c r="AA269" s="73" t="str">
        <f ca="1"/>
        <v>95-006-11-60</v>
      </c>
      <c r="AB269" s="75" t="str">
        <f ca="1">VLOOKUP(C269,Группа!A:B,2,FALSE)</f>
        <v>Кепка</v>
      </c>
      <c r="AC269" s="97" t="str">
        <f ca="1">IFERROR(VLOOKUP(S269,Размеры!A:C,3,FALSE),"")</f>
        <v>60 L/XL</v>
      </c>
      <c r="AD269" s="97" t="str">
        <f ca="1">VLOOKUP(I269,ЦветПолный!A:B,2,FALSE)</f>
        <v>11</v>
      </c>
      <c r="AE269" s="97" t="str">
        <f ca="1">IFERROR(VLOOKUP(S269,Размеры!A:D,4,FALSE),"")</f>
        <v>60</v>
      </c>
      <c r="AF269" s="97">
        <f ca="1">IF(LEFT(IFERROR(VLOOKUP(LOOKUP(2,1/SEARCH(B269,Товары!A:A),Товары!A:A),Товары!A:B,2,0),""),6)=MID(AA269,1,6),1,0)</f>
        <v>0</v>
      </c>
      <c r="AH269" s="97">
        <f ca="1">SUMIF(Группа!A:A,C269,Группа!C:C)</f>
        <v>1</v>
      </c>
      <c r="AI269" s="97">
        <f ca="1">SUMIF(Группа!B:B,AB269,Группа!C:C)</f>
        <v>1</v>
      </c>
      <c r="AJ269" s="97">
        <f ca="1">SUMIF(Формы!A:A,D269,Формы!B:B)</f>
        <v>1</v>
      </c>
      <c r="AK269" s="97">
        <f ca="1">SUMIF(Материал!A:A,K269,Материал!B:B)</f>
        <v>1</v>
      </c>
      <c r="AL269" s="97">
        <f ca="1">SUMIF(Размеры!A:A,S269,Размеры!E:E)</f>
        <v>1</v>
      </c>
      <c r="AM269" s="97">
        <f ca="1">SUMIF(Сезон!A:A,F269,Сезон!B:B)</f>
        <v>1</v>
      </c>
      <c r="AN269" s="97">
        <f ca="1">SUMIF(Состав!A:A,J269,Состав!B:B)</f>
        <v>0</v>
      </c>
      <c r="AO269" s="97">
        <f ca="1">VLOOKUP(I269,ЦветПолный!A:C,3,0)</f>
        <v>1</v>
      </c>
      <c r="AP269" s="97">
        <f>SUMIF(Цвет!A:A,Z269,Цвет!B:B)</f>
        <v>1</v>
      </c>
      <c r="AQ269" s="97">
        <f ca="1">_xlfn.XLOOKUP(L269,Пол!A:A,Пол!B:B,0,0)</f>
        <v>1</v>
      </c>
      <c r="AR269" s="97">
        <f ca="1">SUMIF(Бренд!A:A,G269,Бренд!B:B)</f>
        <v>1</v>
      </c>
      <c r="AS269" s="97">
        <f ca="1">SUMIF(Страна!A:A,M269,Страна!B:B)</f>
        <v>1</v>
      </c>
      <c r="AT269" s="64" t="e">
        <f ca="1">IF(VLOOKUP(W269,Товары!A:B,2,FALSE)=A269,"Есть в 1С","ERR")</f>
        <v>#N/A</v>
      </c>
      <c r="AU269" s="65" t="e">
        <f ca="1">IF(VLOOKUP(A269,Товары!B:B,1,FALSE)=A269,"Есть в 1С","ERR")</f>
        <v>#N/A</v>
      </c>
      <c r="AV269" s="96" t="e">
        <f ca="1">VLOOKUP(W269,Товары!A:B,2,FALSE)</f>
        <v>#N/A</v>
      </c>
      <c r="AW269" s="94" t="e">
        <f ca="1">VLOOKUP(W269,Товары!A:B,1,FALSE)</f>
        <v>#N/A</v>
      </c>
    </row>
    <row r="270" spans="1:49" x14ac:dyDescent="0.25">
      <c r="A270" s="110" t="str">
        <f t="shared" ca="1" si="20"/>
        <v>95-006-11</v>
      </c>
      <c r="B270" s="107" t="str">
        <f ca="1">_xlfn.LET(_xlpm.CAPS,0,_xlpm.Style,TRIM(_xlfn.XLOOKUP($A270,Строчный!$A:$A,Строчный!B:B,"ERR",0)),IF(_xlpm.CAPS=0,_xlpm.Style,LOWER(_xlpm.Style)))</f>
        <v>3147</v>
      </c>
      <c r="C270" s="81" t="str">
        <f ca="1">TRIM(PROPER(_xlfn.XLOOKUP($A270,Строчный!$A:$A,Строчный!C:C,"ERR",0)))</f>
        <v>Кепки</v>
      </c>
      <c r="D270" s="81" t="str">
        <f ca="1">_xlfn.LET(_xlpm.DATA,TRIM(_xlfn.XLOOKUP($A270,Строчный!$A:$A,Строчный!D:D,"ERR",0)),UPPER(MID(_xlpm.DATA,1,1))&amp;LOWER(MID(_xlpm.DATA,2,LEN(_xlpm.DATA)-1)))</f>
        <v>Кепка шестиклинка</v>
      </c>
      <c r="E270" s="81" t="str">
        <f ca="1">PROPER(TRIM(_xlfn.XLOOKUP($A270,Строчный!$A:$A,Строчный!E:E,"ERR",0)))</f>
        <v>Fredrikson</v>
      </c>
      <c r="F270" s="81" t="str">
        <f ca="1">LOWER(TRIM(_xlfn.XLOOKUP($A270,Строчный!$A:$A,Строчный!F:F,"ERR",0)))</f>
        <v>всесезон</v>
      </c>
      <c r="G270" s="81" t="str">
        <f ca="1">UPPER(TRIM(_xlfn.XLOOKUP($A270,Строчный!$A:$A,Строчный!G:G,"ERR",0)))</f>
        <v>FREDRIKSON</v>
      </c>
      <c r="H270" s="81" t="str">
        <f ca="1">LOWER(TRIM(_xlfn.XLOOKUP($A270,Строчный!$A:$A,Строчный!H:H,"ERR",0)))</f>
        <v>640/77</v>
      </c>
      <c r="I270" s="81" t="str">
        <f ca="1">LOWER(TRIM(_xlfn.XLOOKUP($A270,Строчный!$A:$A,Строчный!I:I,"ERR",0)))</f>
        <v>светло-серый / черный</v>
      </c>
      <c r="J270" s="81" t="str">
        <f ca="1">SUBSTITUTE(LOWER(TRIM(_xlfn.XLOOKUP($A270,Строчный!$A:$A,Строчный!J:J,"ERR",0))),"подклад","Подклад")</f>
        <v>80% шерсть - 20% полиамид / Подклад: 100% вискоза</v>
      </c>
      <c r="K270" s="81" t="str">
        <f ca="1">LOWER(TRIM(_xlfn.XLOOKUP($A270,Строчный!$A:$A,Строчный!K:K,"ERR",0)))</f>
        <v>шерстяные</v>
      </c>
      <c r="L270" s="81" t="str">
        <f ca="1">PROPER(TRIM(_xlfn.XLOOKUP($A270,Строчный!$A:$A,Строчный!L:L,"ERR",0)))</f>
        <v>Унисекс</v>
      </c>
      <c r="M270" s="113" t="str">
        <f ca="1">PROPER(TRIM(_xlfn.XLOOKUP($A270,Строчный!$A:$A,Строчный!M:M,"ERR",0)))</f>
        <v>Россия</v>
      </c>
      <c r="N270" s="81" t="str">
        <f ca="1">UPPER(TRIM(_xlfn.XLOOKUP($A270,Строчный!$A:$A,Строчный!O:O,"ERR",0)))</f>
        <v/>
      </c>
      <c r="O270" s="102" t="str">
        <f ca="1">PROPER(TRIM(_xlfn.XLOOKUP($A270,Строчный!$A:$A,Строчный!P:P,"ERR",0)))</f>
        <v/>
      </c>
      <c r="P270" s="81" t="str">
        <f ca="1">PROPER(TRIM(_xlfn.XLOOKUP($A270,Строчный!$A:$A,Строчный!R:R,"ERR",0)))</f>
        <v/>
      </c>
      <c r="Q270" s="90">
        <f ca="1">VALUE(_xlfn.XLOOKUP($A270,Строчный!$A:$A,Строчный!N:N,"ERR",0))</f>
        <v>975.8</v>
      </c>
      <c r="R270" s="89" t="str">
        <f ca="1">_xlfn.XLOOKUP($G270,Фабрика!A:A,Фабрика!B:B,"ERR",0)</f>
        <v>ООО "ФРЭДРИКСОН" Россия 192029, С-Петербург, пр. Обуховской обороны, д.86, лит М</v>
      </c>
      <c r="S270" s="80" t="str">
        <f ca="1">_xlfn.XLOOKUP(RIGHT(AA270,2),Размеры!D:D,Размеры!A:A,"ERR",0)</f>
        <v>59</v>
      </c>
      <c r="T270" s="80">
        <f ca="1">VALUE(_xlfn.XLOOKUP($AA270,Строчный!$S:$S,Строчный!U:U,"ERR",0))</f>
        <v>12</v>
      </c>
      <c r="U270" s="14" t="s">
        <v>265</v>
      </c>
      <c r="V270" s="101" t="str">
        <f t="shared" ca="1" si="21"/>
        <v>Кепка FREDRIKSON арт. 3147 (светло-серый / черный)</v>
      </c>
      <c r="W270" s="100" t="str">
        <f t="shared" ca="1" si="22"/>
        <v>Кепка FREDRIKSON арт. 3147 (светло-серый / черный) {640/77}</v>
      </c>
      <c r="X270" s="18" t="str">
        <f t="shared" ca="1" si="23"/>
        <v>серый / черный</v>
      </c>
      <c r="Y270" s="18" t="str">
        <f t="shared" ca="1" si="24"/>
        <v>серый / черный</v>
      </c>
      <c r="Z270" s="117" t="s">
        <v>27</v>
      </c>
      <c r="AA270" s="73" t="str">
        <f ca="1"/>
        <v>95-006-11-59</v>
      </c>
      <c r="AB270" s="75" t="str">
        <f ca="1">VLOOKUP(C270,Группа!A:B,2,FALSE)</f>
        <v>Кепка</v>
      </c>
      <c r="AC270" s="97" t="str">
        <f ca="1">IFERROR(VLOOKUP(S270,Размеры!A:C,3,FALSE),"")</f>
        <v>59 L</v>
      </c>
      <c r="AD270" s="97" t="str">
        <f ca="1">VLOOKUP(I270,ЦветПолный!A:B,2,FALSE)</f>
        <v>11</v>
      </c>
      <c r="AE270" s="97" t="str">
        <f ca="1">IFERROR(VLOOKUP(S270,Размеры!A:D,4,FALSE),"")</f>
        <v>59</v>
      </c>
      <c r="AF270" s="97">
        <f ca="1">IF(LEFT(IFERROR(VLOOKUP(LOOKUP(2,1/SEARCH(B270,Товары!A:A),Товары!A:A),Товары!A:B,2,0),""),6)=MID(AA270,1,6),1,0)</f>
        <v>0</v>
      </c>
      <c r="AH270" s="97">
        <f ca="1">SUMIF(Группа!A:A,C270,Группа!C:C)</f>
        <v>1</v>
      </c>
      <c r="AI270" s="97">
        <f ca="1">SUMIF(Группа!B:B,AB270,Группа!C:C)</f>
        <v>1</v>
      </c>
      <c r="AJ270" s="97">
        <f ca="1">SUMIF(Формы!A:A,D270,Формы!B:B)</f>
        <v>1</v>
      </c>
      <c r="AK270" s="97">
        <f ca="1">SUMIF(Материал!A:A,K270,Материал!B:B)</f>
        <v>1</v>
      </c>
      <c r="AL270" s="97">
        <f ca="1">SUMIF(Размеры!A:A,S270,Размеры!E:E)</f>
        <v>1</v>
      </c>
      <c r="AM270" s="97">
        <f ca="1">SUMIF(Сезон!A:A,F270,Сезон!B:B)</f>
        <v>1</v>
      </c>
      <c r="AN270" s="97">
        <f ca="1">SUMIF(Состав!A:A,J270,Состав!B:B)</f>
        <v>0</v>
      </c>
      <c r="AO270" s="97">
        <f ca="1">VLOOKUP(I270,ЦветПолный!A:C,3,0)</f>
        <v>1</v>
      </c>
      <c r="AP270" s="97">
        <f>SUMIF(Цвет!A:A,Z270,Цвет!B:B)</f>
        <v>1</v>
      </c>
      <c r="AQ270" s="97">
        <f ca="1">_xlfn.XLOOKUP(L270,Пол!A:A,Пол!B:B,0,0)</f>
        <v>1</v>
      </c>
      <c r="AR270" s="97">
        <f ca="1">SUMIF(Бренд!A:A,G270,Бренд!B:B)</f>
        <v>1</v>
      </c>
      <c r="AS270" s="97">
        <f ca="1">SUMIF(Страна!A:A,M270,Страна!B:B)</f>
        <v>1</v>
      </c>
      <c r="AT270" s="64" t="e">
        <f ca="1">IF(VLOOKUP(W270,Товары!A:B,2,FALSE)=A270,"Есть в 1С","ERR")</f>
        <v>#N/A</v>
      </c>
      <c r="AU270" s="65" t="e">
        <f ca="1">IF(VLOOKUP(A270,Товары!B:B,1,FALSE)=A270,"Есть в 1С","ERR")</f>
        <v>#N/A</v>
      </c>
      <c r="AV270" s="96" t="e">
        <f ca="1">VLOOKUP(W270,Товары!A:B,2,FALSE)</f>
        <v>#N/A</v>
      </c>
      <c r="AW270" s="94" t="e">
        <f ca="1">VLOOKUP(W270,Товары!A:B,1,FALSE)</f>
        <v>#N/A</v>
      </c>
    </row>
    <row r="271" spans="1:49" x14ac:dyDescent="0.25">
      <c r="A271" s="110" t="str">
        <f t="shared" ca="1" si="20"/>
        <v>95-006-11</v>
      </c>
      <c r="B271" s="107" t="str">
        <f ca="1">_xlfn.LET(_xlpm.CAPS,0,_xlpm.Style,TRIM(_xlfn.XLOOKUP($A271,Строчный!$A:$A,Строчный!B:B,"ERR",0)),IF(_xlpm.CAPS=0,_xlpm.Style,LOWER(_xlpm.Style)))</f>
        <v>3147</v>
      </c>
      <c r="C271" s="81" t="str">
        <f ca="1">TRIM(PROPER(_xlfn.XLOOKUP($A271,Строчный!$A:$A,Строчный!C:C,"ERR",0)))</f>
        <v>Кепки</v>
      </c>
      <c r="D271" s="81" t="str">
        <f ca="1">_xlfn.LET(_xlpm.DATA,TRIM(_xlfn.XLOOKUP($A271,Строчный!$A:$A,Строчный!D:D,"ERR",0)),UPPER(MID(_xlpm.DATA,1,1))&amp;LOWER(MID(_xlpm.DATA,2,LEN(_xlpm.DATA)-1)))</f>
        <v>Кепка шестиклинка</v>
      </c>
      <c r="E271" s="81" t="str">
        <f ca="1">PROPER(TRIM(_xlfn.XLOOKUP($A271,Строчный!$A:$A,Строчный!E:E,"ERR",0)))</f>
        <v>Fredrikson</v>
      </c>
      <c r="F271" s="81" t="str">
        <f ca="1">LOWER(TRIM(_xlfn.XLOOKUP($A271,Строчный!$A:$A,Строчный!F:F,"ERR",0)))</f>
        <v>всесезон</v>
      </c>
      <c r="G271" s="81" t="str">
        <f ca="1">UPPER(TRIM(_xlfn.XLOOKUP($A271,Строчный!$A:$A,Строчный!G:G,"ERR",0)))</f>
        <v>FREDRIKSON</v>
      </c>
      <c r="H271" s="81" t="str">
        <f ca="1">LOWER(TRIM(_xlfn.XLOOKUP($A271,Строчный!$A:$A,Строчный!H:H,"ERR",0)))</f>
        <v>640/77</v>
      </c>
      <c r="I271" s="81" t="str">
        <f ca="1">LOWER(TRIM(_xlfn.XLOOKUP($A271,Строчный!$A:$A,Строчный!I:I,"ERR",0)))</f>
        <v>светло-серый / черный</v>
      </c>
      <c r="J271" s="81" t="str">
        <f ca="1">SUBSTITUTE(LOWER(TRIM(_xlfn.XLOOKUP($A271,Строчный!$A:$A,Строчный!J:J,"ERR",0))),"подклад","Подклад")</f>
        <v>80% шерсть - 20% полиамид / Подклад: 100% вискоза</v>
      </c>
      <c r="K271" s="81" t="str">
        <f ca="1">LOWER(TRIM(_xlfn.XLOOKUP($A271,Строчный!$A:$A,Строчный!K:K,"ERR",0)))</f>
        <v>шерстяные</v>
      </c>
      <c r="L271" s="81" t="str">
        <f ca="1">PROPER(TRIM(_xlfn.XLOOKUP($A271,Строчный!$A:$A,Строчный!L:L,"ERR",0)))</f>
        <v>Унисекс</v>
      </c>
      <c r="M271" s="113" t="str">
        <f ca="1">PROPER(TRIM(_xlfn.XLOOKUP($A271,Строчный!$A:$A,Строчный!M:M,"ERR",0)))</f>
        <v>Россия</v>
      </c>
      <c r="N271" s="81" t="str">
        <f ca="1">UPPER(TRIM(_xlfn.XLOOKUP($A271,Строчный!$A:$A,Строчный!O:O,"ERR",0)))</f>
        <v/>
      </c>
      <c r="O271" s="102" t="str">
        <f ca="1">PROPER(TRIM(_xlfn.XLOOKUP($A271,Строчный!$A:$A,Строчный!P:P,"ERR",0)))</f>
        <v/>
      </c>
      <c r="P271" s="81" t="str">
        <f ca="1">PROPER(TRIM(_xlfn.XLOOKUP($A271,Строчный!$A:$A,Строчный!R:R,"ERR",0)))</f>
        <v/>
      </c>
      <c r="Q271" s="90">
        <f ca="1">VALUE(_xlfn.XLOOKUP($A271,Строчный!$A:$A,Строчный!N:N,"ERR",0))</f>
        <v>975.8</v>
      </c>
      <c r="R271" s="89" t="str">
        <f ca="1">_xlfn.XLOOKUP($G271,Фабрика!A:A,Фабрика!B:B,"ERR",0)</f>
        <v>ООО "ФРЭДРИКСОН" Россия 192029, С-Петербург, пр. Обуховской обороны, д.86, лит М</v>
      </c>
      <c r="S271" s="80" t="str">
        <f ca="1">_xlfn.XLOOKUP(RIGHT(AA271,2),Размеры!D:D,Размеры!A:A,"ERR",0)</f>
        <v>58</v>
      </c>
      <c r="T271" s="80">
        <f ca="1">VALUE(_xlfn.XLOOKUP($AA271,Строчный!$S:$S,Строчный!U:U,"ERR",0))</f>
        <v>9</v>
      </c>
      <c r="U271" s="14" t="s">
        <v>265</v>
      </c>
      <c r="V271" s="101" t="str">
        <f t="shared" ca="1" si="21"/>
        <v>Кепка FREDRIKSON арт. 3147 (светло-серый / черный)</v>
      </c>
      <c r="W271" s="100" t="str">
        <f t="shared" ca="1" si="22"/>
        <v>Кепка FREDRIKSON арт. 3147 (светло-серый / черный) {640/77}</v>
      </c>
      <c r="X271" s="18" t="str">
        <f t="shared" ca="1" si="23"/>
        <v>серый / черный</v>
      </c>
      <c r="Y271" s="18" t="str">
        <f t="shared" ca="1" si="24"/>
        <v>серый / черный</v>
      </c>
      <c r="Z271" s="117" t="s">
        <v>27</v>
      </c>
      <c r="AA271" s="73" t="str">
        <f ca="1"/>
        <v>95-006-11-58</v>
      </c>
      <c r="AB271" s="75" t="str">
        <f ca="1">VLOOKUP(C271,Группа!A:B,2,FALSE)</f>
        <v>Кепка</v>
      </c>
      <c r="AC271" s="97" t="str">
        <f ca="1">IFERROR(VLOOKUP(S271,Размеры!A:C,3,FALSE),"")</f>
        <v>58 M/L</v>
      </c>
      <c r="AD271" s="97" t="str">
        <f ca="1">VLOOKUP(I271,ЦветПолный!A:B,2,FALSE)</f>
        <v>11</v>
      </c>
      <c r="AE271" s="97" t="str">
        <f ca="1">IFERROR(VLOOKUP(S271,Размеры!A:D,4,FALSE),"")</f>
        <v>58</v>
      </c>
      <c r="AF271" s="97">
        <f ca="1">IF(LEFT(IFERROR(VLOOKUP(LOOKUP(2,1/SEARCH(B271,Товары!A:A),Товары!A:A),Товары!A:B,2,0),""),6)=MID(AA271,1,6),1,0)</f>
        <v>0</v>
      </c>
      <c r="AH271" s="97">
        <f ca="1">SUMIF(Группа!A:A,C271,Группа!C:C)</f>
        <v>1</v>
      </c>
      <c r="AI271" s="97">
        <f ca="1">SUMIF(Группа!B:B,AB271,Группа!C:C)</f>
        <v>1</v>
      </c>
      <c r="AJ271" s="97">
        <f ca="1">SUMIF(Формы!A:A,D271,Формы!B:B)</f>
        <v>1</v>
      </c>
      <c r="AK271" s="97">
        <f ca="1">SUMIF(Материал!A:A,K271,Материал!B:B)</f>
        <v>1</v>
      </c>
      <c r="AL271" s="97">
        <f ca="1">SUMIF(Размеры!A:A,S271,Размеры!E:E)</f>
        <v>1</v>
      </c>
      <c r="AM271" s="97">
        <f ca="1">SUMIF(Сезон!A:A,F271,Сезон!B:B)</f>
        <v>1</v>
      </c>
      <c r="AN271" s="97">
        <f ca="1">SUMIF(Состав!A:A,J271,Состав!B:B)</f>
        <v>0</v>
      </c>
      <c r="AO271" s="97">
        <f ca="1">VLOOKUP(I271,ЦветПолный!A:C,3,0)</f>
        <v>1</v>
      </c>
      <c r="AP271" s="97">
        <f>SUMIF(Цвет!A:A,Z271,Цвет!B:B)</f>
        <v>1</v>
      </c>
      <c r="AQ271" s="97">
        <f ca="1">_xlfn.XLOOKUP(L271,Пол!A:A,Пол!B:B,0,0)</f>
        <v>1</v>
      </c>
      <c r="AR271" s="97">
        <f ca="1">SUMIF(Бренд!A:A,G271,Бренд!B:B)</f>
        <v>1</v>
      </c>
      <c r="AS271" s="97">
        <f ca="1">SUMIF(Страна!A:A,M271,Страна!B:B)</f>
        <v>1</v>
      </c>
      <c r="AT271" s="64" t="e">
        <f ca="1">IF(VLOOKUP(W271,Товары!A:B,2,FALSE)=A271,"Есть в 1С","ERR")</f>
        <v>#N/A</v>
      </c>
      <c r="AU271" s="65" t="e">
        <f ca="1">IF(VLOOKUP(A271,Товары!B:B,1,FALSE)=A271,"Есть в 1С","ERR")</f>
        <v>#N/A</v>
      </c>
      <c r="AV271" s="96" t="e">
        <f ca="1">VLOOKUP(W271,Товары!A:B,2,FALSE)</f>
        <v>#N/A</v>
      </c>
      <c r="AW271" s="94" t="e">
        <f ca="1">VLOOKUP(W271,Товары!A:B,1,FALSE)</f>
        <v>#N/A</v>
      </c>
    </row>
    <row r="272" spans="1:49" x14ac:dyDescent="0.25">
      <c r="A272" s="110" t="str">
        <f t="shared" ca="1" si="20"/>
        <v>95-006-11</v>
      </c>
      <c r="B272" s="107" t="str">
        <f ca="1">_xlfn.LET(_xlpm.CAPS,0,_xlpm.Style,TRIM(_xlfn.XLOOKUP($A272,Строчный!$A:$A,Строчный!B:B,"ERR",0)),IF(_xlpm.CAPS=0,_xlpm.Style,LOWER(_xlpm.Style)))</f>
        <v>3147</v>
      </c>
      <c r="C272" s="81" t="str">
        <f ca="1">TRIM(PROPER(_xlfn.XLOOKUP($A272,Строчный!$A:$A,Строчный!C:C,"ERR",0)))</f>
        <v>Кепки</v>
      </c>
      <c r="D272" s="81" t="str">
        <f ca="1">_xlfn.LET(_xlpm.DATA,TRIM(_xlfn.XLOOKUP($A272,Строчный!$A:$A,Строчный!D:D,"ERR",0)),UPPER(MID(_xlpm.DATA,1,1))&amp;LOWER(MID(_xlpm.DATA,2,LEN(_xlpm.DATA)-1)))</f>
        <v>Кепка шестиклинка</v>
      </c>
      <c r="E272" s="81" t="str">
        <f ca="1">PROPER(TRIM(_xlfn.XLOOKUP($A272,Строчный!$A:$A,Строчный!E:E,"ERR",0)))</f>
        <v>Fredrikson</v>
      </c>
      <c r="F272" s="81" t="str">
        <f ca="1">LOWER(TRIM(_xlfn.XLOOKUP($A272,Строчный!$A:$A,Строчный!F:F,"ERR",0)))</f>
        <v>всесезон</v>
      </c>
      <c r="G272" s="81" t="str">
        <f ca="1">UPPER(TRIM(_xlfn.XLOOKUP($A272,Строчный!$A:$A,Строчный!G:G,"ERR",0)))</f>
        <v>FREDRIKSON</v>
      </c>
      <c r="H272" s="81" t="str">
        <f ca="1">LOWER(TRIM(_xlfn.XLOOKUP($A272,Строчный!$A:$A,Строчный!H:H,"ERR",0)))</f>
        <v>640/77</v>
      </c>
      <c r="I272" s="81" t="str">
        <f ca="1">LOWER(TRIM(_xlfn.XLOOKUP($A272,Строчный!$A:$A,Строчный!I:I,"ERR",0)))</f>
        <v>светло-серый / черный</v>
      </c>
      <c r="J272" s="81" t="str">
        <f ca="1">SUBSTITUTE(LOWER(TRIM(_xlfn.XLOOKUP($A272,Строчный!$A:$A,Строчный!J:J,"ERR",0))),"подклад","Подклад")</f>
        <v>80% шерсть - 20% полиамид / Подклад: 100% вискоза</v>
      </c>
      <c r="K272" s="81" t="str">
        <f ca="1">LOWER(TRIM(_xlfn.XLOOKUP($A272,Строчный!$A:$A,Строчный!K:K,"ERR",0)))</f>
        <v>шерстяные</v>
      </c>
      <c r="L272" s="81" t="str">
        <f ca="1">PROPER(TRIM(_xlfn.XLOOKUP($A272,Строчный!$A:$A,Строчный!L:L,"ERR",0)))</f>
        <v>Унисекс</v>
      </c>
      <c r="M272" s="113" t="str">
        <f ca="1">PROPER(TRIM(_xlfn.XLOOKUP($A272,Строчный!$A:$A,Строчный!M:M,"ERR",0)))</f>
        <v>Россия</v>
      </c>
      <c r="N272" s="81" t="str">
        <f ca="1">UPPER(TRIM(_xlfn.XLOOKUP($A272,Строчный!$A:$A,Строчный!O:O,"ERR",0)))</f>
        <v/>
      </c>
      <c r="O272" s="102" t="str">
        <f ca="1">PROPER(TRIM(_xlfn.XLOOKUP($A272,Строчный!$A:$A,Строчный!P:P,"ERR",0)))</f>
        <v/>
      </c>
      <c r="P272" s="81" t="str">
        <f ca="1">PROPER(TRIM(_xlfn.XLOOKUP($A272,Строчный!$A:$A,Строчный!R:R,"ERR",0)))</f>
        <v/>
      </c>
      <c r="Q272" s="90">
        <f ca="1">VALUE(_xlfn.XLOOKUP($A272,Строчный!$A:$A,Строчный!N:N,"ERR",0))</f>
        <v>975.8</v>
      </c>
      <c r="R272" s="89" t="str">
        <f ca="1">_xlfn.XLOOKUP($G272,Фабрика!A:A,Фабрика!B:B,"ERR",0)</f>
        <v>ООО "ФРЭДРИКСОН" Россия 192029, С-Петербург, пр. Обуховской обороны, д.86, лит М</v>
      </c>
      <c r="S272" s="80" t="str">
        <f ca="1">_xlfn.XLOOKUP(RIGHT(AA272,2),Размеры!D:D,Размеры!A:A,"ERR",0)</f>
        <v>57</v>
      </c>
      <c r="T272" s="80">
        <f ca="1">VALUE(_xlfn.XLOOKUP($AA272,Строчный!$S:$S,Строчный!U:U,"ERR",0))</f>
        <v>6</v>
      </c>
      <c r="U272" s="14" t="s">
        <v>265</v>
      </c>
      <c r="V272" s="101" t="str">
        <f t="shared" ca="1" si="21"/>
        <v>Кепка FREDRIKSON арт. 3147 (светло-серый / черный)</v>
      </c>
      <c r="W272" s="100" t="str">
        <f t="shared" ca="1" si="22"/>
        <v>Кепка FREDRIKSON арт. 3147 (светло-серый / черный) {640/77}</v>
      </c>
      <c r="X272" s="18" t="str">
        <f t="shared" ca="1" si="23"/>
        <v>серый / черный</v>
      </c>
      <c r="Y272" s="18" t="str">
        <f t="shared" ca="1" si="24"/>
        <v>серый / черный</v>
      </c>
      <c r="Z272" s="117" t="s">
        <v>27</v>
      </c>
      <c r="AA272" s="73" t="str">
        <f ca="1"/>
        <v>95-006-11-57</v>
      </c>
      <c r="AB272" s="75" t="str">
        <f ca="1">VLOOKUP(C272,Группа!A:B,2,FALSE)</f>
        <v>Кепка</v>
      </c>
      <c r="AC272" s="97" t="str">
        <f ca="1">IFERROR(VLOOKUP(S272,Размеры!A:C,3,FALSE),"")</f>
        <v>57 M</v>
      </c>
      <c r="AD272" s="97" t="str">
        <f ca="1">VLOOKUP(I272,ЦветПолный!A:B,2,FALSE)</f>
        <v>11</v>
      </c>
      <c r="AE272" s="97" t="str">
        <f ca="1">IFERROR(VLOOKUP(S272,Размеры!A:D,4,FALSE),"")</f>
        <v>57</v>
      </c>
      <c r="AF272" s="97">
        <f ca="1">IF(LEFT(IFERROR(VLOOKUP(LOOKUP(2,1/SEARCH(B272,Товары!A:A),Товары!A:A),Товары!A:B,2,0),""),6)=MID(AA272,1,6),1,0)</f>
        <v>0</v>
      </c>
      <c r="AH272" s="97">
        <f ca="1">SUMIF(Группа!A:A,C272,Группа!C:C)</f>
        <v>1</v>
      </c>
      <c r="AI272" s="97">
        <f ca="1">SUMIF(Группа!B:B,AB272,Группа!C:C)</f>
        <v>1</v>
      </c>
      <c r="AJ272" s="97">
        <f ca="1">SUMIF(Формы!A:A,D272,Формы!B:B)</f>
        <v>1</v>
      </c>
      <c r="AK272" s="97">
        <f ca="1">SUMIF(Материал!A:A,K272,Материал!B:B)</f>
        <v>1</v>
      </c>
      <c r="AL272" s="97">
        <f ca="1">SUMIF(Размеры!A:A,S272,Размеры!E:E)</f>
        <v>1</v>
      </c>
      <c r="AM272" s="97">
        <f ca="1">SUMIF(Сезон!A:A,F272,Сезон!B:B)</f>
        <v>1</v>
      </c>
      <c r="AN272" s="97">
        <f ca="1">SUMIF(Состав!A:A,J272,Состав!B:B)</f>
        <v>0</v>
      </c>
      <c r="AO272" s="97">
        <f ca="1">VLOOKUP(I272,ЦветПолный!A:C,3,0)</f>
        <v>1</v>
      </c>
      <c r="AP272" s="97">
        <f>SUMIF(Цвет!A:A,Z272,Цвет!B:B)</f>
        <v>1</v>
      </c>
      <c r="AQ272" s="97">
        <f ca="1">_xlfn.XLOOKUP(L272,Пол!A:A,Пол!B:B,0,0)</f>
        <v>1</v>
      </c>
      <c r="AR272" s="97">
        <f ca="1">SUMIF(Бренд!A:A,G272,Бренд!B:B)</f>
        <v>1</v>
      </c>
      <c r="AS272" s="97">
        <f ca="1">SUMIF(Страна!A:A,M272,Страна!B:B)</f>
        <v>1</v>
      </c>
      <c r="AT272" s="64" t="e">
        <f ca="1">IF(VLOOKUP(W272,Товары!A:B,2,FALSE)=A272,"Есть в 1С","ERR")</f>
        <v>#N/A</v>
      </c>
      <c r="AU272" s="65" t="e">
        <f ca="1">IF(VLOOKUP(A272,Товары!B:B,1,FALSE)=A272,"Есть в 1С","ERR")</f>
        <v>#N/A</v>
      </c>
      <c r="AV272" s="96" t="e">
        <f ca="1">VLOOKUP(W272,Товары!A:B,2,FALSE)</f>
        <v>#N/A</v>
      </c>
      <c r="AW272" s="94" t="e">
        <f ca="1">VLOOKUP(W272,Товары!A:B,1,FALSE)</f>
        <v>#N/A</v>
      </c>
    </row>
    <row r="273" spans="1:49" x14ac:dyDescent="0.25">
      <c r="A273" s="110" t="str">
        <f t="shared" ca="1" si="20"/>
        <v>95-006-11</v>
      </c>
      <c r="B273" s="107" t="str">
        <f ca="1">_xlfn.LET(_xlpm.CAPS,0,_xlpm.Style,TRIM(_xlfn.XLOOKUP($A273,Строчный!$A:$A,Строчный!B:B,"ERR",0)),IF(_xlpm.CAPS=0,_xlpm.Style,LOWER(_xlpm.Style)))</f>
        <v>3147</v>
      </c>
      <c r="C273" s="81" t="str">
        <f ca="1">TRIM(PROPER(_xlfn.XLOOKUP($A273,Строчный!$A:$A,Строчный!C:C,"ERR",0)))</f>
        <v>Кепки</v>
      </c>
      <c r="D273" s="81" t="str">
        <f ca="1">_xlfn.LET(_xlpm.DATA,TRIM(_xlfn.XLOOKUP($A273,Строчный!$A:$A,Строчный!D:D,"ERR",0)),UPPER(MID(_xlpm.DATA,1,1))&amp;LOWER(MID(_xlpm.DATA,2,LEN(_xlpm.DATA)-1)))</f>
        <v>Кепка шестиклинка</v>
      </c>
      <c r="E273" s="81" t="str">
        <f ca="1">PROPER(TRIM(_xlfn.XLOOKUP($A273,Строчный!$A:$A,Строчный!E:E,"ERR",0)))</f>
        <v>Fredrikson</v>
      </c>
      <c r="F273" s="81" t="str">
        <f ca="1">LOWER(TRIM(_xlfn.XLOOKUP($A273,Строчный!$A:$A,Строчный!F:F,"ERR",0)))</f>
        <v>всесезон</v>
      </c>
      <c r="G273" s="81" t="str">
        <f ca="1">UPPER(TRIM(_xlfn.XLOOKUP($A273,Строчный!$A:$A,Строчный!G:G,"ERR",0)))</f>
        <v>FREDRIKSON</v>
      </c>
      <c r="H273" s="81" t="str">
        <f ca="1">LOWER(TRIM(_xlfn.XLOOKUP($A273,Строчный!$A:$A,Строчный!H:H,"ERR",0)))</f>
        <v>640/77</v>
      </c>
      <c r="I273" s="81" t="str">
        <f ca="1">LOWER(TRIM(_xlfn.XLOOKUP($A273,Строчный!$A:$A,Строчный!I:I,"ERR",0)))</f>
        <v>светло-серый / черный</v>
      </c>
      <c r="J273" s="81" t="str">
        <f ca="1">SUBSTITUTE(LOWER(TRIM(_xlfn.XLOOKUP($A273,Строчный!$A:$A,Строчный!J:J,"ERR",0))),"подклад","Подклад")</f>
        <v>80% шерсть - 20% полиамид / Подклад: 100% вискоза</v>
      </c>
      <c r="K273" s="81" t="str">
        <f ca="1">LOWER(TRIM(_xlfn.XLOOKUP($A273,Строчный!$A:$A,Строчный!K:K,"ERR",0)))</f>
        <v>шерстяные</v>
      </c>
      <c r="L273" s="81" t="str">
        <f ca="1">PROPER(TRIM(_xlfn.XLOOKUP($A273,Строчный!$A:$A,Строчный!L:L,"ERR",0)))</f>
        <v>Унисекс</v>
      </c>
      <c r="M273" s="113" t="str">
        <f ca="1">PROPER(TRIM(_xlfn.XLOOKUP($A273,Строчный!$A:$A,Строчный!M:M,"ERR",0)))</f>
        <v>Россия</v>
      </c>
      <c r="N273" s="81" t="str">
        <f ca="1">UPPER(TRIM(_xlfn.XLOOKUP($A273,Строчный!$A:$A,Строчный!O:O,"ERR",0)))</f>
        <v/>
      </c>
      <c r="O273" s="102" t="str">
        <f ca="1">PROPER(TRIM(_xlfn.XLOOKUP($A273,Строчный!$A:$A,Строчный!P:P,"ERR",0)))</f>
        <v/>
      </c>
      <c r="P273" s="81" t="str">
        <f ca="1">PROPER(TRIM(_xlfn.XLOOKUP($A273,Строчный!$A:$A,Строчный!R:R,"ERR",0)))</f>
        <v/>
      </c>
      <c r="Q273" s="90">
        <f ca="1">VALUE(_xlfn.XLOOKUP($A273,Строчный!$A:$A,Строчный!N:N,"ERR",0))</f>
        <v>975.8</v>
      </c>
      <c r="R273" s="89" t="str">
        <f ca="1">_xlfn.XLOOKUP($G273,Фабрика!A:A,Фабрика!B:B,"ERR",0)</f>
        <v>ООО "ФРЭДРИКСОН" Россия 192029, С-Петербург, пр. Обуховской обороны, д.86, лит М</v>
      </c>
      <c r="S273" s="80" t="str">
        <f ca="1">_xlfn.XLOOKUP(RIGHT(AA273,2),Размеры!D:D,Размеры!A:A,"ERR",0)</f>
        <v>56</v>
      </c>
      <c r="T273" s="80">
        <f ca="1">VALUE(_xlfn.XLOOKUP($AA273,Строчный!$S:$S,Строчный!U:U,"ERR",0))</f>
        <v>2</v>
      </c>
      <c r="U273" s="14" t="s">
        <v>265</v>
      </c>
      <c r="V273" s="101" t="str">
        <f t="shared" ca="1" si="21"/>
        <v>Кепка FREDRIKSON арт. 3147 (светло-серый / черный)</v>
      </c>
      <c r="W273" s="100" t="str">
        <f t="shared" ca="1" si="22"/>
        <v>Кепка FREDRIKSON арт. 3147 (светло-серый / черный) {640/77}</v>
      </c>
      <c r="X273" s="18" t="str">
        <f t="shared" ca="1" si="23"/>
        <v>серый / черный</v>
      </c>
      <c r="Y273" s="18" t="str">
        <f t="shared" ca="1" si="24"/>
        <v>серый / черный</v>
      </c>
      <c r="Z273" s="117" t="s">
        <v>27</v>
      </c>
      <c r="AA273" s="73" t="str">
        <f ca="1"/>
        <v>95-006-11-56</v>
      </c>
      <c r="AB273" s="75" t="str">
        <f ca="1">VLOOKUP(C273,Группа!A:B,2,FALSE)</f>
        <v>Кепка</v>
      </c>
      <c r="AC273" s="97" t="str">
        <f ca="1">IFERROR(VLOOKUP(S273,Размеры!A:C,3,FALSE),"")</f>
        <v>56 S/M</v>
      </c>
      <c r="AD273" s="97" t="str">
        <f ca="1">VLOOKUP(I273,ЦветПолный!A:B,2,FALSE)</f>
        <v>11</v>
      </c>
      <c r="AE273" s="97" t="str">
        <f ca="1">IFERROR(VLOOKUP(S273,Размеры!A:D,4,FALSE),"")</f>
        <v>56</v>
      </c>
      <c r="AF273" s="97">
        <f ca="1">IF(LEFT(IFERROR(VLOOKUP(LOOKUP(2,1/SEARCH(B273,Товары!A:A),Товары!A:A),Товары!A:B,2,0),""),6)=MID(AA273,1,6),1,0)</f>
        <v>0</v>
      </c>
      <c r="AH273" s="97">
        <f ca="1">SUMIF(Группа!A:A,C273,Группа!C:C)</f>
        <v>1</v>
      </c>
      <c r="AI273" s="97">
        <f ca="1">SUMIF(Группа!B:B,AB273,Группа!C:C)</f>
        <v>1</v>
      </c>
      <c r="AJ273" s="97">
        <f ca="1">SUMIF(Формы!A:A,D273,Формы!B:B)</f>
        <v>1</v>
      </c>
      <c r="AK273" s="97">
        <f ca="1">SUMIF(Материал!A:A,K273,Материал!B:B)</f>
        <v>1</v>
      </c>
      <c r="AL273" s="97">
        <f ca="1">SUMIF(Размеры!A:A,S273,Размеры!E:E)</f>
        <v>1</v>
      </c>
      <c r="AM273" s="97">
        <f ca="1">SUMIF(Сезон!A:A,F273,Сезон!B:B)</f>
        <v>1</v>
      </c>
      <c r="AN273" s="97">
        <f ca="1">SUMIF(Состав!A:A,J273,Состав!B:B)</f>
        <v>0</v>
      </c>
      <c r="AO273" s="97">
        <f ca="1">VLOOKUP(I273,ЦветПолный!A:C,3,0)</f>
        <v>1</v>
      </c>
      <c r="AP273" s="97">
        <f>SUMIF(Цвет!A:A,Z273,Цвет!B:B)</f>
        <v>1</v>
      </c>
      <c r="AQ273" s="97">
        <f ca="1">_xlfn.XLOOKUP(L273,Пол!A:A,Пол!B:B,0,0)</f>
        <v>1</v>
      </c>
      <c r="AR273" s="97">
        <f ca="1">SUMIF(Бренд!A:A,G273,Бренд!B:B)</f>
        <v>1</v>
      </c>
      <c r="AS273" s="97">
        <f ca="1">SUMIF(Страна!A:A,M273,Страна!B:B)</f>
        <v>1</v>
      </c>
      <c r="AT273" s="64" t="e">
        <f ca="1">IF(VLOOKUP(W273,Товары!A:B,2,FALSE)=A273,"Есть в 1С","ERR")</f>
        <v>#N/A</v>
      </c>
      <c r="AU273" s="65" t="e">
        <f ca="1">IF(VLOOKUP(A273,Товары!B:B,1,FALSE)=A273,"Есть в 1С","ERR")</f>
        <v>#N/A</v>
      </c>
      <c r="AV273" s="96" t="e">
        <f ca="1">VLOOKUP(W273,Товары!A:B,2,FALSE)</f>
        <v>#N/A</v>
      </c>
      <c r="AW273" s="94" t="e">
        <f ca="1">VLOOKUP(W273,Товары!A:B,1,FALSE)</f>
        <v>#N/A</v>
      </c>
    </row>
    <row r="274" spans="1:49" x14ac:dyDescent="0.25">
      <c r="A274" s="110" t="str">
        <f t="shared" ca="1" si="20"/>
        <v>95-006-04</v>
      </c>
      <c r="B274" s="107" t="str">
        <f ca="1">_xlfn.LET(_xlpm.CAPS,0,_xlpm.Style,TRIM(_xlfn.XLOOKUP($A274,Строчный!$A:$A,Строчный!B:B,"ERR",0)),IF(_xlpm.CAPS=0,_xlpm.Style,LOWER(_xlpm.Style)))</f>
        <v>3147</v>
      </c>
      <c r="C274" s="81" t="str">
        <f ca="1">TRIM(PROPER(_xlfn.XLOOKUP($A274,Строчный!$A:$A,Строчный!C:C,"ERR",0)))</f>
        <v>Кепки</v>
      </c>
      <c r="D274" s="81" t="str">
        <f ca="1">_xlfn.LET(_xlpm.DATA,TRIM(_xlfn.XLOOKUP($A274,Строчный!$A:$A,Строчный!D:D,"ERR",0)),UPPER(MID(_xlpm.DATA,1,1))&amp;LOWER(MID(_xlpm.DATA,2,LEN(_xlpm.DATA)-1)))</f>
        <v>Кепка шестиклинка</v>
      </c>
      <c r="E274" s="81" t="str">
        <f ca="1">PROPER(TRIM(_xlfn.XLOOKUP($A274,Строчный!$A:$A,Строчный!E:E,"ERR",0)))</f>
        <v>Fredrikson</v>
      </c>
      <c r="F274" s="81" t="str">
        <f ca="1">LOWER(TRIM(_xlfn.XLOOKUP($A274,Строчный!$A:$A,Строчный!F:F,"ERR",0)))</f>
        <v>всесезон</v>
      </c>
      <c r="G274" s="81" t="str">
        <f ca="1">UPPER(TRIM(_xlfn.XLOOKUP($A274,Строчный!$A:$A,Строчный!G:G,"ERR",0)))</f>
        <v>FREDRIKSON</v>
      </c>
      <c r="H274" s="81" t="str">
        <f ca="1">LOWER(TRIM(_xlfn.XLOOKUP($A274,Строчный!$A:$A,Строчный!H:H,"ERR",0)))</f>
        <v>608/53</v>
      </c>
      <c r="I274" s="81" t="str">
        <f ca="1">LOWER(TRIM(_xlfn.XLOOKUP($A274,Строчный!$A:$A,Строчный!I:I,"ERR",0)))</f>
        <v>светло-бежевый / красный</v>
      </c>
      <c r="J274" s="81" t="str">
        <f ca="1">SUBSTITUTE(LOWER(TRIM(_xlfn.XLOOKUP($A274,Строчный!$A:$A,Строчный!J:J,"ERR",0))),"подклад","Подклад")</f>
        <v>80% шерсть - 20% полиамид / Подклад: 100% вискоза</v>
      </c>
      <c r="K274" s="81" t="str">
        <f ca="1">LOWER(TRIM(_xlfn.XLOOKUP($A274,Строчный!$A:$A,Строчный!K:K,"ERR",0)))</f>
        <v>шерстяные</v>
      </c>
      <c r="L274" s="81" t="str">
        <f ca="1">PROPER(TRIM(_xlfn.XLOOKUP($A274,Строчный!$A:$A,Строчный!L:L,"ERR",0)))</f>
        <v>Унисекс</v>
      </c>
      <c r="M274" s="113" t="str">
        <f ca="1">PROPER(TRIM(_xlfn.XLOOKUP($A274,Строчный!$A:$A,Строчный!M:M,"ERR",0)))</f>
        <v>Россия</v>
      </c>
      <c r="N274" s="81" t="str">
        <f ca="1">UPPER(TRIM(_xlfn.XLOOKUP($A274,Строчный!$A:$A,Строчный!O:O,"ERR",0)))</f>
        <v/>
      </c>
      <c r="O274" s="102" t="str">
        <f ca="1">PROPER(TRIM(_xlfn.XLOOKUP($A274,Строчный!$A:$A,Строчный!P:P,"ERR",0)))</f>
        <v/>
      </c>
      <c r="P274" s="81" t="str">
        <f ca="1">PROPER(TRIM(_xlfn.XLOOKUP($A274,Строчный!$A:$A,Строчный!R:R,"ERR",0)))</f>
        <v/>
      </c>
      <c r="Q274" s="90">
        <f ca="1">VALUE(_xlfn.XLOOKUP($A274,Строчный!$A:$A,Строчный!N:N,"ERR",0))</f>
        <v>975.8</v>
      </c>
      <c r="R274" s="89" t="str">
        <f ca="1">_xlfn.XLOOKUP($G274,Фабрика!A:A,Фабрика!B:B,"ERR",0)</f>
        <v>ООО "ФРЭДРИКСОН" Россия 192029, С-Петербург, пр. Обуховской обороны, д.86, лит М</v>
      </c>
      <c r="S274" s="80" t="str">
        <f ca="1">_xlfn.XLOOKUP(RIGHT(AA274,2),Размеры!D:D,Размеры!A:A,"ERR",0)</f>
        <v>62</v>
      </c>
      <c r="T274" s="80">
        <f ca="1">VALUE(_xlfn.XLOOKUP($AA274,Строчный!$S:$S,Строчный!U:U,"ERR",0))</f>
        <v>1</v>
      </c>
      <c r="U274" s="14" t="s">
        <v>265</v>
      </c>
      <c r="V274" s="101" t="str">
        <f t="shared" ca="1" si="21"/>
        <v>Кепка FREDRIKSON арт. 3147 (светло-бежевый / красный)</v>
      </c>
      <c r="W274" s="100" t="str">
        <f t="shared" ca="1" si="22"/>
        <v>Кепка FREDRIKSON арт. 3147 (светло-бежевый / красный) {608/53}</v>
      </c>
      <c r="X274" s="18" t="str">
        <f t="shared" ca="1" si="23"/>
        <v>бежевый / красный</v>
      </c>
      <c r="Y274" s="18" t="str">
        <f t="shared" ca="1" si="24"/>
        <v>бежевый / красный</v>
      </c>
      <c r="Z274" s="117" t="s">
        <v>27</v>
      </c>
      <c r="AA274" s="73" t="str">
        <f ca="1"/>
        <v>95-006-04-62</v>
      </c>
      <c r="AB274" s="75" t="str">
        <f ca="1">VLOOKUP(C274,Группа!A:B,2,FALSE)</f>
        <v>Кепка</v>
      </c>
      <c r="AC274" s="97" t="str">
        <f ca="1">IFERROR(VLOOKUP(S274,Размеры!A:C,3,FALSE),"")</f>
        <v>62 XL/XXL</v>
      </c>
      <c r="AD274" s="97" t="str">
        <f ca="1">VLOOKUP(I274,ЦветПолный!A:B,2,FALSE)</f>
        <v>04</v>
      </c>
      <c r="AE274" s="97" t="str">
        <f ca="1">IFERROR(VLOOKUP(S274,Размеры!A:D,4,FALSE),"")</f>
        <v>62</v>
      </c>
      <c r="AF274" s="97">
        <f ca="1">IF(LEFT(IFERROR(VLOOKUP(LOOKUP(2,1/SEARCH(B274,Товары!A:A),Товары!A:A),Товары!A:B,2,0),""),6)=MID(AA274,1,6),1,0)</f>
        <v>0</v>
      </c>
      <c r="AH274" s="97">
        <f ca="1">SUMIF(Группа!A:A,C274,Группа!C:C)</f>
        <v>1</v>
      </c>
      <c r="AI274" s="97">
        <f ca="1">SUMIF(Группа!B:B,AB274,Группа!C:C)</f>
        <v>1</v>
      </c>
      <c r="AJ274" s="97">
        <f ca="1">SUMIF(Формы!A:A,D274,Формы!B:B)</f>
        <v>1</v>
      </c>
      <c r="AK274" s="97">
        <f ca="1">SUMIF(Материал!A:A,K274,Материал!B:B)</f>
        <v>1</v>
      </c>
      <c r="AL274" s="97">
        <f ca="1">SUMIF(Размеры!A:A,S274,Размеры!E:E)</f>
        <v>1</v>
      </c>
      <c r="AM274" s="97">
        <f ca="1">SUMIF(Сезон!A:A,F274,Сезон!B:B)</f>
        <v>1</v>
      </c>
      <c r="AN274" s="97">
        <f ca="1">SUMIF(Состав!A:A,J274,Состав!B:B)</f>
        <v>0</v>
      </c>
      <c r="AO274" s="97">
        <f ca="1">VLOOKUP(I274,ЦветПолный!A:C,3,0)</f>
        <v>1</v>
      </c>
      <c r="AP274" s="97">
        <f>SUMIF(Цвет!A:A,Z274,Цвет!B:B)</f>
        <v>1</v>
      </c>
      <c r="AQ274" s="97">
        <f ca="1">_xlfn.XLOOKUP(L274,Пол!A:A,Пол!B:B,0,0)</f>
        <v>1</v>
      </c>
      <c r="AR274" s="97">
        <f ca="1">SUMIF(Бренд!A:A,G274,Бренд!B:B)</f>
        <v>1</v>
      </c>
      <c r="AS274" s="97">
        <f ca="1">SUMIF(Страна!A:A,M274,Страна!B:B)</f>
        <v>1</v>
      </c>
      <c r="AT274" s="64" t="e">
        <f ca="1">IF(VLOOKUP(W274,Товары!A:B,2,FALSE)=A274,"Есть в 1С","ERR")</f>
        <v>#N/A</v>
      </c>
      <c r="AU274" s="65" t="e">
        <f ca="1">IF(VLOOKUP(A274,Товары!B:B,1,FALSE)=A274,"Есть в 1С","ERR")</f>
        <v>#N/A</v>
      </c>
      <c r="AV274" s="96" t="e">
        <f ca="1">VLOOKUP(W274,Товары!A:B,2,FALSE)</f>
        <v>#N/A</v>
      </c>
      <c r="AW274" s="94" t="e">
        <f ca="1">VLOOKUP(W274,Товары!A:B,1,FALSE)</f>
        <v>#N/A</v>
      </c>
    </row>
    <row r="275" spans="1:49" x14ac:dyDescent="0.25">
      <c r="A275" s="110" t="str">
        <f t="shared" ca="1" si="20"/>
        <v>95-006-04</v>
      </c>
      <c r="B275" s="107" t="str">
        <f ca="1">_xlfn.LET(_xlpm.CAPS,0,_xlpm.Style,TRIM(_xlfn.XLOOKUP($A275,Строчный!$A:$A,Строчный!B:B,"ERR",0)),IF(_xlpm.CAPS=0,_xlpm.Style,LOWER(_xlpm.Style)))</f>
        <v>3147</v>
      </c>
      <c r="C275" s="81" t="str">
        <f ca="1">TRIM(PROPER(_xlfn.XLOOKUP($A275,Строчный!$A:$A,Строчный!C:C,"ERR",0)))</f>
        <v>Кепки</v>
      </c>
      <c r="D275" s="81" t="str">
        <f ca="1">_xlfn.LET(_xlpm.DATA,TRIM(_xlfn.XLOOKUP($A275,Строчный!$A:$A,Строчный!D:D,"ERR",0)),UPPER(MID(_xlpm.DATA,1,1))&amp;LOWER(MID(_xlpm.DATA,2,LEN(_xlpm.DATA)-1)))</f>
        <v>Кепка шестиклинка</v>
      </c>
      <c r="E275" s="81" t="str">
        <f ca="1">PROPER(TRIM(_xlfn.XLOOKUP($A275,Строчный!$A:$A,Строчный!E:E,"ERR",0)))</f>
        <v>Fredrikson</v>
      </c>
      <c r="F275" s="81" t="str">
        <f ca="1">LOWER(TRIM(_xlfn.XLOOKUP($A275,Строчный!$A:$A,Строчный!F:F,"ERR",0)))</f>
        <v>всесезон</v>
      </c>
      <c r="G275" s="81" t="str">
        <f ca="1">UPPER(TRIM(_xlfn.XLOOKUP($A275,Строчный!$A:$A,Строчный!G:G,"ERR",0)))</f>
        <v>FREDRIKSON</v>
      </c>
      <c r="H275" s="81" t="str">
        <f ca="1">LOWER(TRIM(_xlfn.XLOOKUP($A275,Строчный!$A:$A,Строчный!H:H,"ERR",0)))</f>
        <v>608/53</v>
      </c>
      <c r="I275" s="81" t="str">
        <f ca="1">LOWER(TRIM(_xlfn.XLOOKUP($A275,Строчный!$A:$A,Строчный!I:I,"ERR",0)))</f>
        <v>светло-бежевый / красный</v>
      </c>
      <c r="J275" s="81" t="str">
        <f ca="1">SUBSTITUTE(LOWER(TRIM(_xlfn.XLOOKUP($A275,Строчный!$A:$A,Строчный!J:J,"ERR",0))),"подклад","Подклад")</f>
        <v>80% шерсть - 20% полиамид / Подклад: 100% вискоза</v>
      </c>
      <c r="K275" s="81" t="str">
        <f ca="1">LOWER(TRIM(_xlfn.XLOOKUP($A275,Строчный!$A:$A,Строчный!K:K,"ERR",0)))</f>
        <v>шерстяные</v>
      </c>
      <c r="L275" s="81" t="str">
        <f ca="1">PROPER(TRIM(_xlfn.XLOOKUP($A275,Строчный!$A:$A,Строчный!L:L,"ERR",0)))</f>
        <v>Унисекс</v>
      </c>
      <c r="M275" s="113" t="str">
        <f ca="1">PROPER(TRIM(_xlfn.XLOOKUP($A275,Строчный!$A:$A,Строчный!M:M,"ERR",0)))</f>
        <v>Россия</v>
      </c>
      <c r="N275" s="81" t="str">
        <f ca="1">UPPER(TRIM(_xlfn.XLOOKUP($A275,Строчный!$A:$A,Строчный!O:O,"ERR",0)))</f>
        <v/>
      </c>
      <c r="O275" s="102" t="str">
        <f ca="1">PROPER(TRIM(_xlfn.XLOOKUP($A275,Строчный!$A:$A,Строчный!P:P,"ERR",0)))</f>
        <v/>
      </c>
      <c r="P275" s="81" t="str">
        <f ca="1">PROPER(TRIM(_xlfn.XLOOKUP($A275,Строчный!$A:$A,Строчный!R:R,"ERR",0)))</f>
        <v/>
      </c>
      <c r="Q275" s="90">
        <f ca="1">VALUE(_xlfn.XLOOKUP($A275,Строчный!$A:$A,Строчный!N:N,"ERR",0))</f>
        <v>975.8</v>
      </c>
      <c r="R275" s="89" t="str">
        <f ca="1">_xlfn.XLOOKUP($G275,Фабрика!A:A,Фабрика!B:B,"ERR",0)</f>
        <v>ООО "ФРЭДРИКСОН" Россия 192029, С-Петербург, пр. Обуховской обороны, д.86, лит М</v>
      </c>
      <c r="S275" s="80" t="str">
        <f ca="1">_xlfn.XLOOKUP(RIGHT(AA275,2),Размеры!D:D,Размеры!A:A,"ERR",0)</f>
        <v>61</v>
      </c>
      <c r="T275" s="80">
        <f ca="1">VALUE(_xlfn.XLOOKUP($AA275,Строчный!$S:$S,Строчный!U:U,"ERR",0))</f>
        <v>1</v>
      </c>
      <c r="U275" s="14" t="s">
        <v>265</v>
      </c>
      <c r="V275" s="101" t="str">
        <f t="shared" ca="1" si="21"/>
        <v>Кепка FREDRIKSON арт. 3147 (светло-бежевый / красный)</v>
      </c>
      <c r="W275" s="100" t="str">
        <f t="shared" ca="1" si="22"/>
        <v>Кепка FREDRIKSON арт. 3147 (светло-бежевый / красный) {608/53}</v>
      </c>
      <c r="X275" s="18" t="str">
        <f t="shared" ca="1" si="23"/>
        <v>бежевый / красный</v>
      </c>
      <c r="Y275" s="18" t="str">
        <f t="shared" ca="1" si="24"/>
        <v>бежевый / красный</v>
      </c>
      <c r="Z275" s="117" t="s">
        <v>28</v>
      </c>
      <c r="AA275" s="73" t="str">
        <f ca="1"/>
        <v>95-006-04-61</v>
      </c>
      <c r="AB275" s="75" t="str">
        <f ca="1">VLOOKUP(C275,Группа!A:B,2,FALSE)</f>
        <v>Кепка</v>
      </c>
      <c r="AC275" s="97" t="str">
        <f ca="1">IFERROR(VLOOKUP(S275,Размеры!A:C,3,FALSE),"")</f>
        <v>61 XL</v>
      </c>
      <c r="AD275" s="97" t="str">
        <f ca="1">VLOOKUP(I275,ЦветПолный!A:B,2,FALSE)</f>
        <v>04</v>
      </c>
      <c r="AE275" s="97" t="str">
        <f ca="1">IFERROR(VLOOKUP(S275,Размеры!A:D,4,FALSE),"")</f>
        <v>61</v>
      </c>
      <c r="AF275" s="97">
        <f ca="1">IF(LEFT(IFERROR(VLOOKUP(LOOKUP(2,1/SEARCH(B275,Товары!A:A),Товары!A:A),Товары!A:B,2,0),""),6)=MID(AA275,1,6),1,0)</f>
        <v>0</v>
      </c>
      <c r="AH275" s="97">
        <f ca="1">SUMIF(Группа!A:A,C275,Группа!C:C)</f>
        <v>1</v>
      </c>
      <c r="AI275" s="97">
        <f ca="1">SUMIF(Группа!B:B,AB275,Группа!C:C)</f>
        <v>1</v>
      </c>
      <c r="AJ275" s="97">
        <f ca="1">SUMIF(Формы!A:A,D275,Формы!B:B)</f>
        <v>1</v>
      </c>
      <c r="AK275" s="97">
        <f ca="1">SUMIF(Материал!A:A,K275,Материал!B:B)</f>
        <v>1</v>
      </c>
      <c r="AL275" s="97">
        <f ca="1">SUMIF(Размеры!A:A,S275,Размеры!E:E)</f>
        <v>1</v>
      </c>
      <c r="AM275" s="97">
        <f ca="1">SUMIF(Сезон!A:A,F275,Сезон!B:B)</f>
        <v>1</v>
      </c>
      <c r="AN275" s="97">
        <f ca="1">SUMIF(Состав!A:A,J275,Состав!B:B)</f>
        <v>0</v>
      </c>
      <c r="AO275" s="97">
        <f ca="1">VLOOKUP(I275,ЦветПолный!A:C,3,0)</f>
        <v>1</v>
      </c>
      <c r="AP275" s="97">
        <f>SUMIF(Цвет!A:A,Z275,Цвет!B:B)</f>
        <v>1</v>
      </c>
      <c r="AQ275" s="97">
        <f ca="1">_xlfn.XLOOKUP(L275,Пол!A:A,Пол!B:B,0,0)</f>
        <v>1</v>
      </c>
      <c r="AR275" s="97">
        <f ca="1">SUMIF(Бренд!A:A,G275,Бренд!B:B)</f>
        <v>1</v>
      </c>
      <c r="AS275" s="97">
        <f ca="1">SUMIF(Страна!A:A,M275,Страна!B:B)</f>
        <v>1</v>
      </c>
      <c r="AT275" s="64" t="e">
        <f ca="1">IF(VLOOKUP(W275,Товары!A:B,2,FALSE)=A275,"Есть в 1С","ERR")</f>
        <v>#N/A</v>
      </c>
      <c r="AU275" s="65" t="e">
        <f ca="1">IF(VLOOKUP(A275,Товары!B:B,1,FALSE)=A275,"Есть в 1С","ERR")</f>
        <v>#N/A</v>
      </c>
      <c r="AV275" s="96" t="e">
        <f ca="1">VLOOKUP(W275,Товары!A:B,2,FALSE)</f>
        <v>#N/A</v>
      </c>
      <c r="AW275" s="94" t="e">
        <f ca="1">VLOOKUP(W275,Товары!A:B,1,FALSE)</f>
        <v>#N/A</v>
      </c>
    </row>
    <row r="276" spans="1:49" x14ac:dyDescent="0.25">
      <c r="A276" s="110" t="str">
        <f t="shared" ca="1" si="20"/>
        <v>95-006-04</v>
      </c>
      <c r="B276" s="107" t="str">
        <f ca="1">_xlfn.LET(_xlpm.CAPS,0,_xlpm.Style,TRIM(_xlfn.XLOOKUP($A276,Строчный!$A:$A,Строчный!B:B,"ERR",0)),IF(_xlpm.CAPS=0,_xlpm.Style,LOWER(_xlpm.Style)))</f>
        <v>3147</v>
      </c>
      <c r="C276" s="81" t="str">
        <f ca="1">TRIM(PROPER(_xlfn.XLOOKUP($A276,Строчный!$A:$A,Строчный!C:C,"ERR",0)))</f>
        <v>Кепки</v>
      </c>
      <c r="D276" s="81" t="str">
        <f ca="1">_xlfn.LET(_xlpm.DATA,TRIM(_xlfn.XLOOKUP($A276,Строчный!$A:$A,Строчный!D:D,"ERR",0)),UPPER(MID(_xlpm.DATA,1,1))&amp;LOWER(MID(_xlpm.DATA,2,LEN(_xlpm.DATA)-1)))</f>
        <v>Кепка шестиклинка</v>
      </c>
      <c r="E276" s="81" t="str">
        <f ca="1">PROPER(TRIM(_xlfn.XLOOKUP($A276,Строчный!$A:$A,Строчный!E:E,"ERR",0)))</f>
        <v>Fredrikson</v>
      </c>
      <c r="F276" s="81" t="str">
        <f ca="1">LOWER(TRIM(_xlfn.XLOOKUP($A276,Строчный!$A:$A,Строчный!F:F,"ERR",0)))</f>
        <v>всесезон</v>
      </c>
      <c r="G276" s="81" t="str">
        <f ca="1">UPPER(TRIM(_xlfn.XLOOKUP($A276,Строчный!$A:$A,Строчный!G:G,"ERR",0)))</f>
        <v>FREDRIKSON</v>
      </c>
      <c r="H276" s="81" t="str">
        <f ca="1">LOWER(TRIM(_xlfn.XLOOKUP($A276,Строчный!$A:$A,Строчный!H:H,"ERR",0)))</f>
        <v>608/53</v>
      </c>
      <c r="I276" s="81" t="str">
        <f ca="1">LOWER(TRIM(_xlfn.XLOOKUP($A276,Строчный!$A:$A,Строчный!I:I,"ERR",0)))</f>
        <v>светло-бежевый / красный</v>
      </c>
      <c r="J276" s="81" t="str">
        <f ca="1">SUBSTITUTE(LOWER(TRIM(_xlfn.XLOOKUP($A276,Строчный!$A:$A,Строчный!J:J,"ERR",0))),"подклад","Подклад")</f>
        <v>80% шерсть - 20% полиамид / Подклад: 100% вискоза</v>
      </c>
      <c r="K276" s="81" t="str">
        <f ca="1">LOWER(TRIM(_xlfn.XLOOKUP($A276,Строчный!$A:$A,Строчный!K:K,"ERR",0)))</f>
        <v>шерстяные</v>
      </c>
      <c r="L276" s="81" t="str">
        <f ca="1">PROPER(TRIM(_xlfn.XLOOKUP($A276,Строчный!$A:$A,Строчный!L:L,"ERR",0)))</f>
        <v>Унисекс</v>
      </c>
      <c r="M276" s="113" t="str">
        <f ca="1">PROPER(TRIM(_xlfn.XLOOKUP($A276,Строчный!$A:$A,Строчный!M:M,"ERR",0)))</f>
        <v>Россия</v>
      </c>
      <c r="N276" s="81" t="str">
        <f ca="1">UPPER(TRIM(_xlfn.XLOOKUP($A276,Строчный!$A:$A,Строчный!O:O,"ERR",0)))</f>
        <v/>
      </c>
      <c r="O276" s="102" t="str">
        <f ca="1">PROPER(TRIM(_xlfn.XLOOKUP($A276,Строчный!$A:$A,Строчный!P:P,"ERR",0)))</f>
        <v/>
      </c>
      <c r="P276" s="81" t="str">
        <f ca="1">PROPER(TRIM(_xlfn.XLOOKUP($A276,Строчный!$A:$A,Строчный!R:R,"ERR",0)))</f>
        <v/>
      </c>
      <c r="Q276" s="90">
        <f ca="1">VALUE(_xlfn.XLOOKUP($A276,Строчный!$A:$A,Строчный!N:N,"ERR",0))</f>
        <v>975.8</v>
      </c>
      <c r="R276" s="89" t="str">
        <f ca="1">_xlfn.XLOOKUP($G276,Фабрика!A:A,Фабрика!B:B,"ERR",0)</f>
        <v>ООО "ФРЭДРИКСОН" Россия 192029, С-Петербург, пр. Обуховской обороны, д.86, лит М</v>
      </c>
      <c r="S276" s="80" t="str">
        <f ca="1">_xlfn.XLOOKUP(RIGHT(AA276,2),Размеры!D:D,Размеры!A:A,"ERR",0)</f>
        <v>60</v>
      </c>
      <c r="T276" s="80">
        <f ca="1">VALUE(_xlfn.XLOOKUP($AA276,Строчный!$S:$S,Строчный!U:U,"ERR",0))</f>
        <v>2</v>
      </c>
      <c r="U276" s="14" t="s">
        <v>265</v>
      </c>
      <c r="V276" s="101" t="str">
        <f t="shared" ca="1" si="21"/>
        <v>Кепка FREDRIKSON арт. 3147 (светло-бежевый / красный)</v>
      </c>
      <c r="W276" s="100" t="str">
        <f t="shared" ca="1" si="22"/>
        <v>Кепка FREDRIKSON арт. 3147 (светло-бежевый / красный) {608/53}</v>
      </c>
      <c r="X276" s="18" t="str">
        <f t="shared" ca="1" si="23"/>
        <v>бежевый / красный</v>
      </c>
      <c r="Y276" s="18" t="str">
        <f t="shared" ca="1" si="24"/>
        <v>бежевый / красный</v>
      </c>
      <c r="Z276" s="117" t="s">
        <v>28</v>
      </c>
      <c r="AA276" s="73" t="str">
        <f ca="1"/>
        <v>95-006-04-60</v>
      </c>
      <c r="AB276" s="75" t="str">
        <f ca="1">VLOOKUP(C276,Группа!A:B,2,FALSE)</f>
        <v>Кепка</v>
      </c>
      <c r="AC276" s="97" t="str">
        <f ca="1">IFERROR(VLOOKUP(S276,Размеры!A:C,3,FALSE),"")</f>
        <v>60 L/XL</v>
      </c>
      <c r="AD276" s="97" t="str">
        <f ca="1">VLOOKUP(I276,ЦветПолный!A:B,2,FALSE)</f>
        <v>04</v>
      </c>
      <c r="AE276" s="97" t="str">
        <f ca="1">IFERROR(VLOOKUP(S276,Размеры!A:D,4,FALSE),"")</f>
        <v>60</v>
      </c>
      <c r="AF276" s="97">
        <f ca="1">IF(LEFT(IFERROR(VLOOKUP(LOOKUP(2,1/SEARCH(B276,Товары!A:A),Товары!A:A),Товары!A:B,2,0),""),6)=MID(AA276,1,6),1,0)</f>
        <v>0</v>
      </c>
      <c r="AH276" s="97">
        <f ca="1">SUMIF(Группа!A:A,C276,Группа!C:C)</f>
        <v>1</v>
      </c>
      <c r="AI276" s="97">
        <f ca="1">SUMIF(Группа!B:B,AB276,Группа!C:C)</f>
        <v>1</v>
      </c>
      <c r="AJ276" s="97">
        <f ca="1">SUMIF(Формы!A:A,D276,Формы!B:B)</f>
        <v>1</v>
      </c>
      <c r="AK276" s="97">
        <f ca="1">SUMIF(Материал!A:A,K276,Материал!B:B)</f>
        <v>1</v>
      </c>
      <c r="AL276" s="97">
        <f ca="1">SUMIF(Размеры!A:A,S276,Размеры!E:E)</f>
        <v>1</v>
      </c>
      <c r="AM276" s="97">
        <f ca="1">SUMIF(Сезон!A:A,F276,Сезон!B:B)</f>
        <v>1</v>
      </c>
      <c r="AN276" s="97">
        <f ca="1">SUMIF(Состав!A:A,J276,Состав!B:B)</f>
        <v>0</v>
      </c>
      <c r="AO276" s="97">
        <f ca="1">VLOOKUP(I276,ЦветПолный!A:C,3,0)</f>
        <v>1</v>
      </c>
      <c r="AP276" s="97">
        <f>SUMIF(Цвет!A:A,Z276,Цвет!B:B)</f>
        <v>1</v>
      </c>
      <c r="AQ276" s="97">
        <f ca="1">_xlfn.XLOOKUP(L276,Пол!A:A,Пол!B:B,0,0)</f>
        <v>1</v>
      </c>
      <c r="AR276" s="97">
        <f ca="1">SUMIF(Бренд!A:A,G276,Бренд!B:B)</f>
        <v>1</v>
      </c>
      <c r="AS276" s="97">
        <f ca="1">SUMIF(Страна!A:A,M276,Страна!B:B)</f>
        <v>1</v>
      </c>
      <c r="AT276" s="64" t="e">
        <f ca="1">IF(VLOOKUP(W276,Товары!A:B,2,FALSE)=A276,"Есть в 1С","ERR")</f>
        <v>#N/A</v>
      </c>
      <c r="AU276" s="65" t="e">
        <f ca="1">IF(VLOOKUP(A276,Товары!B:B,1,FALSE)=A276,"Есть в 1С","ERR")</f>
        <v>#N/A</v>
      </c>
      <c r="AV276" s="96" t="e">
        <f ca="1">VLOOKUP(W276,Товары!A:B,2,FALSE)</f>
        <v>#N/A</v>
      </c>
      <c r="AW276" s="94" t="e">
        <f ca="1">VLOOKUP(W276,Товары!A:B,1,FALSE)</f>
        <v>#N/A</v>
      </c>
    </row>
    <row r="277" spans="1:49" x14ac:dyDescent="0.25">
      <c r="A277" s="110" t="str">
        <f t="shared" ca="1" si="20"/>
        <v>95-006-04</v>
      </c>
      <c r="B277" s="107" t="str">
        <f ca="1">_xlfn.LET(_xlpm.CAPS,0,_xlpm.Style,TRIM(_xlfn.XLOOKUP($A277,Строчный!$A:$A,Строчный!B:B,"ERR",0)),IF(_xlpm.CAPS=0,_xlpm.Style,LOWER(_xlpm.Style)))</f>
        <v>3147</v>
      </c>
      <c r="C277" s="81" t="str">
        <f ca="1">TRIM(PROPER(_xlfn.XLOOKUP($A277,Строчный!$A:$A,Строчный!C:C,"ERR",0)))</f>
        <v>Кепки</v>
      </c>
      <c r="D277" s="81" t="str">
        <f ca="1">_xlfn.LET(_xlpm.DATA,TRIM(_xlfn.XLOOKUP($A277,Строчный!$A:$A,Строчный!D:D,"ERR",0)),UPPER(MID(_xlpm.DATA,1,1))&amp;LOWER(MID(_xlpm.DATA,2,LEN(_xlpm.DATA)-1)))</f>
        <v>Кепка шестиклинка</v>
      </c>
      <c r="E277" s="81" t="str">
        <f ca="1">PROPER(TRIM(_xlfn.XLOOKUP($A277,Строчный!$A:$A,Строчный!E:E,"ERR",0)))</f>
        <v>Fredrikson</v>
      </c>
      <c r="F277" s="81" t="str">
        <f ca="1">LOWER(TRIM(_xlfn.XLOOKUP($A277,Строчный!$A:$A,Строчный!F:F,"ERR",0)))</f>
        <v>всесезон</v>
      </c>
      <c r="G277" s="81" t="str">
        <f ca="1">UPPER(TRIM(_xlfn.XLOOKUP($A277,Строчный!$A:$A,Строчный!G:G,"ERR",0)))</f>
        <v>FREDRIKSON</v>
      </c>
      <c r="H277" s="81" t="str">
        <f ca="1">LOWER(TRIM(_xlfn.XLOOKUP($A277,Строчный!$A:$A,Строчный!H:H,"ERR",0)))</f>
        <v>608/53</v>
      </c>
      <c r="I277" s="81" t="str">
        <f ca="1">LOWER(TRIM(_xlfn.XLOOKUP($A277,Строчный!$A:$A,Строчный!I:I,"ERR",0)))</f>
        <v>светло-бежевый / красный</v>
      </c>
      <c r="J277" s="81" t="str">
        <f ca="1">SUBSTITUTE(LOWER(TRIM(_xlfn.XLOOKUP($A277,Строчный!$A:$A,Строчный!J:J,"ERR",0))),"подклад","Подклад")</f>
        <v>80% шерсть - 20% полиамид / Подклад: 100% вискоза</v>
      </c>
      <c r="K277" s="81" t="str">
        <f ca="1">LOWER(TRIM(_xlfn.XLOOKUP($A277,Строчный!$A:$A,Строчный!K:K,"ERR",0)))</f>
        <v>шерстяные</v>
      </c>
      <c r="L277" s="81" t="str">
        <f ca="1">PROPER(TRIM(_xlfn.XLOOKUP($A277,Строчный!$A:$A,Строчный!L:L,"ERR",0)))</f>
        <v>Унисекс</v>
      </c>
      <c r="M277" s="113" t="str">
        <f ca="1">PROPER(TRIM(_xlfn.XLOOKUP($A277,Строчный!$A:$A,Строчный!M:M,"ERR",0)))</f>
        <v>Россия</v>
      </c>
      <c r="N277" s="81" t="str">
        <f ca="1">UPPER(TRIM(_xlfn.XLOOKUP($A277,Строчный!$A:$A,Строчный!O:O,"ERR",0)))</f>
        <v/>
      </c>
      <c r="O277" s="102" t="str">
        <f ca="1">PROPER(TRIM(_xlfn.XLOOKUP($A277,Строчный!$A:$A,Строчный!P:P,"ERR",0)))</f>
        <v/>
      </c>
      <c r="P277" s="81" t="str">
        <f ca="1">PROPER(TRIM(_xlfn.XLOOKUP($A277,Строчный!$A:$A,Строчный!R:R,"ERR",0)))</f>
        <v/>
      </c>
      <c r="Q277" s="90">
        <f ca="1">VALUE(_xlfn.XLOOKUP($A277,Строчный!$A:$A,Строчный!N:N,"ERR",0))</f>
        <v>975.8</v>
      </c>
      <c r="R277" s="89" t="str">
        <f ca="1">_xlfn.XLOOKUP($G277,Фабрика!A:A,Фабрика!B:B,"ERR",0)</f>
        <v>ООО "ФРЭДРИКСОН" Россия 192029, С-Петербург, пр. Обуховской обороны, д.86, лит М</v>
      </c>
      <c r="S277" s="80" t="str">
        <f ca="1">_xlfn.XLOOKUP(RIGHT(AA277,2),Размеры!D:D,Размеры!A:A,"ERR",0)</f>
        <v>59</v>
      </c>
      <c r="T277" s="80">
        <f ca="1">VALUE(_xlfn.XLOOKUP($AA277,Строчный!$S:$S,Строчный!U:U,"ERR",0))</f>
        <v>3</v>
      </c>
      <c r="U277" s="14" t="s">
        <v>265</v>
      </c>
      <c r="V277" s="101" t="str">
        <f t="shared" ca="1" si="21"/>
        <v>Кепка FREDRIKSON арт. 3147 (светло-бежевый / красный)</v>
      </c>
      <c r="W277" s="100" t="str">
        <f t="shared" ca="1" si="22"/>
        <v>Кепка FREDRIKSON арт. 3147 (светло-бежевый / красный) {608/53}</v>
      </c>
      <c r="X277" s="18" t="str">
        <f t="shared" ca="1" si="23"/>
        <v>бежевый / красный</v>
      </c>
      <c r="Y277" s="18" t="str">
        <f t="shared" ca="1" si="24"/>
        <v>бежевый / красный</v>
      </c>
      <c r="Z277" s="117" t="s">
        <v>28</v>
      </c>
      <c r="AA277" s="73" t="str">
        <f ca="1"/>
        <v>95-006-04-59</v>
      </c>
      <c r="AB277" s="75" t="str">
        <f ca="1">VLOOKUP(C277,Группа!A:B,2,FALSE)</f>
        <v>Кепка</v>
      </c>
      <c r="AC277" s="97" t="str">
        <f ca="1">IFERROR(VLOOKUP(S277,Размеры!A:C,3,FALSE),"")</f>
        <v>59 L</v>
      </c>
      <c r="AD277" s="97" t="str">
        <f ca="1">VLOOKUP(I277,ЦветПолный!A:B,2,FALSE)</f>
        <v>04</v>
      </c>
      <c r="AE277" s="97" t="str">
        <f ca="1">IFERROR(VLOOKUP(S277,Размеры!A:D,4,FALSE),"")</f>
        <v>59</v>
      </c>
      <c r="AF277" s="97">
        <f ca="1">IF(LEFT(IFERROR(VLOOKUP(LOOKUP(2,1/SEARCH(B277,Товары!A:A),Товары!A:A),Товары!A:B,2,0),""),6)=MID(AA277,1,6),1,0)</f>
        <v>0</v>
      </c>
      <c r="AH277" s="97">
        <f ca="1">SUMIF(Группа!A:A,C277,Группа!C:C)</f>
        <v>1</v>
      </c>
      <c r="AI277" s="97">
        <f ca="1">SUMIF(Группа!B:B,AB277,Группа!C:C)</f>
        <v>1</v>
      </c>
      <c r="AJ277" s="97">
        <f ca="1">SUMIF(Формы!A:A,D277,Формы!B:B)</f>
        <v>1</v>
      </c>
      <c r="AK277" s="97">
        <f ca="1">SUMIF(Материал!A:A,K277,Материал!B:B)</f>
        <v>1</v>
      </c>
      <c r="AL277" s="97">
        <f ca="1">SUMIF(Размеры!A:A,S277,Размеры!E:E)</f>
        <v>1</v>
      </c>
      <c r="AM277" s="97">
        <f ca="1">SUMIF(Сезон!A:A,F277,Сезон!B:B)</f>
        <v>1</v>
      </c>
      <c r="AN277" s="97">
        <f ca="1">SUMIF(Состав!A:A,J277,Состав!B:B)</f>
        <v>0</v>
      </c>
      <c r="AO277" s="97">
        <f ca="1">VLOOKUP(I277,ЦветПолный!A:C,3,0)</f>
        <v>1</v>
      </c>
      <c r="AP277" s="97">
        <f>SUMIF(Цвет!A:A,Z277,Цвет!B:B)</f>
        <v>1</v>
      </c>
      <c r="AQ277" s="97">
        <f ca="1">_xlfn.XLOOKUP(L277,Пол!A:A,Пол!B:B,0,0)</f>
        <v>1</v>
      </c>
      <c r="AR277" s="97">
        <f ca="1">SUMIF(Бренд!A:A,G277,Бренд!B:B)</f>
        <v>1</v>
      </c>
      <c r="AS277" s="97">
        <f ca="1">SUMIF(Страна!A:A,M277,Страна!B:B)</f>
        <v>1</v>
      </c>
      <c r="AT277" s="64" t="e">
        <f ca="1">IF(VLOOKUP(W277,Товары!A:B,2,FALSE)=A277,"Есть в 1С","ERR")</f>
        <v>#N/A</v>
      </c>
      <c r="AU277" s="65" t="e">
        <f ca="1">IF(VLOOKUP(A277,Товары!B:B,1,FALSE)=A277,"Есть в 1С","ERR")</f>
        <v>#N/A</v>
      </c>
      <c r="AV277" s="96" t="e">
        <f ca="1">VLOOKUP(W277,Товары!A:B,2,FALSE)</f>
        <v>#N/A</v>
      </c>
      <c r="AW277" s="94" t="e">
        <f ca="1">VLOOKUP(W277,Товары!A:B,1,FALSE)</f>
        <v>#N/A</v>
      </c>
    </row>
    <row r="278" spans="1:49" x14ac:dyDescent="0.25">
      <c r="A278" s="110" t="str">
        <f t="shared" ca="1" si="20"/>
        <v>95-006-04</v>
      </c>
      <c r="B278" s="107" t="str">
        <f ca="1">_xlfn.LET(_xlpm.CAPS,0,_xlpm.Style,TRIM(_xlfn.XLOOKUP($A278,Строчный!$A:$A,Строчный!B:B,"ERR",0)),IF(_xlpm.CAPS=0,_xlpm.Style,LOWER(_xlpm.Style)))</f>
        <v>3147</v>
      </c>
      <c r="C278" s="81" t="str">
        <f ca="1">TRIM(PROPER(_xlfn.XLOOKUP($A278,Строчный!$A:$A,Строчный!C:C,"ERR",0)))</f>
        <v>Кепки</v>
      </c>
      <c r="D278" s="81" t="str">
        <f ca="1">_xlfn.LET(_xlpm.DATA,TRIM(_xlfn.XLOOKUP($A278,Строчный!$A:$A,Строчный!D:D,"ERR",0)),UPPER(MID(_xlpm.DATA,1,1))&amp;LOWER(MID(_xlpm.DATA,2,LEN(_xlpm.DATA)-1)))</f>
        <v>Кепка шестиклинка</v>
      </c>
      <c r="E278" s="81" t="str">
        <f ca="1">PROPER(TRIM(_xlfn.XLOOKUP($A278,Строчный!$A:$A,Строчный!E:E,"ERR",0)))</f>
        <v>Fredrikson</v>
      </c>
      <c r="F278" s="81" t="str">
        <f ca="1">LOWER(TRIM(_xlfn.XLOOKUP($A278,Строчный!$A:$A,Строчный!F:F,"ERR",0)))</f>
        <v>всесезон</v>
      </c>
      <c r="G278" s="81" t="str">
        <f ca="1">UPPER(TRIM(_xlfn.XLOOKUP($A278,Строчный!$A:$A,Строчный!G:G,"ERR",0)))</f>
        <v>FREDRIKSON</v>
      </c>
      <c r="H278" s="81" t="str">
        <f ca="1">LOWER(TRIM(_xlfn.XLOOKUP($A278,Строчный!$A:$A,Строчный!H:H,"ERR",0)))</f>
        <v>608/53</v>
      </c>
      <c r="I278" s="81" t="str">
        <f ca="1">LOWER(TRIM(_xlfn.XLOOKUP($A278,Строчный!$A:$A,Строчный!I:I,"ERR",0)))</f>
        <v>светло-бежевый / красный</v>
      </c>
      <c r="J278" s="81" t="str">
        <f ca="1">SUBSTITUTE(LOWER(TRIM(_xlfn.XLOOKUP($A278,Строчный!$A:$A,Строчный!J:J,"ERR",0))),"подклад","Подклад")</f>
        <v>80% шерсть - 20% полиамид / Подклад: 100% вискоза</v>
      </c>
      <c r="K278" s="81" t="str">
        <f ca="1">LOWER(TRIM(_xlfn.XLOOKUP($A278,Строчный!$A:$A,Строчный!K:K,"ERR",0)))</f>
        <v>шерстяные</v>
      </c>
      <c r="L278" s="81" t="str">
        <f ca="1">PROPER(TRIM(_xlfn.XLOOKUP($A278,Строчный!$A:$A,Строчный!L:L,"ERR",0)))</f>
        <v>Унисекс</v>
      </c>
      <c r="M278" s="113" t="str">
        <f ca="1">PROPER(TRIM(_xlfn.XLOOKUP($A278,Строчный!$A:$A,Строчный!M:M,"ERR",0)))</f>
        <v>Россия</v>
      </c>
      <c r="N278" s="81" t="str">
        <f ca="1">UPPER(TRIM(_xlfn.XLOOKUP($A278,Строчный!$A:$A,Строчный!O:O,"ERR",0)))</f>
        <v/>
      </c>
      <c r="O278" s="102" t="str">
        <f ca="1">PROPER(TRIM(_xlfn.XLOOKUP($A278,Строчный!$A:$A,Строчный!P:P,"ERR",0)))</f>
        <v/>
      </c>
      <c r="P278" s="81" t="str">
        <f ca="1">PROPER(TRIM(_xlfn.XLOOKUP($A278,Строчный!$A:$A,Строчный!R:R,"ERR",0)))</f>
        <v/>
      </c>
      <c r="Q278" s="90">
        <f ca="1">VALUE(_xlfn.XLOOKUP($A278,Строчный!$A:$A,Строчный!N:N,"ERR",0))</f>
        <v>975.8</v>
      </c>
      <c r="R278" s="89" t="str">
        <f ca="1">_xlfn.XLOOKUP($G278,Фабрика!A:A,Фабрика!B:B,"ERR",0)</f>
        <v>ООО "ФРЭДРИКСОН" Россия 192029, С-Петербург, пр. Обуховской обороны, д.86, лит М</v>
      </c>
      <c r="S278" s="80" t="str">
        <f ca="1">_xlfn.XLOOKUP(RIGHT(AA278,2),Размеры!D:D,Размеры!A:A,"ERR",0)</f>
        <v>58</v>
      </c>
      <c r="T278" s="80">
        <f ca="1">VALUE(_xlfn.XLOOKUP($AA278,Строчный!$S:$S,Строчный!U:U,"ERR",0))</f>
        <v>2</v>
      </c>
      <c r="U278" s="14" t="s">
        <v>265</v>
      </c>
      <c r="V278" s="101" t="str">
        <f t="shared" ca="1" si="21"/>
        <v>Кепка FREDRIKSON арт. 3147 (светло-бежевый / красный)</v>
      </c>
      <c r="W278" s="100" t="str">
        <f t="shared" ca="1" si="22"/>
        <v>Кепка FREDRIKSON арт. 3147 (светло-бежевый / красный) {608/53}</v>
      </c>
      <c r="X278" s="18" t="str">
        <f t="shared" ca="1" si="23"/>
        <v>бежевый / красный</v>
      </c>
      <c r="Y278" s="18" t="str">
        <f t="shared" ca="1" si="24"/>
        <v>бежевый / красный</v>
      </c>
      <c r="Z278" s="117" t="s">
        <v>28</v>
      </c>
      <c r="AA278" s="73" t="str">
        <f ca="1"/>
        <v>95-006-04-58</v>
      </c>
      <c r="AB278" s="75" t="str">
        <f ca="1">VLOOKUP(C278,Группа!A:B,2,FALSE)</f>
        <v>Кепка</v>
      </c>
      <c r="AC278" s="97" t="str">
        <f ca="1">IFERROR(VLOOKUP(S278,Размеры!A:C,3,FALSE),"")</f>
        <v>58 M/L</v>
      </c>
      <c r="AD278" s="97" t="str">
        <f ca="1">VLOOKUP(I278,ЦветПолный!A:B,2,FALSE)</f>
        <v>04</v>
      </c>
      <c r="AE278" s="97" t="str">
        <f ca="1">IFERROR(VLOOKUP(S278,Размеры!A:D,4,FALSE),"")</f>
        <v>58</v>
      </c>
      <c r="AF278" s="97">
        <f ca="1">IF(LEFT(IFERROR(VLOOKUP(LOOKUP(2,1/SEARCH(B278,Товары!A:A),Товары!A:A),Товары!A:B,2,0),""),6)=MID(AA278,1,6),1,0)</f>
        <v>0</v>
      </c>
      <c r="AH278" s="97">
        <f ca="1">SUMIF(Группа!A:A,C278,Группа!C:C)</f>
        <v>1</v>
      </c>
      <c r="AI278" s="97">
        <f ca="1">SUMIF(Группа!B:B,AB278,Группа!C:C)</f>
        <v>1</v>
      </c>
      <c r="AJ278" s="97">
        <f ca="1">SUMIF(Формы!A:A,D278,Формы!B:B)</f>
        <v>1</v>
      </c>
      <c r="AK278" s="97">
        <f ca="1">SUMIF(Материал!A:A,K278,Материал!B:B)</f>
        <v>1</v>
      </c>
      <c r="AL278" s="97">
        <f ca="1">SUMIF(Размеры!A:A,S278,Размеры!E:E)</f>
        <v>1</v>
      </c>
      <c r="AM278" s="97">
        <f ca="1">SUMIF(Сезон!A:A,F278,Сезон!B:B)</f>
        <v>1</v>
      </c>
      <c r="AN278" s="97">
        <f ca="1">SUMIF(Состав!A:A,J278,Состав!B:B)</f>
        <v>0</v>
      </c>
      <c r="AO278" s="97">
        <f ca="1">VLOOKUP(I278,ЦветПолный!A:C,3,0)</f>
        <v>1</v>
      </c>
      <c r="AP278" s="97">
        <f>SUMIF(Цвет!A:A,Z278,Цвет!B:B)</f>
        <v>1</v>
      </c>
      <c r="AQ278" s="97">
        <f ca="1">_xlfn.XLOOKUP(L278,Пол!A:A,Пол!B:B,0,0)</f>
        <v>1</v>
      </c>
      <c r="AR278" s="97">
        <f ca="1">SUMIF(Бренд!A:A,G278,Бренд!B:B)</f>
        <v>1</v>
      </c>
      <c r="AS278" s="97">
        <f ca="1">SUMIF(Страна!A:A,M278,Страна!B:B)</f>
        <v>1</v>
      </c>
      <c r="AT278" s="64" t="e">
        <f ca="1">IF(VLOOKUP(W278,Товары!A:B,2,FALSE)=A278,"Есть в 1С","ERR")</f>
        <v>#N/A</v>
      </c>
      <c r="AU278" s="65" t="e">
        <f ca="1">IF(VLOOKUP(A278,Товары!B:B,1,FALSE)=A278,"Есть в 1С","ERR")</f>
        <v>#N/A</v>
      </c>
      <c r="AV278" s="96" t="e">
        <f ca="1">VLOOKUP(W278,Товары!A:B,2,FALSE)</f>
        <v>#N/A</v>
      </c>
      <c r="AW278" s="94" t="e">
        <f ca="1">VLOOKUP(W278,Товары!A:B,1,FALSE)</f>
        <v>#N/A</v>
      </c>
    </row>
    <row r="279" spans="1:49" x14ac:dyDescent="0.25">
      <c r="A279" s="110" t="str">
        <f t="shared" ca="1" si="20"/>
        <v>95-006-04</v>
      </c>
      <c r="B279" s="107" t="str">
        <f ca="1">_xlfn.LET(_xlpm.CAPS,0,_xlpm.Style,TRIM(_xlfn.XLOOKUP($A279,Строчный!$A:$A,Строчный!B:B,"ERR",0)),IF(_xlpm.CAPS=0,_xlpm.Style,LOWER(_xlpm.Style)))</f>
        <v>3147</v>
      </c>
      <c r="C279" s="81" t="str">
        <f ca="1">TRIM(PROPER(_xlfn.XLOOKUP($A279,Строчный!$A:$A,Строчный!C:C,"ERR",0)))</f>
        <v>Кепки</v>
      </c>
      <c r="D279" s="81" t="str">
        <f ca="1">_xlfn.LET(_xlpm.DATA,TRIM(_xlfn.XLOOKUP($A279,Строчный!$A:$A,Строчный!D:D,"ERR",0)),UPPER(MID(_xlpm.DATA,1,1))&amp;LOWER(MID(_xlpm.DATA,2,LEN(_xlpm.DATA)-1)))</f>
        <v>Кепка шестиклинка</v>
      </c>
      <c r="E279" s="81" t="str">
        <f ca="1">PROPER(TRIM(_xlfn.XLOOKUP($A279,Строчный!$A:$A,Строчный!E:E,"ERR",0)))</f>
        <v>Fredrikson</v>
      </c>
      <c r="F279" s="81" t="str">
        <f ca="1">LOWER(TRIM(_xlfn.XLOOKUP($A279,Строчный!$A:$A,Строчный!F:F,"ERR",0)))</f>
        <v>всесезон</v>
      </c>
      <c r="G279" s="81" t="str">
        <f ca="1">UPPER(TRIM(_xlfn.XLOOKUP($A279,Строчный!$A:$A,Строчный!G:G,"ERR",0)))</f>
        <v>FREDRIKSON</v>
      </c>
      <c r="H279" s="81" t="str">
        <f ca="1">LOWER(TRIM(_xlfn.XLOOKUP($A279,Строчный!$A:$A,Строчный!H:H,"ERR",0)))</f>
        <v>608/53</v>
      </c>
      <c r="I279" s="81" t="str">
        <f ca="1">LOWER(TRIM(_xlfn.XLOOKUP($A279,Строчный!$A:$A,Строчный!I:I,"ERR",0)))</f>
        <v>светло-бежевый / красный</v>
      </c>
      <c r="J279" s="81" t="str">
        <f ca="1">SUBSTITUTE(LOWER(TRIM(_xlfn.XLOOKUP($A279,Строчный!$A:$A,Строчный!J:J,"ERR",0))),"подклад","Подклад")</f>
        <v>80% шерсть - 20% полиамид / Подклад: 100% вискоза</v>
      </c>
      <c r="K279" s="81" t="str">
        <f ca="1">LOWER(TRIM(_xlfn.XLOOKUP($A279,Строчный!$A:$A,Строчный!K:K,"ERR",0)))</f>
        <v>шерстяные</v>
      </c>
      <c r="L279" s="81" t="str">
        <f ca="1">PROPER(TRIM(_xlfn.XLOOKUP($A279,Строчный!$A:$A,Строчный!L:L,"ERR",0)))</f>
        <v>Унисекс</v>
      </c>
      <c r="M279" s="113" t="str">
        <f ca="1">PROPER(TRIM(_xlfn.XLOOKUP($A279,Строчный!$A:$A,Строчный!M:M,"ERR",0)))</f>
        <v>Россия</v>
      </c>
      <c r="N279" s="81" t="str">
        <f ca="1">UPPER(TRIM(_xlfn.XLOOKUP($A279,Строчный!$A:$A,Строчный!O:O,"ERR",0)))</f>
        <v/>
      </c>
      <c r="O279" s="102" t="str">
        <f ca="1">PROPER(TRIM(_xlfn.XLOOKUP($A279,Строчный!$A:$A,Строчный!P:P,"ERR",0)))</f>
        <v/>
      </c>
      <c r="P279" s="81" t="str">
        <f ca="1">PROPER(TRIM(_xlfn.XLOOKUP($A279,Строчный!$A:$A,Строчный!R:R,"ERR",0)))</f>
        <v/>
      </c>
      <c r="Q279" s="90">
        <f ca="1">VALUE(_xlfn.XLOOKUP($A279,Строчный!$A:$A,Строчный!N:N,"ERR",0))</f>
        <v>975.8</v>
      </c>
      <c r="R279" s="89" t="str">
        <f ca="1">_xlfn.XLOOKUP($G279,Фабрика!A:A,Фабрика!B:B,"ERR",0)</f>
        <v>ООО "ФРЭДРИКСОН" Россия 192029, С-Петербург, пр. Обуховской обороны, д.86, лит М</v>
      </c>
      <c r="S279" s="80" t="str">
        <f ca="1">_xlfn.XLOOKUP(RIGHT(AA279,2),Размеры!D:D,Размеры!A:A,"ERR",0)</f>
        <v>57</v>
      </c>
      <c r="T279" s="80">
        <f ca="1">VALUE(_xlfn.XLOOKUP($AA279,Строчный!$S:$S,Строчный!U:U,"ERR",0))</f>
        <v>1</v>
      </c>
      <c r="U279" s="14" t="s">
        <v>265</v>
      </c>
      <c r="V279" s="101" t="str">
        <f t="shared" ca="1" si="21"/>
        <v>Кепка FREDRIKSON арт. 3147 (светло-бежевый / красный)</v>
      </c>
      <c r="W279" s="100" t="str">
        <f t="shared" ca="1" si="22"/>
        <v>Кепка FREDRIKSON арт. 3147 (светло-бежевый / красный) {608/53}</v>
      </c>
      <c r="X279" s="18" t="str">
        <f t="shared" ca="1" si="23"/>
        <v>бежевый / красный</v>
      </c>
      <c r="Y279" s="18" t="str">
        <f t="shared" ca="1" si="24"/>
        <v>бежевый / красный</v>
      </c>
      <c r="Z279" s="117" t="s">
        <v>28</v>
      </c>
      <c r="AA279" s="73" t="str">
        <f ca="1"/>
        <v>95-006-04-57</v>
      </c>
      <c r="AB279" s="75" t="str">
        <f ca="1">VLOOKUP(C279,Группа!A:B,2,FALSE)</f>
        <v>Кепка</v>
      </c>
      <c r="AC279" s="97" t="str">
        <f ca="1">IFERROR(VLOOKUP(S279,Размеры!A:C,3,FALSE),"")</f>
        <v>57 M</v>
      </c>
      <c r="AD279" s="97" t="str">
        <f ca="1">VLOOKUP(I279,ЦветПолный!A:B,2,FALSE)</f>
        <v>04</v>
      </c>
      <c r="AE279" s="97" t="str">
        <f ca="1">IFERROR(VLOOKUP(S279,Размеры!A:D,4,FALSE),"")</f>
        <v>57</v>
      </c>
      <c r="AF279" s="97">
        <f ca="1">IF(LEFT(IFERROR(VLOOKUP(LOOKUP(2,1/SEARCH(B279,Товары!A:A),Товары!A:A),Товары!A:B,2,0),""),6)=MID(AA279,1,6),1,0)</f>
        <v>0</v>
      </c>
      <c r="AH279" s="97">
        <f ca="1">SUMIF(Группа!A:A,C279,Группа!C:C)</f>
        <v>1</v>
      </c>
      <c r="AI279" s="97">
        <f ca="1">SUMIF(Группа!B:B,AB279,Группа!C:C)</f>
        <v>1</v>
      </c>
      <c r="AJ279" s="97">
        <f ca="1">SUMIF(Формы!A:A,D279,Формы!B:B)</f>
        <v>1</v>
      </c>
      <c r="AK279" s="97">
        <f ca="1">SUMIF(Материал!A:A,K279,Материал!B:B)</f>
        <v>1</v>
      </c>
      <c r="AL279" s="97">
        <f ca="1">SUMIF(Размеры!A:A,S279,Размеры!E:E)</f>
        <v>1</v>
      </c>
      <c r="AM279" s="97">
        <f ca="1">SUMIF(Сезон!A:A,F279,Сезон!B:B)</f>
        <v>1</v>
      </c>
      <c r="AN279" s="97">
        <f ca="1">SUMIF(Состав!A:A,J279,Состав!B:B)</f>
        <v>0</v>
      </c>
      <c r="AO279" s="97">
        <f ca="1">VLOOKUP(I279,ЦветПолный!A:C,3,0)</f>
        <v>1</v>
      </c>
      <c r="AP279" s="97">
        <f>SUMIF(Цвет!A:A,Z279,Цвет!B:B)</f>
        <v>1</v>
      </c>
      <c r="AQ279" s="97">
        <f ca="1">_xlfn.XLOOKUP(L279,Пол!A:A,Пол!B:B,0,0)</f>
        <v>1</v>
      </c>
      <c r="AR279" s="97">
        <f ca="1">SUMIF(Бренд!A:A,G279,Бренд!B:B)</f>
        <v>1</v>
      </c>
      <c r="AS279" s="97">
        <f ca="1">SUMIF(Страна!A:A,M279,Страна!B:B)</f>
        <v>1</v>
      </c>
      <c r="AT279" s="64" t="e">
        <f ca="1">IF(VLOOKUP(W279,Товары!A:B,2,FALSE)=A279,"Есть в 1С","ERR")</f>
        <v>#N/A</v>
      </c>
      <c r="AU279" s="65" t="e">
        <f ca="1">IF(VLOOKUP(A279,Товары!B:B,1,FALSE)=A279,"Есть в 1С","ERR")</f>
        <v>#N/A</v>
      </c>
      <c r="AV279" s="96" t="e">
        <f ca="1">VLOOKUP(W279,Товары!A:B,2,FALSE)</f>
        <v>#N/A</v>
      </c>
      <c r="AW279" s="94" t="e">
        <f ca="1">VLOOKUP(W279,Товары!A:B,1,FALSE)</f>
        <v>#N/A</v>
      </c>
    </row>
    <row r="280" spans="1:49" x14ac:dyDescent="0.25">
      <c r="A280" s="110" t="str">
        <f t="shared" ca="1" si="20"/>
        <v>95-005-86</v>
      </c>
      <c r="B280" s="107" t="str">
        <f ca="1">_xlfn.LET(_xlpm.CAPS,0,_xlpm.Style,TRIM(_xlfn.XLOOKUP($A280,Строчный!$A:$A,Строчный!B:B,"ERR",0)),IF(_xlpm.CAPS=0,_xlpm.Style,LOWER(_xlpm.Style)))</f>
        <v>3109</v>
      </c>
      <c r="C280" s="81" t="str">
        <f ca="1">TRIM(PROPER(_xlfn.XLOOKUP($A280,Строчный!$A:$A,Строчный!C:C,"ERR",0)))</f>
        <v>Кепки</v>
      </c>
      <c r="D280" s="81" t="str">
        <f ca="1">_xlfn.LET(_xlpm.DATA,TRIM(_xlfn.XLOOKUP($A280,Строчный!$A:$A,Строчный!D:D,"ERR",0)),UPPER(MID(_xlpm.DATA,1,1))&amp;LOWER(MID(_xlpm.DATA,2,LEN(_xlpm.DATA)-1)))</f>
        <v>Кепка восьмиклинка</v>
      </c>
      <c r="E280" s="81" t="str">
        <f ca="1">PROPER(TRIM(_xlfn.XLOOKUP($A280,Строчный!$A:$A,Строчный!E:E,"ERR",0)))</f>
        <v>Fredrikson</v>
      </c>
      <c r="F280" s="81" t="str">
        <f ca="1">LOWER(TRIM(_xlfn.XLOOKUP($A280,Строчный!$A:$A,Строчный!F:F,"ERR",0)))</f>
        <v>всесезон</v>
      </c>
      <c r="G280" s="81" t="str">
        <f ca="1">UPPER(TRIM(_xlfn.XLOOKUP($A280,Строчный!$A:$A,Строчный!G:G,"ERR",0)))</f>
        <v>FREDRIKSON</v>
      </c>
      <c r="H280" s="81" t="str">
        <f ca="1">LOWER(TRIM(_xlfn.XLOOKUP($A280,Строчный!$A:$A,Строчный!H:H,"ERR",0)))</f>
        <v>622/22</v>
      </c>
      <c r="I280" s="81" t="str">
        <f ca="1">LOWER(TRIM(_xlfn.XLOOKUP($A280,Строчный!$A:$A,Строчный!I:I,"ERR",0)))</f>
        <v>темно-синий / синий</v>
      </c>
      <c r="J280" s="81" t="str">
        <f ca="1">SUBSTITUTE(LOWER(TRIM(_xlfn.XLOOKUP($A280,Строчный!$A:$A,Строчный!J:J,"ERR",0))),"подклад","Подклад")</f>
        <v>80% шерсть - 20% полиамид / Подклад: 100% вискоза</v>
      </c>
      <c r="K280" s="81" t="str">
        <f ca="1">LOWER(TRIM(_xlfn.XLOOKUP($A280,Строчный!$A:$A,Строчный!K:K,"ERR",0)))</f>
        <v>шерстяные</v>
      </c>
      <c r="L280" s="81" t="str">
        <f ca="1">PROPER(TRIM(_xlfn.XLOOKUP($A280,Строчный!$A:$A,Строчный!L:L,"ERR",0)))</f>
        <v>Унисекс</v>
      </c>
      <c r="M280" s="113" t="str">
        <f ca="1">PROPER(TRIM(_xlfn.XLOOKUP($A280,Строчный!$A:$A,Строчный!M:M,"ERR",0)))</f>
        <v>Россия</v>
      </c>
      <c r="N280" s="81" t="str">
        <f ca="1">UPPER(TRIM(_xlfn.XLOOKUP($A280,Строчный!$A:$A,Строчный!O:O,"ERR",0)))</f>
        <v/>
      </c>
      <c r="O280" s="102" t="str">
        <f ca="1">PROPER(TRIM(_xlfn.XLOOKUP($A280,Строчный!$A:$A,Строчный!P:P,"ERR",0)))</f>
        <v/>
      </c>
      <c r="P280" s="81" t="str">
        <f ca="1">PROPER(TRIM(_xlfn.XLOOKUP($A280,Строчный!$A:$A,Строчный!R:R,"ERR",0)))</f>
        <v/>
      </c>
      <c r="Q280" s="90">
        <f ca="1">VALUE(_xlfn.XLOOKUP($A280,Строчный!$A:$A,Строчный!N:N,"ERR",0))</f>
        <v>975.8</v>
      </c>
      <c r="R280" s="89" t="str">
        <f ca="1">_xlfn.XLOOKUP($G280,Фабрика!A:A,Фабрика!B:B,"ERR",0)</f>
        <v>ООО "ФРЭДРИКСОН" Россия 192029, С-Петербург, пр. Обуховской обороны, д.86, лит М</v>
      </c>
      <c r="S280" s="80" t="str">
        <f ca="1">_xlfn.XLOOKUP(RIGHT(AA280,2),Размеры!D:D,Размеры!A:A,"ERR",0)</f>
        <v>60</v>
      </c>
      <c r="T280" s="80">
        <f ca="1">VALUE(_xlfn.XLOOKUP($AA280,Строчный!$S:$S,Строчный!U:U,"ERR",0))</f>
        <v>5</v>
      </c>
      <c r="U280" s="14" t="s">
        <v>265</v>
      </c>
      <c r="V280" s="101" t="str">
        <f t="shared" ca="1" si="21"/>
        <v>Кепка FREDRIKSON арт. 3109 (темно-синий / синий)</v>
      </c>
      <c r="W280" s="100" t="str">
        <f t="shared" ca="1" si="22"/>
        <v>Кепка FREDRIKSON арт. 3109 (темно-синий / синий) {622/22}</v>
      </c>
      <c r="X280" s="18" t="str">
        <f t="shared" ca="1" si="23"/>
        <v>синий / синий</v>
      </c>
      <c r="Y280" s="18" t="str">
        <f t="shared" ca="1" si="24"/>
        <v>синий / синий</v>
      </c>
      <c r="Z280" s="117" t="s">
        <v>28</v>
      </c>
      <c r="AA280" s="73" t="str">
        <f ca="1"/>
        <v>95-005-86-60</v>
      </c>
      <c r="AB280" s="75" t="str">
        <f ca="1">VLOOKUP(C280,Группа!A:B,2,FALSE)</f>
        <v>Кепка</v>
      </c>
      <c r="AC280" s="97" t="str">
        <f ca="1">IFERROR(VLOOKUP(S280,Размеры!A:C,3,FALSE),"")</f>
        <v>60 L/XL</v>
      </c>
      <c r="AD280" s="97" t="str">
        <f ca="1">VLOOKUP(I280,ЦветПолный!A:B,2,FALSE)</f>
        <v>86</v>
      </c>
      <c r="AE280" s="97" t="str">
        <f ca="1">IFERROR(VLOOKUP(S280,Размеры!A:D,4,FALSE),"")</f>
        <v>60</v>
      </c>
      <c r="AF280" s="97">
        <f ca="1">IF(LEFT(IFERROR(VLOOKUP(LOOKUP(2,1/SEARCH(B280,Товары!A:A),Товары!A:A),Товары!A:B,2,0),""),6)=MID(AA280,1,6),1,0)</f>
        <v>0</v>
      </c>
      <c r="AH280" s="97">
        <f ca="1">SUMIF(Группа!A:A,C280,Группа!C:C)</f>
        <v>1</v>
      </c>
      <c r="AI280" s="97">
        <f ca="1">SUMIF(Группа!B:B,AB280,Группа!C:C)</f>
        <v>1</v>
      </c>
      <c r="AJ280" s="97">
        <f ca="1">SUMIF(Формы!A:A,D280,Формы!B:B)</f>
        <v>1</v>
      </c>
      <c r="AK280" s="97">
        <f ca="1">SUMIF(Материал!A:A,K280,Материал!B:B)</f>
        <v>1</v>
      </c>
      <c r="AL280" s="97">
        <f ca="1">SUMIF(Размеры!A:A,S280,Размеры!E:E)</f>
        <v>1</v>
      </c>
      <c r="AM280" s="97">
        <f ca="1">SUMIF(Сезон!A:A,F280,Сезон!B:B)</f>
        <v>1</v>
      </c>
      <c r="AN280" s="97">
        <f ca="1">SUMIF(Состав!A:A,J280,Состав!B:B)</f>
        <v>0</v>
      </c>
      <c r="AO280" s="97">
        <f ca="1">VLOOKUP(I280,ЦветПолный!A:C,3,0)</f>
        <v>1</v>
      </c>
      <c r="AP280" s="97">
        <f>SUMIF(Цвет!A:A,Z280,Цвет!B:B)</f>
        <v>1</v>
      </c>
      <c r="AQ280" s="97">
        <f ca="1">_xlfn.XLOOKUP(L280,Пол!A:A,Пол!B:B,0,0)</f>
        <v>1</v>
      </c>
      <c r="AR280" s="97">
        <f ca="1">SUMIF(Бренд!A:A,G280,Бренд!B:B)</f>
        <v>1</v>
      </c>
      <c r="AS280" s="97">
        <f ca="1">SUMIF(Страна!A:A,M280,Страна!B:B)</f>
        <v>1</v>
      </c>
      <c r="AT280" s="64" t="e">
        <f ca="1">IF(VLOOKUP(W280,Товары!A:B,2,FALSE)=A280,"Есть в 1С","ERR")</f>
        <v>#N/A</v>
      </c>
      <c r="AU280" s="65" t="e">
        <f ca="1">IF(VLOOKUP(A280,Товары!B:B,1,FALSE)=A280,"Есть в 1С","ERR")</f>
        <v>#N/A</v>
      </c>
      <c r="AV280" s="96" t="e">
        <f ca="1">VLOOKUP(W280,Товары!A:B,2,FALSE)</f>
        <v>#N/A</v>
      </c>
      <c r="AW280" s="94" t="e">
        <f ca="1">VLOOKUP(W280,Товары!A:B,1,FALSE)</f>
        <v>#N/A</v>
      </c>
    </row>
    <row r="281" spans="1:49" x14ac:dyDescent="0.25">
      <c r="A281" s="110" t="str">
        <f t="shared" ca="1" si="20"/>
        <v>95-005-86</v>
      </c>
      <c r="B281" s="107" t="str">
        <f ca="1">_xlfn.LET(_xlpm.CAPS,0,_xlpm.Style,TRIM(_xlfn.XLOOKUP($A281,Строчный!$A:$A,Строчный!B:B,"ERR",0)),IF(_xlpm.CAPS=0,_xlpm.Style,LOWER(_xlpm.Style)))</f>
        <v>3109</v>
      </c>
      <c r="C281" s="81" t="str">
        <f ca="1">TRIM(PROPER(_xlfn.XLOOKUP($A281,Строчный!$A:$A,Строчный!C:C,"ERR",0)))</f>
        <v>Кепки</v>
      </c>
      <c r="D281" s="81" t="str">
        <f ca="1">_xlfn.LET(_xlpm.DATA,TRIM(_xlfn.XLOOKUP($A281,Строчный!$A:$A,Строчный!D:D,"ERR",0)),UPPER(MID(_xlpm.DATA,1,1))&amp;LOWER(MID(_xlpm.DATA,2,LEN(_xlpm.DATA)-1)))</f>
        <v>Кепка восьмиклинка</v>
      </c>
      <c r="E281" s="81" t="str">
        <f ca="1">PROPER(TRIM(_xlfn.XLOOKUP($A281,Строчный!$A:$A,Строчный!E:E,"ERR",0)))</f>
        <v>Fredrikson</v>
      </c>
      <c r="F281" s="81" t="str">
        <f ca="1">LOWER(TRIM(_xlfn.XLOOKUP($A281,Строчный!$A:$A,Строчный!F:F,"ERR",0)))</f>
        <v>всесезон</v>
      </c>
      <c r="G281" s="81" t="str">
        <f ca="1">UPPER(TRIM(_xlfn.XLOOKUP($A281,Строчный!$A:$A,Строчный!G:G,"ERR",0)))</f>
        <v>FREDRIKSON</v>
      </c>
      <c r="H281" s="81" t="str">
        <f ca="1">LOWER(TRIM(_xlfn.XLOOKUP($A281,Строчный!$A:$A,Строчный!H:H,"ERR",0)))</f>
        <v>622/22</v>
      </c>
      <c r="I281" s="81" t="str">
        <f ca="1">LOWER(TRIM(_xlfn.XLOOKUP($A281,Строчный!$A:$A,Строчный!I:I,"ERR",0)))</f>
        <v>темно-синий / синий</v>
      </c>
      <c r="J281" s="81" t="str">
        <f ca="1">SUBSTITUTE(LOWER(TRIM(_xlfn.XLOOKUP($A281,Строчный!$A:$A,Строчный!J:J,"ERR",0))),"подклад","Подклад")</f>
        <v>80% шерсть - 20% полиамид / Подклад: 100% вискоза</v>
      </c>
      <c r="K281" s="81" t="str">
        <f ca="1">LOWER(TRIM(_xlfn.XLOOKUP($A281,Строчный!$A:$A,Строчный!K:K,"ERR",0)))</f>
        <v>шерстяные</v>
      </c>
      <c r="L281" s="81" t="str">
        <f ca="1">PROPER(TRIM(_xlfn.XLOOKUP($A281,Строчный!$A:$A,Строчный!L:L,"ERR",0)))</f>
        <v>Унисекс</v>
      </c>
      <c r="M281" s="113" t="str">
        <f ca="1">PROPER(TRIM(_xlfn.XLOOKUP($A281,Строчный!$A:$A,Строчный!M:M,"ERR",0)))</f>
        <v>Россия</v>
      </c>
      <c r="N281" s="81" t="str">
        <f ca="1">UPPER(TRIM(_xlfn.XLOOKUP($A281,Строчный!$A:$A,Строчный!O:O,"ERR",0)))</f>
        <v/>
      </c>
      <c r="O281" s="102" t="str">
        <f ca="1">PROPER(TRIM(_xlfn.XLOOKUP($A281,Строчный!$A:$A,Строчный!P:P,"ERR",0)))</f>
        <v/>
      </c>
      <c r="P281" s="81" t="str">
        <f ca="1">PROPER(TRIM(_xlfn.XLOOKUP($A281,Строчный!$A:$A,Строчный!R:R,"ERR",0)))</f>
        <v/>
      </c>
      <c r="Q281" s="90">
        <f ca="1">VALUE(_xlfn.XLOOKUP($A281,Строчный!$A:$A,Строчный!N:N,"ERR",0))</f>
        <v>975.8</v>
      </c>
      <c r="R281" s="89" t="str">
        <f ca="1">_xlfn.XLOOKUP($G281,Фабрика!A:A,Фабрика!B:B,"ERR",0)</f>
        <v>ООО "ФРЭДРИКСОН" Россия 192029, С-Петербург, пр. Обуховской обороны, д.86, лит М</v>
      </c>
      <c r="S281" s="80" t="str">
        <f ca="1">_xlfn.XLOOKUP(RIGHT(AA281,2),Размеры!D:D,Размеры!A:A,"ERR",0)</f>
        <v>59</v>
      </c>
      <c r="T281" s="80">
        <f ca="1">VALUE(_xlfn.XLOOKUP($AA281,Строчный!$S:$S,Строчный!U:U,"ERR",0))</f>
        <v>7</v>
      </c>
      <c r="U281" s="14" t="s">
        <v>265</v>
      </c>
      <c r="V281" s="101" t="str">
        <f t="shared" ca="1" si="21"/>
        <v>Кепка FREDRIKSON арт. 3109 (темно-синий / синий)</v>
      </c>
      <c r="W281" s="100" t="str">
        <f t="shared" ca="1" si="22"/>
        <v>Кепка FREDRIKSON арт. 3109 (темно-синий / синий) {622/22}</v>
      </c>
      <c r="X281" s="18" t="str">
        <f t="shared" ca="1" si="23"/>
        <v>синий / синий</v>
      </c>
      <c r="Y281" s="18" t="str">
        <f t="shared" ca="1" si="24"/>
        <v>синий / синий</v>
      </c>
      <c r="Z281" s="117" t="s">
        <v>28</v>
      </c>
      <c r="AA281" s="73" t="str">
        <f ca="1"/>
        <v>95-005-86-59</v>
      </c>
      <c r="AB281" s="75" t="str">
        <f ca="1">VLOOKUP(C281,Группа!A:B,2,FALSE)</f>
        <v>Кепка</v>
      </c>
      <c r="AC281" s="97" t="str">
        <f ca="1">IFERROR(VLOOKUP(S281,Размеры!A:C,3,FALSE),"")</f>
        <v>59 L</v>
      </c>
      <c r="AD281" s="97" t="str">
        <f ca="1">VLOOKUP(I281,ЦветПолный!A:B,2,FALSE)</f>
        <v>86</v>
      </c>
      <c r="AE281" s="97" t="str">
        <f ca="1">IFERROR(VLOOKUP(S281,Размеры!A:D,4,FALSE),"")</f>
        <v>59</v>
      </c>
      <c r="AF281" s="97">
        <f ca="1">IF(LEFT(IFERROR(VLOOKUP(LOOKUP(2,1/SEARCH(B281,Товары!A:A),Товары!A:A),Товары!A:B,2,0),""),6)=MID(AA281,1,6),1,0)</f>
        <v>0</v>
      </c>
      <c r="AH281" s="97">
        <f ca="1">SUMIF(Группа!A:A,C281,Группа!C:C)</f>
        <v>1</v>
      </c>
      <c r="AI281" s="97">
        <f ca="1">SUMIF(Группа!B:B,AB281,Группа!C:C)</f>
        <v>1</v>
      </c>
      <c r="AJ281" s="97">
        <f ca="1">SUMIF(Формы!A:A,D281,Формы!B:B)</f>
        <v>1</v>
      </c>
      <c r="AK281" s="97">
        <f ca="1">SUMIF(Материал!A:A,K281,Материал!B:B)</f>
        <v>1</v>
      </c>
      <c r="AL281" s="97">
        <f ca="1">SUMIF(Размеры!A:A,S281,Размеры!E:E)</f>
        <v>1</v>
      </c>
      <c r="AM281" s="97">
        <f ca="1">SUMIF(Сезон!A:A,F281,Сезон!B:B)</f>
        <v>1</v>
      </c>
      <c r="AN281" s="97">
        <f ca="1">SUMIF(Состав!A:A,J281,Состав!B:B)</f>
        <v>0</v>
      </c>
      <c r="AO281" s="97">
        <f ca="1">VLOOKUP(I281,ЦветПолный!A:C,3,0)</f>
        <v>1</v>
      </c>
      <c r="AP281" s="97">
        <f>SUMIF(Цвет!A:A,Z281,Цвет!B:B)</f>
        <v>1</v>
      </c>
      <c r="AQ281" s="97">
        <f ca="1">_xlfn.XLOOKUP(L281,Пол!A:A,Пол!B:B,0,0)</f>
        <v>1</v>
      </c>
      <c r="AR281" s="97">
        <f ca="1">SUMIF(Бренд!A:A,G281,Бренд!B:B)</f>
        <v>1</v>
      </c>
      <c r="AS281" s="97">
        <f ca="1">SUMIF(Страна!A:A,M281,Страна!B:B)</f>
        <v>1</v>
      </c>
      <c r="AT281" s="64" t="e">
        <f ca="1">IF(VLOOKUP(W281,Товары!A:B,2,FALSE)=A281,"Есть в 1С","ERR")</f>
        <v>#N/A</v>
      </c>
      <c r="AU281" s="65" t="e">
        <f ca="1">IF(VLOOKUP(A281,Товары!B:B,1,FALSE)=A281,"Есть в 1С","ERR")</f>
        <v>#N/A</v>
      </c>
      <c r="AV281" s="96" t="e">
        <f ca="1">VLOOKUP(W281,Товары!A:B,2,FALSE)</f>
        <v>#N/A</v>
      </c>
      <c r="AW281" s="94" t="e">
        <f ca="1">VLOOKUP(W281,Товары!A:B,1,FALSE)</f>
        <v>#N/A</v>
      </c>
    </row>
    <row r="282" spans="1:49" x14ac:dyDescent="0.25">
      <c r="A282" s="110" t="str">
        <f t="shared" ca="1" si="20"/>
        <v>95-005-86</v>
      </c>
      <c r="B282" s="107" t="str">
        <f ca="1">_xlfn.LET(_xlpm.CAPS,0,_xlpm.Style,TRIM(_xlfn.XLOOKUP($A282,Строчный!$A:$A,Строчный!B:B,"ERR",0)),IF(_xlpm.CAPS=0,_xlpm.Style,LOWER(_xlpm.Style)))</f>
        <v>3109</v>
      </c>
      <c r="C282" s="81" t="str">
        <f ca="1">TRIM(PROPER(_xlfn.XLOOKUP($A282,Строчный!$A:$A,Строчный!C:C,"ERR",0)))</f>
        <v>Кепки</v>
      </c>
      <c r="D282" s="81" t="str">
        <f ca="1">_xlfn.LET(_xlpm.DATA,TRIM(_xlfn.XLOOKUP($A282,Строчный!$A:$A,Строчный!D:D,"ERR",0)),UPPER(MID(_xlpm.DATA,1,1))&amp;LOWER(MID(_xlpm.DATA,2,LEN(_xlpm.DATA)-1)))</f>
        <v>Кепка восьмиклинка</v>
      </c>
      <c r="E282" s="81" t="str">
        <f ca="1">PROPER(TRIM(_xlfn.XLOOKUP($A282,Строчный!$A:$A,Строчный!E:E,"ERR",0)))</f>
        <v>Fredrikson</v>
      </c>
      <c r="F282" s="81" t="str">
        <f ca="1">LOWER(TRIM(_xlfn.XLOOKUP($A282,Строчный!$A:$A,Строчный!F:F,"ERR",0)))</f>
        <v>всесезон</v>
      </c>
      <c r="G282" s="81" t="str">
        <f ca="1">UPPER(TRIM(_xlfn.XLOOKUP($A282,Строчный!$A:$A,Строчный!G:G,"ERR",0)))</f>
        <v>FREDRIKSON</v>
      </c>
      <c r="H282" s="81" t="str">
        <f ca="1">LOWER(TRIM(_xlfn.XLOOKUP($A282,Строчный!$A:$A,Строчный!H:H,"ERR",0)))</f>
        <v>622/22</v>
      </c>
      <c r="I282" s="81" t="str">
        <f ca="1">LOWER(TRIM(_xlfn.XLOOKUP($A282,Строчный!$A:$A,Строчный!I:I,"ERR",0)))</f>
        <v>темно-синий / синий</v>
      </c>
      <c r="J282" s="81" t="str">
        <f ca="1">SUBSTITUTE(LOWER(TRIM(_xlfn.XLOOKUP($A282,Строчный!$A:$A,Строчный!J:J,"ERR",0))),"подклад","Подклад")</f>
        <v>80% шерсть - 20% полиамид / Подклад: 100% вискоза</v>
      </c>
      <c r="K282" s="81" t="str">
        <f ca="1">LOWER(TRIM(_xlfn.XLOOKUP($A282,Строчный!$A:$A,Строчный!K:K,"ERR",0)))</f>
        <v>шерстяные</v>
      </c>
      <c r="L282" s="81" t="str">
        <f ca="1">PROPER(TRIM(_xlfn.XLOOKUP($A282,Строчный!$A:$A,Строчный!L:L,"ERR",0)))</f>
        <v>Унисекс</v>
      </c>
      <c r="M282" s="113" t="str">
        <f ca="1">PROPER(TRIM(_xlfn.XLOOKUP($A282,Строчный!$A:$A,Строчный!M:M,"ERR",0)))</f>
        <v>Россия</v>
      </c>
      <c r="N282" s="81" t="str">
        <f ca="1">UPPER(TRIM(_xlfn.XLOOKUP($A282,Строчный!$A:$A,Строчный!O:O,"ERR",0)))</f>
        <v/>
      </c>
      <c r="O282" s="102" t="str">
        <f ca="1">PROPER(TRIM(_xlfn.XLOOKUP($A282,Строчный!$A:$A,Строчный!P:P,"ERR",0)))</f>
        <v/>
      </c>
      <c r="P282" s="81" t="str">
        <f ca="1">PROPER(TRIM(_xlfn.XLOOKUP($A282,Строчный!$A:$A,Строчный!R:R,"ERR",0)))</f>
        <v/>
      </c>
      <c r="Q282" s="90">
        <f ca="1">VALUE(_xlfn.XLOOKUP($A282,Строчный!$A:$A,Строчный!N:N,"ERR",0))</f>
        <v>975.8</v>
      </c>
      <c r="R282" s="89" t="str">
        <f ca="1">_xlfn.XLOOKUP($G282,Фабрика!A:A,Фабрика!B:B,"ERR",0)</f>
        <v>ООО "ФРЭДРИКСОН" Россия 192029, С-Петербург, пр. Обуховской обороны, д.86, лит М</v>
      </c>
      <c r="S282" s="80" t="str">
        <f ca="1">_xlfn.XLOOKUP(RIGHT(AA282,2),Размеры!D:D,Размеры!A:A,"ERR",0)</f>
        <v>58</v>
      </c>
      <c r="T282" s="80">
        <f ca="1">VALUE(_xlfn.XLOOKUP($AA282,Строчный!$S:$S,Строчный!U:U,"ERR",0))</f>
        <v>5</v>
      </c>
      <c r="U282" s="14" t="s">
        <v>265</v>
      </c>
      <c r="V282" s="101" t="str">
        <f t="shared" ca="1" si="21"/>
        <v>Кепка FREDRIKSON арт. 3109 (темно-синий / синий)</v>
      </c>
      <c r="W282" s="100" t="str">
        <f t="shared" ca="1" si="22"/>
        <v>Кепка FREDRIKSON арт. 3109 (темно-синий / синий) {622/22}</v>
      </c>
      <c r="X282" s="18" t="str">
        <f t="shared" ca="1" si="23"/>
        <v>синий / синий</v>
      </c>
      <c r="Y282" s="18" t="str">
        <f t="shared" ca="1" si="24"/>
        <v>синий / синий</v>
      </c>
      <c r="Z282" s="117" t="s">
        <v>28</v>
      </c>
      <c r="AA282" s="73" t="str">
        <f ca="1"/>
        <v>95-005-86-58</v>
      </c>
      <c r="AB282" s="75" t="str">
        <f ca="1">VLOOKUP(C282,Группа!A:B,2,FALSE)</f>
        <v>Кепка</v>
      </c>
      <c r="AC282" s="97" t="str">
        <f ca="1">IFERROR(VLOOKUP(S282,Размеры!A:C,3,FALSE),"")</f>
        <v>58 M/L</v>
      </c>
      <c r="AD282" s="97" t="str">
        <f ca="1">VLOOKUP(I282,ЦветПолный!A:B,2,FALSE)</f>
        <v>86</v>
      </c>
      <c r="AE282" s="97" t="str">
        <f ca="1">IFERROR(VLOOKUP(S282,Размеры!A:D,4,FALSE),"")</f>
        <v>58</v>
      </c>
      <c r="AF282" s="97">
        <f ca="1">IF(LEFT(IFERROR(VLOOKUP(LOOKUP(2,1/SEARCH(B282,Товары!A:A),Товары!A:A),Товары!A:B,2,0),""),6)=MID(AA282,1,6),1,0)</f>
        <v>0</v>
      </c>
      <c r="AH282" s="97">
        <f ca="1">SUMIF(Группа!A:A,C282,Группа!C:C)</f>
        <v>1</v>
      </c>
      <c r="AI282" s="97">
        <f ca="1">SUMIF(Группа!B:B,AB282,Группа!C:C)</f>
        <v>1</v>
      </c>
      <c r="AJ282" s="97">
        <f ca="1">SUMIF(Формы!A:A,D282,Формы!B:B)</f>
        <v>1</v>
      </c>
      <c r="AK282" s="97">
        <f ca="1">SUMIF(Материал!A:A,K282,Материал!B:B)</f>
        <v>1</v>
      </c>
      <c r="AL282" s="97">
        <f ca="1">SUMIF(Размеры!A:A,S282,Размеры!E:E)</f>
        <v>1</v>
      </c>
      <c r="AM282" s="97">
        <f ca="1">SUMIF(Сезон!A:A,F282,Сезон!B:B)</f>
        <v>1</v>
      </c>
      <c r="AN282" s="97">
        <f ca="1">SUMIF(Состав!A:A,J282,Состав!B:B)</f>
        <v>0</v>
      </c>
      <c r="AO282" s="97">
        <f ca="1">VLOOKUP(I282,ЦветПолный!A:C,3,0)</f>
        <v>1</v>
      </c>
      <c r="AP282" s="97">
        <f>SUMIF(Цвет!A:A,Z282,Цвет!B:B)</f>
        <v>1</v>
      </c>
      <c r="AQ282" s="97">
        <f ca="1">_xlfn.XLOOKUP(L282,Пол!A:A,Пол!B:B,0,0)</f>
        <v>1</v>
      </c>
      <c r="AR282" s="97">
        <f ca="1">SUMIF(Бренд!A:A,G282,Бренд!B:B)</f>
        <v>1</v>
      </c>
      <c r="AS282" s="97">
        <f ca="1">SUMIF(Страна!A:A,M282,Страна!B:B)</f>
        <v>1</v>
      </c>
      <c r="AT282" s="64" t="e">
        <f ca="1">IF(VLOOKUP(W282,Товары!A:B,2,FALSE)=A282,"Есть в 1С","ERR")</f>
        <v>#N/A</v>
      </c>
      <c r="AU282" s="65" t="e">
        <f ca="1">IF(VLOOKUP(A282,Товары!B:B,1,FALSE)=A282,"Есть в 1С","ERR")</f>
        <v>#N/A</v>
      </c>
      <c r="AV282" s="96" t="e">
        <f ca="1">VLOOKUP(W282,Товары!A:B,2,FALSE)</f>
        <v>#N/A</v>
      </c>
      <c r="AW282" s="94" t="e">
        <f ca="1">VLOOKUP(W282,Товары!A:B,1,FALSE)</f>
        <v>#N/A</v>
      </c>
    </row>
    <row r="283" spans="1:49" x14ac:dyDescent="0.25">
      <c r="A283" s="110" t="str">
        <f t="shared" ca="1" si="20"/>
        <v>95-005-86</v>
      </c>
      <c r="B283" s="107" t="str">
        <f ca="1">_xlfn.LET(_xlpm.CAPS,0,_xlpm.Style,TRIM(_xlfn.XLOOKUP($A283,Строчный!$A:$A,Строчный!B:B,"ERR",0)),IF(_xlpm.CAPS=0,_xlpm.Style,LOWER(_xlpm.Style)))</f>
        <v>3109</v>
      </c>
      <c r="C283" s="81" t="str">
        <f ca="1">TRIM(PROPER(_xlfn.XLOOKUP($A283,Строчный!$A:$A,Строчный!C:C,"ERR",0)))</f>
        <v>Кепки</v>
      </c>
      <c r="D283" s="81" t="str">
        <f ca="1">_xlfn.LET(_xlpm.DATA,TRIM(_xlfn.XLOOKUP($A283,Строчный!$A:$A,Строчный!D:D,"ERR",0)),UPPER(MID(_xlpm.DATA,1,1))&amp;LOWER(MID(_xlpm.DATA,2,LEN(_xlpm.DATA)-1)))</f>
        <v>Кепка восьмиклинка</v>
      </c>
      <c r="E283" s="81" t="str">
        <f ca="1">PROPER(TRIM(_xlfn.XLOOKUP($A283,Строчный!$A:$A,Строчный!E:E,"ERR",0)))</f>
        <v>Fredrikson</v>
      </c>
      <c r="F283" s="81" t="str">
        <f ca="1">LOWER(TRIM(_xlfn.XLOOKUP($A283,Строчный!$A:$A,Строчный!F:F,"ERR",0)))</f>
        <v>всесезон</v>
      </c>
      <c r="G283" s="81" t="str">
        <f ca="1">UPPER(TRIM(_xlfn.XLOOKUP($A283,Строчный!$A:$A,Строчный!G:G,"ERR",0)))</f>
        <v>FREDRIKSON</v>
      </c>
      <c r="H283" s="81" t="str">
        <f ca="1">LOWER(TRIM(_xlfn.XLOOKUP($A283,Строчный!$A:$A,Строчный!H:H,"ERR",0)))</f>
        <v>622/22</v>
      </c>
      <c r="I283" s="81" t="str">
        <f ca="1">LOWER(TRIM(_xlfn.XLOOKUP($A283,Строчный!$A:$A,Строчный!I:I,"ERR",0)))</f>
        <v>темно-синий / синий</v>
      </c>
      <c r="J283" s="81" t="str">
        <f ca="1">SUBSTITUTE(LOWER(TRIM(_xlfn.XLOOKUP($A283,Строчный!$A:$A,Строчный!J:J,"ERR",0))),"подклад","Подклад")</f>
        <v>80% шерсть - 20% полиамид / Подклад: 100% вискоза</v>
      </c>
      <c r="K283" s="81" t="str">
        <f ca="1">LOWER(TRIM(_xlfn.XLOOKUP($A283,Строчный!$A:$A,Строчный!K:K,"ERR",0)))</f>
        <v>шерстяные</v>
      </c>
      <c r="L283" s="81" t="str">
        <f ca="1">PROPER(TRIM(_xlfn.XLOOKUP($A283,Строчный!$A:$A,Строчный!L:L,"ERR",0)))</f>
        <v>Унисекс</v>
      </c>
      <c r="M283" s="113" t="str">
        <f ca="1">PROPER(TRIM(_xlfn.XLOOKUP($A283,Строчный!$A:$A,Строчный!M:M,"ERR",0)))</f>
        <v>Россия</v>
      </c>
      <c r="N283" s="81" t="str">
        <f ca="1">UPPER(TRIM(_xlfn.XLOOKUP($A283,Строчный!$A:$A,Строчный!O:O,"ERR",0)))</f>
        <v/>
      </c>
      <c r="O283" s="102" t="str">
        <f ca="1">PROPER(TRIM(_xlfn.XLOOKUP($A283,Строчный!$A:$A,Строчный!P:P,"ERR",0)))</f>
        <v/>
      </c>
      <c r="P283" s="81" t="str">
        <f ca="1">PROPER(TRIM(_xlfn.XLOOKUP($A283,Строчный!$A:$A,Строчный!R:R,"ERR",0)))</f>
        <v/>
      </c>
      <c r="Q283" s="90">
        <f ca="1">VALUE(_xlfn.XLOOKUP($A283,Строчный!$A:$A,Строчный!N:N,"ERR",0))</f>
        <v>975.8</v>
      </c>
      <c r="R283" s="89" t="str">
        <f ca="1">_xlfn.XLOOKUP($G283,Фабрика!A:A,Фабрика!B:B,"ERR",0)</f>
        <v>ООО "ФРЭДРИКСОН" Россия 192029, С-Петербург, пр. Обуховской обороны, д.86, лит М</v>
      </c>
      <c r="S283" s="80" t="str">
        <f ca="1">_xlfn.XLOOKUP(RIGHT(AA283,2),Размеры!D:D,Размеры!A:A,"ERR",0)</f>
        <v>57</v>
      </c>
      <c r="T283" s="80">
        <f ca="1">VALUE(_xlfn.XLOOKUP($AA283,Строчный!$S:$S,Строчный!U:U,"ERR",0))</f>
        <v>3</v>
      </c>
      <c r="U283" s="14" t="s">
        <v>265</v>
      </c>
      <c r="V283" s="101" t="str">
        <f t="shared" ca="1" si="21"/>
        <v>Кепка FREDRIKSON арт. 3109 (темно-синий / синий)</v>
      </c>
      <c r="W283" s="100" t="str">
        <f t="shared" ca="1" si="22"/>
        <v>Кепка FREDRIKSON арт. 3109 (темно-синий / синий) {622/22}</v>
      </c>
      <c r="X283" s="18" t="str">
        <f t="shared" ca="1" si="23"/>
        <v>синий / синий</v>
      </c>
      <c r="Y283" s="18" t="str">
        <f t="shared" ca="1" si="24"/>
        <v>синий / синий</v>
      </c>
      <c r="Z283" s="117" t="s">
        <v>28</v>
      </c>
      <c r="AA283" s="73" t="str">
        <f ca="1"/>
        <v>95-005-86-57</v>
      </c>
      <c r="AB283" s="75" t="str">
        <f ca="1">VLOOKUP(C283,Группа!A:B,2,FALSE)</f>
        <v>Кепка</v>
      </c>
      <c r="AC283" s="97" t="str">
        <f ca="1">IFERROR(VLOOKUP(S283,Размеры!A:C,3,FALSE),"")</f>
        <v>57 M</v>
      </c>
      <c r="AD283" s="97" t="str">
        <f ca="1">VLOOKUP(I283,ЦветПолный!A:B,2,FALSE)</f>
        <v>86</v>
      </c>
      <c r="AE283" s="97" t="str">
        <f ca="1">IFERROR(VLOOKUP(S283,Размеры!A:D,4,FALSE),"")</f>
        <v>57</v>
      </c>
      <c r="AF283" s="97">
        <f ca="1">IF(LEFT(IFERROR(VLOOKUP(LOOKUP(2,1/SEARCH(B283,Товары!A:A),Товары!A:A),Товары!A:B,2,0),""),6)=MID(AA283,1,6),1,0)</f>
        <v>0</v>
      </c>
      <c r="AH283" s="97">
        <f ca="1">SUMIF(Группа!A:A,C283,Группа!C:C)</f>
        <v>1</v>
      </c>
      <c r="AI283" s="97">
        <f ca="1">SUMIF(Группа!B:B,AB283,Группа!C:C)</f>
        <v>1</v>
      </c>
      <c r="AJ283" s="97">
        <f ca="1">SUMIF(Формы!A:A,D283,Формы!B:B)</f>
        <v>1</v>
      </c>
      <c r="AK283" s="97">
        <f ca="1">SUMIF(Материал!A:A,K283,Материал!B:B)</f>
        <v>1</v>
      </c>
      <c r="AL283" s="97">
        <f ca="1">SUMIF(Размеры!A:A,S283,Размеры!E:E)</f>
        <v>1</v>
      </c>
      <c r="AM283" s="97">
        <f ca="1">SUMIF(Сезон!A:A,F283,Сезон!B:B)</f>
        <v>1</v>
      </c>
      <c r="AN283" s="97">
        <f ca="1">SUMIF(Состав!A:A,J283,Состав!B:B)</f>
        <v>0</v>
      </c>
      <c r="AO283" s="97">
        <f ca="1">VLOOKUP(I283,ЦветПолный!A:C,3,0)</f>
        <v>1</v>
      </c>
      <c r="AP283" s="97">
        <f>SUMIF(Цвет!A:A,Z283,Цвет!B:B)</f>
        <v>1</v>
      </c>
      <c r="AQ283" s="97">
        <f ca="1">_xlfn.XLOOKUP(L283,Пол!A:A,Пол!B:B,0,0)</f>
        <v>1</v>
      </c>
      <c r="AR283" s="97">
        <f ca="1">SUMIF(Бренд!A:A,G283,Бренд!B:B)</f>
        <v>1</v>
      </c>
      <c r="AS283" s="97">
        <f ca="1">SUMIF(Страна!A:A,M283,Страна!B:B)</f>
        <v>1</v>
      </c>
      <c r="AT283" s="64" t="e">
        <f ca="1">IF(VLOOKUP(W283,Товары!A:B,2,FALSE)=A283,"Есть в 1С","ERR")</f>
        <v>#N/A</v>
      </c>
      <c r="AU283" s="65" t="e">
        <f ca="1">IF(VLOOKUP(A283,Товары!B:B,1,FALSE)=A283,"Есть в 1С","ERR")</f>
        <v>#N/A</v>
      </c>
      <c r="AV283" s="96" t="e">
        <f ca="1">VLOOKUP(W283,Товары!A:B,2,FALSE)</f>
        <v>#N/A</v>
      </c>
      <c r="AW283" s="94" t="e">
        <f ca="1">VLOOKUP(W283,Товары!A:B,1,FALSE)</f>
        <v>#N/A</v>
      </c>
    </row>
    <row r="284" spans="1:49" x14ac:dyDescent="0.25">
      <c r="A284" s="110" t="str">
        <f t="shared" ca="1" si="20"/>
        <v>95-005-86</v>
      </c>
      <c r="B284" s="107" t="str">
        <f ca="1">_xlfn.LET(_xlpm.CAPS,0,_xlpm.Style,TRIM(_xlfn.XLOOKUP($A284,Строчный!$A:$A,Строчный!B:B,"ERR",0)),IF(_xlpm.CAPS=0,_xlpm.Style,LOWER(_xlpm.Style)))</f>
        <v>3109</v>
      </c>
      <c r="C284" s="81" t="str">
        <f ca="1">TRIM(PROPER(_xlfn.XLOOKUP($A284,Строчный!$A:$A,Строчный!C:C,"ERR",0)))</f>
        <v>Кепки</v>
      </c>
      <c r="D284" s="81" t="str">
        <f ca="1">_xlfn.LET(_xlpm.DATA,TRIM(_xlfn.XLOOKUP($A284,Строчный!$A:$A,Строчный!D:D,"ERR",0)),UPPER(MID(_xlpm.DATA,1,1))&amp;LOWER(MID(_xlpm.DATA,2,LEN(_xlpm.DATA)-1)))</f>
        <v>Кепка восьмиклинка</v>
      </c>
      <c r="E284" s="81" t="str">
        <f ca="1">PROPER(TRIM(_xlfn.XLOOKUP($A284,Строчный!$A:$A,Строчный!E:E,"ERR",0)))</f>
        <v>Fredrikson</v>
      </c>
      <c r="F284" s="81" t="str">
        <f ca="1">LOWER(TRIM(_xlfn.XLOOKUP($A284,Строчный!$A:$A,Строчный!F:F,"ERR",0)))</f>
        <v>всесезон</v>
      </c>
      <c r="G284" s="81" t="str">
        <f ca="1">UPPER(TRIM(_xlfn.XLOOKUP($A284,Строчный!$A:$A,Строчный!G:G,"ERR",0)))</f>
        <v>FREDRIKSON</v>
      </c>
      <c r="H284" s="81" t="str">
        <f ca="1">LOWER(TRIM(_xlfn.XLOOKUP($A284,Строчный!$A:$A,Строчный!H:H,"ERR",0)))</f>
        <v>622/22</v>
      </c>
      <c r="I284" s="81" t="str">
        <f ca="1">LOWER(TRIM(_xlfn.XLOOKUP($A284,Строчный!$A:$A,Строчный!I:I,"ERR",0)))</f>
        <v>темно-синий / синий</v>
      </c>
      <c r="J284" s="81" t="str">
        <f ca="1">SUBSTITUTE(LOWER(TRIM(_xlfn.XLOOKUP($A284,Строчный!$A:$A,Строчный!J:J,"ERR",0))),"подклад","Подклад")</f>
        <v>80% шерсть - 20% полиамид / Подклад: 100% вискоза</v>
      </c>
      <c r="K284" s="81" t="str">
        <f ca="1">LOWER(TRIM(_xlfn.XLOOKUP($A284,Строчный!$A:$A,Строчный!K:K,"ERR",0)))</f>
        <v>шерстяные</v>
      </c>
      <c r="L284" s="81" t="str">
        <f ca="1">PROPER(TRIM(_xlfn.XLOOKUP($A284,Строчный!$A:$A,Строчный!L:L,"ERR",0)))</f>
        <v>Унисекс</v>
      </c>
      <c r="M284" s="113" t="str">
        <f ca="1">PROPER(TRIM(_xlfn.XLOOKUP($A284,Строчный!$A:$A,Строчный!M:M,"ERR",0)))</f>
        <v>Россия</v>
      </c>
      <c r="N284" s="81" t="str">
        <f ca="1">UPPER(TRIM(_xlfn.XLOOKUP($A284,Строчный!$A:$A,Строчный!O:O,"ERR",0)))</f>
        <v/>
      </c>
      <c r="O284" s="102" t="str">
        <f ca="1">PROPER(TRIM(_xlfn.XLOOKUP($A284,Строчный!$A:$A,Строчный!P:P,"ERR",0)))</f>
        <v/>
      </c>
      <c r="P284" s="81" t="str">
        <f ca="1">PROPER(TRIM(_xlfn.XLOOKUP($A284,Строчный!$A:$A,Строчный!R:R,"ERR",0)))</f>
        <v/>
      </c>
      <c r="Q284" s="90">
        <f ca="1">VALUE(_xlfn.XLOOKUP($A284,Строчный!$A:$A,Строчный!N:N,"ERR",0))</f>
        <v>975.8</v>
      </c>
      <c r="R284" s="89" t="str">
        <f ca="1">_xlfn.XLOOKUP($G284,Фабрика!A:A,Фабрика!B:B,"ERR",0)</f>
        <v>ООО "ФРЭДРИКСОН" Россия 192029, С-Петербург, пр. Обуховской обороны, д.86, лит М</v>
      </c>
      <c r="S284" s="80" t="str">
        <f ca="1">_xlfn.XLOOKUP(RIGHT(AA284,2),Размеры!D:D,Размеры!A:A,"ERR",0)</f>
        <v>56</v>
      </c>
      <c r="T284" s="80">
        <f ca="1">VALUE(_xlfn.XLOOKUP($AA284,Строчный!$S:$S,Строчный!U:U,"ERR",0))</f>
        <v>1</v>
      </c>
      <c r="U284" s="14" t="s">
        <v>265</v>
      </c>
      <c r="V284" s="101" t="str">
        <f t="shared" ca="1" si="21"/>
        <v>Кепка FREDRIKSON арт. 3109 (темно-синий / синий)</v>
      </c>
      <c r="W284" s="100" t="str">
        <f t="shared" ca="1" si="22"/>
        <v>Кепка FREDRIKSON арт. 3109 (темно-синий / синий) {622/22}</v>
      </c>
      <c r="X284" s="18" t="str">
        <f t="shared" ca="1" si="23"/>
        <v>синий / синий</v>
      </c>
      <c r="Y284" s="18" t="str">
        <f t="shared" ca="1" si="24"/>
        <v>синий / синий</v>
      </c>
      <c r="Z284" s="117" t="s">
        <v>28</v>
      </c>
      <c r="AA284" s="73" t="str">
        <f ca="1"/>
        <v>95-005-86-56</v>
      </c>
      <c r="AB284" s="75" t="str">
        <f ca="1">VLOOKUP(C284,Группа!A:B,2,FALSE)</f>
        <v>Кепка</v>
      </c>
      <c r="AC284" s="97" t="str">
        <f ca="1">IFERROR(VLOOKUP(S284,Размеры!A:C,3,FALSE),"")</f>
        <v>56 S/M</v>
      </c>
      <c r="AD284" s="97" t="str">
        <f ca="1">VLOOKUP(I284,ЦветПолный!A:B,2,FALSE)</f>
        <v>86</v>
      </c>
      <c r="AE284" s="97" t="str">
        <f ca="1">IFERROR(VLOOKUP(S284,Размеры!A:D,4,FALSE),"")</f>
        <v>56</v>
      </c>
      <c r="AF284" s="97">
        <f ca="1">IF(LEFT(IFERROR(VLOOKUP(LOOKUP(2,1/SEARCH(B284,Товары!A:A),Товары!A:A),Товары!A:B,2,0),""),6)=MID(AA284,1,6),1,0)</f>
        <v>0</v>
      </c>
      <c r="AH284" s="97">
        <f ca="1">SUMIF(Группа!A:A,C284,Группа!C:C)</f>
        <v>1</v>
      </c>
      <c r="AI284" s="97">
        <f ca="1">SUMIF(Группа!B:B,AB284,Группа!C:C)</f>
        <v>1</v>
      </c>
      <c r="AJ284" s="97">
        <f ca="1">SUMIF(Формы!A:A,D284,Формы!B:B)</f>
        <v>1</v>
      </c>
      <c r="AK284" s="97">
        <f ca="1">SUMIF(Материал!A:A,K284,Материал!B:B)</f>
        <v>1</v>
      </c>
      <c r="AL284" s="97">
        <f ca="1">SUMIF(Размеры!A:A,S284,Размеры!E:E)</f>
        <v>1</v>
      </c>
      <c r="AM284" s="97">
        <f ca="1">SUMIF(Сезон!A:A,F284,Сезон!B:B)</f>
        <v>1</v>
      </c>
      <c r="AN284" s="97">
        <f ca="1">SUMIF(Состав!A:A,J284,Состав!B:B)</f>
        <v>0</v>
      </c>
      <c r="AO284" s="97">
        <f ca="1">VLOOKUP(I284,ЦветПолный!A:C,3,0)</f>
        <v>1</v>
      </c>
      <c r="AP284" s="97">
        <f>SUMIF(Цвет!A:A,Z284,Цвет!B:B)</f>
        <v>1</v>
      </c>
      <c r="AQ284" s="97">
        <f ca="1">_xlfn.XLOOKUP(L284,Пол!A:A,Пол!B:B,0,0)</f>
        <v>1</v>
      </c>
      <c r="AR284" s="97">
        <f ca="1">SUMIF(Бренд!A:A,G284,Бренд!B:B)</f>
        <v>1</v>
      </c>
      <c r="AS284" s="97">
        <f ca="1">SUMIF(Страна!A:A,M284,Страна!B:B)</f>
        <v>1</v>
      </c>
      <c r="AT284" s="64" t="e">
        <f ca="1">IF(VLOOKUP(W284,Товары!A:B,2,FALSE)=A284,"Есть в 1С","ERR")</f>
        <v>#N/A</v>
      </c>
      <c r="AU284" s="65" t="e">
        <f ca="1">IF(VLOOKUP(A284,Товары!B:B,1,FALSE)=A284,"Есть в 1С","ERR")</f>
        <v>#N/A</v>
      </c>
      <c r="AV284" s="96" t="e">
        <f ca="1">VLOOKUP(W284,Товары!A:B,2,FALSE)</f>
        <v>#N/A</v>
      </c>
      <c r="AW284" s="94" t="e">
        <f ca="1">VLOOKUP(W284,Товары!A:B,1,FALSE)</f>
        <v>#N/A</v>
      </c>
    </row>
    <row r="285" spans="1:49" x14ac:dyDescent="0.25">
      <c r="A285" s="110" t="str">
        <f t="shared" ca="1" si="20"/>
        <v>95-005-73</v>
      </c>
      <c r="B285" s="107" t="str">
        <f ca="1">_xlfn.LET(_xlpm.CAPS,0,_xlpm.Style,TRIM(_xlfn.XLOOKUP($A285,Строчный!$A:$A,Строчный!B:B,"ERR",0)),IF(_xlpm.CAPS=0,_xlpm.Style,LOWER(_xlpm.Style)))</f>
        <v>3109</v>
      </c>
      <c r="C285" s="81" t="str">
        <f ca="1">TRIM(PROPER(_xlfn.XLOOKUP($A285,Строчный!$A:$A,Строчный!C:C,"ERR",0)))</f>
        <v>Кепки</v>
      </c>
      <c r="D285" s="81" t="str">
        <f ca="1">_xlfn.LET(_xlpm.DATA,TRIM(_xlfn.XLOOKUP($A285,Строчный!$A:$A,Строчный!D:D,"ERR",0)),UPPER(MID(_xlpm.DATA,1,1))&amp;LOWER(MID(_xlpm.DATA,2,LEN(_xlpm.DATA)-1)))</f>
        <v>Кепка восьмиклинка</v>
      </c>
      <c r="E285" s="81" t="str">
        <f ca="1">PROPER(TRIM(_xlfn.XLOOKUP($A285,Строчный!$A:$A,Строчный!E:E,"ERR",0)))</f>
        <v>Fredrikson</v>
      </c>
      <c r="F285" s="81" t="str">
        <f ca="1">LOWER(TRIM(_xlfn.XLOOKUP($A285,Строчный!$A:$A,Строчный!F:F,"ERR",0)))</f>
        <v>всесезон</v>
      </c>
      <c r="G285" s="81" t="str">
        <f ca="1">UPPER(TRIM(_xlfn.XLOOKUP($A285,Строчный!$A:$A,Строчный!G:G,"ERR",0)))</f>
        <v>FREDRIKSON</v>
      </c>
      <c r="H285" s="81" t="str">
        <f ca="1">LOWER(TRIM(_xlfn.XLOOKUP($A285,Строчный!$A:$A,Строчный!H:H,"ERR",0)))</f>
        <v>667/57</v>
      </c>
      <c r="I285" s="81" t="str">
        <f ca="1">LOWER(TRIM(_xlfn.XLOOKUP($A285,Строчный!$A:$A,Строчный!I:I,"ERR",0)))</f>
        <v>бежевый / коричневый</v>
      </c>
      <c r="J285" s="81" t="str">
        <f ca="1">SUBSTITUTE(LOWER(TRIM(_xlfn.XLOOKUP($A285,Строчный!$A:$A,Строчный!J:J,"ERR",0))),"подклад","Подклад")</f>
        <v>80% шерсть - 20% полиамид / Подклад: 100% вискоза</v>
      </c>
      <c r="K285" s="81" t="str">
        <f ca="1">LOWER(TRIM(_xlfn.XLOOKUP($A285,Строчный!$A:$A,Строчный!K:K,"ERR",0)))</f>
        <v>шерстяные</v>
      </c>
      <c r="L285" s="81" t="str">
        <f ca="1">PROPER(TRIM(_xlfn.XLOOKUP($A285,Строчный!$A:$A,Строчный!L:L,"ERR",0)))</f>
        <v>Унисекс</v>
      </c>
      <c r="M285" s="113" t="str">
        <f ca="1">PROPER(TRIM(_xlfn.XLOOKUP($A285,Строчный!$A:$A,Строчный!M:M,"ERR",0)))</f>
        <v>Россия</v>
      </c>
      <c r="N285" s="81" t="str">
        <f ca="1">UPPER(TRIM(_xlfn.XLOOKUP($A285,Строчный!$A:$A,Строчный!O:O,"ERR",0)))</f>
        <v/>
      </c>
      <c r="O285" s="102" t="str">
        <f ca="1">PROPER(TRIM(_xlfn.XLOOKUP($A285,Строчный!$A:$A,Строчный!P:P,"ERR",0)))</f>
        <v/>
      </c>
      <c r="P285" s="81" t="str">
        <f ca="1">PROPER(TRIM(_xlfn.XLOOKUP($A285,Строчный!$A:$A,Строчный!R:R,"ERR",0)))</f>
        <v/>
      </c>
      <c r="Q285" s="90">
        <f ca="1">VALUE(_xlfn.XLOOKUP($A285,Строчный!$A:$A,Строчный!N:N,"ERR",0))</f>
        <v>975.8</v>
      </c>
      <c r="R285" s="89" t="str">
        <f ca="1">_xlfn.XLOOKUP($G285,Фабрика!A:A,Фабрика!B:B,"ERR",0)</f>
        <v>ООО "ФРЭДРИКСОН" Россия 192029, С-Петербург, пр. Обуховской обороны, д.86, лит М</v>
      </c>
      <c r="S285" s="80" t="str">
        <f ca="1">_xlfn.XLOOKUP(RIGHT(AA285,2),Размеры!D:D,Размеры!A:A,"ERR",0)</f>
        <v>62</v>
      </c>
      <c r="T285" s="80">
        <f ca="1">VALUE(_xlfn.XLOOKUP($AA285,Строчный!$S:$S,Строчный!U:U,"ERR",0))</f>
        <v>5</v>
      </c>
      <c r="U285" s="14" t="s">
        <v>265</v>
      </c>
      <c r="V285" s="101" t="str">
        <f t="shared" ca="1" si="21"/>
        <v>Кепка FREDRIKSON арт. 3109 (бежевый / коричневый)</v>
      </c>
      <c r="W285" s="100" t="str">
        <f t="shared" ca="1" si="22"/>
        <v>Кепка FREDRIKSON арт. 3109 (бежевый / коричневый) {667/57}</v>
      </c>
      <c r="X285" s="18" t="str">
        <f t="shared" ca="1" si="23"/>
        <v>бежевый</v>
      </c>
      <c r="Y285" s="18" t="str">
        <f t="shared" ca="1" si="24"/>
        <v>коричневый</v>
      </c>
      <c r="Z285" s="117" t="s">
        <v>28</v>
      </c>
      <c r="AA285" s="73" t="str">
        <f ca="1"/>
        <v>95-005-73-62</v>
      </c>
      <c r="AB285" s="75" t="str">
        <f ca="1">VLOOKUP(C285,Группа!A:B,2,FALSE)</f>
        <v>Кепка</v>
      </c>
      <c r="AC285" s="97" t="str">
        <f ca="1">IFERROR(VLOOKUP(S285,Размеры!A:C,3,FALSE),"")</f>
        <v>62 XL/XXL</v>
      </c>
      <c r="AD285" s="97" t="str">
        <f ca="1">VLOOKUP(I285,ЦветПолный!A:B,2,FALSE)</f>
        <v>73</v>
      </c>
      <c r="AE285" s="97" t="str">
        <f ca="1">IFERROR(VLOOKUP(S285,Размеры!A:D,4,FALSE),"")</f>
        <v>62</v>
      </c>
      <c r="AF285" s="97">
        <f ca="1">IF(LEFT(IFERROR(VLOOKUP(LOOKUP(2,1/SEARCH(B285,Товары!A:A),Товары!A:A),Товары!A:B,2,0),""),6)=MID(AA285,1,6),1,0)</f>
        <v>0</v>
      </c>
      <c r="AH285" s="97">
        <f ca="1">SUMIF(Группа!A:A,C285,Группа!C:C)</f>
        <v>1</v>
      </c>
      <c r="AI285" s="97">
        <f ca="1">SUMIF(Группа!B:B,AB285,Группа!C:C)</f>
        <v>1</v>
      </c>
      <c r="AJ285" s="97">
        <f ca="1">SUMIF(Формы!A:A,D285,Формы!B:B)</f>
        <v>1</v>
      </c>
      <c r="AK285" s="97">
        <f ca="1">SUMIF(Материал!A:A,K285,Материал!B:B)</f>
        <v>1</v>
      </c>
      <c r="AL285" s="97">
        <f ca="1">SUMIF(Размеры!A:A,S285,Размеры!E:E)</f>
        <v>1</v>
      </c>
      <c r="AM285" s="97">
        <f ca="1">SUMIF(Сезон!A:A,F285,Сезон!B:B)</f>
        <v>1</v>
      </c>
      <c r="AN285" s="97">
        <f ca="1">SUMIF(Состав!A:A,J285,Состав!B:B)</f>
        <v>0</v>
      </c>
      <c r="AO285" s="97">
        <f ca="1">VLOOKUP(I285,ЦветПолный!A:C,3,0)</f>
        <v>1</v>
      </c>
      <c r="AP285" s="97">
        <f>SUMIF(Цвет!A:A,Z285,Цвет!B:B)</f>
        <v>1</v>
      </c>
      <c r="AQ285" s="97">
        <f ca="1">_xlfn.XLOOKUP(L285,Пол!A:A,Пол!B:B,0,0)</f>
        <v>1</v>
      </c>
      <c r="AR285" s="97">
        <f ca="1">SUMIF(Бренд!A:A,G285,Бренд!B:B)</f>
        <v>1</v>
      </c>
      <c r="AS285" s="97">
        <f ca="1">SUMIF(Страна!A:A,M285,Страна!B:B)</f>
        <v>1</v>
      </c>
      <c r="AT285" s="64" t="e">
        <f ca="1">IF(VLOOKUP(W285,Товары!A:B,2,FALSE)=A285,"Есть в 1С","ERR")</f>
        <v>#N/A</v>
      </c>
      <c r="AU285" s="65" t="e">
        <f ca="1">IF(VLOOKUP(A285,Товары!B:B,1,FALSE)=A285,"Есть в 1С","ERR")</f>
        <v>#N/A</v>
      </c>
      <c r="AV285" s="96" t="e">
        <f ca="1">VLOOKUP(W285,Товары!A:B,2,FALSE)</f>
        <v>#N/A</v>
      </c>
      <c r="AW285" s="94" t="e">
        <f ca="1">VLOOKUP(W285,Товары!A:B,1,FALSE)</f>
        <v>#N/A</v>
      </c>
    </row>
    <row r="286" spans="1:49" x14ac:dyDescent="0.25">
      <c r="A286" s="110" t="str">
        <f t="shared" ref="A286:A349" ca="1" si="25">LEFT(AA286,9)</f>
        <v>95-005-73</v>
      </c>
      <c r="B286" s="107" t="str">
        <f ca="1">_xlfn.LET(_xlpm.CAPS,0,_xlpm.Style,TRIM(_xlfn.XLOOKUP($A286,Строчный!$A:$A,Строчный!B:B,"ERR",0)),IF(_xlpm.CAPS=0,_xlpm.Style,LOWER(_xlpm.Style)))</f>
        <v>3109</v>
      </c>
      <c r="C286" s="81" t="str">
        <f ca="1">TRIM(PROPER(_xlfn.XLOOKUP($A286,Строчный!$A:$A,Строчный!C:C,"ERR",0)))</f>
        <v>Кепки</v>
      </c>
      <c r="D286" s="81" t="str">
        <f ca="1">_xlfn.LET(_xlpm.DATA,TRIM(_xlfn.XLOOKUP($A286,Строчный!$A:$A,Строчный!D:D,"ERR",0)),UPPER(MID(_xlpm.DATA,1,1))&amp;LOWER(MID(_xlpm.DATA,2,LEN(_xlpm.DATA)-1)))</f>
        <v>Кепка восьмиклинка</v>
      </c>
      <c r="E286" s="81" t="str">
        <f ca="1">PROPER(TRIM(_xlfn.XLOOKUP($A286,Строчный!$A:$A,Строчный!E:E,"ERR",0)))</f>
        <v>Fredrikson</v>
      </c>
      <c r="F286" s="81" t="str">
        <f ca="1">LOWER(TRIM(_xlfn.XLOOKUP($A286,Строчный!$A:$A,Строчный!F:F,"ERR",0)))</f>
        <v>всесезон</v>
      </c>
      <c r="G286" s="81" t="str">
        <f ca="1">UPPER(TRIM(_xlfn.XLOOKUP($A286,Строчный!$A:$A,Строчный!G:G,"ERR",0)))</f>
        <v>FREDRIKSON</v>
      </c>
      <c r="H286" s="81" t="str">
        <f ca="1">LOWER(TRIM(_xlfn.XLOOKUP($A286,Строчный!$A:$A,Строчный!H:H,"ERR",0)))</f>
        <v>667/57</v>
      </c>
      <c r="I286" s="81" t="str">
        <f ca="1">LOWER(TRIM(_xlfn.XLOOKUP($A286,Строчный!$A:$A,Строчный!I:I,"ERR",0)))</f>
        <v>бежевый / коричневый</v>
      </c>
      <c r="J286" s="81" t="str">
        <f ca="1">SUBSTITUTE(LOWER(TRIM(_xlfn.XLOOKUP($A286,Строчный!$A:$A,Строчный!J:J,"ERR",0))),"подклад","Подклад")</f>
        <v>80% шерсть - 20% полиамид / Подклад: 100% вискоза</v>
      </c>
      <c r="K286" s="81" t="str">
        <f ca="1">LOWER(TRIM(_xlfn.XLOOKUP($A286,Строчный!$A:$A,Строчный!K:K,"ERR",0)))</f>
        <v>шерстяные</v>
      </c>
      <c r="L286" s="81" t="str">
        <f ca="1">PROPER(TRIM(_xlfn.XLOOKUP($A286,Строчный!$A:$A,Строчный!L:L,"ERR",0)))</f>
        <v>Унисекс</v>
      </c>
      <c r="M286" s="113" t="str">
        <f ca="1">PROPER(TRIM(_xlfn.XLOOKUP($A286,Строчный!$A:$A,Строчный!M:M,"ERR",0)))</f>
        <v>Россия</v>
      </c>
      <c r="N286" s="81" t="str">
        <f ca="1">UPPER(TRIM(_xlfn.XLOOKUP($A286,Строчный!$A:$A,Строчный!O:O,"ERR",0)))</f>
        <v/>
      </c>
      <c r="O286" s="102" t="str">
        <f ca="1">PROPER(TRIM(_xlfn.XLOOKUP($A286,Строчный!$A:$A,Строчный!P:P,"ERR",0)))</f>
        <v/>
      </c>
      <c r="P286" s="81" t="str">
        <f ca="1">PROPER(TRIM(_xlfn.XLOOKUP($A286,Строчный!$A:$A,Строчный!R:R,"ERR",0)))</f>
        <v/>
      </c>
      <c r="Q286" s="90">
        <f ca="1">VALUE(_xlfn.XLOOKUP($A286,Строчный!$A:$A,Строчный!N:N,"ERR",0))</f>
        <v>975.8</v>
      </c>
      <c r="R286" s="89" t="str">
        <f ca="1">_xlfn.XLOOKUP($G286,Фабрика!A:A,Фабрика!B:B,"ERR",0)</f>
        <v>ООО "ФРЭДРИКСОН" Россия 192029, С-Петербург, пр. Обуховской обороны, д.86, лит М</v>
      </c>
      <c r="S286" s="80" t="str">
        <f ca="1">_xlfn.XLOOKUP(RIGHT(AA286,2),Размеры!D:D,Размеры!A:A,"ERR",0)</f>
        <v>61</v>
      </c>
      <c r="T286" s="80">
        <f ca="1">VALUE(_xlfn.XLOOKUP($AA286,Строчный!$S:$S,Строчный!U:U,"ERR",0))</f>
        <v>10</v>
      </c>
      <c r="U286" s="14" t="s">
        <v>265</v>
      </c>
      <c r="V286" s="101" t="str">
        <f t="shared" ref="V286:V349" ca="1" si="26">TRIM(CONCATENATE(AB286," ",G286," арт. ",B286," (",I286,")"))</f>
        <v>Кепка FREDRIKSON арт. 3109 (бежевый / коричневый)</v>
      </c>
      <c r="W286" s="100" t="str">
        <f t="shared" ref="W286:W349" ca="1" si="27">TRIM(CONCATENATE(AB286," ",G286," арт. ",B286," (",I286,") {",H286,"}"))</f>
        <v>Кепка FREDRIKSON арт. 3109 (бежевый / коричневый) {667/57}</v>
      </c>
      <c r="X286" s="18" t="str">
        <f t="shared" ref="X286:X349" ca="1" si="28">IFERROR(MID(I286,FIND("-",I286)+1,LEN(I286)),IFERROR(MID(I286,1,FIND("/",I286)-2),I286))</f>
        <v>бежевый</v>
      </c>
      <c r="Y286" s="18" t="str">
        <f t="shared" ref="Y286:Y349" ca="1" si="29">IFERROR(MID(I286,FIND("-",I286)+1,LEN(I286)),IFERROR(MID(I286,FIND("/",I286)+2,LEN(I286)),I286))</f>
        <v>коричневый</v>
      </c>
      <c r="Z286" s="117" t="s">
        <v>28</v>
      </c>
      <c r="AA286" s="73" t="str">
        <f ca="1"/>
        <v>95-005-73-61</v>
      </c>
      <c r="AB286" s="75" t="str">
        <f ca="1">VLOOKUP(C286,Группа!A:B,2,FALSE)</f>
        <v>Кепка</v>
      </c>
      <c r="AC286" s="97" t="str">
        <f ca="1">IFERROR(VLOOKUP(S286,Размеры!A:C,3,FALSE),"")</f>
        <v>61 XL</v>
      </c>
      <c r="AD286" s="97" t="str">
        <f ca="1">VLOOKUP(I286,ЦветПолный!A:B,2,FALSE)</f>
        <v>73</v>
      </c>
      <c r="AE286" s="97" t="str">
        <f ca="1">IFERROR(VLOOKUP(S286,Размеры!A:D,4,FALSE),"")</f>
        <v>61</v>
      </c>
      <c r="AF286" s="97">
        <f ca="1">IF(LEFT(IFERROR(VLOOKUP(LOOKUP(2,1/SEARCH(B286,Товары!A:A),Товары!A:A),Товары!A:B,2,0),""),6)=MID(AA286,1,6),1,0)</f>
        <v>0</v>
      </c>
      <c r="AH286" s="97">
        <f ca="1">SUMIF(Группа!A:A,C286,Группа!C:C)</f>
        <v>1</v>
      </c>
      <c r="AI286" s="97">
        <f ca="1">SUMIF(Группа!B:B,AB286,Группа!C:C)</f>
        <v>1</v>
      </c>
      <c r="AJ286" s="97">
        <f ca="1">SUMIF(Формы!A:A,D286,Формы!B:B)</f>
        <v>1</v>
      </c>
      <c r="AK286" s="97">
        <f ca="1">SUMIF(Материал!A:A,K286,Материал!B:B)</f>
        <v>1</v>
      </c>
      <c r="AL286" s="97">
        <f ca="1">SUMIF(Размеры!A:A,S286,Размеры!E:E)</f>
        <v>1</v>
      </c>
      <c r="AM286" s="97">
        <f ca="1">SUMIF(Сезон!A:A,F286,Сезон!B:B)</f>
        <v>1</v>
      </c>
      <c r="AN286" s="97">
        <f ca="1">SUMIF(Состав!A:A,J286,Состав!B:B)</f>
        <v>0</v>
      </c>
      <c r="AO286" s="97">
        <f ca="1">VLOOKUP(I286,ЦветПолный!A:C,3,0)</f>
        <v>1</v>
      </c>
      <c r="AP286" s="97">
        <f>SUMIF(Цвет!A:A,Z286,Цвет!B:B)</f>
        <v>1</v>
      </c>
      <c r="AQ286" s="97">
        <f ca="1">_xlfn.XLOOKUP(L286,Пол!A:A,Пол!B:B,0,0)</f>
        <v>1</v>
      </c>
      <c r="AR286" s="97">
        <f ca="1">SUMIF(Бренд!A:A,G286,Бренд!B:B)</f>
        <v>1</v>
      </c>
      <c r="AS286" s="97">
        <f ca="1">SUMIF(Страна!A:A,M286,Страна!B:B)</f>
        <v>1</v>
      </c>
      <c r="AT286" s="64" t="e">
        <f ca="1">IF(VLOOKUP(W286,Товары!A:B,2,FALSE)=A286,"Есть в 1С","ERR")</f>
        <v>#N/A</v>
      </c>
      <c r="AU286" s="65" t="e">
        <f ca="1">IF(VLOOKUP(A286,Товары!B:B,1,FALSE)=A286,"Есть в 1С","ERR")</f>
        <v>#N/A</v>
      </c>
      <c r="AV286" s="96" t="e">
        <f ca="1">VLOOKUP(W286,Товары!A:B,2,FALSE)</f>
        <v>#N/A</v>
      </c>
      <c r="AW286" s="94" t="e">
        <f ca="1">VLOOKUP(W286,Товары!A:B,1,FALSE)</f>
        <v>#N/A</v>
      </c>
    </row>
    <row r="287" spans="1:49" x14ac:dyDescent="0.25">
      <c r="A287" s="110" t="str">
        <f t="shared" ca="1" si="25"/>
        <v>95-005-73</v>
      </c>
      <c r="B287" s="107" t="str">
        <f ca="1">_xlfn.LET(_xlpm.CAPS,0,_xlpm.Style,TRIM(_xlfn.XLOOKUP($A287,Строчный!$A:$A,Строчный!B:B,"ERR",0)),IF(_xlpm.CAPS=0,_xlpm.Style,LOWER(_xlpm.Style)))</f>
        <v>3109</v>
      </c>
      <c r="C287" s="81" t="str">
        <f ca="1">TRIM(PROPER(_xlfn.XLOOKUP($A287,Строчный!$A:$A,Строчный!C:C,"ERR",0)))</f>
        <v>Кепки</v>
      </c>
      <c r="D287" s="81" t="str">
        <f ca="1">_xlfn.LET(_xlpm.DATA,TRIM(_xlfn.XLOOKUP($A287,Строчный!$A:$A,Строчный!D:D,"ERR",0)),UPPER(MID(_xlpm.DATA,1,1))&amp;LOWER(MID(_xlpm.DATA,2,LEN(_xlpm.DATA)-1)))</f>
        <v>Кепка восьмиклинка</v>
      </c>
      <c r="E287" s="81" t="str">
        <f ca="1">PROPER(TRIM(_xlfn.XLOOKUP($A287,Строчный!$A:$A,Строчный!E:E,"ERR",0)))</f>
        <v>Fredrikson</v>
      </c>
      <c r="F287" s="81" t="str">
        <f ca="1">LOWER(TRIM(_xlfn.XLOOKUP($A287,Строчный!$A:$A,Строчный!F:F,"ERR",0)))</f>
        <v>всесезон</v>
      </c>
      <c r="G287" s="81" t="str">
        <f ca="1">UPPER(TRIM(_xlfn.XLOOKUP($A287,Строчный!$A:$A,Строчный!G:G,"ERR",0)))</f>
        <v>FREDRIKSON</v>
      </c>
      <c r="H287" s="81" t="str">
        <f ca="1">LOWER(TRIM(_xlfn.XLOOKUP($A287,Строчный!$A:$A,Строчный!H:H,"ERR",0)))</f>
        <v>667/57</v>
      </c>
      <c r="I287" s="81" t="str">
        <f ca="1">LOWER(TRIM(_xlfn.XLOOKUP($A287,Строчный!$A:$A,Строчный!I:I,"ERR",0)))</f>
        <v>бежевый / коричневый</v>
      </c>
      <c r="J287" s="81" t="str">
        <f ca="1">SUBSTITUTE(LOWER(TRIM(_xlfn.XLOOKUP($A287,Строчный!$A:$A,Строчный!J:J,"ERR",0))),"подклад","Подклад")</f>
        <v>80% шерсть - 20% полиамид / Подклад: 100% вискоза</v>
      </c>
      <c r="K287" s="81" t="str">
        <f ca="1">LOWER(TRIM(_xlfn.XLOOKUP($A287,Строчный!$A:$A,Строчный!K:K,"ERR",0)))</f>
        <v>шерстяные</v>
      </c>
      <c r="L287" s="81" t="str">
        <f ca="1">PROPER(TRIM(_xlfn.XLOOKUP($A287,Строчный!$A:$A,Строчный!L:L,"ERR",0)))</f>
        <v>Унисекс</v>
      </c>
      <c r="M287" s="113" t="str">
        <f ca="1">PROPER(TRIM(_xlfn.XLOOKUP($A287,Строчный!$A:$A,Строчный!M:M,"ERR",0)))</f>
        <v>Россия</v>
      </c>
      <c r="N287" s="81" t="str">
        <f ca="1">UPPER(TRIM(_xlfn.XLOOKUP($A287,Строчный!$A:$A,Строчный!O:O,"ERR",0)))</f>
        <v/>
      </c>
      <c r="O287" s="102" t="str">
        <f ca="1">PROPER(TRIM(_xlfn.XLOOKUP($A287,Строчный!$A:$A,Строчный!P:P,"ERR",0)))</f>
        <v/>
      </c>
      <c r="P287" s="81" t="str">
        <f ca="1">PROPER(TRIM(_xlfn.XLOOKUP($A287,Строчный!$A:$A,Строчный!R:R,"ERR",0)))</f>
        <v/>
      </c>
      <c r="Q287" s="90">
        <f ca="1">VALUE(_xlfn.XLOOKUP($A287,Строчный!$A:$A,Строчный!N:N,"ERR",0))</f>
        <v>975.8</v>
      </c>
      <c r="R287" s="89" t="str">
        <f ca="1">_xlfn.XLOOKUP($G287,Фабрика!A:A,Фабрика!B:B,"ERR",0)</f>
        <v>ООО "ФРЭДРИКСОН" Россия 192029, С-Петербург, пр. Обуховской обороны, д.86, лит М</v>
      </c>
      <c r="S287" s="80" t="str">
        <f ca="1">_xlfn.XLOOKUP(RIGHT(AA287,2),Размеры!D:D,Размеры!A:A,"ERR",0)</f>
        <v>60</v>
      </c>
      <c r="T287" s="80">
        <f ca="1">VALUE(_xlfn.XLOOKUP($AA287,Строчный!$S:$S,Строчный!U:U,"ERR",0))</f>
        <v>15</v>
      </c>
      <c r="U287" s="14" t="s">
        <v>265</v>
      </c>
      <c r="V287" s="101" t="str">
        <f t="shared" ca="1" si="26"/>
        <v>Кепка FREDRIKSON арт. 3109 (бежевый / коричневый)</v>
      </c>
      <c r="W287" s="100" t="str">
        <f t="shared" ca="1" si="27"/>
        <v>Кепка FREDRIKSON арт. 3109 (бежевый / коричневый) {667/57}</v>
      </c>
      <c r="X287" s="18" t="str">
        <f t="shared" ca="1" si="28"/>
        <v>бежевый</v>
      </c>
      <c r="Y287" s="18" t="str">
        <f t="shared" ca="1" si="29"/>
        <v>коричневый</v>
      </c>
      <c r="Z287" s="117" t="s">
        <v>28</v>
      </c>
      <c r="AA287" s="73" t="str">
        <f ca="1"/>
        <v>95-005-73-60</v>
      </c>
      <c r="AB287" s="75" t="str">
        <f ca="1">VLOOKUP(C287,Группа!A:B,2,FALSE)</f>
        <v>Кепка</v>
      </c>
      <c r="AC287" s="97" t="str">
        <f ca="1">IFERROR(VLOOKUP(S287,Размеры!A:C,3,FALSE),"")</f>
        <v>60 L/XL</v>
      </c>
      <c r="AD287" s="97" t="str">
        <f ca="1">VLOOKUP(I287,ЦветПолный!A:B,2,FALSE)</f>
        <v>73</v>
      </c>
      <c r="AE287" s="97" t="str">
        <f ca="1">IFERROR(VLOOKUP(S287,Размеры!A:D,4,FALSE),"")</f>
        <v>60</v>
      </c>
      <c r="AF287" s="97">
        <f ca="1">IF(LEFT(IFERROR(VLOOKUP(LOOKUP(2,1/SEARCH(B287,Товары!A:A),Товары!A:A),Товары!A:B,2,0),""),6)=MID(AA287,1,6),1,0)</f>
        <v>0</v>
      </c>
      <c r="AH287" s="97">
        <f ca="1">SUMIF(Группа!A:A,C287,Группа!C:C)</f>
        <v>1</v>
      </c>
      <c r="AI287" s="97">
        <f ca="1">SUMIF(Группа!B:B,AB287,Группа!C:C)</f>
        <v>1</v>
      </c>
      <c r="AJ287" s="97">
        <f ca="1">SUMIF(Формы!A:A,D287,Формы!B:B)</f>
        <v>1</v>
      </c>
      <c r="AK287" s="97">
        <f ca="1">SUMIF(Материал!A:A,K287,Материал!B:B)</f>
        <v>1</v>
      </c>
      <c r="AL287" s="97">
        <f ca="1">SUMIF(Размеры!A:A,S287,Размеры!E:E)</f>
        <v>1</v>
      </c>
      <c r="AM287" s="97">
        <f ca="1">SUMIF(Сезон!A:A,F287,Сезон!B:B)</f>
        <v>1</v>
      </c>
      <c r="AN287" s="97">
        <f ca="1">SUMIF(Состав!A:A,J287,Состав!B:B)</f>
        <v>0</v>
      </c>
      <c r="AO287" s="97">
        <f ca="1">VLOOKUP(I287,ЦветПолный!A:C,3,0)</f>
        <v>1</v>
      </c>
      <c r="AP287" s="97">
        <f>SUMIF(Цвет!A:A,Z287,Цвет!B:B)</f>
        <v>1</v>
      </c>
      <c r="AQ287" s="97">
        <f ca="1">_xlfn.XLOOKUP(L287,Пол!A:A,Пол!B:B,0,0)</f>
        <v>1</v>
      </c>
      <c r="AR287" s="97">
        <f ca="1">SUMIF(Бренд!A:A,G287,Бренд!B:B)</f>
        <v>1</v>
      </c>
      <c r="AS287" s="97">
        <f ca="1">SUMIF(Страна!A:A,M287,Страна!B:B)</f>
        <v>1</v>
      </c>
      <c r="AT287" s="64" t="e">
        <f ca="1">IF(VLOOKUP(W287,Товары!A:B,2,FALSE)=A287,"Есть в 1С","ERR")</f>
        <v>#N/A</v>
      </c>
      <c r="AU287" s="65" t="e">
        <f ca="1">IF(VLOOKUP(A287,Товары!B:B,1,FALSE)=A287,"Есть в 1С","ERR")</f>
        <v>#N/A</v>
      </c>
      <c r="AV287" s="96" t="e">
        <f ca="1">VLOOKUP(W287,Товары!A:B,2,FALSE)</f>
        <v>#N/A</v>
      </c>
      <c r="AW287" s="94" t="e">
        <f ca="1">VLOOKUP(W287,Товары!A:B,1,FALSE)</f>
        <v>#N/A</v>
      </c>
    </row>
    <row r="288" spans="1:49" x14ac:dyDescent="0.25">
      <c r="A288" s="110" t="str">
        <f t="shared" ca="1" si="25"/>
        <v>95-005-73</v>
      </c>
      <c r="B288" s="107" t="str">
        <f ca="1">_xlfn.LET(_xlpm.CAPS,0,_xlpm.Style,TRIM(_xlfn.XLOOKUP($A288,Строчный!$A:$A,Строчный!B:B,"ERR",0)),IF(_xlpm.CAPS=0,_xlpm.Style,LOWER(_xlpm.Style)))</f>
        <v>3109</v>
      </c>
      <c r="C288" s="81" t="str">
        <f ca="1">TRIM(PROPER(_xlfn.XLOOKUP($A288,Строчный!$A:$A,Строчный!C:C,"ERR",0)))</f>
        <v>Кепки</v>
      </c>
      <c r="D288" s="81" t="str">
        <f ca="1">_xlfn.LET(_xlpm.DATA,TRIM(_xlfn.XLOOKUP($A288,Строчный!$A:$A,Строчный!D:D,"ERR",0)),UPPER(MID(_xlpm.DATA,1,1))&amp;LOWER(MID(_xlpm.DATA,2,LEN(_xlpm.DATA)-1)))</f>
        <v>Кепка восьмиклинка</v>
      </c>
      <c r="E288" s="81" t="str">
        <f ca="1">PROPER(TRIM(_xlfn.XLOOKUP($A288,Строчный!$A:$A,Строчный!E:E,"ERR",0)))</f>
        <v>Fredrikson</v>
      </c>
      <c r="F288" s="81" t="str">
        <f ca="1">LOWER(TRIM(_xlfn.XLOOKUP($A288,Строчный!$A:$A,Строчный!F:F,"ERR",0)))</f>
        <v>всесезон</v>
      </c>
      <c r="G288" s="81" t="str">
        <f ca="1">UPPER(TRIM(_xlfn.XLOOKUP($A288,Строчный!$A:$A,Строчный!G:G,"ERR",0)))</f>
        <v>FREDRIKSON</v>
      </c>
      <c r="H288" s="81" t="str">
        <f ca="1">LOWER(TRIM(_xlfn.XLOOKUP($A288,Строчный!$A:$A,Строчный!H:H,"ERR",0)))</f>
        <v>667/57</v>
      </c>
      <c r="I288" s="81" t="str">
        <f ca="1">LOWER(TRIM(_xlfn.XLOOKUP($A288,Строчный!$A:$A,Строчный!I:I,"ERR",0)))</f>
        <v>бежевый / коричневый</v>
      </c>
      <c r="J288" s="81" t="str">
        <f ca="1">SUBSTITUTE(LOWER(TRIM(_xlfn.XLOOKUP($A288,Строчный!$A:$A,Строчный!J:J,"ERR",0))),"подклад","Подклад")</f>
        <v>80% шерсть - 20% полиамид / Подклад: 100% вискоза</v>
      </c>
      <c r="K288" s="81" t="str">
        <f ca="1">LOWER(TRIM(_xlfn.XLOOKUP($A288,Строчный!$A:$A,Строчный!K:K,"ERR",0)))</f>
        <v>шерстяные</v>
      </c>
      <c r="L288" s="81" t="str">
        <f ca="1">PROPER(TRIM(_xlfn.XLOOKUP($A288,Строчный!$A:$A,Строчный!L:L,"ERR",0)))</f>
        <v>Унисекс</v>
      </c>
      <c r="M288" s="113" t="str">
        <f ca="1">PROPER(TRIM(_xlfn.XLOOKUP($A288,Строчный!$A:$A,Строчный!M:M,"ERR",0)))</f>
        <v>Россия</v>
      </c>
      <c r="N288" s="81" t="str">
        <f ca="1">UPPER(TRIM(_xlfn.XLOOKUP($A288,Строчный!$A:$A,Строчный!O:O,"ERR",0)))</f>
        <v/>
      </c>
      <c r="O288" s="102" t="str">
        <f ca="1">PROPER(TRIM(_xlfn.XLOOKUP($A288,Строчный!$A:$A,Строчный!P:P,"ERR",0)))</f>
        <v/>
      </c>
      <c r="P288" s="81" t="str">
        <f ca="1">PROPER(TRIM(_xlfn.XLOOKUP($A288,Строчный!$A:$A,Строчный!R:R,"ERR",0)))</f>
        <v/>
      </c>
      <c r="Q288" s="90">
        <f ca="1">VALUE(_xlfn.XLOOKUP($A288,Строчный!$A:$A,Строчный!N:N,"ERR",0))</f>
        <v>975.8</v>
      </c>
      <c r="R288" s="89" t="str">
        <f ca="1">_xlfn.XLOOKUP($G288,Фабрика!A:A,Фабрика!B:B,"ERR",0)</f>
        <v>ООО "ФРЭДРИКСОН" Россия 192029, С-Петербург, пр. Обуховской обороны, д.86, лит М</v>
      </c>
      <c r="S288" s="80" t="str">
        <f ca="1">_xlfn.XLOOKUP(RIGHT(AA288,2),Размеры!D:D,Размеры!A:A,"ERR",0)</f>
        <v>59</v>
      </c>
      <c r="T288" s="80">
        <f ca="1">VALUE(_xlfn.XLOOKUP($AA288,Строчный!$S:$S,Строчный!U:U,"ERR",0))</f>
        <v>20</v>
      </c>
      <c r="U288" s="14" t="s">
        <v>265</v>
      </c>
      <c r="V288" s="101" t="str">
        <f t="shared" ca="1" si="26"/>
        <v>Кепка FREDRIKSON арт. 3109 (бежевый / коричневый)</v>
      </c>
      <c r="W288" s="100" t="str">
        <f t="shared" ca="1" si="27"/>
        <v>Кепка FREDRIKSON арт. 3109 (бежевый / коричневый) {667/57}</v>
      </c>
      <c r="X288" s="18" t="str">
        <f t="shared" ca="1" si="28"/>
        <v>бежевый</v>
      </c>
      <c r="Y288" s="18" t="str">
        <f t="shared" ca="1" si="29"/>
        <v>коричневый</v>
      </c>
      <c r="Z288" s="117" t="s">
        <v>28</v>
      </c>
      <c r="AA288" s="73" t="str">
        <f ca="1"/>
        <v>95-005-73-59</v>
      </c>
      <c r="AB288" s="75" t="str">
        <f ca="1">VLOOKUP(C288,Группа!A:B,2,FALSE)</f>
        <v>Кепка</v>
      </c>
      <c r="AC288" s="97" t="str">
        <f ca="1">IFERROR(VLOOKUP(S288,Размеры!A:C,3,FALSE),"")</f>
        <v>59 L</v>
      </c>
      <c r="AD288" s="97" t="str">
        <f ca="1">VLOOKUP(I288,ЦветПолный!A:B,2,FALSE)</f>
        <v>73</v>
      </c>
      <c r="AE288" s="97" t="str">
        <f ca="1">IFERROR(VLOOKUP(S288,Размеры!A:D,4,FALSE),"")</f>
        <v>59</v>
      </c>
      <c r="AF288" s="97">
        <f ca="1">IF(LEFT(IFERROR(VLOOKUP(LOOKUP(2,1/SEARCH(B288,Товары!A:A),Товары!A:A),Товары!A:B,2,0),""),6)=MID(AA288,1,6),1,0)</f>
        <v>0</v>
      </c>
      <c r="AH288" s="97">
        <f ca="1">SUMIF(Группа!A:A,C288,Группа!C:C)</f>
        <v>1</v>
      </c>
      <c r="AI288" s="97">
        <f ca="1">SUMIF(Группа!B:B,AB288,Группа!C:C)</f>
        <v>1</v>
      </c>
      <c r="AJ288" s="97">
        <f ca="1">SUMIF(Формы!A:A,D288,Формы!B:B)</f>
        <v>1</v>
      </c>
      <c r="AK288" s="97">
        <f ca="1">SUMIF(Материал!A:A,K288,Материал!B:B)</f>
        <v>1</v>
      </c>
      <c r="AL288" s="97">
        <f ca="1">SUMIF(Размеры!A:A,S288,Размеры!E:E)</f>
        <v>1</v>
      </c>
      <c r="AM288" s="97">
        <f ca="1">SUMIF(Сезон!A:A,F288,Сезон!B:B)</f>
        <v>1</v>
      </c>
      <c r="AN288" s="97">
        <f ca="1">SUMIF(Состав!A:A,J288,Состав!B:B)</f>
        <v>0</v>
      </c>
      <c r="AO288" s="97">
        <f ca="1">VLOOKUP(I288,ЦветПолный!A:C,3,0)</f>
        <v>1</v>
      </c>
      <c r="AP288" s="97">
        <f>SUMIF(Цвет!A:A,Z288,Цвет!B:B)</f>
        <v>1</v>
      </c>
      <c r="AQ288" s="97">
        <f ca="1">_xlfn.XLOOKUP(L288,Пол!A:A,Пол!B:B,0,0)</f>
        <v>1</v>
      </c>
      <c r="AR288" s="97">
        <f ca="1">SUMIF(Бренд!A:A,G288,Бренд!B:B)</f>
        <v>1</v>
      </c>
      <c r="AS288" s="97">
        <f ca="1">SUMIF(Страна!A:A,M288,Страна!B:B)</f>
        <v>1</v>
      </c>
      <c r="AT288" s="64" t="e">
        <f ca="1">IF(VLOOKUP(W288,Товары!A:B,2,FALSE)=A288,"Есть в 1С","ERR")</f>
        <v>#N/A</v>
      </c>
      <c r="AU288" s="65" t="e">
        <f ca="1">IF(VLOOKUP(A288,Товары!B:B,1,FALSE)=A288,"Есть в 1С","ERR")</f>
        <v>#N/A</v>
      </c>
      <c r="AV288" s="96" t="e">
        <f ca="1">VLOOKUP(W288,Товары!A:B,2,FALSE)</f>
        <v>#N/A</v>
      </c>
      <c r="AW288" s="94" t="e">
        <f ca="1">VLOOKUP(W288,Товары!A:B,1,FALSE)</f>
        <v>#N/A</v>
      </c>
    </row>
    <row r="289" spans="1:49" x14ac:dyDescent="0.25">
      <c r="A289" s="110" t="str">
        <f t="shared" ca="1" si="25"/>
        <v>95-005-73</v>
      </c>
      <c r="B289" s="107" t="str">
        <f ca="1">_xlfn.LET(_xlpm.CAPS,0,_xlpm.Style,TRIM(_xlfn.XLOOKUP($A289,Строчный!$A:$A,Строчный!B:B,"ERR",0)),IF(_xlpm.CAPS=0,_xlpm.Style,LOWER(_xlpm.Style)))</f>
        <v>3109</v>
      </c>
      <c r="C289" s="81" t="str">
        <f ca="1">TRIM(PROPER(_xlfn.XLOOKUP($A289,Строчный!$A:$A,Строчный!C:C,"ERR",0)))</f>
        <v>Кепки</v>
      </c>
      <c r="D289" s="81" t="str">
        <f ca="1">_xlfn.LET(_xlpm.DATA,TRIM(_xlfn.XLOOKUP($A289,Строчный!$A:$A,Строчный!D:D,"ERR",0)),UPPER(MID(_xlpm.DATA,1,1))&amp;LOWER(MID(_xlpm.DATA,2,LEN(_xlpm.DATA)-1)))</f>
        <v>Кепка восьмиклинка</v>
      </c>
      <c r="E289" s="81" t="str">
        <f ca="1">PROPER(TRIM(_xlfn.XLOOKUP($A289,Строчный!$A:$A,Строчный!E:E,"ERR",0)))</f>
        <v>Fredrikson</v>
      </c>
      <c r="F289" s="81" t="str">
        <f ca="1">LOWER(TRIM(_xlfn.XLOOKUP($A289,Строчный!$A:$A,Строчный!F:F,"ERR",0)))</f>
        <v>всесезон</v>
      </c>
      <c r="G289" s="81" t="str">
        <f ca="1">UPPER(TRIM(_xlfn.XLOOKUP($A289,Строчный!$A:$A,Строчный!G:G,"ERR",0)))</f>
        <v>FREDRIKSON</v>
      </c>
      <c r="H289" s="81" t="str">
        <f ca="1">LOWER(TRIM(_xlfn.XLOOKUP($A289,Строчный!$A:$A,Строчный!H:H,"ERR",0)))</f>
        <v>667/57</v>
      </c>
      <c r="I289" s="81" t="str">
        <f ca="1">LOWER(TRIM(_xlfn.XLOOKUP($A289,Строчный!$A:$A,Строчный!I:I,"ERR",0)))</f>
        <v>бежевый / коричневый</v>
      </c>
      <c r="J289" s="81" t="str">
        <f ca="1">SUBSTITUTE(LOWER(TRIM(_xlfn.XLOOKUP($A289,Строчный!$A:$A,Строчный!J:J,"ERR",0))),"подклад","Подклад")</f>
        <v>80% шерсть - 20% полиамид / Подклад: 100% вискоза</v>
      </c>
      <c r="K289" s="81" t="str">
        <f ca="1">LOWER(TRIM(_xlfn.XLOOKUP($A289,Строчный!$A:$A,Строчный!K:K,"ERR",0)))</f>
        <v>шерстяные</v>
      </c>
      <c r="L289" s="81" t="str">
        <f ca="1">PROPER(TRIM(_xlfn.XLOOKUP($A289,Строчный!$A:$A,Строчный!L:L,"ERR",0)))</f>
        <v>Унисекс</v>
      </c>
      <c r="M289" s="113" t="str">
        <f ca="1">PROPER(TRIM(_xlfn.XLOOKUP($A289,Строчный!$A:$A,Строчный!M:M,"ERR",0)))</f>
        <v>Россия</v>
      </c>
      <c r="N289" s="81" t="str">
        <f ca="1">UPPER(TRIM(_xlfn.XLOOKUP($A289,Строчный!$A:$A,Строчный!O:O,"ERR",0)))</f>
        <v/>
      </c>
      <c r="O289" s="102" t="str">
        <f ca="1">PROPER(TRIM(_xlfn.XLOOKUP($A289,Строчный!$A:$A,Строчный!P:P,"ERR",0)))</f>
        <v/>
      </c>
      <c r="P289" s="81" t="str">
        <f ca="1">PROPER(TRIM(_xlfn.XLOOKUP($A289,Строчный!$A:$A,Строчный!R:R,"ERR",0)))</f>
        <v/>
      </c>
      <c r="Q289" s="90">
        <f ca="1">VALUE(_xlfn.XLOOKUP($A289,Строчный!$A:$A,Строчный!N:N,"ERR",0))</f>
        <v>975.8</v>
      </c>
      <c r="R289" s="89" t="str">
        <f ca="1">_xlfn.XLOOKUP($G289,Фабрика!A:A,Фабрика!B:B,"ERR",0)</f>
        <v>ООО "ФРЭДРИКСОН" Россия 192029, С-Петербург, пр. Обуховской обороны, д.86, лит М</v>
      </c>
      <c r="S289" s="80" t="str">
        <f ca="1">_xlfn.XLOOKUP(RIGHT(AA289,2),Размеры!D:D,Размеры!A:A,"ERR",0)</f>
        <v>58</v>
      </c>
      <c r="T289" s="80">
        <f ca="1">VALUE(_xlfn.XLOOKUP($AA289,Строчный!$S:$S,Строчный!U:U,"ERR",0))</f>
        <v>15</v>
      </c>
      <c r="U289" s="14" t="s">
        <v>265</v>
      </c>
      <c r="V289" s="101" t="str">
        <f t="shared" ca="1" si="26"/>
        <v>Кепка FREDRIKSON арт. 3109 (бежевый / коричневый)</v>
      </c>
      <c r="W289" s="100" t="str">
        <f t="shared" ca="1" si="27"/>
        <v>Кепка FREDRIKSON арт. 3109 (бежевый / коричневый) {667/57}</v>
      </c>
      <c r="X289" s="18" t="str">
        <f t="shared" ca="1" si="28"/>
        <v>бежевый</v>
      </c>
      <c r="Y289" s="18" t="str">
        <f t="shared" ca="1" si="29"/>
        <v>коричневый</v>
      </c>
      <c r="Z289" s="117" t="s">
        <v>28</v>
      </c>
      <c r="AA289" s="73" t="str">
        <f ca="1"/>
        <v>95-005-73-58</v>
      </c>
      <c r="AB289" s="75" t="str">
        <f ca="1">VLOOKUP(C289,Группа!A:B,2,FALSE)</f>
        <v>Кепка</v>
      </c>
      <c r="AC289" s="97" t="str">
        <f ca="1">IFERROR(VLOOKUP(S289,Размеры!A:C,3,FALSE),"")</f>
        <v>58 M/L</v>
      </c>
      <c r="AD289" s="97" t="str">
        <f ca="1">VLOOKUP(I289,ЦветПолный!A:B,2,FALSE)</f>
        <v>73</v>
      </c>
      <c r="AE289" s="97" t="str">
        <f ca="1">IFERROR(VLOOKUP(S289,Размеры!A:D,4,FALSE),"")</f>
        <v>58</v>
      </c>
      <c r="AF289" s="97">
        <f ca="1">IF(LEFT(IFERROR(VLOOKUP(LOOKUP(2,1/SEARCH(B289,Товары!A:A),Товары!A:A),Товары!A:B,2,0),""),6)=MID(AA289,1,6),1,0)</f>
        <v>0</v>
      </c>
      <c r="AH289" s="97">
        <f ca="1">SUMIF(Группа!A:A,C289,Группа!C:C)</f>
        <v>1</v>
      </c>
      <c r="AI289" s="97">
        <f ca="1">SUMIF(Группа!B:B,AB289,Группа!C:C)</f>
        <v>1</v>
      </c>
      <c r="AJ289" s="97">
        <f ca="1">SUMIF(Формы!A:A,D289,Формы!B:B)</f>
        <v>1</v>
      </c>
      <c r="AK289" s="97">
        <f ca="1">SUMIF(Материал!A:A,K289,Материал!B:B)</f>
        <v>1</v>
      </c>
      <c r="AL289" s="97">
        <f ca="1">SUMIF(Размеры!A:A,S289,Размеры!E:E)</f>
        <v>1</v>
      </c>
      <c r="AM289" s="97">
        <f ca="1">SUMIF(Сезон!A:A,F289,Сезон!B:B)</f>
        <v>1</v>
      </c>
      <c r="AN289" s="97">
        <f ca="1">SUMIF(Состав!A:A,J289,Состав!B:B)</f>
        <v>0</v>
      </c>
      <c r="AO289" s="97">
        <f ca="1">VLOOKUP(I289,ЦветПолный!A:C,3,0)</f>
        <v>1</v>
      </c>
      <c r="AP289" s="97">
        <f>SUMIF(Цвет!A:A,Z289,Цвет!B:B)</f>
        <v>1</v>
      </c>
      <c r="AQ289" s="97">
        <f ca="1">_xlfn.XLOOKUP(L289,Пол!A:A,Пол!B:B,0,0)</f>
        <v>1</v>
      </c>
      <c r="AR289" s="97">
        <f ca="1">SUMIF(Бренд!A:A,G289,Бренд!B:B)</f>
        <v>1</v>
      </c>
      <c r="AS289" s="97">
        <f ca="1">SUMIF(Страна!A:A,M289,Страна!B:B)</f>
        <v>1</v>
      </c>
      <c r="AT289" s="64" t="e">
        <f ca="1">IF(VLOOKUP(W289,Товары!A:B,2,FALSE)=A289,"Есть в 1С","ERR")</f>
        <v>#N/A</v>
      </c>
      <c r="AU289" s="65" t="e">
        <f ca="1">IF(VLOOKUP(A289,Товары!B:B,1,FALSE)=A289,"Есть в 1С","ERR")</f>
        <v>#N/A</v>
      </c>
      <c r="AV289" s="96" t="e">
        <f ca="1">VLOOKUP(W289,Товары!A:B,2,FALSE)</f>
        <v>#N/A</v>
      </c>
      <c r="AW289" s="94" t="e">
        <f ca="1">VLOOKUP(W289,Товары!A:B,1,FALSE)</f>
        <v>#N/A</v>
      </c>
    </row>
    <row r="290" spans="1:49" x14ac:dyDescent="0.25">
      <c r="A290" s="110" t="str">
        <f t="shared" ca="1" si="25"/>
        <v>95-005-73</v>
      </c>
      <c r="B290" s="107" t="str">
        <f ca="1">_xlfn.LET(_xlpm.CAPS,0,_xlpm.Style,TRIM(_xlfn.XLOOKUP($A290,Строчный!$A:$A,Строчный!B:B,"ERR",0)),IF(_xlpm.CAPS=0,_xlpm.Style,LOWER(_xlpm.Style)))</f>
        <v>3109</v>
      </c>
      <c r="C290" s="81" t="str">
        <f ca="1">TRIM(PROPER(_xlfn.XLOOKUP($A290,Строчный!$A:$A,Строчный!C:C,"ERR",0)))</f>
        <v>Кепки</v>
      </c>
      <c r="D290" s="81" t="str">
        <f ca="1">_xlfn.LET(_xlpm.DATA,TRIM(_xlfn.XLOOKUP($A290,Строчный!$A:$A,Строчный!D:D,"ERR",0)),UPPER(MID(_xlpm.DATA,1,1))&amp;LOWER(MID(_xlpm.DATA,2,LEN(_xlpm.DATA)-1)))</f>
        <v>Кепка восьмиклинка</v>
      </c>
      <c r="E290" s="81" t="str">
        <f ca="1">PROPER(TRIM(_xlfn.XLOOKUP($A290,Строчный!$A:$A,Строчный!E:E,"ERR",0)))</f>
        <v>Fredrikson</v>
      </c>
      <c r="F290" s="81" t="str">
        <f ca="1">LOWER(TRIM(_xlfn.XLOOKUP($A290,Строчный!$A:$A,Строчный!F:F,"ERR",0)))</f>
        <v>всесезон</v>
      </c>
      <c r="G290" s="81" t="str">
        <f ca="1">UPPER(TRIM(_xlfn.XLOOKUP($A290,Строчный!$A:$A,Строчный!G:G,"ERR",0)))</f>
        <v>FREDRIKSON</v>
      </c>
      <c r="H290" s="81" t="str">
        <f ca="1">LOWER(TRIM(_xlfn.XLOOKUP($A290,Строчный!$A:$A,Строчный!H:H,"ERR",0)))</f>
        <v>667/57</v>
      </c>
      <c r="I290" s="81" t="str">
        <f ca="1">LOWER(TRIM(_xlfn.XLOOKUP($A290,Строчный!$A:$A,Строчный!I:I,"ERR",0)))</f>
        <v>бежевый / коричневый</v>
      </c>
      <c r="J290" s="81" t="str">
        <f ca="1">SUBSTITUTE(LOWER(TRIM(_xlfn.XLOOKUP($A290,Строчный!$A:$A,Строчный!J:J,"ERR",0))),"подклад","Подклад")</f>
        <v>80% шерсть - 20% полиамид / Подклад: 100% вискоза</v>
      </c>
      <c r="K290" s="81" t="str">
        <f ca="1">LOWER(TRIM(_xlfn.XLOOKUP($A290,Строчный!$A:$A,Строчный!K:K,"ERR",0)))</f>
        <v>шерстяные</v>
      </c>
      <c r="L290" s="81" t="str">
        <f ca="1">PROPER(TRIM(_xlfn.XLOOKUP($A290,Строчный!$A:$A,Строчный!L:L,"ERR",0)))</f>
        <v>Унисекс</v>
      </c>
      <c r="M290" s="113" t="str">
        <f ca="1">PROPER(TRIM(_xlfn.XLOOKUP($A290,Строчный!$A:$A,Строчный!M:M,"ERR",0)))</f>
        <v>Россия</v>
      </c>
      <c r="N290" s="81" t="str">
        <f ca="1">UPPER(TRIM(_xlfn.XLOOKUP($A290,Строчный!$A:$A,Строчный!O:O,"ERR",0)))</f>
        <v/>
      </c>
      <c r="O290" s="102" t="str">
        <f ca="1">PROPER(TRIM(_xlfn.XLOOKUP($A290,Строчный!$A:$A,Строчный!P:P,"ERR",0)))</f>
        <v/>
      </c>
      <c r="P290" s="81" t="str">
        <f ca="1">PROPER(TRIM(_xlfn.XLOOKUP($A290,Строчный!$A:$A,Строчный!R:R,"ERR",0)))</f>
        <v/>
      </c>
      <c r="Q290" s="90">
        <f ca="1">VALUE(_xlfn.XLOOKUP($A290,Строчный!$A:$A,Строчный!N:N,"ERR",0))</f>
        <v>975.8</v>
      </c>
      <c r="R290" s="89" t="str">
        <f ca="1">_xlfn.XLOOKUP($G290,Фабрика!A:A,Фабрика!B:B,"ERR",0)</f>
        <v>ООО "ФРЭДРИКСОН" Россия 192029, С-Петербург, пр. Обуховской обороны, д.86, лит М</v>
      </c>
      <c r="S290" s="80" t="str">
        <f ca="1">_xlfn.XLOOKUP(RIGHT(AA290,2),Размеры!D:D,Размеры!A:A,"ERR",0)</f>
        <v>57</v>
      </c>
      <c r="T290" s="80">
        <f ca="1">VALUE(_xlfn.XLOOKUP($AA290,Строчный!$S:$S,Строчный!U:U,"ERR",0))</f>
        <v>10</v>
      </c>
      <c r="U290" s="14" t="s">
        <v>265</v>
      </c>
      <c r="V290" s="101" t="str">
        <f t="shared" ca="1" si="26"/>
        <v>Кепка FREDRIKSON арт. 3109 (бежевый / коричневый)</v>
      </c>
      <c r="W290" s="100" t="str">
        <f t="shared" ca="1" si="27"/>
        <v>Кепка FREDRIKSON арт. 3109 (бежевый / коричневый) {667/57}</v>
      </c>
      <c r="X290" s="18" t="str">
        <f t="shared" ca="1" si="28"/>
        <v>бежевый</v>
      </c>
      <c r="Y290" s="18" t="str">
        <f t="shared" ca="1" si="29"/>
        <v>коричневый</v>
      </c>
      <c r="Z290" s="117" t="s">
        <v>28</v>
      </c>
      <c r="AA290" s="73" t="str">
        <f ca="1"/>
        <v>95-005-73-57</v>
      </c>
      <c r="AB290" s="75" t="str">
        <f ca="1">VLOOKUP(C290,Группа!A:B,2,FALSE)</f>
        <v>Кепка</v>
      </c>
      <c r="AC290" s="97" t="str">
        <f ca="1">IFERROR(VLOOKUP(S290,Размеры!A:C,3,FALSE),"")</f>
        <v>57 M</v>
      </c>
      <c r="AD290" s="97" t="str">
        <f ca="1">VLOOKUP(I290,ЦветПолный!A:B,2,FALSE)</f>
        <v>73</v>
      </c>
      <c r="AE290" s="97" t="str">
        <f ca="1">IFERROR(VLOOKUP(S290,Размеры!A:D,4,FALSE),"")</f>
        <v>57</v>
      </c>
      <c r="AF290" s="97">
        <f ca="1">IF(LEFT(IFERROR(VLOOKUP(LOOKUP(2,1/SEARCH(B290,Товары!A:A),Товары!A:A),Товары!A:B,2,0),""),6)=MID(AA290,1,6),1,0)</f>
        <v>0</v>
      </c>
      <c r="AH290" s="97">
        <f ca="1">SUMIF(Группа!A:A,C290,Группа!C:C)</f>
        <v>1</v>
      </c>
      <c r="AI290" s="97">
        <f ca="1">SUMIF(Группа!B:B,AB290,Группа!C:C)</f>
        <v>1</v>
      </c>
      <c r="AJ290" s="97">
        <f ca="1">SUMIF(Формы!A:A,D290,Формы!B:B)</f>
        <v>1</v>
      </c>
      <c r="AK290" s="97">
        <f ca="1">SUMIF(Материал!A:A,K290,Материал!B:B)</f>
        <v>1</v>
      </c>
      <c r="AL290" s="97">
        <f ca="1">SUMIF(Размеры!A:A,S290,Размеры!E:E)</f>
        <v>1</v>
      </c>
      <c r="AM290" s="97">
        <f ca="1">SUMIF(Сезон!A:A,F290,Сезон!B:B)</f>
        <v>1</v>
      </c>
      <c r="AN290" s="97">
        <f ca="1">SUMIF(Состав!A:A,J290,Состав!B:B)</f>
        <v>0</v>
      </c>
      <c r="AO290" s="97">
        <f ca="1">VLOOKUP(I290,ЦветПолный!A:C,3,0)</f>
        <v>1</v>
      </c>
      <c r="AP290" s="97">
        <f>SUMIF(Цвет!A:A,Z290,Цвет!B:B)</f>
        <v>1</v>
      </c>
      <c r="AQ290" s="97">
        <f ca="1">_xlfn.XLOOKUP(L290,Пол!A:A,Пол!B:B,0,0)</f>
        <v>1</v>
      </c>
      <c r="AR290" s="97">
        <f ca="1">SUMIF(Бренд!A:A,G290,Бренд!B:B)</f>
        <v>1</v>
      </c>
      <c r="AS290" s="97">
        <f ca="1">SUMIF(Страна!A:A,M290,Страна!B:B)</f>
        <v>1</v>
      </c>
      <c r="AT290" s="64" t="e">
        <f ca="1">IF(VLOOKUP(W290,Товары!A:B,2,FALSE)=A290,"Есть в 1С","ERR")</f>
        <v>#N/A</v>
      </c>
      <c r="AU290" s="65" t="e">
        <f ca="1">IF(VLOOKUP(A290,Товары!B:B,1,FALSE)=A290,"Есть в 1С","ERR")</f>
        <v>#N/A</v>
      </c>
      <c r="AV290" s="96" t="e">
        <f ca="1">VLOOKUP(W290,Товары!A:B,2,FALSE)</f>
        <v>#N/A</v>
      </c>
      <c r="AW290" s="94" t="e">
        <f ca="1">VLOOKUP(W290,Товары!A:B,1,FALSE)</f>
        <v>#N/A</v>
      </c>
    </row>
    <row r="291" spans="1:49" x14ac:dyDescent="0.25">
      <c r="A291" s="110" t="str">
        <f t="shared" ca="1" si="25"/>
        <v>95-005-73</v>
      </c>
      <c r="B291" s="107" t="str">
        <f ca="1">_xlfn.LET(_xlpm.CAPS,0,_xlpm.Style,TRIM(_xlfn.XLOOKUP($A291,Строчный!$A:$A,Строчный!B:B,"ERR",0)),IF(_xlpm.CAPS=0,_xlpm.Style,LOWER(_xlpm.Style)))</f>
        <v>3109</v>
      </c>
      <c r="C291" s="81" t="str">
        <f ca="1">TRIM(PROPER(_xlfn.XLOOKUP($A291,Строчный!$A:$A,Строчный!C:C,"ERR",0)))</f>
        <v>Кепки</v>
      </c>
      <c r="D291" s="81" t="str">
        <f ca="1">_xlfn.LET(_xlpm.DATA,TRIM(_xlfn.XLOOKUP($A291,Строчный!$A:$A,Строчный!D:D,"ERR",0)),UPPER(MID(_xlpm.DATA,1,1))&amp;LOWER(MID(_xlpm.DATA,2,LEN(_xlpm.DATA)-1)))</f>
        <v>Кепка восьмиклинка</v>
      </c>
      <c r="E291" s="81" t="str">
        <f ca="1">PROPER(TRIM(_xlfn.XLOOKUP($A291,Строчный!$A:$A,Строчный!E:E,"ERR",0)))</f>
        <v>Fredrikson</v>
      </c>
      <c r="F291" s="81" t="str">
        <f ca="1">LOWER(TRIM(_xlfn.XLOOKUP($A291,Строчный!$A:$A,Строчный!F:F,"ERR",0)))</f>
        <v>всесезон</v>
      </c>
      <c r="G291" s="81" t="str">
        <f ca="1">UPPER(TRIM(_xlfn.XLOOKUP($A291,Строчный!$A:$A,Строчный!G:G,"ERR",0)))</f>
        <v>FREDRIKSON</v>
      </c>
      <c r="H291" s="81" t="str">
        <f ca="1">LOWER(TRIM(_xlfn.XLOOKUP($A291,Строчный!$A:$A,Строчный!H:H,"ERR",0)))</f>
        <v>667/57</v>
      </c>
      <c r="I291" s="81" t="str">
        <f ca="1">LOWER(TRIM(_xlfn.XLOOKUP($A291,Строчный!$A:$A,Строчный!I:I,"ERR",0)))</f>
        <v>бежевый / коричневый</v>
      </c>
      <c r="J291" s="81" t="str">
        <f ca="1">SUBSTITUTE(LOWER(TRIM(_xlfn.XLOOKUP($A291,Строчный!$A:$A,Строчный!J:J,"ERR",0))),"подклад","Подклад")</f>
        <v>80% шерсть - 20% полиамид / Подклад: 100% вискоза</v>
      </c>
      <c r="K291" s="81" t="str">
        <f ca="1">LOWER(TRIM(_xlfn.XLOOKUP($A291,Строчный!$A:$A,Строчный!K:K,"ERR",0)))</f>
        <v>шерстяные</v>
      </c>
      <c r="L291" s="81" t="str">
        <f ca="1">PROPER(TRIM(_xlfn.XLOOKUP($A291,Строчный!$A:$A,Строчный!L:L,"ERR",0)))</f>
        <v>Унисекс</v>
      </c>
      <c r="M291" s="113" t="str">
        <f ca="1">PROPER(TRIM(_xlfn.XLOOKUP($A291,Строчный!$A:$A,Строчный!M:M,"ERR",0)))</f>
        <v>Россия</v>
      </c>
      <c r="N291" s="81" t="str">
        <f ca="1">UPPER(TRIM(_xlfn.XLOOKUP($A291,Строчный!$A:$A,Строчный!O:O,"ERR",0)))</f>
        <v/>
      </c>
      <c r="O291" s="102" t="str">
        <f ca="1">PROPER(TRIM(_xlfn.XLOOKUP($A291,Строчный!$A:$A,Строчный!P:P,"ERR",0)))</f>
        <v/>
      </c>
      <c r="P291" s="81" t="str">
        <f ca="1">PROPER(TRIM(_xlfn.XLOOKUP($A291,Строчный!$A:$A,Строчный!R:R,"ERR",0)))</f>
        <v/>
      </c>
      <c r="Q291" s="90">
        <f ca="1">VALUE(_xlfn.XLOOKUP($A291,Строчный!$A:$A,Строчный!N:N,"ERR",0))</f>
        <v>975.8</v>
      </c>
      <c r="R291" s="89" t="str">
        <f ca="1">_xlfn.XLOOKUP($G291,Фабрика!A:A,Фабрика!B:B,"ERR",0)</f>
        <v>ООО "ФРЭДРИКСОН" Россия 192029, С-Петербург, пр. Обуховской обороны, д.86, лит М</v>
      </c>
      <c r="S291" s="80" t="str">
        <f ca="1">_xlfn.XLOOKUP(RIGHT(AA291,2),Размеры!D:D,Размеры!A:A,"ERR",0)</f>
        <v>56</v>
      </c>
      <c r="T291" s="80">
        <f ca="1">VALUE(_xlfn.XLOOKUP($AA291,Строчный!$S:$S,Строчный!U:U,"ERR",0))</f>
        <v>5</v>
      </c>
      <c r="U291" s="14" t="s">
        <v>265</v>
      </c>
      <c r="V291" s="101" t="str">
        <f t="shared" ca="1" si="26"/>
        <v>Кепка FREDRIKSON арт. 3109 (бежевый / коричневый)</v>
      </c>
      <c r="W291" s="100" t="str">
        <f t="shared" ca="1" si="27"/>
        <v>Кепка FREDRIKSON арт. 3109 (бежевый / коричневый) {667/57}</v>
      </c>
      <c r="X291" s="18" t="str">
        <f t="shared" ca="1" si="28"/>
        <v>бежевый</v>
      </c>
      <c r="Y291" s="18" t="str">
        <f t="shared" ca="1" si="29"/>
        <v>коричневый</v>
      </c>
      <c r="Z291" s="117" t="s">
        <v>28</v>
      </c>
      <c r="AA291" s="73" t="str">
        <f ca="1"/>
        <v>95-005-73-56</v>
      </c>
      <c r="AB291" s="75" t="str">
        <f ca="1">VLOOKUP(C291,Группа!A:B,2,FALSE)</f>
        <v>Кепка</v>
      </c>
      <c r="AC291" s="97" t="str">
        <f ca="1">IFERROR(VLOOKUP(S291,Размеры!A:C,3,FALSE),"")</f>
        <v>56 S/M</v>
      </c>
      <c r="AD291" s="97" t="str">
        <f ca="1">VLOOKUP(I291,ЦветПолный!A:B,2,FALSE)</f>
        <v>73</v>
      </c>
      <c r="AE291" s="97" t="str">
        <f ca="1">IFERROR(VLOOKUP(S291,Размеры!A:D,4,FALSE),"")</f>
        <v>56</v>
      </c>
      <c r="AF291" s="97">
        <f ca="1">IF(LEFT(IFERROR(VLOOKUP(LOOKUP(2,1/SEARCH(B291,Товары!A:A),Товары!A:A),Товары!A:B,2,0),""),6)=MID(AA291,1,6),1,0)</f>
        <v>0</v>
      </c>
      <c r="AH291" s="97">
        <f ca="1">SUMIF(Группа!A:A,C291,Группа!C:C)</f>
        <v>1</v>
      </c>
      <c r="AI291" s="97">
        <f ca="1">SUMIF(Группа!B:B,AB291,Группа!C:C)</f>
        <v>1</v>
      </c>
      <c r="AJ291" s="97">
        <f ca="1">SUMIF(Формы!A:A,D291,Формы!B:B)</f>
        <v>1</v>
      </c>
      <c r="AK291" s="97">
        <f ca="1">SUMIF(Материал!A:A,K291,Материал!B:B)</f>
        <v>1</v>
      </c>
      <c r="AL291" s="97">
        <f ca="1">SUMIF(Размеры!A:A,S291,Размеры!E:E)</f>
        <v>1</v>
      </c>
      <c r="AM291" s="97">
        <f ca="1">SUMIF(Сезон!A:A,F291,Сезон!B:B)</f>
        <v>1</v>
      </c>
      <c r="AN291" s="97">
        <f ca="1">SUMIF(Состав!A:A,J291,Состав!B:B)</f>
        <v>0</v>
      </c>
      <c r="AO291" s="97">
        <f ca="1">VLOOKUP(I291,ЦветПолный!A:C,3,0)</f>
        <v>1</v>
      </c>
      <c r="AP291" s="97">
        <f>SUMIF(Цвет!A:A,Z291,Цвет!B:B)</f>
        <v>1</v>
      </c>
      <c r="AQ291" s="97">
        <f ca="1">_xlfn.XLOOKUP(L291,Пол!A:A,Пол!B:B,0,0)</f>
        <v>1</v>
      </c>
      <c r="AR291" s="97">
        <f ca="1">SUMIF(Бренд!A:A,G291,Бренд!B:B)</f>
        <v>1</v>
      </c>
      <c r="AS291" s="97">
        <f ca="1">SUMIF(Страна!A:A,M291,Страна!B:B)</f>
        <v>1</v>
      </c>
      <c r="AT291" s="64" t="e">
        <f ca="1">IF(VLOOKUP(W291,Товары!A:B,2,FALSE)=A291,"Есть в 1С","ERR")</f>
        <v>#N/A</v>
      </c>
      <c r="AU291" s="65" t="e">
        <f ca="1">IF(VLOOKUP(A291,Товары!B:B,1,FALSE)=A291,"Есть в 1С","ERR")</f>
        <v>#N/A</v>
      </c>
      <c r="AV291" s="96" t="e">
        <f ca="1">VLOOKUP(W291,Товары!A:B,2,FALSE)</f>
        <v>#N/A</v>
      </c>
      <c r="AW291" s="94" t="e">
        <f ca="1">VLOOKUP(W291,Товары!A:B,1,FALSE)</f>
        <v>#N/A</v>
      </c>
    </row>
    <row r="292" spans="1:49" x14ac:dyDescent="0.25">
      <c r="A292" s="110" t="str">
        <f t="shared" ca="1" si="25"/>
        <v>95-005-63</v>
      </c>
      <c r="B292" s="107" t="str">
        <f ca="1">_xlfn.LET(_xlpm.CAPS,0,_xlpm.Style,TRIM(_xlfn.XLOOKUP($A292,Строчный!$A:$A,Строчный!B:B,"ERR",0)),IF(_xlpm.CAPS=0,_xlpm.Style,LOWER(_xlpm.Style)))</f>
        <v>3109</v>
      </c>
      <c r="C292" s="81" t="str">
        <f ca="1">TRIM(PROPER(_xlfn.XLOOKUP($A292,Строчный!$A:$A,Строчный!C:C,"ERR",0)))</f>
        <v>Кепки</v>
      </c>
      <c r="D292" s="81" t="str">
        <f ca="1">_xlfn.LET(_xlpm.DATA,TRIM(_xlfn.XLOOKUP($A292,Строчный!$A:$A,Строчный!D:D,"ERR",0)),UPPER(MID(_xlpm.DATA,1,1))&amp;LOWER(MID(_xlpm.DATA,2,LEN(_xlpm.DATA)-1)))</f>
        <v>Кепка восьмиклинка</v>
      </c>
      <c r="E292" s="81" t="str">
        <f ca="1">PROPER(TRIM(_xlfn.XLOOKUP($A292,Строчный!$A:$A,Строчный!E:E,"ERR",0)))</f>
        <v>Fredrikson</v>
      </c>
      <c r="F292" s="81" t="str">
        <f ca="1">LOWER(TRIM(_xlfn.XLOOKUP($A292,Строчный!$A:$A,Строчный!F:F,"ERR",0)))</f>
        <v>всесезон</v>
      </c>
      <c r="G292" s="81" t="str">
        <f ca="1">UPPER(TRIM(_xlfn.XLOOKUP($A292,Строчный!$A:$A,Строчный!G:G,"ERR",0)))</f>
        <v>FREDRIKSON</v>
      </c>
      <c r="H292" s="81" t="str">
        <f ca="1">LOWER(TRIM(_xlfn.XLOOKUP($A292,Строчный!$A:$A,Строчный!H:H,"ERR",0)))</f>
        <v>637/70</v>
      </c>
      <c r="I292" s="81" t="str">
        <f ca="1">LOWER(TRIM(_xlfn.XLOOKUP($A292,Строчный!$A:$A,Строчный!I:I,"ERR",0)))</f>
        <v>темно-серый / темно-синий</v>
      </c>
      <c r="J292" s="81" t="str">
        <f ca="1">SUBSTITUTE(LOWER(TRIM(_xlfn.XLOOKUP($A292,Строчный!$A:$A,Строчный!J:J,"ERR",0))),"подклад","Подклад")</f>
        <v>80% шерсть - 20% полиамид / Подклад: 100% вискоза</v>
      </c>
      <c r="K292" s="81" t="str">
        <f ca="1">LOWER(TRIM(_xlfn.XLOOKUP($A292,Строчный!$A:$A,Строчный!K:K,"ERR",0)))</f>
        <v>шерстяные</v>
      </c>
      <c r="L292" s="81" t="str">
        <f ca="1">PROPER(TRIM(_xlfn.XLOOKUP($A292,Строчный!$A:$A,Строчный!L:L,"ERR",0)))</f>
        <v>Унисекс</v>
      </c>
      <c r="M292" s="113" t="str">
        <f ca="1">PROPER(TRIM(_xlfn.XLOOKUP($A292,Строчный!$A:$A,Строчный!M:M,"ERR",0)))</f>
        <v>Россия</v>
      </c>
      <c r="N292" s="81" t="str">
        <f ca="1">UPPER(TRIM(_xlfn.XLOOKUP($A292,Строчный!$A:$A,Строчный!O:O,"ERR",0)))</f>
        <v/>
      </c>
      <c r="O292" s="102" t="str">
        <f ca="1">PROPER(TRIM(_xlfn.XLOOKUP($A292,Строчный!$A:$A,Строчный!P:P,"ERR",0)))</f>
        <v/>
      </c>
      <c r="P292" s="81" t="str">
        <f ca="1">PROPER(TRIM(_xlfn.XLOOKUP($A292,Строчный!$A:$A,Строчный!R:R,"ERR",0)))</f>
        <v/>
      </c>
      <c r="Q292" s="90">
        <f ca="1">VALUE(_xlfn.XLOOKUP($A292,Строчный!$A:$A,Строчный!N:N,"ERR",0))</f>
        <v>975.8</v>
      </c>
      <c r="R292" s="89" t="str">
        <f ca="1">_xlfn.XLOOKUP($G292,Фабрика!A:A,Фабрика!B:B,"ERR",0)</f>
        <v>ООО "ФРЭДРИКСОН" Россия 192029, С-Петербург, пр. Обуховской обороны, д.86, лит М</v>
      </c>
      <c r="S292" s="80" t="str">
        <f ca="1">_xlfn.XLOOKUP(RIGHT(AA292,2),Размеры!D:D,Размеры!A:A,"ERR",0)</f>
        <v>62</v>
      </c>
      <c r="T292" s="80">
        <f ca="1">VALUE(_xlfn.XLOOKUP($AA292,Строчный!$S:$S,Строчный!U:U,"ERR",0))</f>
        <v>10</v>
      </c>
      <c r="U292" s="14" t="s">
        <v>265</v>
      </c>
      <c r="V292" s="101" t="str">
        <f t="shared" ca="1" si="26"/>
        <v>Кепка FREDRIKSON арт. 3109 (темно-серый / темно-синий)</v>
      </c>
      <c r="W292" s="100" t="str">
        <f t="shared" ca="1" si="27"/>
        <v>Кепка FREDRIKSON арт. 3109 (темно-серый / темно-синий) {637/70}</v>
      </c>
      <c r="X292" s="18" t="str">
        <f t="shared" ca="1" si="28"/>
        <v>серый / темно-синий</v>
      </c>
      <c r="Y292" s="18" t="str">
        <f t="shared" ca="1" si="29"/>
        <v>серый / темно-синий</v>
      </c>
      <c r="Z292" s="117" t="s">
        <v>28</v>
      </c>
      <c r="AA292" s="73" t="str">
        <f ca="1"/>
        <v>95-005-63-62</v>
      </c>
      <c r="AB292" s="75" t="str">
        <f ca="1">VLOOKUP(C292,Группа!A:B,2,FALSE)</f>
        <v>Кепка</v>
      </c>
      <c r="AC292" s="97" t="str">
        <f ca="1">IFERROR(VLOOKUP(S292,Размеры!A:C,3,FALSE),"")</f>
        <v>62 XL/XXL</v>
      </c>
      <c r="AD292" s="97" t="str">
        <f ca="1">VLOOKUP(I292,ЦветПолный!A:B,2,FALSE)</f>
        <v>63</v>
      </c>
      <c r="AE292" s="97" t="str">
        <f ca="1">IFERROR(VLOOKUP(S292,Размеры!A:D,4,FALSE),"")</f>
        <v>62</v>
      </c>
      <c r="AF292" s="97">
        <f ca="1">IF(LEFT(IFERROR(VLOOKUP(LOOKUP(2,1/SEARCH(B292,Товары!A:A),Товары!A:A),Товары!A:B,2,0),""),6)=MID(AA292,1,6),1,0)</f>
        <v>0</v>
      </c>
      <c r="AH292" s="97">
        <f ca="1">SUMIF(Группа!A:A,C292,Группа!C:C)</f>
        <v>1</v>
      </c>
      <c r="AI292" s="97">
        <f ca="1">SUMIF(Группа!B:B,AB292,Группа!C:C)</f>
        <v>1</v>
      </c>
      <c r="AJ292" s="97">
        <f ca="1">SUMIF(Формы!A:A,D292,Формы!B:B)</f>
        <v>1</v>
      </c>
      <c r="AK292" s="97">
        <f ca="1">SUMIF(Материал!A:A,K292,Материал!B:B)</f>
        <v>1</v>
      </c>
      <c r="AL292" s="97">
        <f ca="1">SUMIF(Размеры!A:A,S292,Размеры!E:E)</f>
        <v>1</v>
      </c>
      <c r="AM292" s="97">
        <f ca="1">SUMIF(Сезон!A:A,F292,Сезон!B:B)</f>
        <v>1</v>
      </c>
      <c r="AN292" s="97">
        <f ca="1">SUMIF(Состав!A:A,J292,Состав!B:B)</f>
        <v>0</v>
      </c>
      <c r="AO292" s="97">
        <f ca="1">VLOOKUP(I292,ЦветПолный!A:C,3,0)</f>
        <v>1</v>
      </c>
      <c r="AP292" s="97">
        <f>SUMIF(Цвет!A:A,Z292,Цвет!B:B)</f>
        <v>1</v>
      </c>
      <c r="AQ292" s="97">
        <f ca="1">_xlfn.XLOOKUP(L292,Пол!A:A,Пол!B:B,0,0)</f>
        <v>1</v>
      </c>
      <c r="AR292" s="97">
        <f ca="1">SUMIF(Бренд!A:A,G292,Бренд!B:B)</f>
        <v>1</v>
      </c>
      <c r="AS292" s="97">
        <f ca="1">SUMIF(Страна!A:A,M292,Страна!B:B)</f>
        <v>1</v>
      </c>
      <c r="AT292" s="64" t="e">
        <f ca="1">IF(VLOOKUP(W292,Товары!A:B,2,FALSE)=A292,"Есть в 1С","ERR")</f>
        <v>#N/A</v>
      </c>
      <c r="AU292" s="65" t="e">
        <f ca="1">IF(VLOOKUP(A292,Товары!B:B,1,FALSE)=A292,"Есть в 1С","ERR")</f>
        <v>#N/A</v>
      </c>
      <c r="AV292" s="96" t="e">
        <f ca="1">VLOOKUP(W292,Товары!A:B,2,FALSE)</f>
        <v>#N/A</v>
      </c>
      <c r="AW292" s="94" t="e">
        <f ca="1">VLOOKUP(W292,Товары!A:B,1,FALSE)</f>
        <v>#N/A</v>
      </c>
    </row>
    <row r="293" spans="1:49" x14ac:dyDescent="0.25">
      <c r="A293" s="110" t="str">
        <f t="shared" ca="1" si="25"/>
        <v>95-005-63</v>
      </c>
      <c r="B293" s="107" t="str">
        <f ca="1">_xlfn.LET(_xlpm.CAPS,0,_xlpm.Style,TRIM(_xlfn.XLOOKUP($A293,Строчный!$A:$A,Строчный!B:B,"ERR",0)),IF(_xlpm.CAPS=0,_xlpm.Style,LOWER(_xlpm.Style)))</f>
        <v>3109</v>
      </c>
      <c r="C293" s="81" t="str">
        <f ca="1">TRIM(PROPER(_xlfn.XLOOKUP($A293,Строчный!$A:$A,Строчный!C:C,"ERR",0)))</f>
        <v>Кепки</v>
      </c>
      <c r="D293" s="81" t="str">
        <f ca="1">_xlfn.LET(_xlpm.DATA,TRIM(_xlfn.XLOOKUP($A293,Строчный!$A:$A,Строчный!D:D,"ERR",0)),UPPER(MID(_xlpm.DATA,1,1))&amp;LOWER(MID(_xlpm.DATA,2,LEN(_xlpm.DATA)-1)))</f>
        <v>Кепка восьмиклинка</v>
      </c>
      <c r="E293" s="81" t="str">
        <f ca="1">PROPER(TRIM(_xlfn.XLOOKUP($A293,Строчный!$A:$A,Строчный!E:E,"ERR",0)))</f>
        <v>Fredrikson</v>
      </c>
      <c r="F293" s="81" t="str">
        <f ca="1">LOWER(TRIM(_xlfn.XLOOKUP($A293,Строчный!$A:$A,Строчный!F:F,"ERR",0)))</f>
        <v>всесезон</v>
      </c>
      <c r="G293" s="81" t="str">
        <f ca="1">UPPER(TRIM(_xlfn.XLOOKUP($A293,Строчный!$A:$A,Строчный!G:G,"ERR",0)))</f>
        <v>FREDRIKSON</v>
      </c>
      <c r="H293" s="81" t="str">
        <f ca="1">LOWER(TRIM(_xlfn.XLOOKUP($A293,Строчный!$A:$A,Строчный!H:H,"ERR",0)))</f>
        <v>637/70</v>
      </c>
      <c r="I293" s="81" t="str">
        <f ca="1">LOWER(TRIM(_xlfn.XLOOKUP($A293,Строчный!$A:$A,Строчный!I:I,"ERR",0)))</f>
        <v>темно-серый / темно-синий</v>
      </c>
      <c r="J293" s="81" t="str">
        <f ca="1">SUBSTITUTE(LOWER(TRIM(_xlfn.XLOOKUP($A293,Строчный!$A:$A,Строчный!J:J,"ERR",0))),"подклад","Подклад")</f>
        <v>80% шерсть - 20% полиамид / Подклад: 100% вискоза</v>
      </c>
      <c r="K293" s="81" t="str">
        <f ca="1">LOWER(TRIM(_xlfn.XLOOKUP($A293,Строчный!$A:$A,Строчный!K:K,"ERR",0)))</f>
        <v>шерстяные</v>
      </c>
      <c r="L293" s="81" t="str">
        <f ca="1">PROPER(TRIM(_xlfn.XLOOKUP($A293,Строчный!$A:$A,Строчный!L:L,"ERR",0)))</f>
        <v>Унисекс</v>
      </c>
      <c r="M293" s="113" t="str">
        <f ca="1">PROPER(TRIM(_xlfn.XLOOKUP($A293,Строчный!$A:$A,Строчный!M:M,"ERR",0)))</f>
        <v>Россия</v>
      </c>
      <c r="N293" s="81" t="str">
        <f ca="1">UPPER(TRIM(_xlfn.XLOOKUP($A293,Строчный!$A:$A,Строчный!O:O,"ERR",0)))</f>
        <v/>
      </c>
      <c r="O293" s="102" t="str">
        <f ca="1">PROPER(TRIM(_xlfn.XLOOKUP($A293,Строчный!$A:$A,Строчный!P:P,"ERR",0)))</f>
        <v/>
      </c>
      <c r="P293" s="81" t="str">
        <f ca="1">PROPER(TRIM(_xlfn.XLOOKUP($A293,Строчный!$A:$A,Строчный!R:R,"ERR",0)))</f>
        <v/>
      </c>
      <c r="Q293" s="90">
        <f ca="1">VALUE(_xlfn.XLOOKUP($A293,Строчный!$A:$A,Строчный!N:N,"ERR",0))</f>
        <v>975.8</v>
      </c>
      <c r="R293" s="89" t="str">
        <f ca="1">_xlfn.XLOOKUP($G293,Фабрика!A:A,Фабрика!B:B,"ERR",0)</f>
        <v>ООО "ФРЭДРИКСОН" Россия 192029, С-Петербург, пр. Обуховской обороны, д.86, лит М</v>
      </c>
      <c r="S293" s="80" t="str">
        <f ca="1">_xlfn.XLOOKUP(RIGHT(AA293,2),Размеры!D:D,Размеры!A:A,"ERR",0)</f>
        <v>61</v>
      </c>
      <c r="T293" s="80">
        <f ca="1">VALUE(_xlfn.XLOOKUP($AA293,Строчный!$S:$S,Строчный!U:U,"ERR",0))</f>
        <v>16</v>
      </c>
      <c r="U293" s="14" t="s">
        <v>265</v>
      </c>
      <c r="V293" s="101" t="str">
        <f t="shared" ca="1" si="26"/>
        <v>Кепка FREDRIKSON арт. 3109 (темно-серый / темно-синий)</v>
      </c>
      <c r="W293" s="100" t="str">
        <f t="shared" ca="1" si="27"/>
        <v>Кепка FREDRIKSON арт. 3109 (темно-серый / темно-синий) {637/70}</v>
      </c>
      <c r="X293" s="18" t="str">
        <f t="shared" ca="1" si="28"/>
        <v>серый / темно-синий</v>
      </c>
      <c r="Y293" s="18" t="str">
        <f t="shared" ca="1" si="29"/>
        <v>серый / темно-синий</v>
      </c>
      <c r="Z293" s="117" t="s">
        <v>28</v>
      </c>
      <c r="AA293" s="73" t="str">
        <f ca="1"/>
        <v>95-005-63-61</v>
      </c>
      <c r="AB293" s="75" t="str">
        <f ca="1">VLOOKUP(C293,Группа!A:B,2,FALSE)</f>
        <v>Кепка</v>
      </c>
      <c r="AC293" s="97" t="str">
        <f ca="1">IFERROR(VLOOKUP(S293,Размеры!A:C,3,FALSE),"")</f>
        <v>61 XL</v>
      </c>
      <c r="AD293" s="97" t="str">
        <f ca="1">VLOOKUP(I293,ЦветПолный!A:B,2,FALSE)</f>
        <v>63</v>
      </c>
      <c r="AE293" s="97" t="str">
        <f ca="1">IFERROR(VLOOKUP(S293,Размеры!A:D,4,FALSE),"")</f>
        <v>61</v>
      </c>
      <c r="AF293" s="97">
        <f ca="1">IF(LEFT(IFERROR(VLOOKUP(LOOKUP(2,1/SEARCH(B293,Товары!A:A),Товары!A:A),Товары!A:B,2,0),""),6)=MID(AA293,1,6),1,0)</f>
        <v>0</v>
      </c>
      <c r="AH293" s="97">
        <f ca="1">SUMIF(Группа!A:A,C293,Группа!C:C)</f>
        <v>1</v>
      </c>
      <c r="AI293" s="97">
        <f ca="1">SUMIF(Группа!B:B,AB293,Группа!C:C)</f>
        <v>1</v>
      </c>
      <c r="AJ293" s="97">
        <f ca="1">SUMIF(Формы!A:A,D293,Формы!B:B)</f>
        <v>1</v>
      </c>
      <c r="AK293" s="97">
        <f ca="1">SUMIF(Материал!A:A,K293,Материал!B:B)</f>
        <v>1</v>
      </c>
      <c r="AL293" s="97">
        <f ca="1">SUMIF(Размеры!A:A,S293,Размеры!E:E)</f>
        <v>1</v>
      </c>
      <c r="AM293" s="97">
        <f ca="1">SUMIF(Сезон!A:A,F293,Сезон!B:B)</f>
        <v>1</v>
      </c>
      <c r="AN293" s="97">
        <f ca="1">SUMIF(Состав!A:A,J293,Состав!B:B)</f>
        <v>0</v>
      </c>
      <c r="AO293" s="97">
        <f ca="1">VLOOKUP(I293,ЦветПолный!A:C,3,0)</f>
        <v>1</v>
      </c>
      <c r="AP293" s="97">
        <f>SUMIF(Цвет!A:A,Z293,Цвет!B:B)</f>
        <v>1</v>
      </c>
      <c r="AQ293" s="97">
        <f ca="1">_xlfn.XLOOKUP(L293,Пол!A:A,Пол!B:B,0,0)</f>
        <v>1</v>
      </c>
      <c r="AR293" s="97">
        <f ca="1">SUMIF(Бренд!A:A,G293,Бренд!B:B)</f>
        <v>1</v>
      </c>
      <c r="AS293" s="97">
        <f ca="1">SUMIF(Страна!A:A,M293,Страна!B:B)</f>
        <v>1</v>
      </c>
      <c r="AT293" s="64" t="e">
        <f ca="1">IF(VLOOKUP(W293,Товары!A:B,2,FALSE)=A293,"Есть в 1С","ERR")</f>
        <v>#N/A</v>
      </c>
      <c r="AU293" s="65" t="e">
        <f ca="1">IF(VLOOKUP(A293,Товары!B:B,1,FALSE)=A293,"Есть в 1С","ERR")</f>
        <v>#N/A</v>
      </c>
      <c r="AV293" s="96" t="e">
        <f ca="1">VLOOKUP(W293,Товары!A:B,2,FALSE)</f>
        <v>#N/A</v>
      </c>
      <c r="AW293" s="94" t="e">
        <f ca="1">VLOOKUP(W293,Товары!A:B,1,FALSE)</f>
        <v>#N/A</v>
      </c>
    </row>
    <row r="294" spans="1:49" x14ac:dyDescent="0.25">
      <c r="A294" s="110" t="str">
        <f t="shared" ca="1" si="25"/>
        <v>95-005-63</v>
      </c>
      <c r="B294" s="107" t="str">
        <f ca="1">_xlfn.LET(_xlpm.CAPS,0,_xlpm.Style,TRIM(_xlfn.XLOOKUP($A294,Строчный!$A:$A,Строчный!B:B,"ERR",0)),IF(_xlpm.CAPS=0,_xlpm.Style,LOWER(_xlpm.Style)))</f>
        <v>3109</v>
      </c>
      <c r="C294" s="81" t="str">
        <f ca="1">TRIM(PROPER(_xlfn.XLOOKUP($A294,Строчный!$A:$A,Строчный!C:C,"ERR",0)))</f>
        <v>Кепки</v>
      </c>
      <c r="D294" s="81" t="str">
        <f ca="1">_xlfn.LET(_xlpm.DATA,TRIM(_xlfn.XLOOKUP($A294,Строчный!$A:$A,Строчный!D:D,"ERR",0)),UPPER(MID(_xlpm.DATA,1,1))&amp;LOWER(MID(_xlpm.DATA,2,LEN(_xlpm.DATA)-1)))</f>
        <v>Кепка восьмиклинка</v>
      </c>
      <c r="E294" s="81" t="str">
        <f ca="1">PROPER(TRIM(_xlfn.XLOOKUP($A294,Строчный!$A:$A,Строчный!E:E,"ERR",0)))</f>
        <v>Fredrikson</v>
      </c>
      <c r="F294" s="81" t="str">
        <f ca="1">LOWER(TRIM(_xlfn.XLOOKUP($A294,Строчный!$A:$A,Строчный!F:F,"ERR",0)))</f>
        <v>всесезон</v>
      </c>
      <c r="G294" s="81" t="str">
        <f ca="1">UPPER(TRIM(_xlfn.XLOOKUP($A294,Строчный!$A:$A,Строчный!G:G,"ERR",0)))</f>
        <v>FREDRIKSON</v>
      </c>
      <c r="H294" s="81" t="str">
        <f ca="1">LOWER(TRIM(_xlfn.XLOOKUP($A294,Строчный!$A:$A,Строчный!H:H,"ERR",0)))</f>
        <v>637/70</v>
      </c>
      <c r="I294" s="81" t="str">
        <f ca="1">LOWER(TRIM(_xlfn.XLOOKUP($A294,Строчный!$A:$A,Строчный!I:I,"ERR",0)))</f>
        <v>темно-серый / темно-синий</v>
      </c>
      <c r="J294" s="81" t="str">
        <f ca="1">SUBSTITUTE(LOWER(TRIM(_xlfn.XLOOKUP($A294,Строчный!$A:$A,Строчный!J:J,"ERR",0))),"подклад","Подклад")</f>
        <v>80% шерсть - 20% полиамид / Подклад: 100% вискоза</v>
      </c>
      <c r="K294" s="81" t="str">
        <f ca="1">LOWER(TRIM(_xlfn.XLOOKUP($A294,Строчный!$A:$A,Строчный!K:K,"ERR",0)))</f>
        <v>шерстяные</v>
      </c>
      <c r="L294" s="81" t="str">
        <f ca="1">PROPER(TRIM(_xlfn.XLOOKUP($A294,Строчный!$A:$A,Строчный!L:L,"ERR",0)))</f>
        <v>Унисекс</v>
      </c>
      <c r="M294" s="113" t="str">
        <f ca="1">PROPER(TRIM(_xlfn.XLOOKUP($A294,Строчный!$A:$A,Строчный!M:M,"ERR",0)))</f>
        <v>Россия</v>
      </c>
      <c r="N294" s="81" t="str">
        <f ca="1">UPPER(TRIM(_xlfn.XLOOKUP($A294,Строчный!$A:$A,Строчный!O:O,"ERR",0)))</f>
        <v/>
      </c>
      <c r="O294" s="102" t="str">
        <f ca="1">PROPER(TRIM(_xlfn.XLOOKUP($A294,Строчный!$A:$A,Строчный!P:P,"ERR",0)))</f>
        <v/>
      </c>
      <c r="P294" s="81" t="str">
        <f ca="1">PROPER(TRIM(_xlfn.XLOOKUP($A294,Строчный!$A:$A,Строчный!R:R,"ERR",0)))</f>
        <v/>
      </c>
      <c r="Q294" s="90">
        <f ca="1">VALUE(_xlfn.XLOOKUP($A294,Строчный!$A:$A,Строчный!N:N,"ERR",0))</f>
        <v>975.8</v>
      </c>
      <c r="R294" s="89" t="str">
        <f ca="1">_xlfn.XLOOKUP($G294,Фабрика!A:A,Фабрика!B:B,"ERR",0)</f>
        <v>ООО "ФРЭДРИКСОН" Россия 192029, С-Петербург, пр. Обуховской обороны, д.86, лит М</v>
      </c>
      <c r="S294" s="80" t="str">
        <f ca="1">_xlfn.XLOOKUP(RIGHT(AA294,2),Размеры!D:D,Размеры!A:A,"ERR",0)</f>
        <v>60</v>
      </c>
      <c r="T294" s="80">
        <f ca="1">VALUE(_xlfn.XLOOKUP($AA294,Строчный!$S:$S,Строчный!U:U,"ERR",0))</f>
        <v>30</v>
      </c>
      <c r="U294" s="14" t="s">
        <v>265</v>
      </c>
      <c r="V294" s="101" t="str">
        <f t="shared" ca="1" si="26"/>
        <v>Кепка FREDRIKSON арт. 3109 (темно-серый / темно-синий)</v>
      </c>
      <c r="W294" s="100" t="str">
        <f t="shared" ca="1" si="27"/>
        <v>Кепка FREDRIKSON арт. 3109 (темно-серый / темно-синий) {637/70}</v>
      </c>
      <c r="X294" s="18" t="str">
        <f t="shared" ca="1" si="28"/>
        <v>серый / темно-синий</v>
      </c>
      <c r="Y294" s="18" t="str">
        <f t="shared" ca="1" si="29"/>
        <v>серый / темно-синий</v>
      </c>
      <c r="Z294" s="117" t="s">
        <v>28</v>
      </c>
      <c r="AA294" s="73" t="str">
        <f ca="1"/>
        <v>95-005-63-60</v>
      </c>
      <c r="AB294" s="75" t="str">
        <f ca="1">VLOOKUP(C294,Группа!A:B,2,FALSE)</f>
        <v>Кепка</v>
      </c>
      <c r="AC294" s="97" t="str">
        <f ca="1">IFERROR(VLOOKUP(S294,Размеры!A:C,3,FALSE),"")</f>
        <v>60 L/XL</v>
      </c>
      <c r="AD294" s="97" t="str">
        <f ca="1">VLOOKUP(I294,ЦветПолный!A:B,2,FALSE)</f>
        <v>63</v>
      </c>
      <c r="AE294" s="97" t="str">
        <f ca="1">IFERROR(VLOOKUP(S294,Размеры!A:D,4,FALSE),"")</f>
        <v>60</v>
      </c>
      <c r="AF294" s="97">
        <f ca="1">IF(LEFT(IFERROR(VLOOKUP(LOOKUP(2,1/SEARCH(B294,Товары!A:A),Товары!A:A),Товары!A:B,2,0),""),6)=MID(AA294,1,6),1,0)</f>
        <v>0</v>
      </c>
      <c r="AH294" s="97">
        <f ca="1">SUMIF(Группа!A:A,C294,Группа!C:C)</f>
        <v>1</v>
      </c>
      <c r="AI294" s="97">
        <f ca="1">SUMIF(Группа!B:B,AB294,Группа!C:C)</f>
        <v>1</v>
      </c>
      <c r="AJ294" s="97">
        <f ca="1">SUMIF(Формы!A:A,D294,Формы!B:B)</f>
        <v>1</v>
      </c>
      <c r="AK294" s="97">
        <f ca="1">SUMIF(Материал!A:A,K294,Материал!B:B)</f>
        <v>1</v>
      </c>
      <c r="AL294" s="97">
        <f ca="1">SUMIF(Размеры!A:A,S294,Размеры!E:E)</f>
        <v>1</v>
      </c>
      <c r="AM294" s="97">
        <f ca="1">SUMIF(Сезон!A:A,F294,Сезон!B:B)</f>
        <v>1</v>
      </c>
      <c r="AN294" s="97">
        <f ca="1">SUMIF(Состав!A:A,J294,Состав!B:B)</f>
        <v>0</v>
      </c>
      <c r="AO294" s="97">
        <f ca="1">VLOOKUP(I294,ЦветПолный!A:C,3,0)</f>
        <v>1</v>
      </c>
      <c r="AP294" s="97">
        <f>SUMIF(Цвет!A:A,Z294,Цвет!B:B)</f>
        <v>1</v>
      </c>
      <c r="AQ294" s="97">
        <f ca="1">_xlfn.XLOOKUP(L294,Пол!A:A,Пол!B:B,0,0)</f>
        <v>1</v>
      </c>
      <c r="AR294" s="97">
        <f ca="1">SUMIF(Бренд!A:A,G294,Бренд!B:B)</f>
        <v>1</v>
      </c>
      <c r="AS294" s="97">
        <f ca="1">SUMIF(Страна!A:A,M294,Страна!B:B)</f>
        <v>1</v>
      </c>
      <c r="AT294" s="64" t="e">
        <f ca="1">IF(VLOOKUP(W294,Товары!A:B,2,FALSE)=A294,"Есть в 1С","ERR")</f>
        <v>#N/A</v>
      </c>
      <c r="AU294" s="65" t="e">
        <f ca="1">IF(VLOOKUP(A294,Товары!B:B,1,FALSE)=A294,"Есть в 1С","ERR")</f>
        <v>#N/A</v>
      </c>
      <c r="AV294" s="96" t="e">
        <f ca="1">VLOOKUP(W294,Товары!A:B,2,FALSE)</f>
        <v>#N/A</v>
      </c>
      <c r="AW294" s="94" t="e">
        <f ca="1">VLOOKUP(W294,Товары!A:B,1,FALSE)</f>
        <v>#N/A</v>
      </c>
    </row>
    <row r="295" spans="1:49" x14ac:dyDescent="0.25">
      <c r="A295" s="110" t="str">
        <f t="shared" ca="1" si="25"/>
        <v>95-005-63</v>
      </c>
      <c r="B295" s="107" t="str">
        <f ca="1">_xlfn.LET(_xlpm.CAPS,0,_xlpm.Style,TRIM(_xlfn.XLOOKUP($A295,Строчный!$A:$A,Строчный!B:B,"ERR",0)),IF(_xlpm.CAPS=0,_xlpm.Style,LOWER(_xlpm.Style)))</f>
        <v>3109</v>
      </c>
      <c r="C295" s="81" t="str">
        <f ca="1">TRIM(PROPER(_xlfn.XLOOKUP($A295,Строчный!$A:$A,Строчный!C:C,"ERR",0)))</f>
        <v>Кепки</v>
      </c>
      <c r="D295" s="81" t="str">
        <f ca="1">_xlfn.LET(_xlpm.DATA,TRIM(_xlfn.XLOOKUP($A295,Строчный!$A:$A,Строчный!D:D,"ERR",0)),UPPER(MID(_xlpm.DATA,1,1))&amp;LOWER(MID(_xlpm.DATA,2,LEN(_xlpm.DATA)-1)))</f>
        <v>Кепка восьмиклинка</v>
      </c>
      <c r="E295" s="81" t="str">
        <f ca="1">PROPER(TRIM(_xlfn.XLOOKUP($A295,Строчный!$A:$A,Строчный!E:E,"ERR",0)))</f>
        <v>Fredrikson</v>
      </c>
      <c r="F295" s="81" t="str">
        <f ca="1">LOWER(TRIM(_xlfn.XLOOKUP($A295,Строчный!$A:$A,Строчный!F:F,"ERR",0)))</f>
        <v>всесезон</v>
      </c>
      <c r="G295" s="81" t="str">
        <f ca="1">UPPER(TRIM(_xlfn.XLOOKUP($A295,Строчный!$A:$A,Строчный!G:G,"ERR",0)))</f>
        <v>FREDRIKSON</v>
      </c>
      <c r="H295" s="81" t="str">
        <f ca="1">LOWER(TRIM(_xlfn.XLOOKUP($A295,Строчный!$A:$A,Строчный!H:H,"ERR",0)))</f>
        <v>637/70</v>
      </c>
      <c r="I295" s="81" t="str">
        <f ca="1">LOWER(TRIM(_xlfn.XLOOKUP($A295,Строчный!$A:$A,Строчный!I:I,"ERR",0)))</f>
        <v>темно-серый / темно-синий</v>
      </c>
      <c r="J295" s="81" t="str">
        <f ca="1">SUBSTITUTE(LOWER(TRIM(_xlfn.XLOOKUP($A295,Строчный!$A:$A,Строчный!J:J,"ERR",0))),"подклад","Подклад")</f>
        <v>80% шерсть - 20% полиамид / Подклад: 100% вискоза</v>
      </c>
      <c r="K295" s="81" t="str">
        <f ca="1">LOWER(TRIM(_xlfn.XLOOKUP($A295,Строчный!$A:$A,Строчный!K:K,"ERR",0)))</f>
        <v>шерстяные</v>
      </c>
      <c r="L295" s="81" t="str">
        <f ca="1">PROPER(TRIM(_xlfn.XLOOKUP($A295,Строчный!$A:$A,Строчный!L:L,"ERR",0)))</f>
        <v>Унисекс</v>
      </c>
      <c r="M295" s="113" t="str">
        <f ca="1">PROPER(TRIM(_xlfn.XLOOKUP($A295,Строчный!$A:$A,Строчный!M:M,"ERR",0)))</f>
        <v>Россия</v>
      </c>
      <c r="N295" s="81" t="str">
        <f ca="1">UPPER(TRIM(_xlfn.XLOOKUP($A295,Строчный!$A:$A,Строчный!O:O,"ERR",0)))</f>
        <v/>
      </c>
      <c r="O295" s="102" t="str">
        <f ca="1">PROPER(TRIM(_xlfn.XLOOKUP($A295,Строчный!$A:$A,Строчный!P:P,"ERR",0)))</f>
        <v/>
      </c>
      <c r="P295" s="81" t="str">
        <f ca="1">PROPER(TRIM(_xlfn.XLOOKUP($A295,Строчный!$A:$A,Строчный!R:R,"ERR",0)))</f>
        <v/>
      </c>
      <c r="Q295" s="90">
        <f ca="1">VALUE(_xlfn.XLOOKUP($A295,Строчный!$A:$A,Строчный!N:N,"ERR",0))</f>
        <v>975.8</v>
      </c>
      <c r="R295" s="89" t="str">
        <f ca="1">_xlfn.XLOOKUP($G295,Фабрика!A:A,Фабрика!B:B,"ERR",0)</f>
        <v>ООО "ФРЭДРИКСОН" Россия 192029, С-Петербург, пр. Обуховской обороны, д.86, лит М</v>
      </c>
      <c r="S295" s="80" t="str">
        <f ca="1">_xlfn.XLOOKUP(RIGHT(AA295,2),Размеры!D:D,Размеры!A:A,"ERR",0)</f>
        <v>59</v>
      </c>
      <c r="T295" s="80">
        <f ca="1">VALUE(_xlfn.XLOOKUP($AA295,Строчный!$S:$S,Строчный!U:U,"ERR",0))</f>
        <v>40</v>
      </c>
      <c r="U295" s="14" t="s">
        <v>265</v>
      </c>
      <c r="V295" s="101" t="str">
        <f t="shared" ca="1" si="26"/>
        <v>Кепка FREDRIKSON арт. 3109 (темно-серый / темно-синий)</v>
      </c>
      <c r="W295" s="100" t="str">
        <f t="shared" ca="1" si="27"/>
        <v>Кепка FREDRIKSON арт. 3109 (темно-серый / темно-синий) {637/70}</v>
      </c>
      <c r="X295" s="18" t="str">
        <f t="shared" ca="1" si="28"/>
        <v>серый / темно-синий</v>
      </c>
      <c r="Y295" s="18" t="str">
        <f t="shared" ca="1" si="29"/>
        <v>серый / темно-синий</v>
      </c>
      <c r="Z295" s="117" t="s">
        <v>28</v>
      </c>
      <c r="AA295" s="73" t="str">
        <f ca="1"/>
        <v>95-005-63-59</v>
      </c>
      <c r="AB295" s="75" t="str">
        <f ca="1">VLOOKUP(C295,Группа!A:B,2,FALSE)</f>
        <v>Кепка</v>
      </c>
      <c r="AC295" s="97" t="str">
        <f ca="1">IFERROR(VLOOKUP(S295,Размеры!A:C,3,FALSE),"")</f>
        <v>59 L</v>
      </c>
      <c r="AD295" s="97" t="str">
        <f ca="1">VLOOKUP(I295,ЦветПолный!A:B,2,FALSE)</f>
        <v>63</v>
      </c>
      <c r="AE295" s="97" t="str">
        <f ca="1">IFERROR(VLOOKUP(S295,Размеры!A:D,4,FALSE),"")</f>
        <v>59</v>
      </c>
      <c r="AF295" s="97">
        <f ca="1">IF(LEFT(IFERROR(VLOOKUP(LOOKUP(2,1/SEARCH(B295,Товары!A:A),Товары!A:A),Товары!A:B,2,0),""),6)=MID(AA295,1,6),1,0)</f>
        <v>0</v>
      </c>
      <c r="AH295" s="97">
        <f ca="1">SUMIF(Группа!A:A,C295,Группа!C:C)</f>
        <v>1</v>
      </c>
      <c r="AI295" s="97">
        <f ca="1">SUMIF(Группа!B:B,AB295,Группа!C:C)</f>
        <v>1</v>
      </c>
      <c r="AJ295" s="97">
        <f ca="1">SUMIF(Формы!A:A,D295,Формы!B:B)</f>
        <v>1</v>
      </c>
      <c r="AK295" s="97">
        <f ca="1">SUMIF(Материал!A:A,K295,Материал!B:B)</f>
        <v>1</v>
      </c>
      <c r="AL295" s="97">
        <f ca="1">SUMIF(Размеры!A:A,S295,Размеры!E:E)</f>
        <v>1</v>
      </c>
      <c r="AM295" s="97">
        <f ca="1">SUMIF(Сезон!A:A,F295,Сезон!B:B)</f>
        <v>1</v>
      </c>
      <c r="AN295" s="97">
        <f ca="1">SUMIF(Состав!A:A,J295,Состав!B:B)</f>
        <v>0</v>
      </c>
      <c r="AO295" s="97">
        <f ca="1">VLOOKUP(I295,ЦветПолный!A:C,3,0)</f>
        <v>1</v>
      </c>
      <c r="AP295" s="97">
        <f>SUMIF(Цвет!A:A,Z295,Цвет!B:B)</f>
        <v>1</v>
      </c>
      <c r="AQ295" s="97">
        <f ca="1">_xlfn.XLOOKUP(L295,Пол!A:A,Пол!B:B,0,0)</f>
        <v>1</v>
      </c>
      <c r="AR295" s="97">
        <f ca="1">SUMIF(Бренд!A:A,G295,Бренд!B:B)</f>
        <v>1</v>
      </c>
      <c r="AS295" s="97">
        <f ca="1">SUMIF(Страна!A:A,M295,Страна!B:B)</f>
        <v>1</v>
      </c>
      <c r="AT295" s="64" t="e">
        <f ca="1">IF(VLOOKUP(W295,Товары!A:B,2,FALSE)=A295,"Есть в 1С","ERR")</f>
        <v>#N/A</v>
      </c>
      <c r="AU295" s="65" t="e">
        <f ca="1">IF(VLOOKUP(A295,Товары!B:B,1,FALSE)=A295,"Есть в 1С","ERR")</f>
        <v>#N/A</v>
      </c>
      <c r="AV295" s="96" t="e">
        <f ca="1">VLOOKUP(W295,Товары!A:B,2,FALSE)</f>
        <v>#N/A</v>
      </c>
      <c r="AW295" s="94" t="e">
        <f ca="1">VLOOKUP(W295,Товары!A:B,1,FALSE)</f>
        <v>#N/A</v>
      </c>
    </row>
    <row r="296" spans="1:49" x14ac:dyDescent="0.25">
      <c r="A296" s="110" t="str">
        <f t="shared" ca="1" si="25"/>
        <v>95-005-63</v>
      </c>
      <c r="B296" s="107" t="str">
        <f ca="1">_xlfn.LET(_xlpm.CAPS,0,_xlpm.Style,TRIM(_xlfn.XLOOKUP($A296,Строчный!$A:$A,Строчный!B:B,"ERR",0)),IF(_xlpm.CAPS=0,_xlpm.Style,LOWER(_xlpm.Style)))</f>
        <v>3109</v>
      </c>
      <c r="C296" s="81" t="str">
        <f ca="1">TRIM(PROPER(_xlfn.XLOOKUP($A296,Строчный!$A:$A,Строчный!C:C,"ERR",0)))</f>
        <v>Кепки</v>
      </c>
      <c r="D296" s="81" t="str">
        <f ca="1">_xlfn.LET(_xlpm.DATA,TRIM(_xlfn.XLOOKUP($A296,Строчный!$A:$A,Строчный!D:D,"ERR",0)),UPPER(MID(_xlpm.DATA,1,1))&amp;LOWER(MID(_xlpm.DATA,2,LEN(_xlpm.DATA)-1)))</f>
        <v>Кепка восьмиклинка</v>
      </c>
      <c r="E296" s="81" t="str">
        <f ca="1">PROPER(TRIM(_xlfn.XLOOKUP($A296,Строчный!$A:$A,Строчный!E:E,"ERR",0)))</f>
        <v>Fredrikson</v>
      </c>
      <c r="F296" s="81" t="str">
        <f ca="1">LOWER(TRIM(_xlfn.XLOOKUP($A296,Строчный!$A:$A,Строчный!F:F,"ERR",0)))</f>
        <v>всесезон</v>
      </c>
      <c r="G296" s="81" t="str">
        <f ca="1">UPPER(TRIM(_xlfn.XLOOKUP($A296,Строчный!$A:$A,Строчный!G:G,"ERR",0)))</f>
        <v>FREDRIKSON</v>
      </c>
      <c r="H296" s="81" t="str">
        <f ca="1">LOWER(TRIM(_xlfn.XLOOKUP($A296,Строчный!$A:$A,Строчный!H:H,"ERR",0)))</f>
        <v>637/70</v>
      </c>
      <c r="I296" s="81" t="str">
        <f ca="1">LOWER(TRIM(_xlfn.XLOOKUP($A296,Строчный!$A:$A,Строчный!I:I,"ERR",0)))</f>
        <v>темно-серый / темно-синий</v>
      </c>
      <c r="J296" s="81" t="str">
        <f ca="1">SUBSTITUTE(LOWER(TRIM(_xlfn.XLOOKUP($A296,Строчный!$A:$A,Строчный!J:J,"ERR",0))),"подклад","Подклад")</f>
        <v>80% шерсть - 20% полиамид / Подклад: 100% вискоза</v>
      </c>
      <c r="K296" s="81" t="str">
        <f ca="1">LOWER(TRIM(_xlfn.XLOOKUP($A296,Строчный!$A:$A,Строчный!K:K,"ERR",0)))</f>
        <v>шерстяные</v>
      </c>
      <c r="L296" s="81" t="str">
        <f ca="1">PROPER(TRIM(_xlfn.XLOOKUP($A296,Строчный!$A:$A,Строчный!L:L,"ERR",0)))</f>
        <v>Унисекс</v>
      </c>
      <c r="M296" s="113" t="str">
        <f ca="1">PROPER(TRIM(_xlfn.XLOOKUP($A296,Строчный!$A:$A,Строчный!M:M,"ERR",0)))</f>
        <v>Россия</v>
      </c>
      <c r="N296" s="81" t="str">
        <f ca="1">UPPER(TRIM(_xlfn.XLOOKUP($A296,Строчный!$A:$A,Строчный!O:O,"ERR",0)))</f>
        <v/>
      </c>
      <c r="O296" s="102" t="str">
        <f ca="1">PROPER(TRIM(_xlfn.XLOOKUP($A296,Строчный!$A:$A,Строчный!P:P,"ERR",0)))</f>
        <v/>
      </c>
      <c r="P296" s="81" t="str">
        <f ca="1">PROPER(TRIM(_xlfn.XLOOKUP($A296,Строчный!$A:$A,Строчный!R:R,"ERR",0)))</f>
        <v/>
      </c>
      <c r="Q296" s="90">
        <f ca="1">VALUE(_xlfn.XLOOKUP($A296,Строчный!$A:$A,Строчный!N:N,"ERR",0))</f>
        <v>975.8</v>
      </c>
      <c r="R296" s="89" t="str">
        <f ca="1">_xlfn.XLOOKUP($G296,Фабрика!A:A,Фабрика!B:B,"ERR",0)</f>
        <v>ООО "ФРЭДРИКСОН" Россия 192029, С-Петербург, пр. Обуховской обороны, д.86, лит М</v>
      </c>
      <c r="S296" s="80" t="str">
        <f ca="1">_xlfn.XLOOKUP(RIGHT(AA296,2),Размеры!D:D,Размеры!A:A,"ERR",0)</f>
        <v>58</v>
      </c>
      <c r="T296" s="80">
        <f ca="1">VALUE(_xlfn.XLOOKUP($AA296,Строчный!$S:$S,Строчный!U:U,"ERR",0))</f>
        <v>30</v>
      </c>
      <c r="U296" s="14" t="s">
        <v>265</v>
      </c>
      <c r="V296" s="101" t="str">
        <f t="shared" ca="1" si="26"/>
        <v>Кепка FREDRIKSON арт. 3109 (темно-серый / темно-синий)</v>
      </c>
      <c r="W296" s="100" t="str">
        <f t="shared" ca="1" si="27"/>
        <v>Кепка FREDRIKSON арт. 3109 (темно-серый / темно-синий) {637/70}</v>
      </c>
      <c r="X296" s="18" t="str">
        <f t="shared" ca="1" si="28"/>
        <v>серый / темно-синий</v>
      </c>
      <c r="Y296" s="18" t="str">
        <f t="shared" ca="1" si="29"/>
        <v>серый / темно-синий</v>
      </c>
      <c r="Z296" s="117" t="s">
        <v>28</v>
      </c>
      <c r="AA296" s="73" t="str">
        <f ca="1"/>
        <v>95-005-63-58</v>
      </c>
      <c r="AB296" s="75" t="str">
        <f ca="1">VLOOKUP(C296,Группа!A:B,2,FALSE)</f>
        <v>Кепка</v>
      </c>
      <c r="AC296" s="97" t="str">
        <f ca="1">IFERROR(VLOOKUP(S296,Размеры!A:C,3,FALSE),"")</f>
        <v>58 M/L</v>
      </c>
      <c r="AD296" s="97" t="str">
        <f ca="1">VLOOKUP(I296,ЦветПолный!A:B,2,FALSE)</f>
        <v>63</v>
      </c>
      <c r="AE296" s="97" t="str">
        <f ca="1">IFERROR(VLOOKUP(S296,Размеры!A:D,4,FALSE),"")</f>
        <v>58</v>
      </c>
      <c r="AF296" s="97">
        <f ca="1">IF(LEFT(IFERROR(VLOOKUP(LOOKUP(2,1/SEARCH(B296,Товары!A:A),Товары!A:A),Товары!A:B,2,0),""),6)=MID(AA296,1,6),1,0)</f>
        <v>0</v>
      </c>
      <c r="AH296" s="97">
        <f ca="1">SUMIF(Группа!A:A,C296,Группа!C:C)</f>
        <v>1</v>
      </c>
      <c r="AI296" s="97">
        <f ca="1">SUMIF(Группа!B:B,AB296,Группа!C:C)</f>
        <v>1</v>
      </c>
      <c r="AJ296" s="97">
        <f ca="1">SUMIF(Формы!A:A,D296,Формы!B:B)</f>
        <v>1</v>
      </c>
      <c r="AK296" s="97">
        <f ca="1">SUMIF(Материал!A:A,K296,Материал!B:B)</f>
        <v>1</v>
      </c>
      <c r="AL296" s="97">
        <f ca="1">SUMIF(Размеры!A:A,S296,Размеры!E:E)</f>
        <v>1</v>
      </c>
      <c r="AM296" s="97">
        <f ca="1">SUMIF(Сезон!A:A,F296,Сезон!B:B)</f>
        <v>1</v>
      </c>
      <c r="AN296" s="97">
        <f ca="1">SUMIF(Состав!A:A,J296,Состав!B:B)</f>
        <v>0</v>
      </c>
      <c r="AO296" s="97">
        <f ca="1">VLOOKUP(I296,ЦветПолный!A:C,3,0)</f>
        <v>1</v>
      </c>
      <c r="AP296" s="97">
        <f>SUMIF(Цвет!A:A,Z296,Цвет!B:B)</f>
        <v>1</v>
      </c>
      <c r="AQ296" s="97">
        <f ca="1">_xlfn.XLOOKUP(L296,Пол!A:A,Пол!B:B,0,0)</f>
        <v>1</v>
      </c>
      <c r="AR296" s="97">
        <f ca="1">SUMIF(Бренд!A:A,G296,Бренд!B:B)</f>
        <v>1</v>
      </c>
      <c r="AS296" s="97">
        <f ca="1">SUMIF(Страна!A:A,M296,Страна!B:B)</f>
        <v>1</v>
      </c>
      <c r="AT296" s="64" t="e">
        <f ca="1">IF(VLOOKUP(W296,Товары!A:B,2,FALSE)=A296,"Есть в 1С","ERR")</f>
        <v>#N/A</v>
      </c>
      <c r="AU296" s="65" t="e">
        <f ca="1">IF(VLOOKUP(A296,Товары!B:B,1,FALSE)=A296,"Есть в 1С","ERR")</f>
        <v>#N/A</v>
      </c>
      <c r="AV296" s="96" t="e">
        <f ca="1">VLOOKUP(W296,Товары!A:B,2,FALSE)</f>
        <v>#N/A</v>
      </c>
      <c r="AW296" s="94" t="e">
        <f ca="1">VLOOKUP(W296,Товары!A:B,1,FALSE)</f>
        <v>#N/A</v>
      </c>
    </row>
    <row r="297" spans="1:49" x14ac:dyDescent="0.25">
      <c r="A297" s="110" t="str">
        <f t="shared" ca="1" si="25"/>
        <v>95-005-63</v>
      </c>
      <c r="B297" s="107" t="str">
        <f ca="1">_xlfn.LET(_xlpm.CAPS,0,_xlpm.Style,TRIM(_xlfn.XLOOKUP($A297,Строчный!$A:$A,Строчный!B:B,"ERR",0)),IF(_xlpm.CAPS=0,_xlpm.Style,LOWER(_xlpm.Style)))</f>
        <v>3109</v>
      </c>
      <c r="C297" s="81" t="str">
        <f ca="1">TRIM(PROPER(_xlfn.XLOOKUP($A297,Строчный!$A:$A,Строчный!C:C,"ERR",0)))</f>
        <v>Кепки</v>
      </c>
      <c r="D297" s="81" t="str">
        <f ca="1">_xlfn.LET(_xlpm.DATA,TRIM(_xlfn.XLOOKUP($A297,Строчный!$A:$A,Строчный!D:D,"ERR",0)),UPPER(MID(_xlpm.DATA,1,1))&amp;LOWER(MID(_xlpm.DATA,2,LEN(_xlpm.DATA)-1)))</f>
        <v>Кепка восьмиклинка</v>
      </c>
      <c r="E297" s="81" t="str">
        <f ca="1">PROPER(TRIM(_xlfn.XLOOKUP($A297,Строчный!$A:$A,Строчный!E:E,"ERR",0)))</f>
        <v>Fredrikson</v>
      </c>
      <c r="F297" s="81" t="str">
        <f ca="1">LOWER(TRIM(_xlfn.XLOOKUP($A297,Строчный!$A:$A,Строчный!F:F,"ERR",0)))</f>
        <v>всесезон</v>
      </c>
      <c r="G297" s="81" t="str">
        <f ca="1">UPPER(TRIM(_xlfn.XLOOKUP($A297,Строчный!$A:$A,Строчный!G:G,"ERR",0)))</f>
        <v>FREDRIKSON</v>
      </c>
      <c r="H297" s="81" t="str">
        <f ca="1">LOWER(TRIM(_xlfn.XLOOKUP($A297,Строчный!$A:$A,Строчный!H:H,"ERR",0)))</f>
        <v>637/70</v>
      </c>
      <c r="I297" s="81" t="str">
        <f ca="1">LOWER(TRIM(_xlfn.XLOOKUP($A297,Строчный!$A:$A,Строчный!I:I,"ERR",0)))</f>
        <v>темно-серый / темно-синий</v>
      </c>
      <c r="J297" s="81" t="str">
        <f ca="1">SUBSTITUTE(LOWER(TRIM(_xlfn.XLOOKUP($A297,Строчный!$A:$A,Строчный!J:J,"ERR",0))),"подклад","Подклад")</f>
        <v>80% шерсть - 20% полиамид / Подклад: 100% вискоза</v>
      </c>
      <c r="K297" s="81" t="str">
        <f ca="1">LOWER(TRIM(_xlfn.XLOOKUP($A297,Строчный!$A:$A,Строчный!K:K,"ERR",0)))</f>
        <v>шерстяные</v>
      </c>
      <c r="L297" s="81" t="str">
        <f ca="1">PROPER(TRIM(_xlfn.XLOOKUP($A297,Строчный!$A:$A,Строчный!L:L,"ERR",0)))</f>
        <v>Унисекс</v>
      </c>
      <c r="M297" s="113" t="str">
        <f ca="1">PROPER(TRIM(_xlfn.XLOOKUP($A297,Строчный!$A:$A,Строчный!M:M,"ERR",0)))</f>
        <v>Россия</v>
      </c>
      <c r="N297" s="81" t="str">
        <f ca="1">UPPER(TRIM(_xlfn.XLOOKUP($A297,Строчный!$A:$A,Строчный!O:O,"ERR",0)))</f>
        <v/>
      </c>
      <c r="O297" s="102" t="str">
        <f ca="1">PROPER(TRIM(_xlfn.XLOOKUP($A297,Строчный!$A:$A,Строчный!P:P,"ERR",0)))</f>
        <v/>
      </c>
      <c r="P297" s="81" t="str">
        <f ca="1">PROPER(TRIM(_xlfn.XLOOKUP($A297,Строчный!$A:$A,Строчный!R:R,"ERR",0)))</f>
        <v/>
      </c>
      <c r="Q297" s="90">
        <f ca="1">VALUE(_xlfn.XLOOKUP($A297,Строчный!$A:$A,Строчный!N:N,"ERR",0))</f>
        <v>975.8</v>
      </c>
      <c r="R297" s="89" t="str">
        <f ca="1">_xlfn.XLOOKUP($G297,Фабрика!A:A,Фабрика!B:B,"ERR",0)</f>
        <v>ООО "ФРЭДРИКСОН" Россия 192029, С-Петербург, пр. Обуховской обороны, д.86, лит М</v>
      </c>
      <c r="S297" s="80" t="str">
        <f ca="1">_xlfn.XLOOKUP(RIGHT(AA297,2),Размеры!D:D,Размеры!A:A,"ERR",0)</f>
        <v>57</v>
      </c>
      <c r="T297" s="80">
        <f ca="1">VALUE(_xlfn.XLOOKUP($AA297,Строчный!$S:$S,Строчный!U:U,"ERR",0))</f>
        <v>20</v>
      </c>
      <c r="U297" s="14" t="s">
        <v>265</v>
      </c>
      <c r="V297" s="101" t="str">
        <f t="shared" ca="1" si="26"/>
        <v>Кепка FREDRIKSON арт. 3109 (темно-серый / темно-синий)</v>
      </c>
      <c r="W297" s="100" t="str">
        <f t="shared" ca="1" si="27"/>
        <v>Кепка FREDRIKSON арт. 3109 (темно-серый / темно-синий) {637/70}</v>
      </c>
      <c r="X297" s="18" t="str">
        <f t="shared" ca="1" si="28"/>
        <v>серый / темно-синий</v>
      </c>
      <c r="Y297" s="18" t="str">
        <f t="shared" ca="1" si="29"/>
        <v>серый / темно-синий</v>
      </c>
      <c r="Z297" s="117" t="s">
        <v>28</v>
      </c>
      <c r="AA297" s="73" t="str">
        <f ca="1"/>
        <v>95-005-63-57</v>
      </c>
      <c r="AB297" s="75" t="str">
        <f ca="1">VLOOKUP(C297,Группа!A:B,2,FALSE)</f>
        <v>Кепка</v>
      </c>
      <c r="AC297" s="97" t="str">
        <f ca="1">IFERROR(VLOOKUP(S297,Размеры!A:C,3,FALSE),"")</f>
        <v>57 M</v>
      </c>
      <c r="AD297" s="97" t="str">
        <f ca="1">VLOOKUP(I297,ЦветПолный!A:B,2,FALSE)</f>
        <v>63</v>
      </c>
      <c r="AE297" s="97" t="str">
        <f ca="1">IFERROR(VLOOKUP(S297,Размеры!A:D,4,FALSE),"")</f>
        <v>57</v>
      </c>
      <c r="AF297" s="97">
        <f ca="1">IF(LEFT(IFERROR(VLOOKUP(LOOKUP(2,1/SEARCH(B297,Товары!A:A),Товары!A:A),Товары!A:B,2,0),""),6)=MID(AA297,1,6),1,0)</f>
        <v>0</v>
      </c>
      <c r="AH297" s="97">
        <f ca="1">SUMIF(Группа!A:A,C297,Группа!C:C)</f>
        <v>1</v>
      </c>
      <c r="AI297" s="97">
        <f ca="1">SUMIF(Группа!B:B,AB297,Группа!C:C)</f>
        <v>1</v>
      </c>
      <c r="AJ297" s="97">
        <f ca="1">SUMIF(Формы!A:A,D297,Формы!B:B)</f>
        <v>1</v>
      </c>
      <c r="AK297" s="97">
        <f ca="1">SUMIF(Материал!A:A,K297,Материал!B:B)</f>
        <v>1</v>
      </c>
      <c r="AL297" s="97">
        <f ca="1">SUMIF(Размеры!A:A,S297,Размеры!E:E)</f>
        <v>1</v>
      </c>
      <c r="AM297" s="97">
        <f ca="1">SUMIF(Сезон!A:A,F297,Сезон!B:B)</f>
        <v>1</v>
      </c>
      <c r="AN297" s="97">
        <f ca="1">SUMIF(Состав!A:A,J297,Состав!B:B)</f>
        <v>0</v>
      </c>
      <c r="AO297" s="97">
        <f ca="1">VLOOKUP(I297,ЦветПолный!A:C,3,0)</f>
        <v>1</v>
      </c>
      <c r="AP297" s="97">
        <f>SUMIF(Цвет!A:A,Z297,Цвет!B:B)</f>
        <v>1</v>
      </c>
      <c r="AQ297" s="97">
        <f ca="1">_xlfn.XLOOKUP(L297,Пол!A:A,Пол!B:B,0,0)</f>
        <v>1</v>
      </c>
      <c r="AR297" s="97">
        <f ca="1">SUMIF(Бренд!A:A,G297,Бренд!B:B)</f>
        <v>1</v>
      </c>
      <c r="AS297" s="97">
        <f ca="1">SUMIF(Страна!A:A,M297,Страна!B:B)</f>
        <v>1</v>
      </c>
      <c r="AT297" s="64" t="e">
        <f ca="1">IF(VLOOKUP(W297,Товары!A:B,2,FALSE)=A297,"Есть в 1С","ERR")</f>
        <v>#N/A</v>
      </c>
      <c r="AU297" s="65" t="e">
        <f ca="1">IF(VLOOKUP(A297,Товары!B:B,1,FALSE)=A297,"Есть в 1С","ERR")</f>
        <v>#N/A</v>
      </c>
      <c r="AV297" s="96" t="e">
        <f ca="1">VLOOKUP(W297,Товары!A:B,2,FALSE)</f>
        <v>#N/A</v>
      </c>
      <c r="AW297" s="94" t="e">
        <f ca="1">VLOOKUP(W297,Товары!A:B,1,FALSE)</f>
        <v>#N/A</v>
      </c>
    </row>
    <row r="298" spans="1:49" x14ac:dyDescent="0.25">
      <c r="A298" s="110" t="str">
        <f t="shared" ca="1" si="25"/>
        <v>95-005-63</v>
      </c>
      <c r="B298" s="107" t="str">
        <f ca="1">_xlfn.LET(_xlpm.CAPS,0,_xlpm.Style,TRIM(_xlfn.XLOOKUP($A298,Строчный!$A:$A,Строчный!B:B,"ERR",0)),IF(_xlpm.CAPS=0,_xlpm.Style,LOWER(_xlpm.Style)))</f>
        <v>3109</v>
      </c>
      <c r="C298" s="81" t="str">
        <f ca="1">TRIM(PROPER(_xlfn.XLOOKUP($A298,Строчный!$A:$A,Строчный!C:C,"ERR",0)))</f>
        <v>Кепки</v>
      </c>
      <c r="D298" s="81" t="str">
        <f ca="1">_xlfn.LET(_xlpm.DATA,TRIM(_xlfn.XLOOKUP($A298,Строчный!$A:$A,Строчный!D:D,"ERR",0)),UPPER(MID(_xlpm.DATA,1,1))&amp;LOWER(MID(_xlpm.DATA,2,LEN(_xlpm.DATA)-1)))</f>
        <v>Кепка восьмиклинка</v>
      </c>
      <c r="E298" s="81" t="str">
        <f ca="1">PROPER(TRIM(_xlfn.XLOOKUP($A298,Строчный!$A:$A,Строчный!E:E,"ERR",0)))</f>
        <v>Fredrikson</v>
      </c>
      <c r="F298" s="81" t="str">
        <f ca="1">LOWER(TRIM(_xlfn.XLOOKUP($A298,Строчный!$A:$A,Строчный!F:F,"ERR",0)))</f>
        <v>всесезон</v>
      </c>
      <c r="G298" s="81" t="str">
        <f ca="1">UPPER(TRIM(_xlfn.XLOOKUP($A298,Строчный!$A:$A,Строчный!G:G,"ERR",0)))</f>
        <v>FREDRIKSON</v>
      </c>
      <c r="H298" s="81" t="str">
        <f ca="1">LOWER(TRIM(_xlfn.XLOOKUP($A298,Строчный!$A:$A,Строчный!H:H,"ERR",0)))</f>
        <v>637/70</v>
      </c>
      <c r="I298" s="81" t="str">
        <f ca="1">LOWER(TRIM(_xlfn.XLOOKUP($A298,Строчный!$A:$A,Строчный!I:I,"ERR",0)))</f>
        <v>темно-серый / темно-синий</v>
      </c>
      <c r="J298" s="81" t="str">
        <f ca="1">SUBSTITUTE(LOWER(TRIM(_xlfn.XLOOKUP($A298,Строчный!$A:$A,Строчный!J:J,"ERR",0))),"подклад","Подклад")</f>
        <v>80% шерсть - 20% полиамид / Подклад: 100% вискоза</v>
      </c>
      <c r="K298" s="81" t="str">
        <f ca="1">LOWER(TRIM(_xlfn.XLOOKUP($A298,Строчный!$A:$A,Строчный!K:K,"ERR",0)))</f>
        <v>шерстяные</v>
      </c>
      <c r="L298" s="81" t="str">
        <f ca="1">PROPER(TRIM(_xlfn.XLOOKUP($A298,Строчный!$A:$A,Строчный!L:L,"ERR",0)))</f>
        <v>Унисекс</v>
      </c>
      <c r="M298" s="113" t="str">
        <f ca="1">PROPER(TRIM(_xlfn.XLOOKUP($A298,Строчный!$A:$A,Строчный!M:M,"ERR",0)))</f>
        <v>Россия</v>
      </c>
      <c r="N298" s="81" t="str">
        <f ca="1">UPPER(TRIM(_xlfn.XLOOKUP($A298,Строчный!$A:$A,Строчный!O:O,"ERR",0)))</f>
        <v/>
      </c>
      <c r="O298" s="102" t="str">
        <f ca="1">PROPER(TRIM(_xlfn.XLOOKUP($A298,Строчный!$A:$A,Строчный!P:P,"ERR",0)))</f>
        <v/>
      </c>
      <c r="P298" s="81" t="str">
        <f ca="1">PROPER(TRIM(_xlfn.XLOOKUP($A298,Строчный!$A:$A,Строчный!R:R,"ERR",0)))</f>
        <v/>
      </c>
      <c r="Q298" s="90">
        <f ca="1">VALUE(_xlfn.XLOOKUP($A298,Строчный!$A:$A,Строчный!N:N,"ERR",0))</f>
        <v>975.8</v>
      </c>
      <c r="R298" s="89" t="str">
        <f ca="1">_xlfn.XLOOKUP($G298,Фабрика!A:A,Фабрика!B:B,"ERR",0)</f>
        <v>ООО "ФРЭДРИКСОН" Россия 192029, С-Петербург, пр. Обуховской обороны, д.86, лит М</v>
      </c>
      <c r="S298" s="80" t="str">
        <f ca="1">_xlfn.XLOOKUP(RIGHT(AA298,2),Размеры!D:D,Размеры!A:A,"ERR",0)</f>
        <v>56</v>
      </c>
      <c r="T298" s="80">
        <f ca="1">VALUE(_xlfn.XLOOKUP($AA298,Строчный!$S:$S,Строчный!U:U,"ERR",0))</f>
        <v>10</v>
      </c>
      <c r="U298" s="14" t="s">
        <v>265</v>
      </c>
      <c r="V298" s="101" t="str">
        <f t="shared" ca="1" si="26"/>
        <v>Кепка FREDRIKSON арт. 3109 (темно-серый / темно-синий)</v>
      </c>
      <c r="W298" s="100" t="str">
        <f t="shared" ca="1" si="27"/>
        <v>Кепка FREDRIKSON арт. 3109 (темно-серый / темно-синий) {637/70}</v>
      </c>
      <c r="X298" s="18" t="str">
        <f t="shared" ca="1" si="28"/>
        <v>серый / темно-синий</v>
      </c>
      <c r="Y298" s="18" t="str">
        <f t="shared" ca="1" si="29"/>
        <v>серый / темно-синий</v>
      </c>
      <c r="Z298" s="117" t="s">
        <v>28</v>
      </c>
      <c r="AA298" s="73" t="str">
        <f ca="1"/>
        <v>95-005-63-56</v>
      </c>
      <c r="AB298" s="75" t="str">
        <f ca="1">VLOOKUP(C298,Группа!A:B,2,FALSE)</f>
        <v>Кепка</v>
      </c>
      <c r="AC298" s="97" t="str">
        <f ca="1">IFERROR(VLOOKUP(S298,Размеры!A:C,3,FALSE),"")</f>
        <v>56 S/M</v>
      </c>
      <c r="AD298" s="97" t="str">
        <f ca="1">VLOOKUP(I298,ЦветПолный!A:B,2,FALSE)</f>
        <v>63</v>
      </c>
      <c r="AE298" s="97" t="str">
        <f ca="1">IFERROR(VLOOKUP(S298,Размеры!A:D,4,FALSE),"")</f>
        <v>56</v>
      </c>
      <c r="AF298" s="97">
        <f ca="1">IF(LEFT(IFERROR(VLOOKUP(LOOKUP(2,1/SEARCH(B298,Товары!A:A),Товары!A:A),Товары!A:B,2,0),""),6)=MID(AA298,1,6),1,0)</f>
        <v>0</v>
      </c>
      <c r="AH298" s="97">
        <f ca="1">SUMIF(Группа!A:A,C298,Группа!C:C)</f>
        <v>1</v>
      </c>
      <c r="AI298" s="97">
        <f ca="1">SUMIF(Группа!B:B,AB298,Группа!C:C)</f>
        <v>1</v>
      </c>
      <c r="AJ298" s="97">
        <f ca="1">SUMIF(Формы!A:A,D298,Формы!B:B)</f>
        <v>1</v>
      </c>
      <c r="AK298" s="97">
        <f ca="1">SUMIF(Материал!A:A,K298,Материал!B:B)</f>
        <v>1</v>
      </c>
      <c r="AL298" s="97">
        <f ca="1">SUMIF(Размеры!A:A,S298,Размеры!E:E)</f>
        <v>1</v>
      </c>
      <c r="AM298" s="97">
        <f ca="1">SUMIF(Сезон!A:A,F298,Сезон!B:B)</f>
        <v>1</v>
      </c>
      <c r="AN298" s="97">
        <f ca="1">SUMIF(Состав!A:A,J298,Состав!B:B)</f>
        <v>0</v>
      </c>
      <c r="AO298" s="97">
        <f ca="1">VLOOKUP(I298,ЦветПолный!A:C,3,0)</f>
        <v>1</v>
      </c>
      <c r="AP298" s="97">
        <f>SUMIF(Цвет!A:A,Z298,Цвет!B:B)</f>
        <v>1</v>
      </c>
      <c r="AQ298" s="97">
        <f ca="1">_xlfn.XLOOKUP(L298,Пол!A:A,Пол!B:B,0,0)</f>
        <v>1</v>
      </c>
      <c r="AR298" s="97">
        <f ca="1">SUMIF(Бренд!A:A,G298,Бренд!B:B)</f>
        <v>1</v>
      </c>
      <c r="AS298" s="97">
        <f ca="1">SUMIF(Страна!A:A,M298,Страна!B:B)</f>
        <v>1</v>
      </c>
      <c r="AT298" s="64" t="e">
        <f ca="1">IF(VLOOKUP(W298,Товары!A:B,2,FALSE)=A298,"Есть в 1С","ERR")</f>
        <v>#N/A</v>
      </c>
      <c r="AU298" s="65" t="e">
        <f ca="1">IF(VLOOKUP(A298,Товары!B:B,1,FALSE)=A298,"Есть в 1С","ERR")</f>
        <v>#N/A</v>
      </c>
      <c r="AV298" s="96" t="e">
        <f ca="1">VLOOKUP(W298,Товары!A:B,2,FALSE)</f>
        <v>#N/A</v>
      </c>
      <c r="AW298" s="94" t="e">
        <f ca="1">VLOOKUP(W298,Товары!A:B,1,FALSE)</f>
        <v>#N/A</v>
      </c>
    </row>
    <row r="299" spans="1:49" x14ac:dyDescent="0.25">
      <c r="A299" s="110" t="str">
        <f t="shared" ca="1" si="25"/>
        <v>95-005-60</v>
      </c>
      <c r="B299" s="107" t="str">
        <f ca="1">_xlfn.LET(_xlpm.CAPS,0,_xlpm.Style,TRIM(_xlfn.XLOOKUP($A299,Строчный!$A:$A,Строчный!B:B,"ERR",0)),IF(_xlpm.CAPS=0,_xlpm.Style,LOWER(_xlpm.Style)))</f>
        <v>3109</v>
      </c>
      <c r="C299" s="81" t="str">
        <f ca="1">TRIM(PROPER(_xlfn.XLOOKUP($A299,Строчный!$A:$A,Строчный!C:C,"ERR",0)))</f>
        <v>Кепки</v>
      </c>
      <c r="D299" s="81" t="str">
        <f ca="1">_xlfn.LET(_xlpm.DATA,TRIM(_xlfn.XLOOKUP($A299,Строчный!$A:$A,Строчный!D:D,"ERR",0)),UPPER(MID(_xlpm.DATA,1,1))&amp;LOWER(MID(_xlpm.DATA,2,LEN(_xlpm.DATA)-1)))</f>
        <v>Кепка восьмиклинка</v>
      </c>
      <c r="E299" s="81" t="str">
        <f ca="1">PROPER(TRIM(_xlfn.XLOOKUP($A299,Строчный!$A:$A,Строчный!E:E,"ERR",0)))</f>
        <v>Fredrikson</v>
      </c>
      <c r="F299" s="81" t="str">
        <f ca="1">LOWER(TRIM(_xlfn.XLOOKUP($A299,Строчный!$A:$A,Строчный!F:F,"ERR",0)))</f>
        <v>всесезон</v>
      </c>
      <c r="G299" s="81" t="str">
        <f ca="1">UPPER(TRIM(_xlfn.XLOOKUP($A299,Строчный!$A:$A,Строчный!G:G,"ERR",0)))</f>
        <v>FREDRIKSON</v>
      </c>
      <c r="H299" s="81" t="str">
        <f ca="1">LOWER(TRIM(_xlfn.XLOOKUP($A299,Строчный!$A:$A,Строчный!H:H,"ERR",0)))</f>
        <v>646/79</v>
      </c>
      <c r="I299" s="81" t="str">
        <f ca="1">LOWER(TRIM(_xlfn.XLOOKUP($A299,Строчный!$A:$A,Строчный!I:I,"ERR",0)))</f>
        <v>темно-серый / светло-серый</v>
      </c>
      <c r="J299" s="81" t="str">
        <f ca="1">SUBSTITUTE(LOWER(TRIM(_xlfn.XLOOKUP($A299,Строчный!$A:$A,Строчный!J:J,"ERR",0))),"подклад","Подклад")</f>
        <v>80% шерсть - 20% полиамид / Подклад: 100% вискоза</v>
      </c>
      <c r="K299" s="81" t="str">
        <f ca="1">LOWER(TRIM(_xlfn.XLOOKUP($A299,Строчный!$A:$A,Строчный!K:K,"ERR",0)))</f>
        <v>шерстяные</v>
      </c>
      <c r="L299" s="81" t="str">
        <f ca="1">PROPER(TRIM(_xlfn.XLOOKUP($A299,Строчный!$A:$A,Строчный!L:L,"ERR",0)))</f>
        <v>Унисекс</v>
      </c>
      <c r="M299" s="113" t="str">
        <f ca="1">PROPER(TRIM(_xlfn.XLOOKUP($A299,Строчный!$A:$A,Строчный!M:M,"ERR",0)))</f>
        <v>Россия</v>
      </c>
      <c r="N299" s="81" t="str">
        <f ca="1">UPPER(TRIM(_xlfn.XLOOKUP($A299,Строчный!$A:$A,Строчный!O:O,"ERR",0)))</f>
        <v/>
      </c>
      <c r="O299" s="102" t="str">
        <f ca="1">PROPER(TRIM(_xlfn.XLOOKUP($A299,Строчный!$A:$A,Строчный!P:P,"ERR",0)))</f>
        <v/>
      </c>
      <c r="P299" s="81" t="str">
        <f ca="1">PROPER(TRIM(_xlfn.XLOOKUP($A299,Строчный!$A:$A,Строчный!R:R,"ERR",0)))</f>
        <v/>
      </c>
      <c r="Q299" s="90">
        <f ca="1">VALUE(_xlfn.XLOOKUP($A299,Строчный!$A:$A,Строчный!N:N,"ERR",0))</f>
        <v>975.8</v>
      </c>
      <c r="R299" s="89" t="str">
        <f ca="1">_xlfn.XLOOKUP($G299,Фабрика!A:A,Фабрика!B:B,"ERR",0)</f>
        <v>ООО "ФРЭДРИКСОН" Россия 192029, С-Петербург, пр. Обуховской обороны, д.86, лит М</v>
      </c>
      <c r="S299" s="80" t="str">
        <f ca="1">_xlfn.XLOOKUP(RIGHT(AA299,2),Размеры!D:D,Размеры!A:A,"ERR",0)</f>
        <v>61</v>
      </c>
      <c r="T299" s="80">
        <f ca="1">VALUE(_xlfn.XLOOKUP($AA299,Строчный!$S:$S,Строчный!U:U,"ERR",0))</f>
        <v>4</v>
      </c>
      <c r="U299" s="14" t="s">
        <v>265</v>
      </c>
      <c r="V299" s="101" t="str">
        <f t="shared" ca="1" si="26"/>
        <v>Кепка FREDRIKSON арт. 3109 (темно-серый / светло-серый)</v>
      </c>
      <c r="W299" s="100" t="str">
        <f t="shared" ca="1" si="27"/>
        <v>Кепка FREDRIKSON арт. 3109 (темно-серый / светло-серый) {646/79}</v>
      </c>
      <c r="X299" s="18" t="str">
        <f t="shared" ca="1" si="28"/>
        <v>серый / светло-серый</v>
      </c>
      <c r="Y299" s="18" t="str">
        <f t="shared" ca="1" si="29"/>
        <v>серый / светло-серый</v>
      </c>
      <c r="Z299" s="117" t="s">
        <v>28</v>
      </c>
      <c r="AA299" s="73" t="str">
        <f ca="1"/>
        <v>95-005-60-61</v>
      </c>
      <c r="AB299" s="75" t="str">
        <f ca="1">VLOOKUP(C299,Группа!A:B,2,FALSE)</f>
        <v>Кепка</v>
      </c>
      <c r="AC299" s="97" t="str">
        <f ca="1">IFERROR(VLOOKUP(S299,Размеры!A:C,3,FALSE),"")</f>
        <v>61 XL</v>
      </c>
      <c r="AD299" s="97" t="str">
        <f ca="1">VLOOKUP(I299,ЦветПолный!A:B,2,FALSE)</f>
        <v>60</v>
      </c>
      <c r="AE299" s="97" t="str">
        <f ca="1">IFERROR(VLOOKUP(S299,Размеры!A:D,4,FALSE),"")</f>
        <v>61</v>
      </c>
      <c r="AF299" s="97">
        <f ca="1">IF(LEFT(IFERROR(VLOOKUP(LOOKUP(2,1/SEARCH(B299,Товары!A:A),Товары!A:A),Товары!A:B,2,0),""),6)=MID(AA299,1,6),1,0)</f>
        <v>0</v>
      </c>
      <c r="AH299" s="97">
        <f ca="1">SUMIF(Группа!A:A,C299,Группа!C:C)</f>
        <v>1</v>
      </c>
      <c r="AI299" s="97">
        <f ca="1">SUMIF(Группа!B:B,AB299,Группа!C:C)</f>
        <v>1</v>
      </c>
      <c r="AJ299" s="97">
        <f ca="1">SUMIF(Формы!A:A,D299,Формы!B:B)</f>
        <v>1</v>
      </c>
      <c r="AK299" s="97">
        <f ca="1">SUMIF(Материал!A:A,K299,Материал!B:B)</f>
        <v>1</v>
      </c>
      <c r="AL299" s="97">
        <f ca="1">SUMIF(Размеры!A:A,S299,Размеры!E:E)</f>
        <v>1</v>
      </c>
      <c r="AM299" s="97">
        <f ca="1">SUMIF(Сезон!A:A,F299,Сезон!B:B)</f>
        <v>1</v>
      </c>
      <c r="AN299" s="97">
        <f ca="1">SUMIF(Состав!A:A,J299,Состав!B:B)</f>
        <v>0</v>
      </c>
      <c r="AO299" s="97">
        <f ca="1">VLOOKUP(I299,ЦветПолный!A:C,3,0)</f>
        <v>1</v>
      </c>
      <c r="AP299" s="97">
        <f>SUMIF(Цвет!A:A,Z299,Цвет!B:B)</f>
        <v>1</v>
      </c>
      <c r="AQ299" s="97">
        <f ca="1">_xlfn.XLOOKUP(L299,Пол!A:A,Пол!B:B,0,0)</f>
        <v>1</v>
      </c>
      <c r="AR299" s="97">
        <f ca="1">SUMIF(Бренд!A:A,G299,Бренд!B:B)</f>
        <v>1</v>
      </c>
      <c r="AS299" s="97">
        <f ca="1">SUMIF(Страна!A:A,M299,Страна!B:B)</f>
        <v>1</v>
      </c>
      <c r="AT299" s="64" t="e">
        <f ca="1">IF(VLOOKUP(W299,Товары!A:B,2,FALSE)=A299,"Есть в 1С","ERR")</f>
        <v>#N/A</v>
      </c>
      <c r="AU299" s="65" t="e">
        <f ca="1">IF(VLOOKUP(A299,Товары!B:B,1,FALSE)=A299,"Есть в 1С","ERR")</f>
        <v>#N/A</v>
      </c>
      <c r="AV299" s="96" t="e">
        <f ca="1">VLOOKUP(W299,Товары!A:B,2,FALSE)</f>
        <v>#N/A</v>
      </c>
      <c r="AW299" s="94" t="e">
        <f ca="1">VLOOKUP(W299,Товары!A:B,1,FALSE)</f>
        <v>#N/A</v>
      </c>
    </row>
    <row r="300" spans="1:49" x14ac:dyDescent="0.25">
      <c r="A300" s="110" t="str">
        <f t="shared" ca="1" si="25"/>
        <v>95-005-60</v>
      </c>
      <c r="B300" s="107" t="str">
        <f ca="1">_xlfn.LET(_xlpm.CAPS,0,_xlpm.Style,TRIM(_xlfn.XLOOKUP($A300,Строчный!$A:$A,Строчный!B:B,"ERR",0)),IF(_xlpm.CAPS=0,_xlpm.Style,LOWER(_xlpm.Style)))</f>
        <v>3109</v>
      </c>
      <c r="C300" s="81" t="str">
        <f ca="1">TRIM(PROPER(_xlfn.XLOOKUP($A300,Строчный!$A:$A,Строчный!C:C,"ERR",0)))</f>
        <v>Кепки</v>
      </c>
      <c r="D300" s="81" t="str">
        <f ca="1">_xlfn.LET(_xlpm.DATA,TRIM(_xlfn.XLOOKUP($A300,Строчный!$A:$A,Строчный!D:D,"ERR",0)),UPPER(MID(_xlpm.DATA,1,1))&amp;LOWER(MID(_xlpm.DATA,2,LEN(_xlpm.DATA)-1)))</f>
        <v>Кепка восьмиклинка</v>
      </c>
      <c r="E300" s="81" t="str">
        <f ca="1">PROPER(TRIM(_xlfn.XLOOKUP($A300,Строчный!$A:$A,Строчный!E:E,"ERR",0)))</f>
        <v>Fredrikson</v>
      </c>
      <c r="F300" s="81" t="str">
        <f ca="1">LOWER(TRIM(_xlfn.XLOOKUP($A300,Строчный!$A:$A,Строчный!F:F,"ERR",0)))</f>
        <v>всесезон</v>
      </c>
      <c r="G300" s="81" t="str">
        <f ca="1">UPPER(TRIM(_xlfn.XLOOKUP($A300,Строчный!$A:$A,Строчный!G:G,"ERR",0)))</f>
        <v>FREDRIKSON</v>
      </c>
      <c r="H300" s="81" t="str">
        <f ca="1">LOWER(TRIM(_xlfn.XLOOKUP($A300,Строчный!$A:$A,Строчный!H:H,"ERR",0)))</f>
        <v>646/79</v>
      </c>
      <c r="I300" s="81" t="str">
        <f ca="1">LOWER(TRIM(_xlfn.XLOOKUP($A300,Строчный!$A:$A,Строчный!I:I,"ERR",0)))</f>
        <v>темно-серый / светло-серый</v>
      </c>
      <c r="J300" s="81" t="str">
        <f ca="1">SUBSTITUTE(LOWER(TRIM(_xlfn.XLOOKUP($A300,Строчный!$A:$A,Строчный!J:J,"ERR",0))),"подклад","Подклад")</f>
        <v>80% шерсть - 20% полиамид / Подклад: 100% вискоза</v>
      </c>
      <c r="K300" s="81" t="str">
        <f ca="1">LOWER(TRIM(_xlfn.XLOOKUP($A300,Строчный!$A:$A,Строчный!K:K,"ERR",0)))</f>
        <v>шерстяные</v>
      </c>
      <c r="L300" s="81" t="str">
        <f ca="1">PROPER(TRIM(_xlfn.XLOOKUP($A300,Строчный!$A:$A,Строчный!L:L,"ERR",0)))</f>
        <v>Унисекс</v>
      </c>
      <c r="M300" s="113" t="str">
        <f ca="1">PROPER(TRIM(_xlfn.XLOOKUP($A300,Строчный!$A:$A,Строчный!M:M,"ERR",0)))</f>
        <v>Россия</v>
      </c>
      <c r="N300" s="81" t="str">
        <f ca="1">UPPER(TRIM(_xlfn.XLOOKUP($A300,Строчный!$A:$A,Строчный!O:O,"ERR",0)))</f>
        <v/>
      </c>
      <c r="O300" s="102" t="str">
        <f ca="1">PROPER(TRIM(_xlfn.XLOOKUP($A300,Строчный!$A:$A,Строчный!P:P,"ERR",0)))</f>
        <v/>
      </c>
      <c r="P300" s="81" t="str">
        <f ca="1">PROPER(TRIM(_xlfn.XLOOKUP($A300,Строчный!$A:$A,Строчный!R:R,"ERR",0)))</f>
        <v/>
      </c>
      <c r="Q300" s="90">
        <f ca="1">VALUE(_xlfn.XLOOKUP($A300,Строчный!$A:$A,Строчный!N:N,"ERR",0))</f>
        <v>975.8</v>
      </c>
      <c r="R300" s="89" t="str">
        <f ca="1">_xlfn.XLOOKUP($G300,Фабрика!A:A,Фабрика!B:B,"ERR",0)</f>
        <v>ООО "ФРЭДРИКСОН" Россия 192029, С-Петербург, пр. Обуховской обороны, д.86, лит М</v>
      </c>
      <c r="S300" s="80" t="str">
        <f ca="1">_xlfn.XLOOKUP(RIGHT(AA300,2),Размеры!D:D,Размеры!A:A,"ERR",0)</f>
        <v>60</v>
      </c>
      <c r="T300" s="80">
        <f ca="1">VALUE(_xlfn.XLOOKUP($AA300,Строчный!$S:$S,Строчный!U:U,"ERR",0))</f>
        <v>6</v>
      </c>
      <c r="U300" s="14" t="s">
        <v>265</v>
      </c>
      <c r="V300" s="101" t="str">
        <f t="shared" ca="1" si="26"/>
        <v>Кепка FREDRIKSON арт. 3109 (темно-серый / светло-серый)</v>
      </c>
      <c r="W300" s="100" t="str">
        <f t="shared" ca="1" si="27"/>
        <v>Кепка FREDRIKSON арт. 3109 (темно-серый / светло-серый) {646/79}</v>
      </c>
      <c r="X300" s="18" t="str">
        <f t="shared" ca="1" si="28"/>
        <v>серый / светло-серый</v>
      </c>
      <c r="Y300" s="18" t="str">
        <f t="shared" ca="1" si="29"/>
        <v>серый / светло-серый</v>
      </c>
      <c r="Z300" s="117" t="s">
        <v>28</v>
      </c>
      <c r="AA300" s="73" t="str">
        <f ca="1"/>
        <v>95-005-60-60</v>
      </c>
      <c r="AB300" s="75" t="str">
        <f ca="1">VLOOKUP(C300,Группа!A:B,2,FALSE)</f>
        <v>Кепка</v>
      </c>
      <c r="AC300" s="97" t="str">
        <f ca="1">IFERROR(VLOOKUP(S300,Размеры!A:C,3,FALSE),"")</f>
        <v>60 L/XL</v>
      </c>
      <c r="AD300" s="97" t="str">
        <f ca="1">VLOOKUP(I300,ЦветПолный!A:B,2,FALSE)</f>
        <v>60</v>
      </c>
      <c r="AE300" s="97" t="str">
        <f ca="1">IFERROR(VLOOKUP(S300,Размеры!A:D,4,FALSE),"")</f>
        <v>60</v>
      </c>
      <c r="AF300" s="97">
        <f ca="1">IF(LEFT(IFERROR(VLOOKUP(LOOKUP(2,1/SEARCH(B300,Товары!A:A),Товары!A:A),Товары!A:B,2,0),""),6)=MID(AA300,1,6),1,0)</f>
        <v>0</v>
      </c>
      <c r="AH300" s="97">
        <f ca="1">SUMIF(Группа!A:A,C300,Группа!C:C)</f>
        <v>1</v>
      </c>
      <c r="AI300" s="97">
        <f ca="1">SUMIF(Группа!B:B,AB300,Группа!C:C)</f>
        <v>1</v>
      </c>
      <c r="AJ300" s="97">
        <f ca="1">SUMIF(Формы!A:A,D300,Формы!B:B)</f>
        <v>1</v>
      </c>
      <c r="AK300" s="97">
        <f ca="1">SUMIF(Материал!A:A,K300,Материал!B:B)</f>
        <v>1</v>
      </c>
      <c r="AL300" s="97">
        <f ca="1">SUMIF(Размеры!A:A,S300,Размеры!E:E)</f>
        <v>1</v>
      </c>
      <c r="AM300" s="97">
        <f ca="1">SUMIF(Сезон!A:A,F300,Сезон!B:B)</f>
        <v>1</v>
      </c>
      <c r="AN300" s="97">
        <f ca="1">SUMIF(Состав!A:A,J300,Состав!B:B)</f>
        <v>0</v>
      </c>
      <c r="AO300" s="97">
        <f ca="1">VLOOKUP(I300,ЦветПолный!A:C,3,0)</f>
        <v>1</v>
      </c>
      <c r="AP300" s="97">
        <f>SUMIF(Цвет!A:A,Z300,Цвет!B:B)</f>
        <v>1</v>
      </c>
      <c r="AQ300" s="97">
        <f ca="1">_xlfn.XLOOKUP(L300,Пол!A:A,Пол!B:B,0,0)</f>
        <v>1</v>
      </c>
      <c r="AR300" s="97">
        <f ca="1">SUMIF(Бренд!A:A,G300,Бренд!B:B)</f>
        <v>1</v>
      </c>
      <c r="AS300" s="97">
        <f ca="1">SUMIF(Страна!A:A,M300,Страна!B:B)</f>
        <v>1</v>
      </c>
      <c r="AT300" s="64" t="e">
        <f ca="1">IF(VLOOKUP(W300,Товары!A:B,2,FALSE)=A300,"Есть в 1С","ERR")</f>
        <v>#N/A</v>
      </c>
      <c r="AU300" s="65" t="e">
        <f ca="1">IF(VLOOKUP(A300,Товары!B:B,1,FALSE)=A300,"Есть в 1С","ERR")</f>
        <v>#N/A</v>
      </c>
      <c r="AV300" s="96" t="e">
        <f ca="1">VLOOKUP(W300,Товары!A:B,2,FALSE)</f>
        <v>#N/A</v>
      </c>
      <c r="AW300" s="94" t="e">
        <f ca="1">VLOOKUP(W300,Товары!A:B,1,FALSE)</f>
        <v>#N/A</v>
      </c>
    </row>
    <row r="301" spans="1:49" x14ac:dyDescent="0.25">
      <c r="A301" s="110" t="str">
        <f t="shared" ca="1" si="25"/>
        <v>95-005-60</v>
      </c>
      <c r="B301" s="107" t="str">
        <f ca="1">_xlfn.LET(_xlpm.CAPS,0,_xlpm.Style,TRIM(_xlfn.XLOOKUP($A301,Строчный!$A:$A,Строчный!B:B,"ERR",0)),IF(_xlpm.CAPS=0,_xlpm.Style,LOWER(_xlpm.Style)))</f>
        <v>3109</v>
      </c>
      <c r="C301" s="81" t="str">
        <f ca="1">TRIM(PROPER(_xlfn.XLOOKUP($A301,Строчный!$A:$A,Строчный!C:C,"ERR",0)))</f>
        <v>Кепки</v>
      </c>
      <c r="D301" s="81" t="str">
        <f ca="1">_xlfn.LET(_xlpm.DATA,TRIM(_xlfn.XLOOKUP($A301,Строчный!$A:$A,Строчный!D:D,"ERR",0)),UPPER(MID(_xlpm.DATA,1,1))&amp;LOWER(MID(_xlpm.DATA,2,LEN(_xlpm.DATA)-1)))</f>
        <v>Кепка восьмиклинка</v>
      </c>
      <c r="E301" s="81" t="str">
        <f ca="1">PROPER(TRIM(_xlfn.XLOOKUP($A301,Строчный!$A:$A,Строчный!E:E,"ERR",0)))</f>
        <v>Fredrikson</v>
      </c>
      <c r="F301" s="81" t="str">
        <f ca="1">LOWER(TRIM(_xlfn.XLOOKUP($A301,Строчный!$A:$A,Строчный!F:F,"ERR",0)))</f>
        <v>всесезон</v>
      </c>
      <c r="G301" s="81" t="str">
        <f ca="1">UPPER(TRIM(_xlfn.XLOOKUP($A301,Строчный!$A:$A,Строчный!G:G,"ERR",0)))</f>
        <v>FREDRIKSON</v>
      </c>
      <c r="H301" s="81" t="str">
        <f ca="1">LOWER(TRIM(_xlfn.XLOOKUP($A301,Строчный!$A:$A,Строчный!H:H,"ERR",0)))</f>
        <v>646/79</v>
      </c>
      <c r="I301" s="81" t="str">
        <f ca="1">LOWER(TRIM(_xlfn.XLOOKUP($A301,Строчный!$A:$A,Строчный!I:I,"ERR",0)))</f>
        <v>темно-серый / светло-серый</v>
      </c>
      <c r="J301" s="81" t="str">
        <f ca="1">SUBSTITUTE(LOWER(TRIM(_xlfn.XLOOKUP($A301,Строчный!$A:$A,Строчный!J:J,"ERR",0))),"подклад","Подклад")</f>
        <v>80% шерсть - 20% полиамид / Подклад: 100% вискоза</v>
      </c>
      <c r="K301" s="81" t="str">
        <f ca="1">LOWER(TRIM(_xlfn.XLOOKUP($A301,Строчный!$A:$A,Строчный!K:K,"ERR",0)))</f>
        <v>шерстяные</v>
      </c>
      <c r="L301" s="81" t="str">
        <f ca="1">PROPER(TRIM(_xlfn.XLOOKUP($A301,Строчный!$A:$A,Строчный!L:L,"ERR",0)))</f>
        <v>Унисекс</v>
      </c>
      <c r="M301" s="113" t="str">
        <f ca="1">PROPER(TRIM(_xlfn.XLOOKUP($A301,Строчный!$A:$A,Строчный!M:M,"ERR",0)))</f>
        <v>Россия</v>
      </c>
      <c r="N301" s="81" t="str">
        <f ca="1">UPPER(TRIM(_xlfn.XLOOKUP($A301,Строчный!$A:$A,Строчный!O:O,"ERR",0)))</f>
        <v/>
      </c>
      <c r="O301" s="102" t="str">
        <f ca="1">PROPER(TRIM(_xlfn.XLOOKUP($A301,Строчный!$A:$A,Строчный!P:P,"ERR",0)))</f>
        <v/>
      </c>
      <c r="P301" s="81" t="str">
        <f ca="1">PROPER(TRIM(_xlfn.XLOOKUP($A301,Строчный!$A:$A,Строчный!R:R,"ERR",0)))</f>
        <v/>
      </c>
      <c r="Q301" s="90">
        <f ca="1">VALUE(_xlfn.XLOOKUP($A301,Строчный!$A:$A,Строчный!N:N,"ERR",0))</f>
        <v>975.8</v>
      </c>
      <c r="R301" s="89" t="str">
        <f ca="1">_xlfn.XLOOKUP($G301,Фабрика!A:A,Фабрика!B:B,"ERR",0)</f>
        <v>ООО "ФРЭДРИКСОН" Россия 192029, С-Петербург, пр. Обуховской обороны, д.86, лит М</v>
      </c>
      <c r="S301" s="80" t="str">
        <f ca="1">_xlfn.XLOOKUP(RIGHT(AA301,2),Размеры!D:D,Размеры!A:A,"ERR",0)</f>
        <v>59</v>
      </c>
      <c r="T301" s="80">
        <f ca="1">VALUE(_xlfn.XLOOKUP($AA301,Строчный!$S:$S,Строчный!U:U,"ERR",0))</f>
        <v>8</v>
      </c>
      <c r="U301" s="14" t="s">
        <v>265</v>
      </c>
      <c r="V301" s="101" t="str">
        <f t="shared" ca="1" si="26"/>
        <v>Кепка FREDRIKSON арт. 3109 (темно-серый / светло-серый)</v>
      </c>
      <c r="W301" s="100" t="str">
        <f t="shared" ca="1" si="27"/>
        <v>Кепка FREDRIKSON арт. 3109 (темно-серый / светло-серый) {646/79}</v>
      </c>
      <c r="X301" s="18" t="str">
        <f t="shared" ca="1" si="28"/>
        <v>серый / светло-серый</v>
      </c>
      <c r="Y301" s="18" t="str">
        <f t="shared" ca="1" si="29"/>
        <v>серый / светло-серый</v>
      </c>
      <c r="Z301" s="117" t="s">
        <v>28</v>
      </c>
      <c r="AA301" s="73" t="str">
        <f ca="1"/>
        <v>95-005-60-59</v>
      </c>
      <c r="AB301" s="75" t="str">
        <f ca="1">VLOOKUP(C301,Группа!A:B,2,FALSE)</f>
        <v>Кепка</v>
      </c>
      <c r="AC301" s="97" t="str">
        <f ca="1">IFERROR(VLOOKUP(S301,Размеры!A:C,3,FALSE),"")</f>
        <v>59 L</v>
      </c>
      <c r="AD301" s="97" t="str">
        <f ca="1">VLOOKUP(I301,ЦветПолный!A:B,2,FALSE)</f>
        <v>60</v>
      </c>
      <c r="AE301" s="97" t="str">
        <f ca="1">IFERROR(VLOOKUP(S301,Размеры!A:D,4,FALSE),"")</f>
        <v>59</v>
      </c>
      <c r="AF301" s="97">
        <f ca="1">IF(LEFT(IFERROR(VLOOKUP(LOOKUP(2,1/SEARCH(B301,Товары!A:A),Товары!A:A),Товары!A:B,2,0),""),6)=MID(AA301,1,6),1,0)</f>
        <v>0</v>
      </c>
      <c r="AH301" s="97">
        <f ca="1">SUMIF(Группа!A:A,C301,Группа!C:C)</f>
        <v>1</v>
      </c>
      <c r="AI301" s="97">
        <f ca="1">SUMIF(Группа!B:B,AB301,Группа!C:C)</f>
        <v>1</v>
      </c>
      <c r="AJ301" s="97">
        <f ca="1">SUMIF(Формы!A:A,D301,Формы!B:B)</f>
        <v>1</v>
      </c>
      <c r="AK301" s="97">
        <f ca="1">SUMIF(Материал!A:A,K301,Материал!B:B)</f>
        <v>1</v>
      </c>
      <c r="AL301" s="97">
        <f ca="1">SUMIF(Размеры!A:A,S301,Размеры!E:E)</f>
        <v>1</v>
      </c>
      <c r="AM301" s="97">
        <f ca="1">SUMIF(Сезон!A:A,F301,Сезон!B:B)</f>
        <v>1</v>
      </c>
      <c r="AN301" s="97">
        <f ca="1">SUMIF(Состав!A:A,J301,Состав!B:B)</f>
        <v>0</v>
      </c>
      <c r="AO301" s="97">
        <f ca="1">VLOOKUP(I301,ЦветПолный!A:C,3,0)</f>
        <v>1</v>
      </c>
      <c r="AP301" s="97">
        <f>SUMIF(Цвет!A:A,Z301,Цвет!B:B)</f>
        <v>1</v>
      </c>
      <c r="AQ301" s="97">
        <f ca="1">_xlfn.XLOOKUP(L301,Пол!A:A,Пол!B:B,0,0)</f>
        <v>1</v>
      </c>
      <c r="AR301" s="97">
        <f ca="1">SUMIF(Бренд!A:A,G301,Бренд!B:B)</f>
        <v>1</v>
      </c>
      <c r="AS301" s="97">
        <f ca="1">SUMIF(Страна!A:A,M301,Страна!B:B)</f>
        <v>1</v>
      </c>
      <c r="AT301" s="64" t="e">
        <f ca="1">IF(VLOOKUP(W301,Товары!A:B,2,FALSE)=A301,"Есть в 1С","ERR")</f>
        <v>#N/A</v>
      </c>
      <c r="AU301" s="65" t="e">
        <f ca="1">IF(VLOOKUP(A301,Товары!B:B,1,FALSE)=A301,"Есть в 1С","ERR")</f>
        <v>#N/A</v>
      </c>
      <c r="AV301" s="96" t="e">
        <f ca="1">VLOOKUP(W301,Товары!A:B,2,FALSE)</f>
        <v>#N/A</v>
      </c>
      <c r="AW301" s="94" t="e">
        <f ca="1">VLOOKUP(W301,Товары!A:B,1,FALSE)</f>
        <v>#N/A</v>
      </c>
    </row>
    <row r="302" spans="1:49" x14ac:dyDescent="0.25">
      <c r="A302" s="110" t="str">
        <f t="shared" ca="1" si="25"/>
        <v>95-005-60</v>
      </c>
      <c r="B302" s="107" t="str">
        <f ca="1">_xlfn.LET(_xlpm.CAPS,0,_xlpm.Style,TRIM(_xlfn.XLOOKUP($A302,Строчный!$A:$A,Строчный!B:B,"ERR",0)),IF(_xlpm.CAPS=0,_xlpm.Style,LOWER(_xlpm.Style)))</f>
        <v>3109</v>
      </c>
      <c r="C302" s="81" t="str">
        <f ca="1">TRIM(PROPER(_xlfn.XLOOKUP($A302,Строчный!$A:$A,Строчный!C:C,"ERR",0)))</f>
        <v>Кепки</v>
      </c>
      <c r="D302" s="81" t="str">
        <f ca="1">_xlfn.LET(_xlpm.DATA,TRIM(_xlfn.XLOOKUP($A302,Строчный!$A:$A,Строчный!D:D,"ERR",0)),UPPER(MID(_xlpm.DATA,1,1))&amp;LOWER(MID(_xlpm.DATA,2,LEN(_xlpm.DATA)-1)))</f>
        <v>Кепка восьмиклинка</v>
      </c>
      <c r="E302" s="81" t="str">
        <f ca="1">PROPER(TRIM(_xlfn.XLOOKUP($A302,Строчный!$A:$A,Строчный!E:E,"ERR",0)))</f>
        <v>Fredrikson</v>
      </c>
      <c r="F302" s="81" t="str">
        <f ca="1">LOWER(TRIM(_xlfn.XLOOKUP($A302,Строчный!$A:$A,Строчный!F:F,"ERR",0)))</f>
        <v>всесезон</v>
      </c>
      <c r="G302" s="81" t="str">
        <f ca="1">UPPER(TRIM(_xlfn.XLOOKUP($A302,Строчный!$A:$A,Строчный!G:G,"ERR",0)))</f>
        <v>FREDRIKSON</v>
      </c>
      <c r="H302" s="81" t="str">
        <f ca="1">LOWER(TRIM(_xlfn.XLOOKUP($A302,Строчный!$A:$A,Строчный!H:H,"ERR",0)))</f>
        <v>646/79</v>
      </c>
      <c r="I302" s="81" t="str">
        <f ca="1">LOWER(TRIM(_xlfn.XLOOKUP($A302,Строчный!$A:$A,Строчный!I:I,"ERR",0)))</f>
        <v>темно-серый / светло-серый</v>
      </c>
      <c r="J302" s="81" t="str">
        <f ca="1">SUBSTITUTE(LOWER(TRIM(_xlfn.XLOOKUP($A302,Строчный!$A:$A,Строчный!J:J,"ERR",0))),"подклад","Подклад")</f>
        <v>80% шерсть - 20% полиамид / Подклад: 100% вискоза</v>
      </c>
      <c r="K302" s="81" t="str">
        <f ca="1">LOWER(TRIM(_xlfn.XLOOKUP($A302,Строчный!$A:$A,Строчный!K:K,"ERR",0)))</f>
        <v>шерстяные</v>
      </c>
      <c r="L302" s="81" t="str">
        <f ca="1">PROPER(TRIM(_xlfn.XLOOKUP($A302,Строчный!$A:$A,Строчный!L:L,"ERR",0)))</f>
        <v>Унисекс</v>
      </c>
      <c r="M302" s="113" t="str">
        <f ca="1">PROPER(TRIM(_xlfn.XLOOKUP($A302,Строчный!$A:$A,Строчный!M:M,"ERR",0)))</f>
        <v>Россия</v>
      </c>
      <c r="N302" s="81" t="str">
        <f ca="1">UPPER(TRIM(_xlfn.XLOOKUP($A302,Строчный!$A:$A,Строчный!O:O,"ERR",0)))</f>
        <v/>
      </c>
      <c r="O302" s="102" t="str">
        <f ca="1">PROPER(TRIM(_xlfn.XLOOKUP($A302,Строчный!$A:$A,Строчный!P:P,"ERR",0)))</f>
        <v/>
      </c>
      <c r="P302" s="81" t="str">
        <f ca="1">PROPER(TRIM(_xlfn.XLOOKUP($A302,Строчный!$A:$A,Строчный!R:R,"ERR",0)))</f>
        <v/>
      </c>
      <c r="Q302" s="90">
        <f ca="1">VALUE(_xlfn.XLOOKUP($A302,Строчный!$A:$A,Строчный!N:N,"ERR",0))</f>
        <v>975.8</v>
      </c>
      <c r="R302" s="89" t="str">
        <f ca="1">_xlfn.XLOOKUP($G302,Фабрика!A:A,Фабрика!B:B,"ERR",0)</f>
        <v>ООО "ФРЭДРИКСОН" Россия 192029, С-Петербург, пр. Обуховской обороны, д.86, лит М</v>
      </c>
      <c r="S302" s="80" t="str">
        <f ca="1">_xlfn.XLOOKUP(RIGHT(AA302,2),Размеры!D:D,Размеры!A:A,"ERR",0)</f>
        <v>58</v>
      </c>
      <c r="T302" s="80">
        <f ca="1">VALUE(_xlfn.XLOOKUP($AA302,Строчный!$S:$S,Строчный!U:U,"ERR",0))</f>
        <v>6</v>
      </c>
      <c r="U302" s="14" t="s">
        <v>265</v>
      </c>
      <c r="V302" s="101" t="str">
        <f t="shared" ca="1" si="26"/>
        <v>Кепка FREDRIKSON арт. 3109 (темно-серый / светло-серый)</v>
      </c>
      <c r="W302" s="100" t="str">
        <f t="shared" ca="1" si="27"/>
        <v>Кепка FREDRIKSON арт. 3109 (темно-серый / светло-серый) {646/79}</v>
      </c>
      <c r="X302" s="18" t="str">
        <f t="shared" ca="1" si="28"/>
        <v>серый / светло-серый</v>
      </c>
      <c r="Y302" s="18" t="str">
        <f t="shared" ca="1" si="29"/>
        <v>серый / светло-серый</v>
      </c>
      <c r="Z302" s="117" t="s">
        <v>28</v>
      </c>
      <c r="AA302" s="73" t="str">
        <f ca="1"/>
        <v>95-005-60-58</v>
      </c>
      <c r="AB302" s="75" t="str">
        <f ca="1">VLOOKUP(C302,Группа!A:B,2,FALSE)</f>
        <v>Кепка</v>
      </c>
      <c r="AC302" s="97" t="str">
        <f ca="1">IFERROR(VLOOKUP(S302,Размеры!A:C,3,FALSE),"")</f>
        <v>58 M/L</v>
      </c>
      <c r="AD302" s="97" t="str">
        <f ca="1">VLOOKUP(I302,ЦветПолный!A:B,2,FALSE)</f>
        <v>60</v>
      </c>
      <c r="AE302" s="97" t="str">
        <f ca="1">IFERROR(VLOOKUP(S302,Размеры!A:D,4,FALSE),"")</f>
        <v>58</v>
      </c>
      <c r="AF302" s="97">
        <f ca="1">IF(LEFT(IFERROR(VLOOKUP(LOOKUP(2,1/SEARCH(B302,Товары!A:A),Товары!A:A),Товары!A:B,2,0),""),6)=MID(AA302,1,6),1,0)</f>
        <v>0</v>
      </c>
      <c r="AH302" s="97">
        <f ca="1">SUMIF(Группа!A:A,C302,Группа!C:C)</f>
        <v>1</v>
      </c>
      <c r="AI302" s="97">
        <f ca="1">SUMIF(Группа!B:B,AB302,Группа!C:C)</f>
        <v>1</v>
      </c>
      <c r="AJ302" s="97">
        <f ca="1">SUMIF(Формы!A:A,D302,Формы!B:B)</f>
        <v>1</v>
      </c>
      <c r="AK302" s="97">
        <f ca="1">SUMIF(Материал!A:A,K302,Материал!B:B)</f>
        <v>1</v>
      </c>
      <c r="AL302" s="97">
        <f ca="1">SUMIF(Размеры!A:A,S302,Размеры!E:E)</f>
        <v>1</v>
      </c>
      <c r="AM302" s="97">
        <f ca="1">SUMIF(Сезон!A:A,F302,Сезон!B:B)</f>
        <v>1</v>
      </c>
      <c r="AN302" s="97">
        <f ca="1">SUMIF(Состав!A:A,J302,Состав!B:B)</f>
        <v>0</v>
      </c>
      <c r="AO302" s="97">
        <f ca="1">VLOOKUP(I302,ЦветПолный!A:C,3,0)</f>
        <v>1</v>
      </c>
      <c r="AP302" s="97">
        <f>SUMIF(Цвет!A:A,Z302,Цвет!B:B)</f>
        <v>1</v>
      </c>
      <c r="AQ302" s="97">
        <f ca="1">_xlfn.XLOOKUP(L302,Пол!A:A,Пол!B:B,0,0)</f>
        <v>1</v>
      </c>
      <c r="AR302" s="97">
        <f ca="1">SUMIF(Бренд!A:A,G302,Бренд!B:B)</f>
        <v>1</v>
      </c>
      <c r="AS302" s="97">
        <f ca="1">SUMIF(Страна!A:A,M302,Страна!B:B)</f>
        <v>1</v>
      </c>
      <c r="AT302" s="64" t="e">
        <f ca="1">IF(VLOOKUP(W302,Товары!A:B,2,FALSE)=A302,"Есть в 1С","ERR")</f>
        <v>#N/A</v>
      </c>
      <c r="AU302" s="65" t="e">
        <f ca="1">IF(VLOOKUP(A302,Товары!B:B,1,FALSE)=A302,"Есть в 1С","ERR")</f>
        <v>#N/A</v>
      </c>
      <c r="AV302" s="96" t="e">
        <f ca="1">VLOOKUP(W302,Товары!A:B,2,FALSE)</f>
        <v>#N/A</v>
      </c>
      <c r="AW302" s="94" t="e">
        <f ca="1">VLOOKUP(W302,Товары!A:B,1,FALSE)</f>
        <v>#N/A</v>
      </c>
    </row>
    <row r="303" spans="1:49" x14ac:dyDescent="0.25">
      <c r="A303" s="110" t="str">
        <f t="shared" ca="1" si="25"/>
        <v>95-005-60</v>
      </c>
      <c r="B303" s="107" t="str">
        <f ca="1">_xlfn.LET(_xlpm.CAPS,0,_xlpm.Style,TRIM(_xlfn.XLOOKUP($A303,Строчный!$A:$A,Строчный!B:B,"ERR",0)),IF(_xlpm.CAPS=0,_xlpm.Style,LOWER(_xlpm.Style)))</f>
        <v>3109</v>
      </c>
      <c r="C303" s="81" t="str">
        <f ca="1">TRIM(PROPER(_xlfn.XLOOKUP($A303,Строчный!$A:$A,Строчный!C:C,"ERR",0)))</f>
        <v>Кепки</v>
      </c>
      <c r="D303" s="81" t="str">
        <f ca="1">_xlfn.LET(_xlpm.DATA,TRIM(_xlfn.XLOOKUP($A303,Строчный!$A:$A,Строчный!D:D,"ERR",0)),UPPER(MID(_xlpm.DATA,1,1))&amp;LOWER(MID(_xlpm.DATA,2,LEN(_xlpm.DATA)-1)))</f>
        <v>Кепка восьмиклинка</v>
      </c>
      <c r="E303" s="81" t="str">
        <f ca="1">PROPER(TRIM(_xlfn.XLOOKUP($A303,Строчный!$A:$A,Строчный!E:E,"ERR",0)))</f>
        <v>Fredrikson</v>
      </c>
      <c r="F303" s="81" t="str">
        <f ca="1">LOWER(TRIM(_xlfn.XLOOKUP($A303,Строчный!$A:$A,Строчный!F:F,"ERR",0)))</f>
        <v>всесезон</v>
      </c>
      <c r="G303" s="81" t="str">
        <f ca="1">UPPER(TRIM(_xlfn.XLOOKUP($A303,Строчный!$A:$A,Строчный!G:G,"ERR",0)))</f>
        <v>FREDRIKSON</v>
      </c>
      <c r="H303" s="81" t="str">
        <f ca="1">LOWER(TRIM(_xlfn.XLOOKUP($A303,Строчный!$A:$A,Строчный!H:H,"ERR",0)))</f>
        <v>646/79</v>
      </c>
      <c r="I303" s="81" t="str">
        <f ca="1">LOWER(TRIM(_xlfn.XLOOKUP($A303,Строчный!$A:$A,Строчный!I:I,"ERR",0)))</f>
        <v>темно-серый / светло-серый</v>
      </c>
      <c r="J303" s="81" t="str">
        <f ca="1">SUBSTITUTE(LOWER(TRIM(_xlfn.XLOOKUP($A303,Строчный!$A:$A,Строчный!J:J,"ERR",0))),"подклад","Подклад")</f>
        <v>80% шерсть - 20% полиамид / Подклад: 100% вискоза</v>
      </c>
      <c r="K303" s="81" t="str">
        <f ca="1">LOWER(TRIM(_xlfn.XLOOKUP($A303,Строчный!$A:$A,Строчный!K:K,"ERR",0)))</f>
        <v>шерстяные</v>
      </c>
      <c r="L303" s="81" t="str">
        <f ca="1">PROPER(TRIM(_xlfn.XLOOKUP($A303,Строчный!$A:$A,Строчный!L:L,"ERR",0)))</f>
        <v>Унисекс</v>
      </c>
      <c r="M303" s="113" t="str">
        <f ca="1">PROPER(TRIM(_xlfn.XLOOKUP($A303,Строчный!$A:$A,Строчный!M:M,"ERR",0)))</f>
        <v>Россия</v>
      </c>
      <c r="N303" s="81" t="str">
        <f ca="1">UPPER(TRIM(_xlfn.XLOOKUP($A303,Строчный!$A:$A,Строчный!O:O,"ERR",0)))</f>
        <v/>
      </c>
      <c r="O303" s="102" t="str">
        <f ca="1">PROPER(TRIM(_xlfn.XLOOKUP($A303,Строчный!$A:$A,Строчный!P:P,"ERR",0)))</f>
        <v/>
      </c>
      <c r="P303" s="81" t="str">
        <f ca="1">PROPER(TRIM(_xlfn.XLOOKUP($A303,Строчный!$A:$A,Строчный!R:R,"ERR",0)))</f>
        <v/>
      </c>
      <c r="Q303" s="90">
        <f ca="1">VALUE(_xlfn.XLOOKUP($A303,Строчный!$A:$A,Строчный!N:N,"ERR",0))</f>
        <v>975.8</v>
      </c>
      <c r="R303" s="89" t="str">
        <f ca="1">_xlfn.XLOOKUP($G303,Фабрика!A:A,Фабрика!B:B,"ERR",0)</f>
        <v>ООО "ФРЭДРИКСОН" Россия 192029, С-Петербург, пр. Обуховской обороны, д.86, лит М</v>
      </c>
      <c r="S303" s="80" t="str">
        <f ca="1">_xlfn.XLOOKUP(RIGHT(AA303,2),Размеры!D:D,Размеры!A:A,"ERR",0)</f>
        <v>57</v>
      </c>
      <c r="T303" s="80">
        <f ca="1">VALUE(_xlfn.XLOOKUP($AA303,Строчный!$S:$S,Строчный!U:U,"ERR",0))</f>
        <v>4</v>
      </c>
      <c r="U303" s="14" t="s">
        <v>265</v>
      </c>
      <c r="V303" s="101" t="str">
        <f t="shared" ca="1" si="26"/>
        <v>Кепка FREDRIKSON арт. 3109 (темно-серый / светло-серый)</v>
      </c>
      <c r="W303" s="100" t="str">
        <f t="shared" ca="1" si="27"/>
        <v>Кепка FREDRIKSON арт. 3109 (темно-серый / светло-серый) {646/79}</v>
      </c>
      <c r="X303" s="18" t="str">
        <f t="shared" ca="1" si="28"/>
        <v>серый / светло-серый</v>
      </c>
      <c r="Y303" s="18" t="str">
        <f t="shared" ca="1" si="29"/>
        <v>серый / светло-серый</v>
      </c>
      <c r="Z303" s="117" t="s">
        <v>28</v>
      </c>
      <c r="AA303" s="73" t="str">
        <f ca="1"/>
        <v>95-005-60-57</v>
      </c>
      <c r="AB303" s="75" t="str">
        <f ca="1">VLOOKUP(C303,Группа!A:B,2,FALSE)</f>
        <v>Кепка</v>
      </c>
      <c r="AC303" s="97" t="str">
        <f ca="1">IFERROR(VLOOKUP(S303,Размеры!A:C,3,FALSE),"")</f>
        <v>57 M</v>
      </c>
      <c r="AD303" s="97" t="str">
        <f ca="1">VLOOKUP(I303,ЦветПолный!A:B,2,FALSE)</f>
        <v>60</v>
      </c>
      <c r="AE303" s="97" t="str">
        <f ca="1">IFERROR(VLOOKUP(S303,Размеры!A:D,4,FALSE),"")</f>
        <v>57</v>
      </c>
      <c r="AF303" s="97">
        <f ca="1">IF(LEFT(IFERROR(VLOOKUP(LOOKUP(2,1/SEARCH(B303,Товары!A:A),Товары!A:A),Товары!A:B,2,0),""),6)=MID(AA303,1,6),1,0)</f>
        <v>0</v>
      </c>
      <c r="AH303" s="97">
        <f ca="1">SUMIF(Группа!A:A,C303,Группа!C:C)</f>
        <v>1</v>
      </c>
      <c r="AI303" s="97">
        <f ca="1">SUMIF(Группа!B:B,AB303,Группа!C:C)</f>
        <v>1</v>
      </c>
      <c r="AJ303" s="97">
        <f ca="1">SUMIF(Формы!A:A,D303,Формы!B:B)</f>
        <v>1</v>
      </c>
      <c r="AK303" s="97">
        <f ca="1">SUMIF(Материал!A:A,K303,Материал!B:B)</f>
        <v>1</v>
      </c>
      <c r="AL303" s="97">
        <f ca="1">SUMIF(Размеры!A:A,S303,Размеры!E:E)</f>
        <v>1</v>
      </c>
      <c r="AM303" s="97">
        <f ca="1">SUMIF(Сезон!A:A,F303,Сезон!B:B)</f>
        <v>1</v>
      </c>
      <c r="AN303" s="97">
        <f ca="1">SUMIF(Состав!A:A,J303,Состав!B:B)</f>
        <v>0</v>
      </c>
      <c r="AO303" s="97">
        <f ca="1">VLOOKUP(I303,ЦветПолный!A:C,3,0)</f>
        <v>1</v>
      </c>
      <c r="AP303" s="97">
        <f>SUMIF(Цвет!A:A,Z303,Цвет!B:B)</f>
        <v>1</v>
      </c>
      <c r="AQ303" s="97">
        <f ca="1">_xlfn.XLOOKUP(L303,Пол!A:A,Пол!B:B,0,0)</f>
        <v>1</v>
      </c>
      <c r="AR303" s="97">
        <f ca="1">SUMIF(Бренд!A:A,G303,Бренд!B:B)</f>
        <v>1</v>
      </c>
      <c r="AS303" s="97">
        <f ca="1">SUMIF(Страна!A:A,M303,Страна!B:B)</f>
        <v>1</v>
      </c>
      <c r="AT303" s="64" t="e">
        <f ca="1">IF(VLOOKUP(W303,Товары!A:B,2,FALSE)=A303,"Есть в 1С","ERR")</f>
        <v>#N/A</v>
      </c>
      <c r="AU303" s="65" t="e">
        <f ca="1">IF(VLOOKUP(A303,Товары!B:B,1,FALSE)=A303,"Есть в 1С","ERR")</f>
        <v>#N/A</v>
      </c>
      <c r="AV303" s="96" t="e">
        <f ca="1">VLOOKUP(W303,Товары!A:B,2,FALSE)</f>
        <v>#N/A</v>
      </c>
      <c r="AW303" s="94" t="e">
        <f ca="1">VLOOKUP(W303,Товары!A:B,1,FALSE)</f>
        <v>#N/A</v>
      </c>
    </row>
    <row r="304" spans="1:49" x14ac:dyDescent="0.25">
      <c r="A304" s="110" t="str">
        <f t="shared" ca="1" si="25"/>
        <v>95-005-60</v>
      </c>
      <c r="B304" s="107" t="str">
        <f ca="1">_xlfn.LET(_xlpm.CAPS,0,_xlpm.Style,TRIM(_xlfn.XLOOKUP($A304,Строчный!$A:$A,Строчный!B:B,"ERR",0)),IF(_xlpm.CAPS=0,_xlpm.Style,LOWER(_xlpm.Style)))</f>
        <v>3109</v>
      </c>
      <c r="C304" s="81" t="str">
        <f ca="1">TRIM(PROPER(_xlfn.XLOOKUP($A304,Строчный!$A:$A,Строчный!C:C,"ERR",0)))</f>
        <v>Кепки</v>
      </c>
      <c r="D304" s="81" t="str">
        <f ca="1">_xlfn.LET(_xlpm.DATA,TRIM(_xlfn.XLOOKUP($A304,Строчный!$A:$A,Строчный!D:D,"ERR",0)),UPPER(MID(_xlpm.DATA,1,1))&amp;LOWER(MID(_xlpm.DATA,2,LEN(_xlpm.DATA)-1)))</f>
        <v>Кепка восьмиклинка</v>
      </c>
      <c r="E304" s="81" t="str">
        <f ca="1">PROPER(TRIM(_xlfn.XLOOKUP($A304,Строчный!$A:$A,Строчный!E:E,"ERR",0)))</f>
        <v>Fredrikson</v>
      </c>
      <c r="F304" s="81" t="str">
        <f ca="1">LOWER(TRIM(_xlfn.XLOOKUP($A304,Строчный!$A:$A,Строчный!F:F,"ERR",0)))</f>
        <v>всесезон</v>
      </c>
      <c r="G304" s="81" t="str">
        <f ca="1">UPPER(TRIM(_xlfn.XLOOKUP($A304,Строчный!$A:$A,Строчный!G:G,"ERR",0)))</f>
        <v>FREDRIKSON</v>
      </c>
      <c r="H304" s="81" t="str">
        <f ca="1">LOWER(TRIM(_xlfn.XLOOKUP($A304,Строчный!$A:$A,Строчный!H:H,"ERR",0)))</f>
        <v>646/79</v>
      </c>
      <c r="I304" s="81" t="str">
        <f ca="1">LOWER(TRIM(_xlfn.XLOOKUP($A304,Строчный!$A:$A,Строчный!I:I,"ERR",0)))</f>
        <v>темно-серый / светло-серый</v>
      </c>
      <c r="J304" s="81" t="str">
        <f ca="1">SUBSTITUTE(LOWER(TRIM(_xlfn.XLOOKUP($A304,Строчный!$A:$A,Строчный!J:J,"ERR",0))),"подклад","Подклад")</f>
        <v>80% шерсть - 20% полиамид / Подклад: 100% вискоза</v>
      </c>
      <c r="K304" s="81" t="str">
        <f ca="1">LOWER(TRIM(_xlfn.XLOOKUP($A304,Строчный!$A:$A,Строчный!K:K,"ERR",0)))</f>
        <v>шерстяные</v>
      </c>
      <c r="L304" s="81" t="str">
        <f ca="1">PROPER(TRIM(_xlfn.XLOOKUP($A304,Строчный!$A:$A,Строчный!L:L,"ERR",0)))</f>
        <v>Унисекс</v>
      </c>
      <c r="M304" s="113" t="str">
        <f ca="1">PROPER(TRIM(_xlfn.XLOOKUP($A304,Строчный!$A:$A,Строчный!M:M,"ERR",0)))</f>
        <v>Россия</v>
      </c>
      <c r="N304" s="81" t="str">
        <f ca="1">UPPER(TRIM(_xlfn.XLOOKUP($A304,Строчный!$A:$A,Строчный!O:O,"ERR",0)))</f>
        <v/>
      </c>
      <c r="O304" s="102" t="str">
        <f ca="1">PROPER(TRIM(_xlfn.XLOOKUP($A304,Строчный!$A:$A,Строчный!P:P,"ERR",0)))</f>
        <v/>
      </c>
      <c r="P304" s="81" t="str">
        <f ca="1">PROPER(TRIM(_xlfn.XLOOKUP($A304,Строчный!$A:$A,Строчный!R:R,"ERR",0)))</f>
        <v/>
      </c>
      <c r="Q304" s="90">
        <f ca="1">VALUE(_xlfn.XLOOKUP($A304,Строчный!$A:$A,Строчный!N:N,"ERR",0))</f>
        <v>975.8</v>
      </c>
      <c r="R304" s="89" t="str">
        <f ca="1">_xlfn.XLOOKUP($G304,Фабрика!A:A,Фабрика!B:B,"ERR",0)</f>
        <v>ООО "ФРЭДРИКСОН" Россия 192029, С-Петербург, пр. Обуховской обороны, д.86, лит М</v>
      </c>
      <c r="S304" s="80" t="str">
        <f ca="1">_xlfn.XLOOKUP(RIGHT(AA304,2),Размеры!D:D,Размеры!A:A,"ERR",0)</f>
        <v>56</v>
      </c>
      <c r="T304" s="80">
        <f ca="1">VALUE(_xlfn.XLOOKUP($AA304,Строчный!$S:$S,Строчный!U:U,"ERR",0))</f>
        <v>2</v>
      </c>
      <c r="U304" s="14" t="s">
        <v>265</v>
      </c>
      <c r="V304" s="101" t="str">
        <f t="shared" ca="1" si="26"/>
        <v>Кепка FREDRIKSON арт. 3109 (темно-серый / светло-серый)</v>
      </c>
      <c r="W304" s="100" t="str">
        <f t="shared" ca="1" si="27"/>
        <v>Кепка FREDRIKSON арт. 3109 (темно-серый / светло-серый) {646/79}</v>
      </c>
      <c r="X304" s="18" t="str">
        <f t="shared" ca="1" si="28"/>
        <v>серый / светло-серый</v>
      </c>
      <c r="Y304" s="18" t="str">
        <f t="shared" ca="1" si="29"/>
        <v>серый / светло-серый</v>
      </c>
      <c r="Z304" s="117" t="s">
        <v>28</v>
      </c>
      <c r="AA304" s="73" t="str">
        <f ca="1"/>
        <v>95-005-60-56</v>
      </c>
      <c r="AB304" s="75" t="str">
        <f ca="1">VLOOKUP(C304,Группа!A:B,2,FALSE)</f>
        <v>Кепка</v>
      </c>
      <c r="AC304" s="97" t="str">
        <f ca="1">IFERROR(VLOOKUP(S304,Размеры!A:C,3,FALSE),"")</f>
        <v>56 S/M</v>
      </c>
      <c r="AD304" s="97" t="str">
        <f ca="1">VLOOKUP(I304,ЦветПолный!A:B,2,FALSE)</f>
        <v>60</v>
      </c>
      <c r="AE304" s="97" t="str">
        <f ca="1">IFERROR(VLOOKUP(S304,Размеры!A:D,4,FALSE),"")</f>
        <v>56</v>
      </c>
      <c r="AF304" s="97">
        <f ca="1">IF(LEFT(IFERROR(VLOOKUP(LOOKUP(2,1/SEARCH(B304,Товары!A:A),Товары!A:A),Товары!A:B,2,0),""),6)=MID(AA304,1,6),1,0)</f>
        <v>0</v>
      </c>
      <c r="AH304" s="97">
        <f ca="1">SUMIF(Группа!A:A,C304,Группа!C:C)</f>
        <v>1</v>
      </c>
      <c r="AI304" s="97">
        <f ca="1">SUMIF(Группа!B:B,AB304,Группа!C:C)</f>
        <v>1</v>
      </c>
      <c r="AJ304" s="97">
        <f ca="1">SUMIF(Формы!A:A,D304,Формы!B:B)</f>
        <v>1</v>
      </c>
      <c r="AK304" s="97">
        <f ca="1">SUMIF(Материал!A:A,K304,Материал!B:B)</f>
        <v>1</v>
      </c>
      <c r="AL304" s="97">
        <f ca="1">SUMIF(Размеры!A:A,S304,Размеры!E:E)</f>
        <v>1</v>
      </c>
      <c r="AM304" s="97">
        <f ca="1">SUMIF(Сезон!A:A,F304,Сезон!B:B)</f>
        <v>1</v>
      </c>
      <c r="AN304" s="97">
        <f ca="1">SUMIF(Состав!A:A,J304,Состав!B:B)</f>
        <v>0</v>
      </c>
      <c r="AO304" s="97">
        <f ca="1">VLOOKUP(I304,ЦветПолный!A:C,3,0)</f>
        <v>1</v>
      </c>
      <c r="AP304" s="97">
        <f>SUMIF(Цвет!A:A,Z304,Цвет!B:B)</f>
        <v>1</v>
      </c>
      <c r="AQ304" s="97">
        <f ca="1">_xlfn.XLOOKUP(L304,Пол!A:A,Пол!B:B,0,0)</f>
        <v>1</v>
      </c>
      <c r="AR304" s="97">
        <f ca="1">SUMIF(Бренд!A:A,G304,Бренд!B:B)</f>
        <v>1</v>
      </c>
      <c r="AS304" s="97">
        <f ca="1">SUMIF(Страна!A:A,M304,Страна!B:B)</f>
        <v>1</v>
      </c>
      <c r="AT304" s="64" t="e">
        <f ca="1">IF(VLOOKUP(W304,Товары!A:B,2,FALSE)=A304,"Есть в 1С","ERR")</f>
        <v>#N/A</v>
      </c>
      <c r="AU304" s="65" t="e">
        <f ca="1">IF(VLOOKUP(A304,Товары!B:B,1,FALSE)=A304,"Есть в 1С","ERR")</f>
        <v>#N/A</v>
      </c>
      <c r="AV304" s="96" t="e">
        <f ca="1">VLOOKUP(W304,Товары!A:B,2,FALSE)</f>
        <v>#N/A</v>
      </c>
      <c r="AW304" s="94" t="e">
        <f ca="1">VLOOKUP(W304,Товары!A:B,1,FALSE)</f>
        <v>#N/A</v>
      </c>
    </row>
    <row r="305" spans="1:49" x14ac:dyDescent="0.25">
      <c r="A305" s="110" t="str">
        <f t="shared" ca="1" si="25"/>
        <v>95-004-89</v>
      </c>
      <c r="B305" s="107" t="str">
        <f ca="1">_xlfn.LET(_xlpm.CAPS,0,_xlpm.Style,TRIM(_xlfn.XLOOKUP($A305,Строчный!$A:$A,Строчный!B:B,"ERR",0)),IF(_xlpm.CAPS=0,_xlpm.Style,LOWER(_xlpm.Style)))</f>
        <v>3101</v>
      </c>
      <c r="C305" s="81" t="str">
        <f ca="1">TRIM(PROPER(_xlfn.XLOOKUP($A305,Строчный!$A:$A,Строчный!C:C,"ERR",0)))</f>
        <v>Кепки</v>
      </c>
      <c r="D305" s="81" t="str">
        <f ca="1">_xlfn.LET(_xlpm.DATA,TRIM(_xlfn.XLOOKUP($A305,Строчный!$A:$A,Строчный!D:D,"ERR",0)),UPPER(MID(_xlpm.DATA,1,1))&amp;LOWER(MID(_xlpm.DATA,2,LEN(_xlpm.DATA)-1)))</f>
        <v>Кепка восьмиклинка</v>
      </c>
      <c r="E305" s="81" t="str">
        <f ca="1">PROPER(TRIM(_xlfn.XLOOKUP($A305,Строчный!$A:$A,Строчный!E:E,"ERR",0)))</f>
        <v>Fredrikson</v>
      </c>
      <c r="F305" s="81" t="str">
        <f ca="1">LOWER(TRIM(_xlfn.XLOOKUP($A305,Строчный!$A:$A,Строчный!F:F,"ERR",0)))</f>
        <v>всесезон</v>
      </c>
      <c r="G305" s="81" t="str">
        <f ca="1">UPPER(TRIM(_xlfn.XLOOKUP($A305,Строчный!$A:$A,Строчный!G:G,"ERR",0)))</f>
        <v>FREDRIKSON</v>
      </c>
      <c r="H305" s="81" t="str">
        <f ca="1">LOWER(TRIM(_xlfn.XLOOKUP($A305,Строчный!$A:$A,Строчный!H:H,"ERR",0)))</f>
        <v>699/79</v>
      </c>
      <c r="I305" s="81" t="str">
        <f ca="1">LOWER(TRIM(_xlfn.XLOOKUP($A305,Строчный!$A:$A,Строчный!I:I,"ERR",0)))</f>
        <v>темно-серый / серый</v>
      </c>
      <c r="J305" s="81" t="str">
        <f ca="1">SUBSTITUTE(LOWER(TRIM(_xlfn.XLOOKUP($A305,Строчный!$A:$A,Строчный!J:J,"ERR",0))),"подклад","Подклад")</f>
        <v>80% шерсть - 20% полиамид / Подклад: 100% вискоза</v>
      </c>
      <c r="K305" s="81" t="str">
        <f ca="1">LOWER(TRIM(_xlfn.XLOOKUP($A305,Строчный!$A:$A,Строчный!K:K,"ERR",0)))</f>
        <v>шерстяные</v>
      </c>
      <c r="L305" s="81" t="str">
        <f ca="1">PROPER(TRIM(_xlfn.XLOOKUP($A305,Строчный!$A:$A,Строчный!L:L,"ERR",0)))</f>
        <v>Унисекс</v>
      </c>
      <c r="M305" s="113" t="str">
        <f ca="1">PROPER(TRIM(_xlfn.XLOOKUP($A305,Строчный!$A:$A,Строчный!M:M,"ERR",0)))</f>
        <v>Россия</v>
      </c>
      <c r="N305" s="81" t="str">
        <f ca="1">UPPER(TRIM(_xlfn.XLOOKUP($A305,Строчный!$A:$A,Строчный!O:O,"ERR",0)))</f>
        <v/>
      </c>
      <c r="O305" s="102" t="str">
        <f ca="1">PROPER(TRIM(_xlfn.XLOOKUP($A305,Строчный!$A:$A,Строчный!P:P,"ERR",0)))</f>
        <v/>
      </c>
      <c r="P305" s="81" t="str">
        <f ca="1">PROPER(TRIM(_xlfn.XLOOKUP($A305,Строчный!$A:$A,Строчный!R:R,"ERR",0)))</f>
        <v/>
      </c>
      <c r="Q305" s="90">
        <f ca="1">VALUE(_xlfn.XLOOKUP($A305,Строчный!$A:$A,Строчный!N:N,"ERR",0))</f>
        <v>975.8</v>
      </c>
      <c r="R305" s="89" t="str">
        <f ca="1">_xlfn.XLOOKUP($G305,Фабрика!A:A,Фабрика!B:B,"ERR",0)</f>
        <v>ООО "ФРЭДРИКСОН" Россия 192029, С-Петербург, пр. Обуховской обороны, д.86, лит М</v>
      </c>
      <c r="S305" s="80" t="str">
        <f ca="1">_xlfn.XLOOKUP(RIGHT(AA305,2),Размеры!D:D,Размеры!A:A,"ERR",0)</f>
        <v>62</v>
      </c>
      <c r="T305" s="80">
        <f ca="1">VALUE(_xlfn.XLOOKUP($AA305,Строчный!$S:$S,Строчный!U:U,"ERR",0))</f>
        <v>1</v>
      </c>
      <c r="U305" s="14" t="s">
        <v>265</v>
      </c>
      <c r="V305" s="101" t="str">
        <f t="shared" ca="1" si="26"/>
        <v>Кепка FREDRIKSON арт. 3101 (темно-серый / серый)</v>
      </c>
      <c r="W305" s="100" t="str">
        <f t="shared" ca="1" si="27"/>
        <v>Кепка FREDRIKSON арт. 3101 (темно-серый / серый) {699/79}</v>
      </c>
      <c r="X305" s="18" t="str">
        <f t="shared" ca="1" si="28"/>
        <v>серый / серый</v>
      </c>
      <c r="Y305" s="18" t="str">
        <f t="shared" ca="1" si="29"/>
        <v>серый / серый</v>
      </c>
      <c r="Z305" s="117" t="s">
        <v>28</v>
      </c>
      <c r="AA305" s="73" t="str">
        <f ca="1"/>
        <v>95-004-89-62</v>
      </c>
      <c r="AB305" s="75" t="str">
        <f ca="1">VLOOKUP(C305,Группа!A:B,2,FALSE)</f>
        <v>Кепка</v>
      </c>
      <c r="AC305" s="97" t="str">
        <f ca="1">IFERROR(VLOOKUP(S305,Размеры!A:C,3,FALSE),"")</f>
        <v>62 XL/XXL</v>
      </c>
      <c r="AD305" s="97" t="str">
        <f ca="1">VLOOKUP(I305,ЦветПолный!A:B,2,FALSE)</f>
        <v>89</v>
      </c>
      <c r="AE305" s="97" t="str">
        <f ca="1">IFERROR(VLOOKUP(S305,Размеры!A:D,4,FALSE),"")</f>
        <v>62</v>
      </c>
      <c r="AF305" s="97">
        <f ca="1">IF(LEFT(IFERROR(VLOOKUP(LOOKUP(2,1/SEARCH(B305,Товары!A:A),Товары!A:A),Товары!A:B,2,0),""),6)=MID(AA305,1,6),1,0)</f>
        <v>0</v>
      </c>
      <c r="AH305" s="97">
        <f ca="1">SUMIF(Группа!A:A,C305,Группа!C:C)</f>
        <v>1</v>
      </c>
      <c r="AI305" s="97">
        <f ca="1">SUMIF(Группа!B:B,AB305,Группа!C:C)</f>
        <v>1</v>
      </c>
      <c r="AJ305" s="97">
        <f ca="1">SUMIF(Формы!A:A,D305,Формы!B:B)</f>
        <v>1</v>
      </c>
      <c r="AK305" s="97">
        <f ca="1">SUMIF(Материал!A:A,K305,Материал!B:B)</f>
        <v>1</v>
      </c>
      <c r="AL305" s="97">
        <f ca="1">SUMIF(Размеры!A:A,S305,Размеры!E:E)</f>
        <v>1</v>
      </c>
      <c r="AM305" s="97">
        <f ca="1">SUMIF(Сезон!A:A,F305,Сезон!B:B)</f>
        <v>1</v>
      </c>
      <c r="AN305" s="97">
        <f ca="1">SUMIF(Состав!A:A,J305,Состав!B:B)</f>
        <v>0</v>
      </c>
      <c r="AO305" s="97">
        <f ca="1">VLOOKUP(I305,ЦветПолный!A:C,3,0)</f>
        <v>1</v>
      </c>
      <c r="AP305" s="97">
        <f>SUMIF(Цвет!A:A,Z305,Цвет!B:B)</f>
        <v>1</v>
      </c>
      <c r="AQ305" s="97">
        <f ca="1">_xlfn.XLOOKUP(L305,Пол!A:A,Пол!B:B,0,0)</f>
        <v>1</v>
      </c>
      <c r="AR305" s="97">
        <f ca="1">SUMIF(Бренд!A:A,G305,Бренд!B:B)</f>
        <v>1</v>
      </c>
      <c r="AS305" s="97">
        <f ca="1">SUMIF(Страна!A:A,M305,Страна!B:B)</f>
        <v>1</v>
      </c>
      <c r="AT305" s="64" t="e">
        <f ca="1">IF(VLOOKUP(W305,Товары!A:B,2,FALSE)=A305,"Есть в 1С","ERR")</f>
        <v>#N/A</v>
      </c>
      <c r="AU305" s="65" t="e">
        <f ca="1">IF(VLOOKUP(A305,Товары!B:B,1,FALSE)=A305,"Есть в 1С","ERR")</f>
        <v>#N/A</v>
      </c>
      <c r="AV305" s="96" t="e">
        <f ca="1">VLOOKUP(W305,Товары!A:B,2,FALSE)</f>
        <v>#N/A</v>
      </c>
      <c r="AW305" s="94" t="e">
        <f ca="1">VLOOKUP(W305,Товары!A:B,1,FALSE)</f>
        <v>#N/A</v>
      </c>
    </row>
    <row r="306" spans="1:49" x14ac:dyDescent="0.25">
      <c r="A306" s="110" t="str">
        <f t="shared" ca="1" si="25"/>
        <v>95-004-89</v>
      </c>
      <c r="B306" s="107" t="str">
        <f ca="1">_xlfn.LET(_xlpm.CAPS,0,_xlpm.Style,TRIM(_xlfn.XLOOKUP($A306,Строчный!$A:$A,Строчный!B:B,"ERR",0)),IF(_xlpm.CAPS=0,_xlpm.Style,LOWER(_xlpm.Style)))</f>
        <v>3101</v>
      </c>
      <c r="C306" s="81" t="str">
        <f ca="1">TRIM(PROPER(_xlfn.XLOOKUP($A306,Строчный!$A:$A,Строчный!C:C,"ERR",0)))</f>
        <v>Кепки</v>
      </c>
      <c r="D306" s="81" t="str">
        <f ca="1">_xlfn.LET(_xlpm.DATA,TRIM(_xlfn.XLOOKUP($A306,Строчный!$A:$A,Строчный!D:D,"ERR",0)),UPPER(MID(_xlpm.DATA,1,1))&amp;LOWER(MID(_xlpm.DATA,2,LEN(_xlpm.DATA)-1)))</f>
        <v>Кепка восьмиклинка</v>
      </c>
      <c r="E306" s="81" t="str">
        <f ca="1">PROPER(TRIM(_xlfn.XLOOKUP($A306,Строчный!$A:$A,Строчный!E:E,"ERR",0)))</f>
        <v>Fredrikson</v>
      </c>
      <c r="F306" s="81" t="str">
        <f ca="1">LOWER(TRIM(_xlfn.XLOOKUP($A306,Строчный!$A:$A,Строчный!F:F,"ERR",0)))</f>
        <v>всесезон</v>
      </c>
      <c r="G306" s="81" t="str">
        <f ca="1">UPPER(TRIM(_xlfn.XLOOKUP($A306,Строчный!$A:$A,Строчный!G:G,"ERR",0)))</f>
        <v>FREDRIKSON</v>
      </c>
      <c r="H306" s="81" t="str">
        <f ca="1">LOWER(TRIM(_xlfn.XLOOKUP($A306,Строчный!$A:$A,Строчный!H:H,"ERR",0)))</f>
        <v>699/79</v>
      </c>
      <c r="I306" s="81" t="str">
        <f ca="1">LOWER(TRIM(_xlfn.XLOOKUP($A306,Строчный!$A:$A,Строчный!I:I,"ERR",0)))</f>
        <v>темно-серый / серый</v>
      </c>
      <c r="J306" s="81" t="str">
        <f ca="1">SUBSTITUTE(LOWER(TRIM(_xlfn.XLOOKUP($A306,Строчный!$A:$A,Строчный!J:J,"ERR",0))),"подклад","Подклад")</f>
        <v>80% шерсть - 20% полиамид / Подклад: 100% вискоза</v>
      </c>
      <c r="K306" s="81" t="str">
        <f ca="1">LOWER(TRIM(_xlfn.XLOOKUP($A306,Строчный!$A:$A,Строчный!K:K,"ERR",0)))</f>
        <v>шерстяные</v>
      </c>
      <c r="L306" s="81" t="str">
        <f ca="1">PROPER(TRIM(_xlfn.XLOOKUP($A306,Строчный!$A:$A,Строчный!L:L,"ERR",0)))</f>
        <v>Унисекс</v>
      </c>
      <c r="M306" s="113" t="str">
        <f ca="1">PROPER(TRIM(_xlfn.XLOOKUP($A306,Строчный!$A:$A,Строчный!M:M,"ERR",0)))</f>
        <v>Россия</v>
      </c>
      <c r="N306" s="81" t="str">
        <f ca="1">UPPER(TRIM(_xlfn.XLOOKUP($A306,Строчный!$A:$A,Строчный!O:O,"ERR",0)))</f>
        <v/>
      </c>
      <c r="O306" s="102" t="str">
        <f ca="1">PROPER(TRIM(_xlfn.XLOOKUP($A306,Строчный!$A:$A,Строчный!P:P,"ERR",0)))</f>
        <v/>
      </c>
      <c r="P306" s="81" t="str">
        <f ca="1">PROPER(TRIM(_xlfn.XLOOKUP($A306,Строчный!$A:$A,Строчный!R:R,"ERR",0)))</f>
        <v/>
      </c>
      <c r="Q306" s="90">
        <f ca="1">VALUE(_xlfn.XLOOKUP($A306,Строчный!$A:$A,Строчный!N:N,"ERR",0))</f>
        <v>975.8</v>
      </c>
      <c r="R306" s="89" t="str">
        <f ca="1">_xlfn.XLOOKUP($G306,Фабрика!A:A,Фабрика!B:B,"ERR",0)</f>
        <v>ООО "ФРЭДРИКСОН" Россия 192029, С-Петербург, пр. Обуховской обороны, д.86, лит М</v>
      </c>
      <c r="S306" s="80" t="str">
        <f ca="1">_xlfn.XLOOKUP(RIGHT(AA306,2),Размеры!D:D,Размеры!A:A,"ERR",0)</f>
        <v>61</v>
      </c>
      <c r="T306" s="80">
        <f ca="1">VALUE(_xlfn.XLOOKUP($AA306,Строчный!$S:$S,Строчный!U:U,"ERR",0))</f>
        <v>4</v>
      </c>
      <c r="U306" s="14" t="s">
        <v>265</v>
      </c>
      <c r="V306" s="101" t="str">
        <f t="shared" ca="1" si="26"/>
        <v>Кепка FREDRIKSON арт. 3101 (темно-серый / серый)</v>
      </c>
      <c r="W306" s="100" t="str">
        <f t="shared" ca="1" si="27"/>
        <v>Кепка FREDRIKSON арт. 3101 (темно-серый / серый) {699/79}</v>
      </c>
      <c r="X306" s="18" t="str">
        <f t="shared" ca="1" si="28"/>
        <v>серый / серый</v>
      </c>
      <c r="Y306" s="18" t="str">
        <f t="shared" ca="1" si="29"/>
        <v>серый / серый</v>
      </c>
      <c r="Z306" s="117" t="s">
        <v>28</v>
      </c>
      <c r="AA306" s="73" t="str">
        <f ca="1"/>
        <v>95-004-89-61</v>
      </c>
      <c r="AB306" s="75" t="str">
        <f ca="1">VLOOKUP(C306,Группа!A:B,2,FALSE)</f>
        <v>Кепка</v>
      </c>
      <c r="AC306" s="97" t="str">
        <f ca="1">IFERROR(VLOOKUP(S306,Размеры!A:C,3,FALSE),"")</f>
        <v>61 XL</v>
      </c>
      <c r="AD306" s="97" t="str">
        <f ca="1">VLOOKUP(I306,ЦветПолный!A:B,2,FALSE)</f>
        <v>89</v>
      </c>
      <c r="AE306" s="97" t="str">
        <f ca="1">IFERROR(VLOOKUP(S306,Размеры!A:D,4,FALSE),"")</f>
        <v>61</v>
      </c>
      <c r="AF306" s="97">
        <f ca="1">IF(LEFT(IFERROR(VLOOKUP(LOOKUP(2,1/SEARCH(B306,Товары!A:A),Товары!A:A),Товары!A:B,2,0),""),6)=MID(AA306,1,6),1,0)</f>
        <v>0</v>
      </c>
      <c r="AH306" s="97">
        <f ca="1">SUMIF(Группа!A:A,C306,Группа!C:C)</f>
        <v>1</v>
      </c>
      <c r="AI306" s="97">
        <f ca="1">SUMIF(Группа!B:B,AB306,Группа!C:C)</f>
        <v>1</v>
      </c>
      <c r="AJ306" s="97">
        <f ca="1">SUMIF(Формы!A:A,D306,Формы!B:B)</f>
        <v>1</v>
      </c>
      <c r="AK306" s="97">
        <f ca="1">SUMIF(Материал!A:A,K306,Материал!B:B)</f>
        <v>1</v>
      </c>
      <c r="AL306" s="97">
        <f ca="1">SUMIF(Размеры!A:A,S306,Размеры!E:E)</f>
        <v>1</v>
      </c>
      <c r="AM306" s="97">
        <f ca="1">SUMIF(Сезон!A:A,F306,Сезон!B:B)</f>
        <v>1</v>
      </c>
      <c r="AN306" s="97">
        <f ca="1">SUMIF(Состав!A:A,J306,Состав!B:B)</f>
        <v>0</v>
      </c>
      <c r="AO306" s="97">
        <f ca="1">VLOOKUP(I306,ЦветПолный!A:C,3,0)</f>
        <v>1</v>
      </c>
      <c r="AP306" s="97">
        <f>SUMIF(Цвет!A:A,Z306,Цвет!B:B)</f>
        <v>1</v>
      </c>
      <c r="AQ306" s="97">
        <f ca="1">_xlfn.XLOOKUP(L306,Пол!A:A,Пол!B:B,0,0)</f>
        <v>1</v>
      </c>
      <c r="AR306" s="97">
        <f ca="1">SUMIF(Бренд!A:A,G306,Бренд!B:B)</f>
        <v>1</v>
      </c>
      <c r="AS306" s="97">
        <f ca="1">SUMIF(Страна!A:A,M306,Страна!B:B)</f>
        <v>1</v>
      </c>
      <c r="AT306" s="64" t="e">
        <f ca="1">IF(VLOOKUP(W306,Товары!A:B,2,FALSE)=A306,"Есть в 1С","ERR")</f>
        <v>#N/A</v>
      </c>
      <c r="AU306" s="65" t="e">
        <f ca="1">IF(VLOOKUP(A306,Товары!B:B,1,FALSE)=A306,"Есть в 1С","ERR")</f>
        <v>#N/A</v>
      </c>
      <c r="AV306" s="96" t="e">
        <f ca="1">VLOOKUP(W306,Товары!A:B,2,FALSE)</f>
        <v>#N/A</v>
      </c>
      <c r="AW306" s="94" t="e">
        <f ca="1">VLOOKUP(W306,Товары!A:B,1,FALSE)</f>
        <v>#N/A</v>
      </c>
    </row>
    <row r="307" spans="1:49" x14ac:dyDescent="0.25">
      <c r="A307" s="110" t="str">
        <f t="shared" ca="1" si="25"/>
        <v>95-004-89</v>
      </c>
      <c r="B307" s="107" t="str">
        <f ca="1">_xlfn.LET(_xlpm.CAPS,0,_xlpm.Style,TRIM(_xlfn.XLOOKUP($A307,Строчный!$A:$A,Строчный!B:B,"ERR",0)),IF(_xlpm.CAPS=0,_xlpm.Style,LOWER(_xlpm.Style)))</f>
        <v>3101</v>
      </c>
      <c r="C307" s="81" t="str">
        <f ca="1">TRIM(PROPER(_xlfn.XLOOKUP($A307,Строчный!$A:$A,Строчный!C:C,"ERR",0)))</f>
        <v>Кепки</v>
      </c>
      <c r="D307" s="81" t="str">
        <f ca="1">_xlfn.LET(_xlpm.DATA,TRIM(_xlfn.XLOOKUP($A307,Строчный!$A:$A,Строчный!D:D,"ERR",0)),UPPER(MID(_xlpm.DATA,1,1))&amp;LOWER(MID(_xlpm.DATA,2,LEN(_xlpm.DATA)-1)))</f>
        <v>Кепка восьмиклинка</v>
      </c>
      <c r="E307" s="81" t="str">
        <f ca="1">PROPER(TRIM(_xlfn.XLOOKUP($A307,Строчный!$A:$A,Строчный!E:E,"ERR",0)))</f>
        <v>Fredrikson</v>
      </c>
      <c r="F307" s="81" t="str">
        <f ca="1">LOWER(TRIM(_xlfn.XLOOKUP($A307,Строчный!$A:$A,Строчный!F:F,"ERR",0)))</f>
        <v>всесезон</v>
      </c>
      <c r="G307" s="81" t="str">
        <f ca="1">UPPER(TRIM(_xlfn.XLOOKUP($A307,Строчный!$A:$A,Строчный!G:G,"ERR",0)))</f>
        <v>FREDRIKSON</v>
      </c>
      <c r="H307" s="81" t="str">
        <f ca="1">LOWER(TRIM(_xlfn.XLOOKUP($A307,Строчный!$A:$A,Строчный!H:H,"ERR",0)))</f>
        <v>699/79</v>
      </c>
      <c r="I307" s="81" t="str">
        <f ca="1">LOWER(TRIM(_xlfn.XLOOKUP($A307,Строчный!$A:$A,Строчный!I:I,"ERR",0)))</f>
        <v>темно-серый / серый</v>
      </c>
      <c r="J307" s="81" t="str">
        <f ca="1">SUBSTITUTE(LOWER(TRIM(_xlfn.XLOOKUP($A307,Строчный!$A:$A,Строчный!J:J,"ERR",0))),"подклад","Подклад")</f>
        <v>80% шерсть - 20% полиамид / Подклад: 100% вискоза</v>
      </c>
      <c r="K307" s="81" t="str">
        <f ca="1">LOWER(TRIM(_xlfn.XLOOKUP($A307,Строчный!$A:$A,Строчный!K:K,"ERR",0)))</f>
        <v>шерстяные</v>
      </c>
      <c r="L307" s="81" t="str">
        <f ca="1">PROPER(TRIM(_xlfn.XLOOKUP($A307,Строчный!$A:$A,Строчный!L:L,"ERR",0)))</f>
        <v>Унисекс</v>
      </c>
      <c r="M307" s="113" t="str">
        <f ca="1">PROPER(TRIM(_xlfn.XLOOKUP($A307,Строчный!$A:$A,Строчный!M:M,"ERR",0)))</f>
        <v>Россия</v>
      </c>
      <c r="N307" s="81" t="str">
        <f ca="1">UPPER(TRIM(_xlfn.XLOOKUP($A307,Строчный!$A:$A,Строчный!O:O,"ERR",0)))</f>
        <v/>
      </c>
      <c r="O307" s="102" t="str">
        <f ca="1">PROPER(TRIM(_xlfn.XLOOKUP($A307,Строчный!$A:$A,Строчный!P:P,"ERR",0)))</f>
        <v/>
      </c>
      <c r="P307" s="81" t="str">
        <f ca="1">PROPER(TRIM(_xlfn.XLOOKUP($A307,Строчный!$A:$A,Строчный!R:R,"ERR",0)))</f>
        <v/>
      </c>
      <c r="Q307" s="90">
        <f ca="1">VALUE(_xlfn.XLOOKUP($A307,Строчный!$A:$A,Строчный!N:N,"ERR",0))</f>
        <v>975.8</v>
      </c>
      <c r="R307" s="89" t="str">
        <f ca="1">_xlfn.XLOOKUP($G307,Фабрика!A:A,Фабрика!B:B,"ERR",0)</f>
        <v>ООО "ФРЭДРИКСОН" Россия 192029, С-Петербург, пр. Обуховской обороны, д.86, лит М</v>
      </c>
      <c r="S307" s="80" t="str">
        <f ca="1">_xlfn.XLOOKUP(RIGHT(AA307,2),Размеры!D:D,Размеры!A:A,"ERR",0)</f>
        <v>60</v>
      </c>
      <c r="T307" s="80">
        <f ca="1">VALUE(_xlfn.XLOOKUP($AA307,Строчный!$S:$S,Строчный!U:U,"ERR",0))</f>
        <v>6</v>
      </c>
      <c r="U307" s="14" t="s">
        <v>265</v>
      </c>
      <c r="V307" s="101" t="str">
        <f t="shared" ca="1" si="26"/>
        <v>Кепка FREDRIKSON арт. 3101 (темно-серый / серый)</v>
      </c>
      <c r="W307" s="100" t="str">
        <f t="shared" ca="1" si="27"/>
        <v>Кепка FREDRIKSON арт. 3101 (темно-серый / серый) {699/79}</v>
      </c>
      <c r="X307" s="18" t="str">
        <f t="shared" ca="1" si="28"/>
        <v>серый / серый</v>
      </c>
      <c r="Y307" s="18" t="str">
        <f t="shared" ca="1" si="29"/>
        <v>серый / серый</v>
      </c>
      <c r="Z307" s="117" t="s">
        <v>28</v>
      </c>
      <c r="AA307" s="73" t="str">
        <f ca="1"/>
        <v>95-004-89-60</v>
      </c>
      <c r="AB307" s="75" t="str">
        <f ca="1">VLOOKUP(C307,Группа!A:B,2,FALSE)</f>
        <v>Кепка</v>
      </c>
      <c r="AC307" s="97" t="str">
        <f ca="1">IFERROR(VLOOKUP(S307,Размеры!A:C,3,FALSE),"")</f>
        <v>60 L/XL</v>
      </c>
      <c r="AD307" s="97" t="str">
        <f ca="1">VLOOKUP(I307,ЦветПолный!A:B,2,FALSE)</f>
        <v>89</v>
      </c>
      <c r="AE307" s="97" t="str">
        <f ca="1">IFERROR(VLOOKUP(S307,Размеры!A:D,4,FALSE),"")</f>
        <v>60</v>
      </c>
      <c r="AF307" s="97">
        <f ca="1">IF(LEFT(IFERROR(VLOOKUP(LOOKUP(2,1/SEARCH(B307,Товары!A:A),Товары!A:A),Товары!A:B,2,0),""),6)=MID(AA307,1,6),1,0)</f>
        <v>0</v>
      </c>
      <c r="AH307" s="97">
        <f ca="1">SUMIF(Группа!A:A,C307,Группа!C:C)</f>
        <v>1</v>
      </c>
      <c r="AI307" s="97">
        <f ca="1">SUMIF(Группа!B:B,AB307,Группа!C:C)</f>
        <v>1</v>
      </c>
      <c r="AJ307" s="97">
        <f ca="1">SUMIF(Формы!A:A,D307,Формы!B:B)</f>
        <v>1</v>
      </c>
      <c r="AK307" s="97">
        <f ca="1">SUMIF(Материал!A:A,K307,Материал!B:B)</f>
        <v>1</v>
      </c>
      <c r="AL307" s="97">
        <f ca="1">SUMIF(Размеры!A:A,S307,Размеры!E:E)</f>
        <v>1</v>
      </c>
      <c r="AM307" s="97">
        <f ca="1">SUMIF(Сезон!A:A,F307,Сезон!B:B)</f>
        <v>1</v>
      </c>
      <c r="AN307" s="97">
        <f ca="1">SUMIF(Состав!A:A,J307,Состав!B:B)</f>
        <v>0</v>
      </c>
      <c r="AO307" s="97">
        <f ca="1">VLOOKUP(I307,ЦветПолный!A:C,3,0)</f>
        <v>1</v>
      </c>
      <c r="AP307" s="97">
        <f>SUMIF(Цвет!A:A,Z307,Цвет!B:B)</f>
        <v>1</v>
      </c>
      <c r="AQ307" s="97">
        <f ca="1">_xlfn.XLOOKUP(L307,Пол!A:A,Пол!B:B,0,0)</f>
        <v>1</v>
      </c>
      <c r="AR307" s="97">
        <f ca="1">SUMIF(Бренд!A:A,G307,Бренд!B:B)</f>
        <v>1</v>
      </c>
      <c r="AS307" s="97">
        <f ca="1">SUMIF(Страна!A:A,M307,Страна!B:B)</f>
        <v>1</v>
      </c>
      <c r="AT307" s="64" t="e">
        <f ca="1">IF(VLOOKUP(W307,Товары!A:B,2,FALSE)=A307,"Есть в 1С","ERR")</f>
        <v>#N/A</v>
      </c>
      <c r="AU307" s="65" t="e">
        <f ca="1">IF(VLOOKUP(A307,Товары!B:B,1,FALSE)=A307,"Есть в 1С","ERR")</f>
        <v>#N/A</v>
      </c>
      <c r="AV307" s="96" t="e">
        <f ca="1">VLOOKUP(W307,Товары!A:B,2,FALSE)</f>
        <v>#N/A</v>
      </c>
      <c r="AW307" s="94" t="e">
        <f ca="1">VLOOKUP(W307,Товары!A:B,1,FALSE)</f>
        <v>#N/A</v>
      </c>
    </row>
    <row r="308" spans="1:49" x14ac:dyDescent="0.25">
      <c r="A308" s="110" t="str">
        <f t="shared" ca="1" si="25"/>
        <v>95-004-89</v>
      </c>
      <c r="B308" s="107" t="str">
        <f ca="1">_xlfn.LET(_xlpm.CAPS,0,_xlpm.Style,TRIM(_xlfn.XLOOKUP($A308,Строчный!$A:$A,Строчный!B:B,"ERR",0)),IF(_xlpm.CAPS=0,_xlpm.Style,LOWER(_xlpm.Style)))</f>
        <v>3101</v>
      </c>
      <c r="C308" s="81" t="str">
        <f ca="1">TRIM(PROPER(_xlfn.XLOOKUP($A308,Строчный!$A:$A,Строчный!C:C,"ERR",0)))</f>
        <v>Кепки</v>
      </c>
      <c r="D308" s="81" t="str">
        <f ca="1">_xlfn.LET(_xlpm.DATA,TRIM(_xlfn.XLOOKUP($A308,Строчный!$A:$A,Строчный!D:D,"ERR",0)),UPPER(MID(_xlpm.DATA,1,1))&amp;LOWER(MID(_xlpm.DATA,2,LEN(_xlpm.DATA)-1)))</f>
        <v>Кепка восьмиклинка</v>
      </c>
      <c r="E308" s="81" t="str">
        <f ca="1">PROPER(TRIM(_xlfn.XLOOKUP($A308,Строчный!$A:$A,Строчный!E:E,"ERR",0)))</f>
        <v>Fredrikson</v>
      </c>
      <c r="F308" s="81" t="str">
        <f ca="1">LOWER(TRIM(_xlfn.XLOOKUP($A308,Строчный!$A:$A,Строчный!F:F,"ERR",0)))</f>
        <v>всесезон</v>
      </c>
      <c r="G308" s="81" t="str">
        <f ca="1">UPPER(TRIM(_xlfn.XLOOKUP($A308,Строчный!$A:$A,Строчный!G:G,"ERR",0)))</f>
        <v>FREDRIKSON</v>
      </c>
      <c r="H308" s="81" t="str">
        <f ca="1">LOWER(TRIM(_xlfn.XLOOKUP($A308,Строчный!$A:$A,Строчный!H:H,"ERR",0)))</f>
        <v>699/79</v>
      </c>
      <c r="I308" s="81" t="str">
        <f ca="1">LOWER(TRIM(_xlfn.XLOOKUP($A308,Строчный!$A:$A,Строчный!I:I,"ERR",0)))</f>
        <v>темно-серый / серый</v>
      </c>
      <c r="J308" s="81" t="str">
        <f ca="1">SUBSTITUTE(LOWER(TRIM(_xlfn.XLOOKUP($A308,Строчный!$A:$A,Строчный!J:J,"ERR",0))),"подклад","Подклад")</f>
        <v>80% шерсть - 20% полиамид / Подклад: 100% вискоза</v>
      </c>
      <c r="K308" s="81" t="str">
        <f ca="1">LOWER(TRIM(_xlfn.XLOOKUP($A308,Строчный!$A:$A,Строчный!K:K,"ERR",0)))</f>
        <v>шерстяные</v>
      </c>
      <c r="L308" s="81" t="str">
        <f ca="1">PROPER(TRIM(_xlfn.XLOOKUP($A308,Строчный!$A:$A,Строчный!L:L,"ERR",0)))</f>
        <v>Унисекс</v>
      </c>
      <c r="M308" s="113" t="str">
        <f ca="1">PROPER(TRIM(_xlfn.XLOOKUP($A308,Строчный!$A:$A,Строчный!M:M,"ERR",0)))</f>
        <v>Россия</v>
      </c>
      <c r="N308" s="81" t="str">
        <f ca="1">UPPER(TRIM(_xlfn.XLOOKUP($A308,Строчный!$A:$A,Строчный!O:O,"ERR",0)))</f>
        <v/>
      </c>
      <c r="O308" s="102" t="str">
        <f ca="1">PROPER(TRIM(_xlfn.XLOOKUP($A308,Строчный!$A:$A,Строчный!P:P,"ERR",0)))</f>
        <v/>
      </c>
      <c r="P308" s="81" t="str">
        <f ca="1">PROPER(TRIM(_xlfn.XLOOKUP($A308,Строчный!$A:$A,Строчный!R:R,"ERR",0)))</f>
        <v/>
      </c>
      <c r="Q308" s="90">
        <f ca="1">VALUE(_xlfn.XLOOKUP($A308,Строчный!$A:$A,Строчный!N:N,"ERR",0))</f>
        <v>975.8</v>
      </c>
      <c r="R308" s="89" t="str">
        <f ca="1">_xlfn.XLOOKUP($G308,Фабрика!A:A,Фабрика!B:B,"ERR",0)</f>
        <v>ООО "ФРЭДРИКСОН" Россия 192029, С-Петербург, пр. Обуховской обороны, д.86, лит М</v>
      </c>
      <c r="S308" s="80" t="str">
        <f ca="1">_xlfn.XLOOKUP(RIGHT(AA308,2),Размеры!D:D,Размеры!A:A,"ERR",0)</f>
        <v>59</v>
      </c>
      <c r="T308" s="80">
        <f ca="1">VALUE(_xlfn.XLOOKUP($AA308,Строчный!$S:$S,Строчный!U:U,"ERR",0))</f>
        <v>8</v>
      </c>
      <c r="U308" s="14" t="s">
        <v>265</v>
      </c>
      <c r="V308" s="101" t="str">
        <f t="shared" ca="1" si="26"/>
        <v>Кепка FREDRIKSON арт. 3101 (темно-серый / серый)</v>
      </c>
      <c r="W308" s="100" t="str">
        <f t="shared" ca="1" si="27"/>
        <v>Кепка FREDRIKSON арт. 3101 (темно-серый / серый) {699/79}</v>
      </c>
      <c r="X308" s="18" t="str">
        <f t="shared" ca="1" si="28"/>
        <v>серый / серый</v>
      </c>
      <c r="Y308" s="18" t="str">
        <f t="shared" ca="1" si="29"/>
        <v>серый / серый</v>
      </c>
      <c r="Z308" s="117" t="s">
        <v>28</v>
      </c>
      <c r="AA308" s="73" t="str">
        <f ca="1"/>
        <v>95-004-89-59</v>
      </c>
      <c r="AB308" s="75" t="str">
        <f ca="1">VLOOKUP(C308,Группа!A:B,2,FALSE)</f>
        <v>Кепка</v>
      </c>
      <c r="AC308" s="97" t="str">
        <f ca="1">IFERROR(VLOOKUP(S308,Размеры!A:C,3,FALSE),"")</f>
        <v>59 L</v>
      </c>
      <c r="AD308" s="97" t="str">
        <f ca="1">VLOOKUP(I308,ЦветПолный!A:B,2,FALSE)</f>
        <v>89</v>
      </c>
      <c r="AE308" s="97" t="str">
        <f ca="1">IFERROR(VLOOKUP(S308,Размеры!A:D,4,FALSE),"")</f>
        <v>59</v>
      </c>
      <c r="AF308" s="97">
        <f ca="1">IF(LEFT(IFERROR(VLOOKUP(LOOKUP(2,1/SEARCH(B308,Товары!A:A),Товары!A:A),Товары!A:B,2,0),""),6)=MID(AA308,1,6),1,0)</f>
        <v>0</v>
      </c>
      <c r="AH308" s="97">
        <f ca="1">SUMIF(Группа!A:A,C308,Группа!C:C)</f>
        <v>1</v>
      </c>
      <c r="AI308" s="97">
        <f ca="1">SUMIF(Группа!B:B,AB308,Группа!C:C)</f>
        <v>1</v>
      </c>
      <c r="AJ308" s="97">
        <f ca="1">SUMIF(Формы!A:A,D308,Формы!B:B)</f>
        <v>1</v>
      </c>
      <c r="AK308" s="97">
        <f ca="1">SUMIF(Материал!A:A,K308,Материал!B:B)</f>
        <v>1</v>
      </c>
      <c r="AL308" s="97">
        <f ca="1">SUMIF(Размеры!A:A,S308,Размеры!E:E)</f>
        <v>1</v>
      </c>
      <c r="AM308" s="97">
        <f ca="1">SUMIF(Сезон!A:A,F308,Сезон!B:B)</f>
        <v>1</v>
      </c>
      <c r="AN308" s="97">
        <f ca="1">SUMIF(Состав!A:A,J308,Состав!B:B)</f>
        <v>0</v>
      </c>
      <c r="AO308" s="97">
        <f ca="1">VLOOKUP(I308,ЦветПолный!A:C,3,0)</f>
        <v>1</v>
      </c>
      <c r="AP308" s="97">
        <f>SUMIF(Цвет!A:A,Z308,Цвет!B:B)</f>
        <v>1</v>
      </c>
      <c r="AQ308" s="97">
        <f ca="1">_xlfn.XLOOKUP(L308,Пол!A:A,Пол!B:B,0,0)</f>
        <v>1</v>
      </c>
      <c r="AR308" s="97">
        <f ca="1">SUMIF(Бренд!A:A,G308,Бренд!B:B)</f>
        <v>1</v>
      </c>
      <c r="AS308" s="97">
        <f ca="1">SUMIF(Страна!A:A,M308,Страна!B:B)</f>
        <v>1</v>
      </c>
      <c r="AT308" s="64" t="e">
        <f ca="1">IF(VLOOKUP(W308,Товары!A:B,2,FALSE)=A308,"Есть в 1С","ERR")</f>
        <v>#N/A</v>
      </c>
      <c r="AU308" s="65" t="e">
        <f ca="1">IF(VLOOKUP(A308,Товары!B:B,1,FALSE)=A308,"Есть в 1С","ERR")</f>
        <v>#N/A</v>
      </c>
      <c r="AV308" s="96" t="e">
        <f ca="1">VLOOKUP(W308,Товары!A:B,2,FALSE)</f>
        <v>#N/A</v>
      </c>
      <c r="AW308" s="94" t="e">
        <f ca="1">VLOOKUP(W308,Товары!A:B,1,FALSE)</f>
        <v>#N/A</v>
      </c>
    </row>
    <row r="309" spans="1:49" x14ac:dyDescent="0.25">
      <c r="A309" s="110" t="str">
        <f t="shared" ca="1" si="25"/>
        <v>95-004-89</v>
      </c>
      <c r="B309" s="107" t="str">
        <f ca="1">_xlfn.LET(_xlpm.CAPS,0,_xlpm.Style,TRIM(_xlfn.XLOOKUP($A309,Строчный!$A:$A,Строчный!B:B,"ERR",0)),IF(_xlpm.CAPS=0,_xlpm.Style,LOWER(_xlpm.Style)))</f>
        <v>3101</v>
      </c>
      <c r="C309" s="81" t="str">
        <f ca="1">TRIM(PROPER(_xlfn.XLOOKUP($A309,Строчный!$A:$A,Строчный!C:C,"ERR",0)))</f>
        <v>Кепки</v>
      </c>
      <c r="D309" s="81" t="str">
        <f ca="1">_xlfn.LET(_xlpm.DATA,TRIM(_xlfn.XLOOKUP($A309,Строчный!$A:$A,Строчный!D:D,"ERR",0)),UPPER(MID(_xlpm.DATA,1,1))&amp;LOWER(MID(_xlpm.DATA,2,LEN(_xlpm.DATA)-1)))</f>
        <v>Кепка восьмиклинка</v>
      </c>
      <c r="E309" s="81" t="str">
        <f ca="1">PROPER(TRIM(_xlfn.XLOOKUP($A309,Строчный!$A:$A,Строчный!E:E,"ERR",0)))</f>
        <v>Fredrikson</v>
      </c>
      <c r="F309" s="81" t="str">
        <f ca="1">LOWER(TRIM(_xlfn.XLOOKUP($A309,Строчный!$A:$A,Строчный!F:F,"ERR",0)))</f>
        <v>всесезон</v>
      </c>
      <c r="G309" s="81" t="str">
        <f ca="1">UPPER(TRIM(_xlfn.XLOOKUP($A309,Строчный!$A:$A,Строчный!G:G,"ERR",0)))</f>
        <v>FREDRIKSON</v>
      </c>
      <c r="H309" s="81" t="str">
        <f ca="1">LOWER(TRIM(_xlfn.XLOOKUP($A309,Строчный!$A:$A,Строчный!H:H,"ERR",0)))</f>
        <v>699/79</v>
      </c>
      <c r="I309" s="81" t="str">
        <f ca="1">LOWER(TRIM(_xlfn.XLOOKUP($A309,Строчный!$A:$A,Строчный!I:I,"ERR",0)))</f>
        <v>темно-серый / серый</v>
      </c>
      <c r="J309" s="81" t="str">
        <f ca="1">SUBSTITUTE(LOWER(TRIM(_xlfn.XLOOKUP($A309,Строчный!$A:$A,Строчный!J:J,"ERR",0))),"подклад","Подклад")</f>
        <v>80% шерсть - 20% полиамид / Подклад: 100% вискоза</v>
      </c>
      <c r="K309" s="81" t="str">
        <f ca="1">LOWER(TRIM(_xlfn.XLOOKUP($A309,Строчный!$A:$A,Строчный!K:K,"ERR",0)))</f>
        <v>шерстяные</v>
      </c>
      <c r="L309" s="81" t="str">
        <f ca="1">PROPER(TRIM(_xlfn.XLOOKUP($A309,Строчный!$A:$A,Строчный!L:L,"ERR",0)))</f>
        <v>Унисекс</v>
      </c>
      <c r="M309" s="113" t="str">
        <f ca="1">PROPER(TRIM(_xlfn.XLOOKUP($A309,Строчный!$A:$A,Строчный!M:M,"ERR",0)))</f>
        <v>Россия</v>
      </c>
      <c r="N309" s="81" t="str">
        <f ca="1">UPPER(TRIM(_xlfn.XLOOKUP($A309,Строчный!$A:$A,Строчный!O:O,"ERR",0)))</f>
        <v/>
      </c>
      <c r="O309" s="102" t="str">
        <f ca="1">PROPER(TRIM(_xlfn.XLOOKUP($A309,Строчный!$A:$A,Строчный!P:P,"ERR",0)))</f>
        <v/>
      </c>
      <c r="P309" s="81" t="str">
        <f ca="1">PROPER(TRIM(_xlfn.XLOOKUP($A309,Строчный!$A:$A,Строчный!R:R,"ERR",0)))</f>
        <v/>
      </c>
      <c r="Q309" s="90">
        <f ca="1">VALUE(_xlfn.XLOOKUP($A309,Строчный!$A:$A,Строчный!N:N,"ERR",0))</f>
        <v>975.8</v>
      </c>
      <c r="R309" s="89" t="str">
        <f ca="1">_xlfn.XLOOKUP($G309,Фабрика!A:A,Фабрика!B:B,"ERR",0)</f>
        <v>ООО "ФРЭДРИКСОН" Россия 192029, С-Петербург, пр. Обуховской обороны, д.86, лит М</v>
      </c>
      <c r="S309" s="80" t="str">
        <f ca="1">_xlfn.XLOOKUP(RIGHT(AA309,2),Размеры!D:D,Размеры!A:A,"ERR",0)</f>
        <v>58</v>
      </c>
      <c r="T309" s="80">
        <f ca="1">VALUE(_xlfn.XLOOKUP($AA309,Строчный!$S:$S,Строчный!U:U,"ERR",0))</f>
        <v>6</v>
      </c>
      <c r="U309" s="14" t="s">
        <v>265</v>
      </c>
      <c r="V309" s="101" t="str">
        <f t="shared" ca="1" si="26"/>
        <v>Кепка FREDRIKSON арт. 3101 (темно-серый / серый)</v>
      </c>
      <c r="W309" s="100" t="str">
        <f t="shared" ca="1" si="27"/>
        <v>Кепка FREDRIKSON арт. 3101 (темно-серый / серый) {699/79}</v>
      </c>
      <c r="X309" s="18" t="str">
        <f t="shared" ca="1" si="28"/>
        <v>серый / серый</v>
      </c>
      <c r="Y309" s="18" t="str">
        <f t="shared" ca="1" si="29"/>
        <v>серый / серый</v>
      </c>
      <c r="Z309" s="117" t="s">
        <v>28</v>
      </c>
      <c r="AA309" s="73" t="str">
        <f ca="1"/>
        <v>95-004-89-58</v>
      </c>
      <c r="AB309" s="75" t="str">
        <f ca="1">VLOOKUP(C309,Группа!A:B,2,FALSE)</f>
        <v>Кепка</v>
      </c>
      <c r="AC309" s="97" t="str">
        <f ca="1">IFERROR(VLOOKUP(S309,Размеры!A:C,3,FALSE),"")</f>
        <v>58 M/L</v>
      </c>
      <c r="AD309" s="97" t="str">
        <f ca="1">VLOOKUP(I309,ЦветПолный!A:B,2,FALSE)</f>
        <v>89</v>
      </c>
      <c r="AE309" s="97" t="str">
        <f ca="1">IFERROR(VLOOKUP(S309,Размеры!A:D,4,FALSE),"")</f>
        <v>58</v>
      </c>
      <c r="AF309" s="97">
        <f ca="1">IF(LEFT(IFERROR(VLOOKUP(LOOKUP(2,1/SEARCH(B309,Товары!A:A),Товары!A:A),Товары!A:B,2,0),""),6)=MID(AA309,1,6),1,0)</f>
        <v>0</v>
      </c>
      <c r="AH309" s="97">
        <f ca="1">SUMIF(Группа!A:A,C309,Группа!C:C)</f>
        <v>1</v>
      </c>
      <c r="AI309" s="97">
        <f ca="1">SUMIF(Группа!B:B,AB309,Группа!C:C)</f>
        <v>1</v>
      </c>
      <c r="AJ309" s="97">
        <f ca="1">SUMIF(Формы!A:A,D309,Формы!B:B)</f>
        <v>1</v>
      </c>
      <c r="AK309" s="97">
        <f ca="1">SUMIF(Материал!A:A,K309,Материал!B:B)</f>
        <v>1</v>
      </c>
      <c r="AL309" s="97">
        <f ca="1">SUMIF(Размеры!A:A,S309,Размеры!E:E)</f>
        <v>1</v>
      </c>
      <c r="AM309" s="97">
        <f ca="1">SUMIF(Сезон!A:A,F309,Сезон!B:B)</f>
        <v>1</v>
      </c>
      <c r="AN309" s="97">
        <f ca="1">SUMIF(Состав!A:A,J309,Состав!B:B)</f>
        <v>0</v>
      </c>
      <c r="AO309" s="97">
        <f ca="1">VLOOKUP(I309,ЦветПолный!A:C,3,0)</f>
        <v>1</v>
      </c>
      <c r="AP309" s="97">
        <f>SUMIF(Цвет!A:A,Z309,Цвет!B:B)</f>
        <v>1</v>
      </c>
      <c r="AQ309" s="97">
        <f ca="1">_xlfn.XLOOKUP(L309,Пол!A:A,Пол!B:B,0,0)</f>
        <v>1</v>
      </c>
      <c r="AR309" s="97">
        <f ca="1">SUMIF(Бренд!A:A,G309,Бренд!B:B)</f>
        <v>1</v>
      </c>
      <c r="AS309" s="97">
        <f ca="1">SUMIF(Страна!A:A,M309,Страна!B:B)</f>
        <v>1</v>
      </c>
      <c r="AT309" s="64" t="e">
        <f ca="1">IF(VLOOKUP(W309,Товары!A:B,2,FALSE)=A309,"Есть в 1С","ERR")</f>
        <v>#N/A</v>
      </c>
      <c r="AU309" s="65" t="e">
        <f ca="1">IF(VLOOKUP(A309,Товары!B:B,1,FALSE)=A309,"Есть в 1С","ERR")</f>
        <v>#N/A</v>
      </c>
      <c r="AV309" s="96" t="e">
        <f ca="1">VLOOKUP(W309,Товары!A:B,2,FALSE)</f>
        <v>#N/A</v>
      </c>
      <c r="AW309" s="94" t="e">
        <f ca="1">VLOOKUP(W309,Товары!A:B,1,FALSE)</f>
        <v>#N/A</v>
      </c>
    </row>
    <row r="310" spans="1:49" x14ac:dyDescent="0.25">
      <c r="A310" s="110" t="str">
        <f t="shared" ca="1" si="25"/>
        <v>95-004-89</v>
      </c>
      <c r="B310" s="107" t="str">
        <f ca="1">_xlfn.LET(_xlpm.CAPS,0,_xlpm.Style,TRIM(_xlfn.XLOOKUP($A310,Строчный!$A:$A,Строчный!B:B,"ERR",0)),IF(_xlpm.CAPS=0,_xlpm.Style,LOWER(_xlpm.Style)))</f>
        <v>3101</v>
      </c>
      <c r="C310" s="81" t="str">
        <f ca="1">TRIM(PROPER(_xlfn.XLOOKUP($A310,Строчный!$A:$A,Строчный!C:C,"ERR",0)))</f>
        <v>Кепки</v>
      </c>
      <c r="D310" s="81" t="str">
        <f ca="1">_xlfn.LET(_xlpm.DATA,TRIM(_xlfn.XLOOKUP($A310,Строчный!$A:$A,Строчный!D:D,"ERR",0)),UPPER(MID(_xlpm.DATA,1,1))&amp;LOWER(MID(_xlpm.DATA,2,LEN(_xlpm.DATA)-1)))</f>
        <v>Кепка восьмиклинка</v>
      </c>
      <c r="E310" s="81" t="str">
        <f ca="1">PROPER(TRIM(_xlfn.XLOOKUP($A310,Строчный!$A:$A,Строчный!E:E,"ERR",0)))</f>
        <v>Fredrikson</v>
      </c>
      <c r="F310" s="81" t="str">
        <f ca="1">LOWER(TRIM(_xlfn.XLOOKUP($A310,Строчный!$A:$A,Строчный!F:F,"ERR",0)))</f>
        <v>всесезон</v>
      </c>
      <c r="G310" s="81" t="str">
        <f ca="1">UPPER(TRIM(_xlfn.XLOOKUP($A310,Строчный!$A:$A,Строчный!G:G,"ERR",0)))</f>
        <v>FREDRIKSON</v>
      </c>
      <c r="H310" s="81" t="str">
        <f ca="1">LOWER(TRIM(_xlfn.XLOOKUP($A310,Строчный!$A:$A,Строчный!H:H,"ERR",0)))</f>
        <v>699/79</v>
      </c>
      <c r="I310" s="81" t="str">
        <f ca="1">LOWER(TRIM(_xlfn.XLOOKUP($A310,Строчный!$A:$A,Строчный!I:I,"ERR",0)))</f>
        <v>темно-серый / серый</v>
      </c>
      <c r="J310" s="81" t="str">
        <f ca="1">SUBSTITUTE(LOWER(TRIM(_xlfn.XLOOKUP($A310,Строчный!$A:$A,Строчный!J:J,"ERR",0))),"подклад","Подклад")</f>
        <v>80% шерсть - 20% полиамид / Подклад: 100% вискоза</v>
      </c>
      <c r="K310" s="81" t="str">
        <f ca="1">LOWER(TRIM(_xlfn.XLOOKUP($A310,Строчный!$A:$A,Строчный!K:K,"ERR",0)))</f>
        <v>шерстяные</v>
      </c>
      <c r="L310" s="81" t="str">
        <f ca="1">PROPER(TRIM(_xlfn.XLOOKUP($A310,Строчный!$A:$A,Строчный!L:L,"ERR",0)))</f>
        <v>Унисекс</v>
      </c>
      <c r="M310" s="113" t="str">
        <f ca="1">PROPER(TRIM(_xlfn.XLOOKUP($A310,Строчный!$A:$A,Строчный!M:M,"ERR",0)))</f>
        <v>Россия</v>
      </c>
      <c r="N310" s="81" t="str">
        <f ca="1">UPPER(TRIM(_xlfn.XLOOKUP($A310,Строчный!$A:$A,Строчный!O:O,"ERR",0)))</f>
        <v/>
      </c>
      <c r="O310" s="102" t="str">
        <f ca="1">PROPER(TRIM(_xlfn.XLOOKUP($A310,Строчный!$A:$A,Строчный!P:P,"ERR",0)))</f>
        <v/>
      </c>
      <c r="P310" s="81" t="str">
        <f ca="1">PROPER(TRIM(_xlfn.XLOOKUP($A310,Строчный!$A:$A,Строчный!R:R,"ERR",0)))</f>
        <v/>
      </c>
      <c r="Q310" s="90">
        <f ca="1">VALUE(_xlfn.XLOOKUP($A310,Строчный!$A:$A,Строчный!N:N,"ERR",0))</f>
        <v>975.8</v>
      </c>
      <c r="R310" s="89" t="str">
        <f ca="1">_xlfn.XLOOKUP($G310,Фабрика!A:A,Фабрика!B:B,"ERR",0)</f>
        <v>ООО "ФРЭДРИКСОН" Россия 192029, С-Петербург, пр. Обуховской обороны, д.86, лит М</v>
      </c>
      <c r="S310" s="80" t="str">
        <f ca="1">_xlfn.XLOOKUP(RIGHT(AA310,2),Размеры!D:D,Размеры!A:A,"ERR",0)</f>
        <v>57</v>
      </c>
      <c r="T310" s="80">
        <f ca="1">VALUE(_xlfn.XLOOKUP($AA310,Строчный!$S:$S,Строчный!U:U,"ERR",0))</f>
        <v>4</v>
      </c>
      <c r="U310" s="14" t="s">
        <v>265</v>
      </c>
      <c r="V310" s="101" t="str">
        <f t="shared" ca="1" si="26"/>
        <v>Кепка FREDRIKSON арт. 3101 (темно-серый / серый)</v>
      </c>
      <c r="W310" s="100" t="str">
        <f t="shared" ca="1" si="27"/>
        <v>Кепка FREDRIKSON арт. 3101 (темно-серый / серый) {699/79}</v>
      </c>
      <c r="X310" s="18" t="str">
        <f t="shared" ca="1" si="28"/>
        <v>серый / серый</v>
      </c>
      <c r="Y310" s="18" t="str">
        <f t="shared" ca="1" si="29"/>
        <v>серый / серый</v>
      </c>
      <c r="Z310" s="117" t="s">
        <v>28</v>
      </c>
      <c r="AA310" s="73" t="str">
        <f ca="1"/>
        <v>95-004-89-57</v>
      </c>
      <c r="AB310" s="75" t="str">
        <f ca="1">VLOOKUP(C310,Группа!A:B,2,FALSE)</f>
        <v>Кепка</v>
      </c>
      <c r="AC310" s="97" t="str">
        <f ca="1">IFERROR(VLOOKUP(S310,Размеры!A:C,3,FALSE),"")</f>
        <v>57 M</v>
      </c>
      <c r="AD310" s="97" t="str">
        <f ca="1">VLOOKUP(I310,ЦветПолный!A:B,2,FALSE)</f>
        <v>89</v>
      </c>
      <c r="AE310" s="97" t="str">
        <f ca="1">IFERROR(VLOOKUP(S310,Размеры!A:D,4,FALSE),"")</f>
        <v>57</v>
      </c>
      <c r="AF310" s="97">
        <f ca="1">IF(LEFT(IFERROR(VLOOKUP(LOOKUP(2,1/SEARCH(B310,Товары!A:A),Товары!A:A),Товары!A:B,2,0),""),6)=MID(AA310,1,6),1,0)</f>
        <v>0</v>
      </c>
      <c r="AH310" s="97">
        <f ca="1">SUMIF(Группа!A:A,C310,Группа!C:C)</f>
        <v>1</v>
      </c>
      <c r="AI310" s="97">
        <f ca="1">SUMIF(Группа!B:B,AB310,Группа!C:C)</f>
        <v>1</v>
      </c>
      <c r="AJ310" s="97">
        <f ca="1">SUMIF(Формы!A:A,D310,Формы!B:B)</f>
        <v>1</v>
      </c>
      <c r="AK310" s="97">
        <f ca="1">SUMIF(Материал!A:A,K310,Материал!B:B)</f>
        <v>1</v>
      </c>
      <c r="AL310" s="97">
        <f ca="1">SUMIF(Размеры!A:A,S310,Размеры!E:E)</f>
        <v>1</v>
      </c>
      <c r="AM310" s="97">
        <f ca="1">SUMIF(Сезон!A:A,F310,Сезон!B:B)</f>
        <v>1</v>
      </c>
      <c r="AN310" s="97">
        <f ca="1">SUMIF(Состав!A:A,J310,Состав!B:B)</f>
        <v>0</v>
      </c>
      <c r="AO310" s="97">
        <f ca="1">VLOOKUP(I310,ЦветПолный!A:C,3,0)</f>
        <v>1</v>
      </c>
      <c r="AP310" s="97">
        <f>SUMIF(Цвет!A:A,Z310,Цвет!B:B)</f>
        <v>1</v>
      </c>
      <c r="AQ310" s="97">
        <f ca="1">_xlfn.XLOOKUP(L310,Пол!A:A,Пол!B:B,0,0)</f>
        <v>1</v>
      </c>
      <c r="AR310" s="97">
        <f ca="1">SUMIF(Бренд!A:A,G310,Бренд!B:B)</f>
        <v>1</v>
      </c>
      <c r="AS310" s="97">
        <f ca="1">SUMIF(Страна!A:A,M310,Страна!B:B)</f>
        <v>1</v>
      </c>
      <c r="AT310" s="64" t="e">
        <f ca="1">IF(VLOOKUP(W310,Товары!A:B,2,FALSE)=A310,"Есть в 1С","ERR")</f>
        <v>#N/A</v>
      </c>
      <c r="AU310" s="65" t="e">
        <f ca="1">IF(VLOOKUP(A310,Товары!B:B,1,FALSE)=A310,"Есть в 1С","ERR")</f>
        <v>#N/A</v>
      </c>
      <c r="AV310" s="96" t="e">
        <f ca="1">VLOOKUP(W310,Товары!A:B,2,FALSE)</f>
        <v>#N/A</v>
      </c>
      <c r="AW310" s="94" t="e">
        <f ca="1">VLOOKUP(W310,Товары!A:B,1,FALSE)</f>
        <v>#N/A</v>
      </c>
    </row>
    <row r="311" spans="1:49" x14ac:dyDescent="0.25">
      <c r="A311" s="110" t="str">
        <f t="shared" ca="1" si="25"/>
        <v>95-004-89</v>
      </c>
      <c r="B311" s="107" t="str">
        <f ca="1">_xlfn.LET(_xlpm.CAPS,0,_xlpm.Style,TRIM(_xlfn.XLOOKUP($A311,Строчный!$A:$A,Строчный!B:B,"ERR",0)),IF(_xlpm.CAPS=0,_xlpm.Style,LOWER(_xlpm.Style)))</f>
        <v>3101</v>
      </c>
      <c r="C311" s="81" t="str">
        <f ca="1">TRIM(PROPER(_xlfn.XLOOKUP($A311,Строчный!$A:$A,Строчный!C:C,"ERR",0)))</f>
        <v>Кепки</v>
      </c>
      <c r="D311" s="81" t="str">
        <f ca="1">_xlfn.LET(_xlpm.DATA,TRIM(_xlfn.XLOOKUP($A311,Строчный!$A:$A,Строчный!D:D,"ERR",0)),UPPER(MID(_xlpm.DATA,1,1))&amp;LOWER(MID(_xlpm.DATA,2,LEN(_xlpm.DATA)-1)))</f>
        <v>Кепка восьмиклинка</v>
      </c>
      <c r="E311" s="81" t="str">
        <f ca="1">PROPER(TRIM(_xlfn.XLOOKUP($A311,Строчный!$A:$A,Строчный!E:E,"ERR",0)))</f>
        <v>Fredrikson</v>
      </c>
      <c r="F311" s="81" t="str">
        <f ca="1">LOWER(TRIM(_xlfn.XLOOKUP($A311,Строчный!$A:$A,Строчный!F:F,"ERR",0)))</f>
        <v>всесезон</v>
      </c>
      <c r="G311" s="81" t="str">
        <f ca="1">UPPER(TRIM(_xlfn.XLOOKUP($A311,Строчный!$A:$A,Строчный!G:G,"ERR",0)))</f>
        <v>FREDRIKSON</v>
      </c>
      <c r="H311" s="81" t="str">
        <f ca="1">LOWER(TRIM(_xlfn.XLOOKUP($A311,Строчный!$A:$A,Строчный!H:H,"ERR",0)))</f>
        <v>699/79</v>
      </c>
      <c r="I311" s="81" t="str">
        <f ca="1">LOWER(TRIM(_xlfn.XLOOKUP($A311,Строчный!$A:$A,Строчный!I:I,"ERR",0)))</f>
        <v>темно-серый / серый</v>
      </c>
      <c r="J311" s="81" t="str">
        <f ca="1">SUBSTITUTE(LOWER(TRIM(_xlfn.XLOOKUP($A311,Строчный!$A:$A,Строчный!J:J,"ERR",0))),"подклад","Подклад")</f>
        <v>80% шерсть - 20% полиамид / Подклад: 100% вискоза</v>
      </c>
      <c r="K311" s="81" t="str">
        <f ca="1">LOWER(TRIM(_xlfn.XLOOKUP($A311,Строчный!$A:$A,Строчный!K:K,"ERR",0)))</f>
        <v>шерстяные</v>
      </c>
      <c r="L311" s="81" t="str">
        <f ca="1">PROPER(TRIM(_xlfn.XLOOKUP($A311,Строчный!$A:$A,Строчный!L:L,"ERR",0)))</f>
        <v>Унисекс</v>
      </c>
      <c r="M311" s="113" t="str">
        <f ca="1">PROPER(TRIM(_xlfn.XLOOKUP($A311,Строчный!$A:$A,Строчный!M:M,"ERR",0)))</f>
        <v>Россия</v>
      </c>
      <c r="N311" s="81" t="str">
        <f ca="1">UPPER(TRIM(_xlfn.XLOOKUP($A311,Строчный!$A:$A,Строчный!O:O,"ERR",0)))</f>
        <v/>
      </c>
      <c r="O311" s="102" t="str">
        <f ca="1">PROPER(TRIM(_xlfn.XLOOKUP($A311,Строчный!$A:$A,Строчный!P:P,"ERR",0)))</f>
        <v/>
      </c>
      <c r="P311" s="81" t="str">
        <f ca="1">PROPER(TRIM(_xlfn.XLOOKUP($A311,Строчный!$A:$A,Строчный!R:R,"ERR",0)))</f>
        <v/>
      </c>
      <c r="Q311" s="90">
        <f ca="1">VALUE(_xlfn.XLOOKUP($A311,Строчный!$A:$A,Строчный!N:N,"ERR",0))</f>
        <v>975.8</v>
      </c>
      <c r="R311" s="89" t="str">
        <f ca="1">_xlfn.XLOOKUP($G311,Фабрика!A:A,Фабрика!B:B,"ERR",0)</f>
        <v>ООО "ФРЭДРИКСОН" Россия 192029, С-Петербург, пр. Обуховской обороны, д.86, лит М</v>
      </c>
      <c r="S311" s="80" t="str">
        <f ca="1">_xlfn.XLOOKUP(RIGHT(AA311,2),Размеры!D:D,Размеры!A:A,"ERR",0)</f>
        <v>56</v>
      </c>
      <c r="T311" s="80">
        <f ca="1">VALUE(_xlfn.XLOOKUP($AA311,Строчный!$S:$S,Строчный!U:U,"ERR",0))</f>
        <v>2</v>
      </c>
      <c r="U311" s="14" t="s">
        <v>265</v>
      </c>
      <c r="V311" s="101" t="str">
        <f t="shared" ca="1" si="26"/>
        <v>Кепка FREDRIKSON арт. 3101 (темно-серый / серый)</v>
      </c>
      <c r="W311" s="100" t="str">
        <f t="shared" ca="1" si="27"/>
        <v>Кепка FREDRIKSON арт. 3101 (темно-серый / серый) {699/79}</v>
      </c>
      <c r="X311" s="18" t="str">
        <f t="shared" ca="1" si="28"/>
        <v>серый / серый</v>
      </c>
      <c r="Y311" s="18" t="str">
        <f t="shared" ca="1" si="29"/>
        <v>серый / серый</v>
      </c>
      <c r="Z311" s="117" t="s">
        <v>28</v>
      </c>
      <c r="AA311" s="73" t="str">
        <f ca="1"/>
        <v>95-004-89-56</v>
      </c>
      <c r="AB311" s="75" t="str">
        <f ca="1">VLOOKUP(C311,Группа!A:B,2,FALSE)</f>
        <v>Кепка</v>
      </c>
      <c r="AC311" s="97" t="str">
        <f ca="1">IFERROR(VLOOKUP(S311,Размеры!A:C,3,FALSE),"")</f>
        <v>56 S/M</v>
      </c>
      <c r="AD311" s="97" t="str">
        <f ca="1">VLOOKUP(I311,ЦветПолный!A:B,2,FALSE)</f>
        <v>89</v>
      </c>
      <c r="AE311" s="97" t="str">
        <f ca="1">IFERROR(VLOOKUP(S311,Размеры!A:D,4,FALSE),"")</f>
        <v>56</v>
      </c>
      <c r="AF311" s="97">
        <f ca="1">IF(LEFT(IFERROR(VLOOKUP(LOOKUP(2,1/SEARCH(B311,Товары!A:A),Товары!A:A),Товары!A:B,2,0),""),6)=MID(AA311,1,6),1,0)</f>
        <v>0</v>
      </c>
      <c r="AH311" s="97">
        <f ca="1">SUMIF(Группа!A:A,C311,Группа!C:C)</f>
        <v>1</v>
      </c>
      <c r="AI311" s="97">
        <f ca="1">SUMIF(Группа!B:B,AB311,Группа!C:C)</f>
        <v>1</v>
      </c>
      <c r="AJ311" s="97">
        <f ca="1">SUMIF(Формы!A:A,D311,Формы!B:B)</f>
        <v>1</v>
      </c>
      <c r="AK311" s="97">
        <f ca="1">SUMIF(Материал!A:A,K311,Материал!B:B)</f>
        <v>1</v>
      </c>
      <c r="AL311" s="97">
        <f ca="1">SUMIF(Размеры!A:A,S311,Размеры!E:E)</f>
        <v>1</v>
      </c>
      <c r="AM311" s="97">
        <f ca="1">SUMIF(Сезон!A:A,F311,Сезон!B:B)</f>
        <v>1</v>
      </c>
      <c r="AN311" s="97">
        <f ca="1">SUMIF(Состав!A:A,J311,Состав!B:B)</f>
        <v>0</v>
      </c>
      <c r="AO311" s="97">
        <f ca="1">VLOOKUP(I311,ЦветПолный!A:C,3,0)</f>
        <v>1</v>
      </c>
      <c r="AP311" s="97">
        <f>SUMIF(Цвет!A:A,Z311,Цвет!B:B)</f>
        <v>1</v>
      </c>
      <c r="AQ311" s="97">
        <f ca="1">_xlfn.XLOOKUP(L311,Пол!A:A,Пол!B:B,0,0)</f>
        <v>1</v>
      </c>
      <c r="AR311" s="97">
        <f ca="1">SUMIF(Бренд!A:A,G311,Бренд!B:B)</f>
        <v>1</v>
      </c>
      <c r="AS311" s="97">
        <f ca="1">SUMIF(Страна!A:A,M311,Страна!B:B)</f>
        <v>1</v>
      </c>
      <c r="AT311" s="64" t="e">
        <f ca="1">IF(VLOOKUP(W311,Товары!A:B,2,FALSE)=A311,"Есть в 1С","ERR")</f>
        <v>#N/A</v>
      </c>
      <c r="AU311" s="65" t="e">
        <f ca="1">IF(VLOOKUP(A311,Товары!B:B,1,FALSE)=A311,"Есть в 1С","ERR")</f>
        <v>#N/A</v>
      </c>
      <c r="AV311" s="96" t="e">
        <f ca="1">VLOOKUP(W311,Товары!A:B,2,FALSE)</f>
        <v>#N/A</v>
      </c>
      <c r="AW311" s="94" t="e">
        <f ca="1">VLOOKUP(W311,Товары!A:B,1,FALSE)</f>
        <v>#N/A</v>
      </c>
    </row>
    <row r="312" spans="1:49" x14ac:dyDescent="0.25">
      <c r="A312" s="110" t="str">
        <f t="shared" ca="1" si="25"/>
        <v>95-004-73</v>
      </c>
      <c r="B312" s="107" t="str">
        <f ca="1">_xlfn.LET(_xlpm.CAPS,0,_xlpm.Style,TRIM(_xlfn.XLOOKUP($A312,Строчный!$A:$A,Строчный!B:B,"ERR",0)),IF(_xlpm.CAPS=0,_xlpm.Style,LOWER(_xlpm.Style)))</f>
        <v>3101</v>
      </c>
      <c r="C312" s="81" t="str">
        <f ca="1">TRIM(PROPER(_xlfn.XLOOKUP($A312,Строчный!$A:$A,Строчный!C:C,"ERR",0)))</f>
        <v>Кепки</v>
      </c>
      <c r="D312" s="81" t="str">
        <f ca="1">_xlfn.LET(_xlpm.DATA,TRIM(_xlfn.XLOOKUP($A312,Строчный!$A:$A,Строчный!D:D,"ERR",0)),UPPER(MID(_xlpm.DATA,1,1))&amp;LOWER(MID(_xlpm.DATA,2,LEN(_xlpm.DATA)-1)))</f>
        <v>Кепка восьмиклинка</v>
      </c>
      <c r="E312" s="81" t="str">
        <f ca="1">PROPER(TRIM(_xlfn.XLOOKUP($A312,Строчный!$A:$A,Строчный!E:E,"ERR",0)))</f>
        <v>Fredrikson</v>
      </c>
      <c r="F312" s="81" t="str">
        <f ca="1">LOWER(TRIM(_xlfn.XLOOKUP($A312,Строчный!$A:$A,Строчный!F:F,"ERR",0)))</f>
        <v>всесезон</v>
      </c>
      <c r="G312" s="81" t="str">
        <f ca="1">UPPER(TRIM(_xlfn.XLOOKUP($A312,Строчный!$A:$A,Строчный!G:G,"ERR",0)))</f>
        <v>FREDRIKSON</v>
      </c>
      <c r="H312" s="81" t="str">
        <f ca="1">LOWER(TRIM(_xlfn.XLOOKUP($A312,Строчный!$A:$A,Строчный!H:H,"ERR",0)))</f>
        <v>667/57</v>
      </c>
      <c r="I312" s="81" t="str">
        <f ca="1">LOWER(TRIM(_xlfn.XLOOKUP($A312,Строчный!$A:$A,Строчный!I:I,"ERR",0)))</f>
        <v>бежевый / коричневый</v>
      </c>
      <c r="J312" s="81" t="str">
        <f ca="1">SUBSTITUTE(LOWER(TRIM(_xlfn.XLOOKUP($A312,Строчный!$A:$A,Строчный!J:J,"ERR",0))),"подклад","Подклад")</f>
        <v>80% шерсть - 20% полиамид / Подклад: 100% вискоза</v>
      </c>
      <c r="K312" s="81" t="str">
        <f ca="1">LOWER(TRIM(_xlfn.XLOOKUP($A312,Строчный!$A:$A,Строчный!K:K,"ERR",0)))</f>
        <v>шерстяные</v>
      </c>
      <c r="L312" s="81" t="str">
        <f ca="1">PROPER(TRIM(_xlfn.XLOOKUP($A312,Строчный!$A:$A,Строчный!L:L,"ERR",0)))</f>
        <v>Унисекс</v>
      </c>
      <c r="M312" s="113" t="str">
        <f ca="1">PROPER(TRIM(_xlfn.XLOOKUP($A312,Строчный!$A:$A,Строчный!M:M,"ERR",0)))</f>
        <v>Россия</v>
      </c>
      <c r="N312" s="81" t="str">
        <f ca="1">UPPER(TRIM(_xlfn.XLOOKUP($A312,Строчный!$A:$A,Строчный!O:O,"ERR",0)))</f>
        <v/>
      </c>
      <c r="O312" s="102" t="str">
        <f ca="1">PROPER(TRIM(_xlfn.XLOOKUP($A312,Строчный!$A:$A,Строчный!P:P,"ERR",0)))</f>
        <v/>
      </c>
      <c r="P312" s="81" t="str">
        <f ca="1">PROPER(TRIM(_xlfn.XLOOKUP($A312,Строчный!$A:$A,Строчный!R:R,"ERR",0)))</f>
        <v/>
      </c>
      <c r="Q312" s="90">
        <f ca="1">VALUE(_xlfn.XLOOKUP($A312,Строчный!$A:$A,Строчный!N:N,"ERR",0))</f>
        <v>975.8</v>
      </c>
      <c r="R312" s="89" t="str">
        <f ca="1">_xlfn.XLOOKUP($G312,Фабрика!A:A,Фабрика!B:B,"ERR",0)</f>
        <v>ООО "ФРЭДРИКСОН" Россия 192029, С-Петербург, пр. Обуховской обороны, д.86, лит М</v>
      </c>
      <c r="S312" s="80" t="str">
        <f ca="1">_xlfn.XLOOKUP(RIGHT(AA312,2),Размеры!D:D,Размеры!A:A,"ERR",0)</f>
        <v>62</v>
      </c>
      <c r="T312" s="80">
        <f ca="1">VALUE(_xlfn.XLOOKUP($AA312,Строчный!$S:$S,Строчный!U:U,"ERR",0))</f>
        <v>3</v>
      </c>
      <c r="U312" s="14" t="s">
        <v>265</v>
      </c>
      <c r="V312" s="101" t="str">
        <f t="shared" ca="1" si="26"/>
        <v>Кепка FREDRIKSON арт. 3101 (бежевый / коричневый)</v>
      </c>
      <c r="W312" s="100" t="str">
        <f t="shared" ca="1" si="27"/>
        <v>Кепка FREDRIKSON арт. 3101 (бежевый / коричневый) {667/57}</v>
      </c>
      <c r="X312" s="18" t="str">
        <f t="shared" ca="1" si="28"/>
        <v>бежевый</v>
      </c>
      <c r="Y312" s="18" t="str">
        <f t="shared" ca="1" si="29"/>
        <v>коричневый</v>
      </c>
      <c r="Z312" s="117" t="s">
        <v>28</v>
      </c>
      <c r="AA312" s="73" t="str">
        <f ca="1"/>
        <v>95-004-73-62</v>
      </c>
      <c r="AB312" s="75" t="str">
        <f ca="1">VLOOKUP(C312,Группа!A:B,2,FALSE)</f>
        <v>Кепка</v>
      </c>
      <c r="AC312" s="97" t="str">
        <f ca="1">IFERROR(VLOOKUP(S312,Размеры!A:C,3,FALSE),"")</f>
        <v>62 XL/XXL</v>
      </c>
      <c r="AD312" s="97" t="str">
        <f ca="1">VLOOKUP(I312,ЦветПолный!A:B,2,FALSE)</f>
        <v>73</v>
      </c>
      <c r="AE312" s="97" t="str">
        <f ca="1">IFERROR(VLOOKUP(S312,Размеры!A:D,4,FALSE),"")</f>
        <v>62</v>
      </c>
      <c r="AF312" s="97">
        <f ca="1">IF(LEFT(IFERROR(VLOOKUP(LOOKUP(2,1/SEARCH(B312,Товары!A:A),Товары!A:A),Товары!A:B,2,0),""),6)=MID(AA312,1,6),1,0)</f>
        <v>0</v>
      </c>
      <c r="AH312" s="97">
        <f ca="1">SUMIF(Группа!A:A,C312,Группа!C:C)</f>
        <v>1</v>
      </c>
      <c r="AI312" s="97">
        <f ca="1">SUMIF(Группа!B:B,AB312,Группа!C:C)</f>
        <v>1</v>
      </c>
      <c r="AJ312" s="97">
        <f ca="1">SUMIF(Формы!A:A,D312,Формы!B:B)</f>
        <v>1</v>
      </c>
      <c r="AK312" s="97">
        <f ca="1">SUMIF(Материал!A:A,K312,Материал!B:B)</f>
        <v>1</v>
      </c>
      <c r="AL312" s="97">
        <f ca="1">SUMIF(Размеры!A:A,S312,Размеры!E:E)</f>
        <v>1</v>
      </c>
      <c r="AM312" s="97">
        <f ca="1">SUMIF(Сезон!A:A,F312,Сезон!B:B)</f>
        <v>1</v>
      </c>
      <c r="AN312" s="97">
        <f ca="1">SUMIF(Состав!A:A,J312,Состав!B:B)</f>
        <v>0</v>
      </c>
      <c r="AO312" s="97">
        <f ca="1">VLOOKUP(I312,ЦветПолный!A:C,3,0)</f>
        <v>1</v>
      </c>
      <c r="AP312" s="97">
        <f>SUMIF(Цвет!A:A,Z312,Цвет!B:B)</f>
        <v>1</v>
      </c>
      <c r="AQ312" s="97">
        <f ca="1">_xlfn.XLOOKUP(L312,Пол!A:A,Пол!B:B,0,0)</f>
        <v>1</v>
      </c>
      <c r="AR312" s="97">
        <f ca="1">SUMIF(Бренд!A:A,G312,Бренд!B:B)</f>
        <v>1</v>
      </c>
      <c r="AS312" s="97">
        <f ca="1">SUMIF(Страна!A:A,M312,Страна!B:B)</f>
        <v>1</v>
      </c>
      <c r="AT312" s="64" t="e">
        <f ca="1">IF(VLOOKUP(W312,Товары!A:B,2,FALSE)=A312,"Есть в 1С","ERR")</f>
        <v>#N/A</v>
      </c>
      <c r="AU312" s="65" t="e">
        <f ca="1">IF(VLOOKUP(A312,Товары!B:B,1,FALSE)=A312,"Есть в 1С","ERR")</f>
        <v>#N/A</v>
      </c>
      <c r="AV312" s="96" t="e">
        <f ca="1">VLOOKUP(W312,Товары!A:B,2,FALSE)</f>
        <v>#N/A</v>
      </c>
      <c r="AW312" s="94" t="e">
        <f ca="1">VLOOKUP(W312,Товары!A:B,1,FALSE)</f>
        <v>#N/A</v>
      </c>
    </row>
    <row r="313" spans="1:49" x14ac:dyDescent="0.25">
      <c r="A313" s="110" t="str">
        <f t="shared" ca="1" si="25"/>
        <v>95-004-73</v>
      </c>
      <c r="B313" s="107" t="str">
        <f ca="1">_xlfn.LET(_xlpm.CAPS,0,_xlpm.Style,TRIM(_xlfn.XLOOKUP($A313,Строчный!$A:$A,Строчный!B:B,"ERR",0)),IF(_xlpm.CAPS=0,_xlpm.Style,LOWER(_xlpm.Style)))</f>
        <v>3101</v>
      </c>
      <c r="C313" s="81" t="str">
        <f ca="1">TRIM(PROPER(_xlfn.XLOOKUP($A313,Строчный!$A:$A,Строчный!C:C,"ERR",0)))</f>
        <v>Кепки</v>
      </c>
      <c r="D313" s="81" t="str">
        <f ca="1">_xlfn.LET(_xlpm.DATA,TRIM(_xlfn.XLOOKUP($A313,Строчный!$A:$A,Строчный!D:D,"ERR",0)),UPPER(MID(_xlpm.DATA,1,1))&amp;LOWER(MID(_xlpm.DATA,2,LEN(_xlpm.DATA)-1)))</f>
        <v>Кепка восьмиклинка</v>
      </c>
      <c r="E313" s="81" t="str">
        <f ca="1">PROPER(TRIM(_xlfn.XLOOKUP($A313,Строчный!$A:$A,Строчный!E:E,"ERR",0)))</f>
        <v>Fredrikson</v>
      </c>
      <c r="F313" s="81" t="str">
        <f ca="1">LOWER(TRIM(_xlfn.XLOOKUP($A313,Строчный!$A:$A,Строчный!F:F,"ERR",0)))</f>
        <v>всесезон</v>
      </c>
      <c r="G313" s="81" t="str">
        <f ca="1">UPPER(TRIM(_xlfn.XLOOKUP($A313,Строчный!$A:$A,Строчный!G:G,"ERR",0)))</f>
        <v>FREDRIKSON</v>
      </c>
      <c r="H313" s="81" t="str">
        <f ca="1">LOWER(TRIM(_xlfn.XLOOKUP($A313,Строчный!$A:$A,Строчный!H:H,"ERR",0)))</f>
        <v>667/57</v>
      </c>
      <c r="I313" s="81" t="str">
        <f ca="1">LOWER(TRIM(_xlfn.XLOOKUP($A313,Строчный!$A:$A,Строчный!I:I,"ERR",0)))</f>
        <v>бежевый / коричневый</v>
      </c>
      <c r="J313" s="81" t="str">
        <f ca="1">SUBSTITUTE(LOWER(TRIM(_xlfn.XLOOKUP($A313,Строчный!$A:$A,Строчный!J:J,"ERR",0))),"подклад","Подклад")</f>
        <v>80% шерсть - 20% полиамид / Подклад: 100% вискоза</v>
      </c>
      <c r="K313" s="81" t="str">
        <f ca="1">LOWER(TRIM(_xlfn.XLOOKUP($A313,Строчный!$A:$A,Строчный!K:K,"ERR",0)))</f>
        <v>шерстяные</v>
      </c>
      <c r="L313" s="81" t="str">
        <f ca="1">PROPER(TRIM(_xlfn.XLOOKUP($A313,Строчный!$A:$A,Строчный!L:L,"ERR",0)))</f>
        <v>Унисекс</v>
      </c>
      <c r="M313" s="113" t="str">
        <f ca="1">PROPER(TRIM(_xlfn.XLOOKUP($A313,Строчный!$A:$A,Строчный!M:M,"ERR",0)))</f>
        <v>Россия</v>
      </c>
      <c r="N313" s="81" t="str">
        <f ca="1">UPPER(TRIM(_xlfn.XLOOKUP($A313,Строчный!$A:$A,Строчный!O:O,"ERR",0)))</f>
        <v/>
      </c>
      <c r="O313" s="102" t="str">
        <f ca="1">PROPER(TRIM(_xlfn.XLOOKUP($A313,Строчный!$A:$A,Строчный!P:P,"ERR",0)))</f>
        <v/>
      </c>
      <c r="P313" s="81" t="str">
        <f ca="1">PROPER(TRIM(_xlfn.XLOOKUP($A313,Строчный!$A:$A,Строчный!R:R,"ERR",0)))</f>
        <v/>
      </c>
      <c r="Q313" s="90">
        <f ca="1">VALUE(_xlfn.XLOOKUP($A313,Строчный!$A:$A,Строчный!N:N,"ERR",0))</f>
        <v>975.8</v>
      </c>
      <c r="R313" s="89" t="str">
        <f ca="1">_xlfn.XLOOKUP($G313,Фабрика!A:A,Фабрика!B:B,"ERR",0)</f>
        <v>ООО "ФРЭДРИКСОН" Россия 192029, С-Петербург, пр. Обуховской обороны, д.86, лит М</v>
      </c>
      <c r="S313" s="80" t="str">
        <f ca="1">_xlfn.XLOOKUP(RIGHT(AA313,2),Размеры!D:D,Размеры!A:A,"ERR",0)</f>
        <v>61</v>
      </c>
      <c r="T313" s="80">
        <f ca="1">VALUE(_xlfn.XLOOKUP($AA313,Строчный!$S:$S,Строчный!U:U,"ERR",0))</f>
        <v>6</v>
      </c>
      <c r="U313" s="14" t="s">
        <v>265</v>
      </c>
      <c r="V313" s="101" t="str">
        <f t="shared" ca="1" si="26"/>
        <v>Кепка FREDRIKSON арт. 3101 (бежевый / коричневый)</v>
      </c>
      <c r="W313" s="100" t="str">
        <f t="shared" ca="1" si="27"/>
        <v>Кепка FREDRIKSON арт. 3101 (бежевый / коричневый) {667/57}</v>
      </c>
      <c r="X313" s="18" t="str">
        <f t="shared" ca="1" si="28"/>
        <v>бежевый</v>
      </c>
      <c r="Y313" s="18" t="str">
        <f t="shared" ca="1" si="29"/>
        <v>коричневый</v>
      </c>
      <c r="Z313" s="117" t="s">
        <v>28</v>
      </c>
      <c r="AA313" s="73" t="str">
        <f ca="1"/>
        <v>95-004-73-61</v>
      </c>
      <c r="AB313" s="75" t="str">
        <f ca="1">VLOOKUP(C313,Группа!A:B,2,FALSE)</f>
        <v>Кепка</v>
      </c>
      <c r="AC313" s="97" t="str">
        <f ca="1">IFERROR(VLOOKUP(S313,Размеры!A:C,3,FALSE),"")</f>
        <v>61 XL</v>
      </c>
      <c r="AD313" s="97" t="str">
        <f ca="1">VLOOKUP(I313,ЦветПолный!A:B,2,FALSE)</f>
        <v>73</v>
      </c>
      <c r="AE313" s="97" t="str">
        <f ca="1">IFERROR(VLOOKUP(S313,Размеры!A:D,4,FALSE),"")</f>
        <v>61</v>
      </c>
      <c r="AF313" s="97">
        <f ca="1">IF(LEFT(IFERROR(VLOOKUP(LOOKUP(2,1/SEARCH(B313,Товары!A:A),Товары!A:A),Товары!A:B,2,0),""),6)=MID(AA313,1,6),1,0)</f>
        <v>0</v>
      </c>
      <c r="AH313" s="97">
        <f ca="1">SUMIF(Группа!A:A,C313,Группа!C:C)</f>
        <v>1</v>
      </c>
      <c r="AI313" s="97">
        <f ca="1">SUMIF(Группа!B:B,AB313,Группа!C:C)</f>
        <v>1</v>
      </c>
      <c r="AJ313" s="97">
        <f ca="1">SUMIF(Формы!A:A,D313,Формы!B:B)</f>
        <v>1</v>
      </c>
      <c r="AK313" s="97">
        <f ca="1">SUMIF(Материал!A:A,K313,Материал!B:B)</f>
        <v>1</v>
      </c>
      <c r="AL313" s="97">
        <f ca="1">SUMIF(Размеры!A:A,S313,Размеры!E:E)</f>
        <v>1</v>
      </c>
      <c r="AM313" s="97">
        <f ca="1">SUMIF(Сезон!A:A,F313,Сезон!B:B)</f>
        <v>1</v>
      </c>
      <c r="AN313" s="97">
        <f ca="1">SUMIF(Состав!A:A,J313,Состав!B:B)</f>
        <v>0</v>
      </c>
      <c r="AO313" s="97">
        <f ca="1">VLOOKUP(I313,ЦветПолный!A:C,3,0)</f>
        <v>1</v>
      </c>
      <c r="AP313" s="97">
        <f>SUMIF(Цвет!A:A,Z313,Цвет!B:B)</f>
        <v>1</v>
      </c>
      <c r="AQ313" s="97">
        <f ca="1">_xlfn.XLOOKUP(L313,Пол!A:A,Пол!B:B,0,0)</f>
        <v>1</v>
      </c>
      <c r="AR313" s="97">
        <f ca="1">SUMIF(Бренд!A:A,G313,Бренд!B:B)</f>
        <v>1</v>
      </c>
      <c r="AS313" s="97">
        <f ca="1">SUMIF(Страна!A:A,M313,Страна!B:B)</f>
        <v>1</v>
      </c>
      <c r="AT313" s="64" t="e">
        <f ca="1">IF(VLOOKUP(W313,Товары!A:B,2,FALSE)=A313,"Есть в 1С","ERR")</f>
        <v>#N/A</v>
      </c>
      <c r="AU313" s="65" t="e">
        <f ca="1">IF(VLOOKUP(A313,Товары!B:B,1,FALSE)=A313,"Есть в 1С","ERR")</f>
        <v>#N/A</v>
      </c>
      <c r="AV313" s="96" t="e">
        <f ca="1">VLOOKUP(W313,Товары!A:B,2,FALSE)</f>
        <v>#N/A</v>
      </c>
      <c r="AW313" s="94" t="e">
        <f ca="1">VLOOKUP(W313,Товары!A:B,1,FALSE)</f>
        <v>#N/A</v>
      </c>
    </row>
    <row r="314" spans="1:49" x14ac:dyDescent="0.25">
      <c r="A314" s="110" t="str">
        <f t="shared" ca="1" si="25"/>
        <v>95-004-73</v>
      </c>
      <c r="B314" s="107" t="str">
        <f ca="1">_xlfn.LET(_xlpm.CAPS,0,_xlpm.Style,TRIM(_xlfn.XLOOKUP($A314,Строчный!$A:$A,Строчный!B:B,"ERR",0)),IF(_xlpm.CAPS=0,_xlpm.Style,LOWER(_xlpm.Style)))</f>
        <v>3101</v>
      </c>
      <c r="C314" s="81" t="str">
        <f ca="1">TRIM(PROPER(_xlfn.XLOOKUP($A314,Строчный!$A:$A,Строчный!C:C,"ERR",0)))</f>
        <v>Кепки</v>
      </c>
      <c r="D314" s="81" t="str">
        <f ca="1">_xlfn.LET(_xlpm.DATA,TRIM(_xlfn.XLOOKUP($A314,Строчный!$A:$A,Строчный!D:D,"ERR",0)),UPPER(MID(_xlpm.DATA,1,1))&amp;LOWER(MID(_xlpm.DATA,2,LEN(_xlpm.DATA)-1)))</f>
        <v>Кепка восьмиклинка</v>
      </c>
      <c r="E314" s="81" t="str">
        <f ca="1">PROPER(TRIM(_xlfn.XLOOKUP($A314,Строчный!$A:$A,Строчный!E:E,"ERR",0)))</f>
        <v>Fredrikson</v>
      </c>
      <c r="F314" s="81" t="str">
        <f ca="1">LOWER(TRIM(_xlfn.XLOOKUP($A314,Строчный!$A:$A,Строчный!F:F,"ERR",0)))</f>
        <v>всесезон</v>
      </c>
      <c r="G314" s="81" t="str">
        <f ca="1">UPPER(TRIM(_xlfn.XLOOKUP($A314,Строчный!$A:$A,Строчный!G:G,"ERR",0)))</f>
        <v>FREDRIKSON</v>
      </c>
      <c r="H314" s="81" t="str">
        <f ca="1">LOWER(TRIM(_xlfn.XLOOKUP($A314,Строчный!$A:$A,Строчный!H:H,"ERR",0)))</f>
        <v>667/57</v>
      </c>
      <c r="I314" s="81" t="str">
        <f ca="1">LOWER(TRIM(_xlfn.XLOOKUP($A314,Строчный!$A:$A,Строчный!I:I,"ERR",0)))</f>
        <v>бежевый / коричневый</v>
      </c>
      <c r="J314" s="81" t="str">
        <f ca="1">SUBSTITUTE(LOWER(TRIM(_xlfn.XLOOKUP($A314,Строчный!$A:$A,Строчный!J:J,"ERR",0))),"подклад","Подклад")</f>
        <v>80% шерсть - 20% полиамид / Подклад: 100% вискоза</v>
      </c>
      <c r="K314" s="81" t="str">
        <f ca="1">LOWER(TRIM(_xlfn.XLOOKUP($A314,Строчный!$A:$A,Строчный!K:K,"ERR",0)))</f>
        <v>шерстяные</v>
      </c>
      <c r="L314" s="81" t="str">
        <f ca="1">PROPER(TRIM(_xlfn.XLOOKUP($A314,Строчный!$A:$A,Строчный!L:L,"ERR",0)))</f>
        <v>Унисекс</v>
      </c>
      <c r="M314" s="113" t="str">
        <f ca="1">PROPER(TRIM(_xlfn.XLOOKUP($A314,Строчный!$A:$A,Строчный!M:M,"ERR",0)))</f>
        <v>Россия</v>
      </c>
      <c r="N314" s="81" t="str">
        <f ca="1">UPPER(TRIM(_xlfn.XLOOKUP($A314,Строчный!$A:$A,Строчный!O:O,"ERR",0)))</f>
        <v/>
      </c>
      <c r="O314" s="102" t="str">
        <f ca="1">PROPER(TRIM(_xlfn.XLOOKUP($A314,Строчный!$A:$A,Строчный!P:P,"ERR",0)))</f>
        <v/>
      </c>
      <c r="P314" s="81" t="str">
        <f ca="1">PROPER(TRIM(_xlfn.XLOOKUP($A314,Строчный!$A:$A,Строчный!R:R,"ERR",0)))</f>
        <v/>
      </c>
      <c r="Q314" s="90">
        <f ca="1">VALUE(_xlfn.XLOOKUP($A314,Строчный!$A:$A,Строчный!N:N,"ERR",0))</f>
        <v>975.8</v>
      </c>
      <c r="R314" s="89" t="str">
        <f ca="1">_xlfn.XLOOKUP($G314,Фабрика!A:A,Фабрика!B:B,"ERR",0)</f>
        <v>ООО "ФРЭДРИКСОН" Россия 192029, С-Петербург, пр. Обуховской обороны, д.86, лит М</v>
      </c>
      <c r="S314" s="80" t="str">
        <f ca="1">_xlfn.XLOOKUP(RIGHT(AA314,2),Размеры!D:D,Размеры!A:A,"ERR",0)</f>
        <v>60</v>
      </c>
      <c r="T314" s="80">
        <f ca="1">VALUE(_xlfn.XLOOKUP($AA314,Строчный!$S:$S,Строчный!U:U,"ERR",0))</f>
        <v>11</v>
      </c>
      <c r="U314" s="14" t="s">
        <v>265</v>
      </c>
      <c r="V314" s="101" t="str">
        <f t="shared" ca="1" si="26"/>
        <v>Кепка FREDRIKSON арт. 3101 (бежевый / коричневый)</v>
      </c>
      <c r="W314" s="100" t="str">
        <f t="shared" ca="1" si="27"/>
        <v>Кепка FREDRIKSON арт. 3101 (бежевый / коричневый) {667/57}</v>
      </c>
      <c r="X314" s="18" t="str">
        <f t="shared" ca="1" si="28"/>
        <v>бежевый</v>
      </c>
      <c r="Y314" s="18" t="str">
        <f t="shared" ca="1" si="29"/>
        <v>коричневый</v>
      </c>
      <c r="Z314" s="117" t="s">
        <v>27</v>
      </c>
      <c r="AA314" s="73" t="str">
        <f ca="1"/>
        <v>95-004-73-60</v>
      </c>
      <c r="AB314" s="75" t="str">
        <f ca="1">VLOOKUP(C314,Группа!A:B,2,FALSE)</f>
        <v>Кепка</v>
      </c>
      <c r="AC314" s="97" t="str">
        <f ca="1">IFERROR(VLOOKUP(S314,Размеры!A:C,3,FALSE),"")</f>
        <v>60 L/XL</v>
      </c>
      <c r="AD314" s="97" t="str">
        <f ca="1">VLOOKUP(I314,ЦветПолный!A:B,2,FALSE)</f>
        <v>73</v>
      </c>
      <c r="AE314" s="97" t="str">
        <f ca="1">IFERROR(VLOOKUP(S314,Размеры!A:D,4,FALSE),"")</f>
        <v>60</v>
      </c>
      <c r="AF314" s="97">
        <f ca="1">IF(LEFT(IFERROR(VLOOKUP(LOOKUP(2,1/SEARCH(B314,Товары!A:A),Товары!A:A),Товары!A:B,2,0),""),6)=MID(AA314,1,6),1,0)</f>
        <v>0</v>
      </c>
      <c r="AH314" s="97">
        <f ca="1">SUMIF(Группа!A:A,C314,Группа!C:C)</f>
        <v>1</v>
      </c>
      <c r="AI314" s="97">
        <f ca="1">SUMIF(Группа!B:B,AB314,Группа!C:C)</f>
        <v>1</v>
      </c>
      <c r="AJ314" s="97">
        <f ca="1">SUMIF(Формы!A:A,D314,Формы!B:B)</f>
        <v>1</v>
      </c>
      <c r="AK314" s="97">
        <f ca="1">SUMIF(Материал!A:A,K314,Материал!B:B)</f>
        <v>1</v>
      </c>
      <c r="AL314" s="97">
        <f ca="1">SUMIF(Размеры!A:A,S314,Размеры!E:E)</f>
        <v>1</v>
      </c>
      <c r="AM314" s="97">
        <f ca="1">SUMIF(Сезон!A:A,F314,Сезон!B:B)</f>
        <v>1</v>
      </c>
      <c r="AN314" s="97">
        <f ca="1">SUMIF(Состав!A:A,J314,Состав!B:B)</f>
        <v>0</v>
      </c>
      <c r="AO314" s="97">
        <f ca="1">VLOOKUP(I314,ЦветПолный!A:C,3,0)</f>
        <v>1</v>
      </c>
      <c r="AP314" s="97">
        <f>SUMIF(Цвет!A:A,Z314,Цвет!B:B)</f>
        <v>1</v>
      </c>
      <c r="AQ314" s="97">
        <f ca="1">_xlfn.XLOOKUP(L314,Пол!A:A,Пол!B:B,0,0)</f>
        <v>1</v>
      </c>
      <c r="AR314" s="97">
        <f ca="1">SUMIF(Бренд!A:A,G314,Бренд!B:B)</f>
        <v>1</v>
      </c>
      <c r="AS314" s="97">
        <f ca="1">SUMIF(Страна!A:A,M314,Страна!B:B)</f>
        <v>1</v>
      </c>
      <c r="AT314" s="64" t="e">
        <f ca="1">IF(VLOOKUP(W314,Товары!A:B,2,FALSE)=A314,"Есть в 1С","ERR")</f>
        <v>#N/A</v>
      </c>
      <c r="AU314" s="65" t="e">
        <f ca="1">IF(VLOOKUP(A314,Товары!B:B,1,FALSE)=A314,"Есть в 1С","ERR")</f>
        <v>#N/A</v>
      </c>
      <c r="AV314" s="96" t="e">
        <f ca="1">VLOOKUP(W314,Товары!A:B,2,FALSE)</f>
        <v>#N/A</v>
      </c>
      <c r="AW314" s="94" t="e">
        <f ca="1">VLOOKUP(W314,Товары!A:B,1,FALSE)</f>
        <v>#N/A</v>
      </c>
    </row>
    <row r="315" spans="1:49" x14ac:dyDescent="0.25">
      <c r="A315" s="110" t="str">
        <f t="shared" ca="1" si="25"/>
        <v>95-004-73</v>
      </c>
      <c r="B315" s="107" t="str">
        <f ca="1">_xlfn.LET(_xlpm.CAPS,0,_xlpm.Style,TRIM(_xlfn.XLOOKUP($A315,Строчный!$A:$A,Строчный!B:B,"ERR",0)),IF(_xlpm.CAPS=0,_xlpm.Style,LOWER(_xlpm.Style)))</f>
        <v>3101</v>
      </c>
      <c r="C315" s="81" t="str">
        <f ca="1">TRIM(PROPER(_xlfn.XLOOKUP($A315,Строчный!$A:$A,Строчный!C:C,"ERR",0)))</f>
        <v>Кепки</v>
      </c>
      <c r="D315" s="81" t="str">
        <f ca="1">_xlfn.LET(_xlpm.DATA,TRIM(_xlfn.XLOOKUP($A315,Строчный!$A:$A,Строчный!D:D,"ERR",0)),UPPER(MID(_xlpm.DATA,1,1))&amp;LOWER(MID(_xlpm.DATA,2,LEN(_xlpm.DATA)-1)))</f>
        <v>Кепка восьмиклинка</v>
      </c>
      <c r="E315" s="81" t="str">
        <f ca="1">PROPER(TRIM(_xlfn.XLOOKUP($A315,Строчный!$A:$A,Строчный!E:E,"ERR",0)))</f>
        <v>Fredrikson</v>
      </c>
      <c r="F315" s="81" t="str">
        <f ca="1">LOWER(TRIM(_xlfn.XLOOKUP($A315,Строчный!$A:$A,Строчный!F:F,"ERR",0)))</f>
        <v>всесезон</v>
      </c>
      <c r="G315" s="81" t="str">
        <f ca="1">UPPER(TRIM(_xlfn.XLOOKUP($A315,Строчный!$A:$A,Строчный!G:G,"ERR",0)))</f>
        <v>FREDRIKSON</v>
      </c>
      <c r="H315" s="81" t="str">
        <f ca="1">LOWER(TRIM(_xlfn.XLOOKUP($A315,Строчный!$A:$A,Строчный!H:H,"ERR",0)))</f>
        <v>667/57</v>
      </c>
      <c r="I315" s="81" t="str">
        <f ca="1">LOWER(TRIM(_xlfn.XLOOKUP($A315,Строчный!$A:$A,Строчный!I:I,"ERR",0)))</f>
        <v>бежевый / коричневый</v>
      </c>
      <c r="J315" s="81" t="str">
        <f ca="1">SUBSTITUTE(LOWER(TRIM(_xlfn.XLOOKUP($A315,Строчный!$A:$A,Строчный!J:J,"ERR",0))),"подклад","Подклад")</f>
        <v>80% шерсть - 20% полиамид / Подклад: 100% вискоза</v>
      </c>
      <c r="K315" s="81" t="str">
        <f ca="1">LOWER(TRIM(_xlfn.XLOOKUP($A315,Строчный!$A:$A,Строчный!K:K,"ERR",0)))</f>
        <v>шерстяные</v>
      </c>
      <c r="L315" s="81" t="str">
        <f ca="1">PROPER(TRIM(_xlfn.XLOOKUP($A315,Строчный!$A:$A,Строчный!L:L,"ERR",0)))</f>
        <v>Унисекс</v>
      </c>
      <c r="M315" s="113" t="str">
        <f ca="1">PROPER(TRIM(_xlfn.XLOOKUP($A315,Строчный!$A:$A,Строчный!M:M,"ERR",0)))</f>
        <v>Россия</v>
      </c>
      <c r="N315" s="81" t="str">
        <f ca="1">UPPER(TRIM(_xlfn.XLOOKUP($A315,Строчный!$A:$A,Строчный!O:O,"ERR",0)))</f>
        <v/>
      </c>
      <c r="O315" s="102" t="str">
        <f ca="1">PROPER(TRIM(_xlfn.XLOOKUP($A315,Строчный!$A:$A,Строчный!P:P,"ERR",0)))</f>
        <v/>
      </c>
      <c r="P315" s="81" t="str">
        <f ca="1">PROPER(TRIM(_xlfn.XLOOKUP($A315,Строчный!$A:$A,Строчный!R:R,"ERR",0)))</f>
        <v/>
      </c>
      <c r="Q315" s="90">
        <f ca="1">VALUE(_xlfn.XLOOKUP($A315,Строчный!$A:$A,Строчный!N:N,"ERR",0))</f>
        <v>975.8</v>
      </c>
      <c r="R315" s="89" t="str">
        <f ca="1">_xlfn.XLOOKUP($G315,Фабрика!A:A,Фабрика!B:B,"ERR",0)</f>
        <v>ООО "ФРЭДРИКСОН" Россия 192029, С-Петербург, пр. Обуховской обороны, д.86, лит М</v>
      </c>
      <c r="S315" s="80" t="str">
        <f ca="1">_xlfn.XLOOKUP(RIGHT(AA315,2),Размеры!D:D,Размеры!A:A,"ERR",0)</f>
        <v>59</v>
      </c>
      <c r="T315" s="80">
        <f ca="1">VALUE(_xlfn.XLOOKUP($AA315,Строчный!$S:$S,Строчный!U:U,"ERR",0))</f>
        <v>14</v>
      </c>
      <c r="U315" s="14" t="s">
        <v>265</v>
      </c>
      <c r="V315" s="101" t="str">
        <f t="shared" ca="1" si="26"/>
        <v>Кепка FREDRIKSON арт. 3101 (бежевый / коричневый)</v>
      </c>
      <c r="W315" s="100" t="str">
        <f t="shared" ca="1" si="27"/>
        <v>Кепка FREDRIKSON арт. 3101 (бежевый / коричневый) {667/57}</v>
      </c>
      <c r="X315" s="18" t="str">
        <f t="shared" ca="1" si="28"/>
        <v>бежевый</v>
      </c>
      <c r="Y315" s="18" t="str">
        <f t="shared" ca="1" si="29"/>
        <v>коричневый</v>
      </c>
      <c r="Z315" s="117" t="s">
        <v>27</v>
      </c>
      <c r="AA315" s="73" t="str">
        <f ca="1"/>
        <v>95-004-73-59</v>
      </c>
      <c r="AB315" s="75" t="str">
        <f ca="1">VLOOKUP(C315,Группа!A:B,2,FALSE)</f>
        <v>Кепка</v>
      </c>
      <c r="AC315" s="97" t="str">
        <f ca="1">IFERROR(VLOOKUP(S315,Размеры!A:C,3,FALSE),"")</f>
        <v>59 L</v>
      </c>
      <c r="AD315" s="97" t="str">
        <f ca="1">VLOOKUP(I315,ЦветПолный!A:B,2,FALSE)</f>
        <v>73</v>
      </c>
      <c r="AE315" s="97" t="str">
        <f ca="1">IFERROR(VLOOKUP(S315,Размеры!A:D,4,FALSE),"")</f>
        <v>59</v>
      </c>
      <c r="AF315" s="97">
        <f ca="1">IF(LEFT(IFERROR(VLOOKUP(LOOKUP(2,1/SEARCH(B315,Товары!A:A),Товары!A:A),Товары!A:B,2,0),""),6)=MID(AA315,1,6),1,0)</f>
        <v>0</v>
      </c>
      <c r="AH315" s="97">
        <f ca="1">SUMIF(Группа!A:A,C315,Группа!C:C)</f>
        <v>1</v>
      </c>
      <c r="AI315" s="97">
        <f ca="1">SUMIF(Группа!B:B,AB315,Группа!C:C)</f>
        <v>1</v>
      </c>
      <c r="AJ315" s="97">
        <f ca="1">SUMIF(Формы!A:A,D315,Формы!B:B)</f>
        <v>1</v>
      </c>
      <c r="AK315" s="97">
        <f ca="1">SUMIF(Материал!A:A,K315,Материал!B:B)</f>
        <v>1</v>
      </c>
      <c r="AL315" s="97">
        <f ca="1">SUMIF(Размеры!A:A,S315,Размеры!E:E)</f>
        <v>1</v>
      </c>
      <c r="AM315" s="97">
        <f ca="1">SUMIF(Сезон!A:A,F315,Сезон!B:B)</f>
        <v>1</v>
      </c>
      <c r="AN315" s="97">
        <f ca="1">SUMIF(Состав!A:A,J315,Состав!B:B)</f>
        <v>0</v>
      </c>
      <c r="AO315" s="97">
        <f ca="1">VLOOKUP(I315,ЦветПолный!A:C,3,0)</f>
        <v>1</v>
      </c>
      <c r="AP315" s="97">
        <f>SUMIF(Цвет!A:A,Z315,Цвет!B:B)</f>
        <v>1</v>
      </c>
      <c r="AQ315" s="97">
        <f ca="1">_xlfn.XLOOKUP(L315,Пол!A:A,Пол!B:B,0,0)</f>
        <v>1</v>
      </c>
      <c r="AR315" s="97">
        <f ca="1">SUMIF(Бренд!A:A,G315,Бренд!B:B)</f>
        <v>1</v>
      </c>
      <c r="AS315" s="97">
        <f ca="1">SUMIF(Страна!A:A,M315,Страна!B:B)</f>
        <v>1</v>
      </c>
      <c r="AT315" s="64" t="e">
        <f ca="1">IF(VLOOKUP(W315,Товары!A:B,2,FALSE)=A315,"Есть в 1С","ERR")</f>
        <v>#N/A</v>
      </c>
      <c r="AU315" s="65" t="e">
        <f ca="1">IF(VLOOKUP(A315,Товары!B:B,1,FALSE)=A315,"Есть в 1С","ERR")</f>
        <v>#N/A</v>
      </c>
      <c r="AV315" s="96" t="e">
        <f ca="1">VLOOKUP(W315,Товары!A:B,2,FALSE)</f>
        <v>#N/A</v>
      </c>
      <c r="AW315" s="94" t="e">
        <f ca="1">VLOOKUP(W315,Товары!A:B,1,FALSE)</f>
        <v>#N/A</v>
      </c>
    </row>
    <row r="316" spans="1:49" x14ac:dyDescent="0.25">
      <c r="A316" s="110" t="str">
        <f t="shared" ca="1" si="25"/>
        <v>95-004-73</v>
      </c>
      <c r="B316" s="107" t="str">
        <f ca="1">_xlfn.LET(_xlpm.CAPS,0,_xlpm.Style,TRIM(_xlfn.XLOOKUP($A316,Строчный!$A:$A,Строчный!B:B,"ERR",0)),IF(_xlpm.CAPS=0,_xlpm.Style,LOWER(_xlpm.Style)))</f>
        <v>3101</v>
      </c>
      <c r="C316" s="81" t="str">
        <f ca="1">TRIM(PROPER(_xlfn.XLOOKUP($A316,Строчный!$A:$A,Строчный!C:C,"ERR",0)))</f>
        <v>Кепки</v>
      </c>
      <c r="D316" s="81" t="str">
        <f ca="1">_xlfn.LET(_xlpm.DATA,TRIM(_xlfn.XLOOKUP($A316,Строчный!$A:$A,Строчный!D:D,"ERR",0)),UPPER(MID(_xlpm.DATA,1,1))&amp;LOWER(MID(_xlpm.DATA,2,LEN(_xlpm.DATA)-1)))</f>
        <v>Кепка восьмиклинка</v>
      </c>
      <c r="E316" s="81" t="str">
        <f ca="1">PROPER(TRIM(_xlfn.XLOOKUP($A316,Строчный!$A:$A,Строчный!E:E,"ERR",0)))</f>
        <v>Fredrikson</v>
      </c>
      <c r="F316" s="81" t="str">
        <f ca="1">LOWER(TRIM(_xlfn.XLOOKUP($A316,Строчный!$A:$A,Строчный!F:F,"ERR",0)))</f>
        <v>всесезон</v>
      </c>
      <c r="G316" s="81" t="str">
        <f ca="1">UPPER(TRIM(_xlfn.XLOOKUP($A316,Строчный!$A:$A,Строчный!G:G,"ERR",0)))</f>
        <v>FREDRIKSON</v>
      </c>
      <c r="H316" s="81" t="str">
        <f ca="1">LOWER(TRIM(_xlfn.XLOOKUP($A316,Строчный!$A:$A,Строчный!H:H,"ERR",0)))</f>
        <v>667/57</v>
      </c>
      <c r="I316" s="81" t="str">
        <f ca="1">LOWER(TRIM(_xlfn.XLOOKUP($A316,Строчный!$A:$A,Строчный!I:I,"ERR",0)))</f>
        <v>бежевый / коричневый</v>
      </c>
      <c r="J316" s="81" t="str">
        <f ca="1">SUBSTITUTE(LOWER(TRIM(_xlfn.XLOOKUP($A316,Строчный!$A:$A,Строчный!J:J,"ERR",0))),"подклад","Подклад")</f>
        <v>80% шерсть - 20% полиамид / Подклад: 100% вискоза</v>
      </c>
      <c r="K316" s="81" t="str">
        <f ca="1">LOWER(TRIM(_xlfn.XLOOKUP($A316,Строчный!$A:$A,Строчный!K:K,"ERR",0)))</f>
        <v>шерстяные</v>
      </c>
      <c r="L316" s="81" t="str">
        <f ca="1">PROPER(TRIM(_xlfn.XLOOKUP($A316,Строчный!$A:$A,Строчный!L:L,"ERR",0)))</f>
        <v>Унисекс</v>
      </c>
      <c r="M316" s="113" t="str">
        <f ca="1">PROPER(TRIM(_xlfn.XLOOKUP($A316,Строчный!$A:$A,Строчный!M:M,"ERR",0)))</f>
        <v>Россия</v>
      </c>
      <c r="N316" s="81" t="str">
        <f ca="1">UPPER(TRIM(_xlfn.XLOOKUP($A316,Строчный!$A:$A,Строчный!O:O,"ERR",0)))</f>
        <v/>
      </c>
      <c r="O316" s="102" t="str">
        <f ca="1">PROPER(TRIM(_xlfn.XLOOKUP($A316,Строчный!$A:$A,Строчный!P:P,"ERR",0)))</f>
        <v/>
      </c>
      <c r="P316" s="81" t="str">
        <f ca="1">PROPER(TRIM(_xlfn.XLOOKUP($A316,Строчный!$A:$A,Строчный!R:R,"ERR",0)))</f>
        <v/>
      </c>
      <c r="Q316" s="90">
        <f ca="1">VALUE(_xlfn.XLOOKUP($A316,Строчный!$A:$A,Строчный!N:N,"ERR",0))</f>
        <v>975.8</v>
      </c>
      <c r="R316" s="89" t="str">
        <f ca="1">_xlfn.XLOOKUP($G316,Фабрика!A:A,Фабрика!B:B,"ERR",0)</f>
        <v>ООО "ФРЭДРИКСОН" Россия 192029, С-Петербург, пр. Обуховской обороны, д.86, лит М</v>
      </c>
      <c r="S316" s="80" t="str">
        <f ca="1">_xlfn.XLOOKUP(RIGHT(AA316,2),Размеры!D:D,Размеры!A:A,"ERR",0)</f>
        <v>58</v>
      </c>
      <c r="T316" s="80">
        <f ca="1">VALUE(_xlfn.XLOOKUP($AA316,Строчный!$S:$S,Строчный!U:U,"ERR",0))</f>
        <v>12</v>
      </c>
      <c r="U316" s="14" t="s">
        <v>265</v>
      </c>
      <c r="V316" s="101" t="str">
        <f t="shared" ca="1" si="26"/>
        <v>Кепка FREDRIKSON арт. 3101 (бежевый / коричневый)</v>
      </c>
      <c r="W316" s="100" t="str">
        <f t="shared" ca="1" si="27"/>
        <v>Кепка FREDRIKSON арт. 3101 (бежевый / коричневый) {667/57}</v>
      </c>
      <c r="X316" s="18" t="str">
        <f t="shared" ca="1" si="28"/>
        <v>бежевый</v>
      </c>
      <c r="Y316" s="18" t="str">
        <f t="shared" ca="1" si="29"/>
        <v>коричневый</v>
      </c>
      <c r="Z316" s="117" t="s">
        <v>27</v>
      </c>
      <c r="AA316" s="73" t="str">
        <f ca="1"/>
        <v>95-004-73-58</v>
      </c>
      <c r="AB316" s="75" t="str">
        <f ca="1">VLOOKUP(C316,Группа!A:B,2,FALSE)</f>
        <v>Кепка</v>
      </c>
      <c r="AC316" s="97" t="str">
        <f ca="1">IFERROR(VLOOKUP(S316,Размеры!A:C,3,FALSE),"")</f>
        <v>58 M/L</v>
      </c>
      <c r="AD316" s="97" t="str">
        <f ca="1">VLOOKUP(I316,ЦветПолный!A:B,2,FALSE)</f>
        <v>73</v>
      </c>
      <c r="AE316" s="97" t="str">
        <f ca="1">IFERROR(VLOOKUP(S316,Размеры!A:D,4,FALSE),"")</f>
        <v>58</v>
      </c>
      <c r="AF316" s="97">
        <f ca="1">IF(LEFT(IFERROR(VLOOKUP(LOOKUP(2,1/SEARCH(B316,Товары!A:A),Товары!A:A),Товары!A:B,2,0),""),6)=MID(AA316,1,6),1,0)</f>
        <v>0</v>
      </c>
      <c r="AH316" s="97">
        <f ca="1">SUMIF(Группа!A:A,C316,Группа!C:C)</f>
        <v>1</v>
      </c>
      <c r="AI316" s="97">
        <f ca="1">SUMIF(Группа!B:B,AB316,Группа!C:C)</f>
        <v>1</v>
      </c>
      <c r="AJ316" s="97">
        <f ca="1">SUMIF(Формы!A:A,D316,Формы!B:B)</f>
        <v>1</v>
      </c>
      <c r="AK316" s="97">
        <f ca="1">SUMIF(Материал!A:A,K316,Материал!B:B)</f>
        <v>1</v>
      </c>
      <c r="AL316" s="97">
        <f ca="1">SUMIF(Размеры!A:A,S316,Размеры!E:E)</f>
        <v>1</v>
      </c>
      <c r="AM316" s="97">
        <f ca="1">SUMIF(Сезон!A:A,F316,Сезон!B:B)</f>
        <v>1</v>
      </c>
      <c r="AN316" s="97">
        <f ca="1">SUMIF(Состав!A:A,J316,Состав!B:B)</f>
        <v>0</v>
      </c>
      <c r="AO316" s="97">
        <f ca="1">VLOOKUP(I316,ЦветПолный!A:C,3,0)</f>
        <v>1</v>
      </c>
      <c r="AP316" s="97">
        <f>SUMIF(Цвет!A:A,Z316,Цвет!B:B)</f>
        <v>1</v>
      </c>
      <c r="AQ316" s="97">
        <f ca="1">_xlfn.XLOOKUP(L316,Пол!A:A,Пол!B:B,0,0)</f>
        <v>1</v>
      </c>
      <c r="AR316" s="97">
        <f ca="1">SUMIF(Бренд!A:A,G316,Бренд!B:B)</f>
        <v>1</v>
      </c>
      <c r="AS316" s="97">
        <f ca="1">SUMIF(Страна!A:A,M316,Страна!B:B)</f>
        <v>1</v>
      </c>
      <c r="AT316" s="64" t="e">
        <f ca="1">IF(VLOOKUP(W316,Товары!A:B,2,FALSE)=A316,"Есть в 1С","ERR")</f>
        <v>#N/A</v>
      </c>
      <c r="AU316" s="65" t="e">
        <f ca="1">IF(VLOOKUP(A316,Товары!B:B,1,FALSE)=A316,"Есть в 1С","ERR")</f>
        <v>#N/A</v>
      </c>
      <c r="AV316" s="96" t="e">
        <f ca="1">VLOOKUP(W316,Товары!A:B,2,FALSE)</f>
        <v>#N/A</v>
      </c>
      <c r="AW316" s="94" t="e">
        <f ca="1">VLOOKUP(W316,Товары!A:B,1,FALSE)</f>
        <v>#N/A</v>
      </c>
    </row>
    <row r="317" spans="1:49" x14ac:dyDescent="0.25">
      <c r="A317" s="110" t="str">
        <f t="shared" ca="1" si="25"/>
        <v>95-004-73</v>
      </c>
      <c r="B317" s="107" t="str">
        <f ca="1">_xlfn.LET(_xlpm.CAPS,0,_xlpm.Style,TRIM(_xlfn.XLOOKUP($A317,Строчный!$A:$A,Строчный!B:B,"ERR",0)),IF(_xlpm.CAPS=0,_xlpm.Style,LOWER(_xlpm.Style)))</f>
        <v>3101</v>
      </c>
      <c r="C317" s="81" t="str">
        <f ca="1">TRIM(PROPER(_xlfn.XLOOKUP($A317,Строчный!$A:$A,Строчный!C:C,"ERR",0)))</f>
        <v>Кепки</v>
      </c>
      <c r="D317" s="81" t="str">
        <f ca="1">_xlfn.LET(_xlpm.DATA,TRIM(_xlfn.XLOOKUP($A317,Строчный!$A:$A,Строчный!D:D,"ERR",0)),UPPER(MID(_xlpm.DATA,1,1))&amp;LOWER(MID(_xlpm.DATA,2,LEN(_xlpm.DATA)-1)))</f>
        <v>Кепка восьмиклинка</v>
      </c>
      <c r="E317" s="81" t="str">
        <f ca="1">PROPER(TRIM(_xlfn.XLOOKUP($A317,Строчный!$A:$A,Строчный!E:E,"ERR",0)))</f>
        <v>Fredrikson</v>
      </c>
      <c r="F317" s="81" t="str">
        <f ca="1">LOWER(TRIM(_xlfn.XLOOKUP($A317,Строчный!$A:$A,Строчный!F:F,"ERR",0)))</f>
        <v>всесезон</v>
      </c>
      <c r="G317" s="81" t="str">
        <f ca="1">UPPER(TRIM(_xlfn.XLOOKUP($A317,Строчный!$A:$A,Строчный!G:G,"ERR",0)))</f>
        <v>FREDRIKSON</v>
      </c>
      <c r="H317" s="81" t="str">
        <f ca="1">LOWER(TRIM(_xlfn.XLOOKUP($A317,Строчный!$A:$A,Строчный!H:H,"ERR",0)))</f>
        <v>667/57</v>
      </c>
      <c r="I317" s="81" t="str">
        <f ca="1">LOWER(TRIM(_xlfn.XLOOKUP($A317,Строчный!$A:$A,Строчный!I:I,"ERR",0)))</f>
        <v>бежевый / коричневый</v>
      </c>
      <c r="J317" s="81" t="str">
        <f ca="1">SUBSTITUTE(LOWER(TRIM(_xlfn.XLOOKUP($A317,Строчный!$A:$A,Строчный!J:J,"ERR",0))),"подклад","Подклад")</f>
        <v>80% шерсть - 20% полиамид / Подклад: 100% вискоза</v>
      </c>
      <c r="K317" s="81" t="str">
        <f ca="1">LOWER(TRIM(_xlfn.XLOOKUP($A317,Строчный!$A:$A,Строчный!K:K,"ERR",0)))</f>
        <v>шерстяные</v>
      </c>
      <c r="L317" s="81" t="str">
        <f ca="1">PROPER(TRIM(_xlfn.XLOOKUP($A317,Строчный!$A:$A,Строчный!L:L,"ERR",0)))</f>
        <v>Унисекс</v>
      </c>
      <c r="M317" s="113" t="str">
        <f ca="1">PROPER(TRIM(_xlfn.XLOOKUP($A317,Строчный!$A:$A,Строчный!M:M,"ERR",0)))</f>
        <v>Россия</v>
      </c>
      <c r="N317" s="81" t="str">
        <f ca="1">UPPER(TRIM(_xlfn.XLOOKUP($A317,Строчный!$A:$A,Строчный!O:O,"ERR",0)))</f>
        <v/>
      </c>
      <c r="O317" s="102" t="str">
        <f ca="1">PROPER(TRIM(_xlfn.XLOOKUP($A317,Строчный!$A:$A,Строчный!P:P,"ERR",0)))</f>
        <v/>
      </c>
      <c r="P317" s="81" t="str">
        <f ca="1">PROPER(TRIM(_xlfn.XLOOKUP($A317,Строчный!$A:$A,Строчный!R:R,"ERR",0)))</f>
        <v/>
      </c>
      <c r="Q317" s="90">
        <f ca="1">VALUE(_xlfn.XLOOKUP($A317,Строчный!$A:$A,Строчный!N:N,"ERR",0))</f>
        <v>975.8</v>
      </c>
      <c r="R317" s="89" t="str">
        <f ca="1">_xlfn.XLOOKUP($G317,Фабрика!A:A,Фабрика!B:B,"ERR",0)</f>
        <v>ООО "ФРЭДРИКСОН" Россия 192029, С-Петербург, пр. Обуховской обороны, д.86, лит М</v>
      </c>
      <c r="S317" s="80" t="str">
        <f ca="1">_xlfn.XLOOKUP(RIGHT(AA317,2),Размеры!D:D,Размеры!A:A,"ERR",0)</f>
        <v>57</v>
      </c>
      <c r="T317" s="80">
        <f ca="1">VALUE(_xlfn.XLOOKUP($AA317,Строчный!$S:$S,Строчный!U:U,"ERR",0))</f>
        <v>8</v>
      </c>
      <c r="U317" s="14" t="s">
        <v>265</v>
      </c>
      <c r="V317" s="101" t="str">
        <f t="shared" ca="1" si="26"/>
        <v>Кепка FREDRIKSON арт. 3101 (бежевый / коричневый)</v>
      </c>
      <c r="W317" s="100" t="str">
        <f t="shared" ca="1" si="27"/>
        <v>Кепка FREDRIKSON арт. 3101 (бежевый / коричневый) {667/57}</v>
      </c>
      <c r="X317" s="18" t="str">
        <f t="shared" ca="1" si="28"/>
        <v>бежевый</v>
      </c>
      <c r="Y317" s="18" t="str">
        <f t="shared" ca="1" si="29"/>
        <v>коричневый</v>
      </c>
      <c r="Z317" s="117" t="s">
        <v>27</v>
      </c>
      <c r="AA317" s="73" t="str">
        <f ca="1"/>
        <v>95-004-73-57</v>
      </c>
      <c r="AB317" s="75" t="str">
        <f ca="1">VLOOKUP(C317,Группа!A:B,2,FALSE)</f>
        <v>Кепка</v>
      </c>
      <c r="AC317" s="97" t="str">
        <f ca="1">IFERROR(VLOOKUP(S317,Размеры!A:C,3,FALSE),"")</f>
        <v>57 M</v>
      </c>
      <c r="AD317" s="97" t="str">
        <f ca="1">VLOOKUP(I317,ЦветПолный!A:B,2,FALSE)</f>
        <v>73</v>
      </c>
      <c r="AE317" s="97" t="str">
        <f ca="1">IFERROR(VLOOKUP(S317,Размеры!A:D,4,FALSE),"")</f>
        <v>57</v>
      </c>
      <c r="AF317" s="97">
        <f ca="1">IF(LEFT(IFERROR(VLOOKUP(LOOKUP(2,1/SEARCH(B317,Товары!A:A),Товары!A:A),Товары!A:B,2,0),""),6)=MID(AA317,1,6),1,0)</f>
        <v>0</v>
      </c>
      <c r="AH317" s="97">
        <f ca="1">SUMIF(Группа!A:A,C317,Группа!C:C)</f>
        <v>1</v>
      </c>
      <c r="AI317" s="97">
        <f ca="1">SUMIF(Группа!B:B,AB317,Группа!C:C)</f>
        <v>1</v>
      </c>
      <c r="AJ317" s="97">
        <f ca="1">SUMIF(Формы!A:A,D317,Формы!B:B)</f>
        <v>1</v>
      </c>
      <c r="AK317" s="97">
        <f ca="1">SUMIF(Материал!A:A,K317,Материал!B:B)</f>
        <v>1</v>
      </c>
      <c r="AL317" s="97">
        <f ca="1">SUMIF(Размеры!A:A,S317,Размеры!E:E)</f>
        <v>1</v>
      </c>
      <c r="AM317" s="97">
        <f ca="1">SUMIF(Сезон!A:A,F317,Сезон!B:B)</f>
        <v>1</v>
      </c>
      <c r="AN317" s="97">
        <f ca="1">SUMIF(Состав!A:A,J317,Состав!B:B)</f>
        <v>0</v>
      </c>
      <c r="AO317" s="97">
        <f ca="1">VLOOKUP(I317,ЦветПолный!A:C,3,0)</f>
        <v>1</v>
      </c>
      <c r="AP317" s="97">
        <f>SUMIF(Цвет!A:A,Z317,Цвет!B:B)</f>
        <v>1</v>
      </c>
      <c r="AQ317" s="97">
        <f ca="1">_xlfn.XLOOKUP(L317,Пол!A:A,Пол!B:B,0,0)</f>
        <v>1</v>
      </c>
      <c r="AR317" s="97">
        <f ca="1">SUMIF(Бренд!A:A,G317,Бренд!B:B)</f>
        <v>1</v>
      </c>
      <c r="AS317" s="97">
        <f ca="1">SUMIF(Страна!A:A,M317,Страна!B:B)</f>
        <v>1</v>
      </c>
      <c r="AT317" s="64" t="e">
        <f ca="1">IF(VLOOKUP(W317,Товары!A:B,2,FALSE)=A317,"Есть в 1С","ERR")</f>
        <v>#N/A</v>
      </c>
      <c r="AU317" s="65" t="e">
        <f ca="1">IF(VLOOKUP(A317,Товары!B:B,1,FALSE)=A317,"Есть в 1С","ERR")</f>
        <v>#N/A</v>
      </c>
      <c r="AV317" s="96" t="e">
        <f ca="1">VLOOKUP(W317,Товары!A:B,2,FALSE)</f>
        <v>#N/A</v>
      </c>
      <c r="AW317" s="94" t="e">
        <f ca="1">VLOOKUP(W317,Товары!A:B,1,FALSE)</f>
        <v>#N/A</v>
      </c>
    </row>
    <row r="318" spans="1:49" x14ac:dyDescent="0.25">
      <c r="A318" s="110" t="str">
        <f t="shared" ca="1" si="25"/>
        <v>95-004-73</v>
      </c>
      <c r="B318" s="107" t="str">
        <f ca="1">_xlfn.LET(_xlpm.CAPS,0,_xlpm.Style,TRIM(_xlfn.XLOOKUP($A318,Строчный!$A:$A,Строчный!B:B,"ERR",0)),IF(_xlpm.CAPS=0,_xlpm.Style,LOWER(_xlpm.Style)))</f>
        <v>3101</v>
      </c>
      <c r="C318" s="81" t="str">
        <f ca="1">TRIM(PROPER(_xlfn.XLOOKUP($A318,Строчный!$A:$A,Строчный!C:C,"ERR",0)))</f>
        <v>Кепки</v>
      </c>
      <c r="D318" s="81" t="str">
        <f ca="1">_xlfn.LET(_xlpm.DATA,TRIM(_xlfn.XLOOKUP($A318,Строчный!$A:$A,Строчный!D:D,"ERR",0)),UPPER(MID(_xlpm.DATA,1,1))&amp;LOWER(MID(_xlpm.DATA,2,LEN(_xlpm.DATA)-1)))</f>
        <v>Кепка восьмиклинка</v>
      </c>
      <c r="E318" s="81" t="str">
        <f ca="1">PROPER(TRIM(_xlfn.XLOOKUP($A318,Строчный!$A:$A,Строчный!E:E,"ERR",0)))</f>
        <v>Fredrikson</v>
      </c>
      <c r="F318" s="81" t="str">
        <f ca="1">LOWER(TRIM(_xlfn.XLOOKUP($A318,Строчный!$A:$A,Строчный!F:F,"ERR",0)))</f>
        <v>всесезон</v>
      </c>
      <c r="G318" s="81" t="str">
        <f ca="1">UPPER(TRIM(_xlfn.XLOOKUP($A318,Строчный!$A:$A,Строчный!G:G,"ERR",0)))</f>
        <v>FREDRIKSON</v>
      </c>
      <c r="H318" s="81" t="str">
        <f ca="1">LOWER(TRIM(_xlfn.XLOOKUP($A318,Строчный!$A:$A,Строчный!H:H,"ERR",0)))</f>
        <v>667/57</v>
      </c>
      <c r="I318" s="81" t="str">
        <f ca="1">LOWER(TRIM(_xlfn.XLOOKUP($A318,Строчный!$A:$A,Строчный!I:I,"ERR",0)))</f>
        <v>бежевый / коричневый</v>
      </c>
      <c r="J318" s="81" t="str">
        <f ca="1">SUBSTITUTE(LOWER(TRIM(_xlfn.XLOOKUP($A318,Строчный!$A:$A,Строчный!J:J,"ERR",0))),"подклад","Подклад")</f>
        <v>80% шерсть - 20% полиамид / Подклад: 100% вискоза</v>
      </c>
      <c r="K318" s="81" t="str">
        <f ca="1">LOWER(TRIM(_xlfn.XLOOKUP($A318,Строчный!$A:$A,Строчный!K:K,"ERR",0)))</f>
        <v>шерстяные</v>
      </c>
      <c r="L318" s="81" t="str">
        <f ca="1">PROPER(TRIM(_xlfn.XLOOKUP($A318,Строчный!$A:$A,Строчный!L:L,"ERR",0)))</f>
        <v>Унисекс</v>
      </c>
      <c r="M318" s="113" t="str">
        <f ca="1">PROPER(TRIM(_xlfn.XLOOKUP($A318,Строчный!$A:$A,Строчный!M:M,"ERR",0)))</f>
        <v>Россия</v>
      </c>
      <c r="N318" s="81" t="str">
        <f ca="1">UPPER(TRIM(_xlfn.XLOOKUP($A318,Строчный!$A:$A,Строчный!O:O,"ERR",0)))</f>
        <v/>
      </c>
      <c r="O318" s="102" t="str">
        <f ca="1">PROPER(TRIM(_xlfn.XLOOKUP($A318,Строчный!$A:$A,Строчный!P:P,"ERR",0)))</f>
        <v/>
      </c>
      <c r="P318" s="81" t="str">
        <f ca="1">PROPER(TRIM(_xlfn.XLOOKUP($A318,Строчный!$A:$A,Строчный!R:R,"ERR",0)))</f>
        <v/>
      </c>
      <c r="Q318" s="90">
        <f ca="1">VALUE(_xlfn.XLOOKUP($A318,Строчный!$A:$A,Строчный!N:N,"ERR",0))</f>
        <v>975.8</v>
      </c>
      <c r="R318" s="89" t="str">
        <f ca="1">_xlfn.XLOOKUP($G318,Фабрика!A:A,Фабрика!B:B,"ERR",0)</f>
        <v>ООО "ФРЭДРИКСОН" Россия 192029, С-Петербург, пр. Обуховской обороны, д.86, лит М</v>
      </c>
      <c r="S318" s="80" t="str">
        <f ca="1">_xlfn.XLOOKUP(RIGHT(AA318,2),Размеры!D:D,Размеры!A:A,"ERR",0)</f>
        <v>56</v>
      </c>
      <c r="T318" s="80">
        <f ca="1">VALUE(_xlfn.XLOOKUP($AA318,Строчный!$S:$S,Строчный!U:U,"ERR",0))</f>
        <v>4</v>
      </c>
      <c r="U318" s="14" t="s">
        <v>265</v>
      </c>
      <c r="V318" s="101" t="str">
        <f t="shared" ca="1" si="26"/>
        <v>Кепка FREDRIKSON арт. 3101 (бежевый / коричневый)</v>
      </c>
      <c r="W318" s="100" t="str">
        <f t="shared" ca="1" si="27"/>
        <v>Кепка FREDRIKSON арт. 3101 (бежевый / коричневый) {667/57}</v>
      </c>
      <c r="X318" s="18" t="str">
        <f t="shared" ca="1" si="28"/>
        <v>бежевый</v>
      </c>
      <c r="Y318" s="18" t="str">
        <f t="shared" ca="1" si="29"/>
        <v>коричневый</v>
      </c>
      <c r="Z318" s="117" t="s">
        <v>28</v>
      </c>
      <c r="AA318" s="73" t="str">
        <f ca="1"/>
        <v>95-004-73-56</v>
      </c>
      <c r="AB318" s="75" t="str">
        <f ca="1">VLOOKUP(C318,Группа!A:B,2,FALSE)</f>
        <v>Кепка</v>
      </c>
      <c r="AC318" s="97" t="str">
        <f ca="1">IFERROR(VLOOKUP(S318,Размеры!A:C,3,FALSE),"")</f>
        <v>56 S/M</v>
      </c>
      <c r="AD318" s="97" t="str">
        <f ca="1">VLOOKUP(I318,ЦветПолный!A:B,2,FALSE)</f>
        <v>73</v>
      </c>
      <c r="AE318" s="97" t="str">
        <f ca="1">IFERROR(VLOOKUP(S318,Размеры!A:D,4,FALSE),"")</f>
        <v>56</v>
      </c>
      <c r="AF318" s="97">
        <f ca="1">IF(LEFT(IFERROR(VLOOKUP(LOOKUP(2,1/SEARCH(B318,Товары!A:A),Товары!A:A),Товары!A:B,2,0),""),6)=MID(AA318,1,6),1,0)</f>
        <v>0</v>
      </c>
      <c r="AH318" s="97">
        <f ca="1">SUMIF(Группа!A:A,C318,Группа!C:C)</f>
        <v>1</v>
      </c>
      <c r="AI318" s="97">
        <f ca="1">SUMIF(Группа!B:B,AB318,Группа!C:C)</f>
        <v>1</v>
      </c>
      <c r="AJ318" s="97">
        <f ca="1">SUMIF(Формы!A:A,D318,Формы!B:B)</f>
        <v>1</v>
      </c>
      <c r="AK318" s="97">
        <f ca="1">SUMIF(Материал!A:A,K318,Материал!B:B)</f>
        <v>1</v>
      </c>
      <c r="AL318" s="97">
        <f ca="1">SUMIF(Размеры!A:A,S318,Размеры!E:E)</f>
        <v>1</v>
      </c>
      <c r="AM318" s="97">
        <f ca="1">SUMIF(Сезон!A:A,F318,Сезон!B:B)</f>
        <v>1</v>
      </c>
      <c r="AN318" s="97">
        <f ca="1">SUMIF(Состав!A:A,J318,Состав!B:B)</f>
        <v>0</v>
      </c>
      <c r="AO318" s="97">
        <f ca="1">VLOOKUP(I318,ЦветПолный!A:C,3,0)</f>
        <v>1</v>
      </c>
      <c r="AP318" s="97">
        <f>SUMIF(Цвет!A:A,Z318,Цвет!B:B)</f>
        <v>1</v>
      </c>
      <c r="AQ318" s="97">
        <f ca="1">_xlfn.XLOOKUP(L318,Пол!A:A,Пол!B:B,0,0)</f>
        <v>1</v>
      </c>
      <c r="AR318" s="97">
        <f ca="1">SUMIF(Бренд!A:A,G318,Бренд!B:B)</f>
        <v>1</v>
      </c>
      <c r="AS318" s="97">
        <f ca="1">SUMIF(Страна!A:A,M318,Страна!B:B)</f>
        <v>1</v>
      </c>
      <c r="AT318" s="64" t="e">
        <f ca="1">IF(VLOOKUP(W318,Товары!A:B,2,FALSE)=A318,"Есть в 1С","ERR")</f>
        <v>#N/A</v>
      </c>
      <c r="AU318" s="65" t="e">
        <f ca="1">IF(VLOOKUP(A318,Товары!B:B,1,FALSE)=A318,"Есть в 1С","ERR")</f>
        <v>#N/A</v>
      </c>
      <c r="AV318" s="96" t="e">
        <f ca="1">VLOOKUP(W318,Товары!A:B,2,FALSE)</f>
        <v>#N/A</v>
      </c>
      <c r="AW318" s="94" t="e">
        <f ca="1">VLOOKUP(W318,Товары!A:B,1,FALSE)</f>
        <v>#N/A</v>
      </c>
    </row>
    <row r="319" spans="1:49" x14ac:dyDescent="0.25">
      <c r="A319" s="110" t="str">
        <f t="shared" ca="1" si="25"/>
        <v>95-004-63</v>
      </c>
      <c r="B319" s="107" t="str">
        <f ca="1">_xlfn.LET(_xlpm.CAPS,0,_xlpm.Style,TRIM(_xlfn.XLOOKUP($A319,Строчный!$A:$A,Строчный!B:B,"ERR",0)),IF(_xlpm.CAPS=0,_xlpm.Style,LOWER(_xlpm.Style)))</f>
        <v>3101</v>
      </c>
      <c r="C319" s="81" t="str">
        <f ca="1">TRIM(PROPER(_xlfn.XLOOKUP($A319,Строчный!$A:$A,Строчный!C:C,"ERR",0)))</f>
        <v>Кепки</v>
      </c>
      <c r="D319" s="81" t="str">
        <f ca="1">_xlfn.LET(_xlpm.DATA,TRIM(_xlfn.XLOOKUP($A319,Строчный!$A:$A,Строчный!D:D,"ERR",0)),UPPER(MID(_xlpm.DATA,1,1))&amp;LOWER(MID(_xlpm.DATA,2,LEN(_xlpm.DATA)-1)))</f>
        <v>Кепка восьмиклинка</v>
      </c>
      <c r="E319" s="81" t="str">
        <f ca="1">PROPER(TRIM(_xlfn.XLOOKUP($A319,Строчный!$A:$A,Строчный!E:E,"ERR",0)))</f>
        <v>Fredrikson</v>
      </c>
      <c r="F319" s="81" t="str">
        <f ca="1">LOWER(TRIM(_xlfn.XLOOKUP($A319,Строчный!$A:$A,Строчный!F:F,"ERR",0)))</f>
        <v>всесезон</v>
      </c>
      <c r="G319" s="81" t="str">
        <f ca="1">UPPER(TRIM(_xlfn.XLOOKUP($A319,Строчный!$A:$A,Строчный!G:G,"ERR",0)))</f>
        <v>FREDRIKSON</v>
      </c>
      <c r="H319" s="81" t="str">
        <f ca="1">LOWER(TRIM(_xlfn.XLOOKUP($A319,Строчный!$A:$A,Строчный!H:H,"ERR",0)))</f>
        <v>637/70</v>
      </c>
      <c r="I319" s="81" t="str">
        <f ca="1">LOWER(TRIM(_xlfn.XLOOKUP($A319,Строчный!$A:$A,Строчный!I:I,"ERR",0)))</f>
        <v>темно-серый / темно-синий</v>
      </c>
      <c r="J319" s="81" t="str">
        <f ca="1">SUBSTITUTE(LOWER(TRIM(_xlfn.XLOOKUP($A319,Строчный!$A:$A,Строчный!J:J,"ERR",0))),"подклад","Подклад")</f>
        <v>80% шерсть - 20% полиамид / Подклад: 100% вискоза</v>
      </c>
      <c r="K319" s="81" t="str">
        <f ca="1">LOWER(TRIM(_xlfn.XLOOKUP($A319,Строчный!$A:$A,Строчный!K:K,"ERR",0)))</f>
        <v>шерстяные</v>
      </c>
      <c r="L319" s="81" t="str">
        <f ca="1">PROPER(TRIM(_xlfn.XLOOKUP($A319,Строчный!$A:$A,Строчный!L:L,"ERR",0)))</f>
        <v>Унисекс</v>
      </c>
      <c r="M319" s="113" t="str">
        <f ca="1">PROPER(TRIM(_xlfn.XLOOKUP($A319,Строчный!$A:$A,Строчный!M:M,"ERR",0)))</f>
        <v>Россия</v>
      </c>
      <c r="N319" s="81" t="str">
        <f ca="1">UPPER(TRIM(_xlfn.XLOOKUP($A319,Строчный!$A:$A,Строчный!O:O,"ERR",0)))</f>
        <v/>
      </c>
      <c r="O319" s="102" t="str">
        <f ca="1">PROPER(TRIM(_xlfn.XLOOKUP($A319,Строчный!$A:$A,Строчный!P:P,"ERR",0)))</f>
        <v/>
      </c>
      <c r="P319" s="81" t="str">
        <f ca="1">PROPER(TRIM(_xlfn.XLOOKUP($A319,Строчный!$A:$A,Строчный!R:R,"ERR",0)))</f>
        <v/>
      </c>
      <c r="Q319" s="90">
        <f ca="1">VALUE(_xlfn.XLOOKUP($A319,Строчный!$A:$A,Строчный!N:N,"ERR",0))</f>
        <v>975.8</v>
      </c>
      <c r="R319" s="89" t="str">
        <f ca="1">_xlfn.XLOOKUP($G319,Фабрика!A:A,Фабрика!B:B,"ERR",0)</f>
        <v>ООО "ФРЭДРИКСОН" Россия 192029, С-Петербург, пр. Обуховской обороны, д.86, лит М</v>
      </c>
      <c r="S319" s="80" t="str">
        <f ca="1">_xlfn.XLOOKUP(RIGHT(AA319,2),Размеры!D:D,Размеры!A:A,"ERR",0)</f>
        <v>62</v>
      </c>
      <c r="T319" s="80">
        <f ca="1">VALUE(_xlfn.XLOOKUP($AA319,Строчный!$S:$S,Строчный!U:U,"ERR",0))</f>
        <v>2</v>
      </c>
      <c r="U319" s="14" t="s">
        <v>265</v>
      </c>
      <c r="V319" s="101" t="str">
        <f t="shared" ca="1" si="26"/>
        <v>Кепка FREDRIKSON арт. 3101 (темно-серый / темно-синий)</v>
      </c>
      <c r="W319" s="100" t="str">
        <f t="shared" ca="1" si="27"/>
        <v>Кепка FREDRIKSON арт. 3101 (темно-серый / темно-синий) {637/70}</v>
      </c>
      <c r="X319" s="18" t="str">
        <f t="shared" ca="1" si="28"/>
        <v>серый / темно-синий</v>
      </c>
      <c r="Y319" s="18" t="str">
        <f t="shared" ca="1" si="29"/>
        <v>серый / темно-синий</v>
      </c>
      <c r="Z319" s="117" t="s">
        <v>28</v>
      </c>
      <c r="AA319" s="73" t="str">
        <f ca="1"/>
        <v>95-004-63-62</v>
      </c>
      <c r="AB319" s="75" t="str">
        <f ca="1">VLOOKUP(C319,Группа!A:B,2,FALSE)</f>
        <v>Кепка</v>
      </c>
      <c r="AC319" s="97" t="str">
        <f ca="1">IFERROR(VLOOKUP(S319,Размеры!A:C,3,FALSE),"")</f>
        <v>62 XL/XXL</v>
      </c>
      <c r="AD319" s="97" t="str">
        <f ca="1">VLOOKUP(I319,ЦветПолный!A:B,2,FALSE)</f>
        <v>63</v>
      </c>
      <c r="AE319" s="97" t="str">
        <f ca="1">IFERROR(VLOOKUP(S319,Размеры!A:D,4,FALSE),"")</f>
        <v>62</v>
      </c>
      <c r="AF319" s="97">
        <f ca="1">IF(LEFT(IFERROR(VLOOKUP(LOOKUP(2,1/SEARCH(B319,Товары!A:A),Товары!A:A),Товары!A:B,2,0),""),6)=MID(AA319,1,6),1,0)</f>
        <v>0</v>
      </c>
      <c r="AH319" s="97">
        <f ca="1">SUMIF(Группа!A:A,C319,Группа!C:C)</f>
        <v>1</v>
      </c>
      <c r="AI319" s="97">
        <f ca="1">SUMIF(Группа!B:B,AB319,Группа!C:C)</f>
        <v>1</v>
      </c>
      <c r="AJ319" s="97">
        <f ca="1">SUMIF(Формы!A:A,D319,Формы!B:B)</f>
        <v>1</v>
      </c>
      <c r="AK319" s="97">
        <f ca="1">SUMIF(Материал!A:A,K319,Материал!B:B)</f>
        <v>1</v>
      </c>
      <c r="AL319" s="97">
        <f ca="1">SUMIF(Размеры!A:A,S319,Размеры!E:E)</f>
        <v>1</v>
      </c>
      <c r="AM319" s="97">
        <f ca="1">SUMIF(Сезон!A:A,F319,Сезон!B:B)</f>
        <v>1</v>
      </c>
      <c r="AN319" s="97">
        <f ca="1">SUMIF(Состав!A:A,J319,Состав!B:B)</f>
        <v>0</v>
      </c>
      <c r="AO319" s="97">
        <f ca="1">VLOOKUP(I319,ЦветПолный!A:C,3,0)</f>
        <v>1</v>
      </c>
      <c r="AP319" s="97">
        <f>SUMIF(Цвет!A:A,Z319,Цвет!B:B)</f>
        <v>1</v>
      </c>
      <c r="AQ319" s="97">
        <f ca="1">_xlfn.XLOOKUP(L319,Пол!A:A,Пол!B:B,0,0)</f>
        <v>1</v>
      </c>
      <c r="AR319" s="97">
        <f ca="1">SUMIF(Бренд!A:A,G319,Бренд!B:B)</f>
        <v>1</v>
      </c>
      <c r="AS319" s="97">
        <f ca="1">SUMIF(Страна!A:A,M319,Страна!B:B)</f>
        <v>1</v>
      </c>
      <c r="AT319" s="64" t="e">
        <f ca="1">IF(VLOOKUP(W319,Товары!A:B,2,FALSE)=A319,"Есть в 1С","ERR")</f>
        <v>#N/A</v>
      </c>
      <c r="AU319" s="65" t="e">
        <f ca="1">IF(VLOOKUP(A319,Товары!B:B,1,FALSE)=A319,"Есть в 1С","ERR")</f>
        <v>#N/A</v>
      </c>
      <c r="AV319" s="96" t="e">
        <f ca="1">VLOOKUP(W319,Товары!A:B,2,FALSE)</f>
        <v>#N/A</v>
      </c>
      <c r="AW319" s="94" t="e">
        <f ca="1">VLOOKUP(W319,Товары!A:B,1,FALSE)</f>
        <v>#N/A</v>
      </c>
    </row>
    <row r="320" spans="1:49" x14ac:dyDescent="0.25">
      <c r="A320" s="110" t="str">
        <f t="shared" ca="1" si="25"/>
        <v>95-004-63</v>
      </c>
      <c r="B320" s="107" t="str">
        <f ca="1">_xlfn.LET(_xlpm.CAPS,0,_xlpm.Style,TRIM(_xlfn.XLOOKUP($A320,Строчный!$A:$A,Строчный!B:B,"ERR",0)),IF(_xlpm.CAPS=0,_xlpm.Style,LOWER(_xlpm.Style)))</f>
        <v>3101</v>
      </c>
      <c r="C320" s="81" t="str">
        <f ca="1">TRIM(PROPER(_xlfn.XLOOKUP($A320,Строчный!$A:$A,Строчный!C:C,"ERR",0)))</f>
        <v>Кепки</v>
      </c>
      <c r="D320" s="81" t="str">
        <f ca="1">_xlfn.LET(_xlpm.DATA,TRIM(_xlfn.XLOOKUP($A320,Строчный!$A:$A,Строчный!D:D,"ERR",0)),UPPER(MID(_xlpm.DATA,1,1))&amp;LOWER(MID(_xlpm.DATA,2,LEN(_xlpm.DATA)-1)))</f>
        <v>Кепка восьмиклинка</v>
      </c>
      <c r="E320" s="81" t="str">
        <f ca="1">PROPER(TRIM(_xlfn.XLOOKUP($A320,Строчный!$A:$A,Строчный!E:E,"ERR",0)))</f>
        <v>Fredrikson</v>
      </c>
      <c r="F320" s="81" t="str">
        <f ca="1">LOWER(TRIM(_xlfn.XLOOKUP($A320,Строчный!$A:$A,Строчный!F:F,"ERR",0)))</f>
        <v>всесезон</v>
      </c>
      <c r="G320" s="81" t="str">
        <f ca="1">UPPER(TRIM(_xlfn.XLOOKUP($A320,Строчный!$A:$A,Строчный!G:G,"ERR",0)))</f>
        <v>FREDRIKSON</v>
      </c>
      <c r="H320" s="81" t="str">
        <f ca="1">LOWER(TRIM(_xlfn.XLOOKUP($A320,Строчный!$A:$A,Строчный!H:H,"ERR",0)))</f>
        <v>637/70</v>
      </c>
      <c r="I320" s="81" t="str">
        <f ca="1">LOWER(TRIM(_xlfn.XLOOKUP($A320,Строчный!$A:$A,Строчный!I:I,"ERR",0)))</f>
        <v>темно-серый / темно-синий</v>
      </c>
      <c r="J320" s="81" t="str">
        <f ca="1">SUBSTITUTE(LOWER(TRIM(_xlfn.XLOOKUP($A320,Строчный!$A:$A,Строчный!J:J,"ERR",0))),"подклад","Подклад")</f>
        <v>80% шерсть - 20% полиамид / Подклад: 100% вискоза</v>
      </c>
      <c r="K320" s="81" t="str">
        <f ca="1">LOWER(TRIM(_xlfn.XLOOKUP($A320,Строчный!$A:$A,Строчный!K:K,"ERR",0)))</f>
        <v>шерстяные</v>
      </c>
      <c r="L320" s="81" t="str">
        <f ca="1">PROPER(TRIM(_xlfn.XLOOKUP($A320,Строчный!$A:$A,Строчный!L:L,"ERR",0)))</f>
        <v>Унисекс</v>
      </c>
      <c r="M320" s="113" t="str">
        <f ca="1">PROPER(TRIM(_xlfn.XLOOKUP($A320,Строчный!$A:$A,Строчный!M:M,"ERR",0)))</f>
        <v>Россия</v>
      </c>
      <c r="N320" s="81" t="str">
        <f ca="1">UPPER(TRIM(_xlfn.XLOOKUP($A320,Строчный!$A:$A,Строчный!O:O,"ERR",0)))</f>
        <v/>
      </c>
      <c r="O320" s="102" t="str">
        <f ca="1">PROPER(TRIM(_xlfn.XLOOKUP($A320,Строчный!$A:$A,Строчный!P:P,"ERR",0)))</f>
        <v/>
      </c>
      <c r="P320" s="81" t="str">
        <f ca="1">PROPER(TRIM(_xlfn.XLOOKUP($A320,Строчный!$A:$A,Строчный!R:R,"ERR",0)))</f>
        <v/>
      </c>
      <c r="Q320" s="90">
        <f ca="1">VALUE(_xlfn.XLOOKUP($A320,Строчный!$A:$A,Строчный!N:N,"ERR",0))</f>
        <v>975.8</v>
      </c>
      <c r="R320" s="89" t="str">
        <f ca="1">_xlfn.XLOOKUP($G320,Фабрика!A:A,Фабрика!B:B,"ERR",0)</f>
        <v>ООО "ФРЭДРИКСОН" Россия 192029, С-Петербург, пр. Обуховской обороны, д.86, лит М</v>
      </c>
      <c r="S320" s="80" t="str">
        <f ca="1">_xlfn.XLOOKUP(RIGHT(AA320,2),Размеры!D:D,Размеры!A:A,"ERR",0)</f>
        <v>61</v>
      </c>
      <c r="T320" s="80">
        <f ca="1">VALUE(_xlfn.XLOOKUP($AA320,Строчный!$S:$S,Строчный!U:U,"ERR",0))</f>
        <v>1</v>
      </c>
      <c r="U320" s="14" t="s">
        <v>265</v>
      </c>
      <c r="V320" s="101" t="str">
        <f t="shared" ca="1" si="26"/>
        <v>Кепка FREDRIKSON арт. 3101 (темно-серый / темно-синий)</v>
      </c>
      <c r="W320" s="100" t="str">
        <f t="shared" ca="1" si="27"/>
        <v>Кепка FREDRIKSON арт. 3101 (темно-серый / темно-синий) {637/70}</v>
      </c>
      <c r="X320" s="18" t="str">
        <f t="shared" ca="1" si="28"/>
        <v>серый / темно-синий</v>
      </c>
      <c r="Y320" s="18" t="str">
        <f t="shared" ca="1" si="29"/>
        <v>серый / темно-синий</v>
      </c>
      <c r="Z320" s="117" t="s">
        <v>28</v>
      </c>
      <c r="AA320" s="73" t="str">
        <f ca="1"/>
        <v>95-004-63-61</v>
      </c>
      <c r="AB320" s="75" t="str">
        <f ca="1">VLOOKUP(C320,Группа!A:B,2,FALSE)</f>
        <v>Кепка</v>
      </c>
      <c r="AC320" s="97" t="str">
        <f ca="1">IFERROR(VLOOKUP(S320,Размеры!A:C,3,FALSE),"")</f>
        <v>61 XL</v>
      </c>
      <c r="AD320" s="97" t="str">
        <f ca="1">VLOOKUP(I320,ЦветПолный!A:B,2,FALSE)</f>
        <v>63</v>
      </c>
      <c r="AE320" s="97" t="str">
        <f ca="1">IFERROR(VLOOKUP(S320,Размеры!A:D,4,FALSE),"")</f>
        <v>61</v>
      </c>
      <c r="AF320" s="97">
        <f ca="1">IF(LEFT(IFERROR(VLOOKUP(LOOKUP(2,1/SEARCH(B320,Товары!A:A),Товары!A:A),Товары!A:B,2,0),""),6)=MID(AA320,1,6),1,0)</f>
        <v>0</v>
      </c>
      <c r="AH320" s="97">
        <f ca="1">SUMIF(Группа!A:A,C320,Группа!C:C)</f>
        <v>1</v>
      </c>
      <c r="AI320" s="97">
        <f ca="1">SUMIF(Группа!B:B,AB320,Группа!C:C)</f>
        <v>1</v>
      </c>
      <c r="AJ320" s="97">
        <f ca="1">SUMIF(Формы!A:A,D320,Формы!B:B)</f>
        <v>1</v>
      </c>
      <c r="AK320" s="97">
        <f ca="1">SUMIF(Материал!A:A,K320,Материал!B:B)</f>
        <v>1</v>
      </c>
      <c r="AL320" s="97">
        <f ca="1">SUMIF(Размеры!A:A,S320,Размеры!E:E)</f>
        <v>1</v>
      </c>
      <c r="AM320" s="97">
        <f ca="1">SUMIF(Сезон!A:A,F320,Сезон!B:B)</f>
        <v>1</v>
      </c>
      <c r="AN320" s="97">
        <f ca="1">SUMIF(Состав!A:A,J320,Состав!B:B)</f>
        <v>0</v>
      </c>
      <c r="AO320" s="97">
        <f ca="1">VLOOKUP(I320,ЦветПолный!A:C,3,0)</f>
        <v>1</v>
      </c>
      <c r="AP320" s="97">
        <f>SUMIF(Цвет!A:A,Z320,Цвет!B:B)</f>
        <v>1</v>
      </c>
      <c r="AQ320" s="97">
        <f ca="1">_xlfn.XLOOKUP(L320,Пол!A:A,Пол!B:B,0,0)</f>
        <v>1</v>
      </c>
      <c r="AR320" s="97">
        <f ca="1">SUMIF(Бренд!A:A,G320,Бренд!B:B)</f>
        <v>1</v>
      </c>
      <c r="AS320" s="97">
        <f ca="1">SUMIF(Страна!A:A,M320,Страна!B:B)</f>
        <v>1</v>
      </c>
      <c r="AT320" s="64" t="e">
        <f ca="1">IF(VLOOKUP(W320,Товары!A:B,2,FALSE)=A320,"Есть в 1С","ERR")</f>
        <v>#N/A</v>
      </c>
      <c r="AU320" s="65" t="e">
        <f ca="1">IF(VLOOKUP(A320,Товары!B:B,1,FALSE)=A320,"Есть в 1С","ERR")</f>
        <v>#N/A</v>
      </c>
      <c r="AV320" s="96" t="e">
        <f ca="1">VLOOKUP(W320,Товары!A:B,2,FALSE)</f>
        <v>#N/A</v>
      </c>
      <c r="AW320" s="94" t="e">
        <f ca="1">VLOOKUP(W320,Товары!A:B,1,FALSE)</f>
        <v>#N/A</v>
      </c>
    </row>
    <row r="321" spans="1:49" x14ac:dyDescent="0.25">
      <c r="A321" s="110" t="str">
        <f t="shared" ca="1" si="25"/>
        <v>95-004-63</v>
      </c>
      <c r="B321" s="107" t="str">
        <f ca="1">_xlfn.LET(_xlpm.CAPS,0,_xlpm.Style,TRIM(_xlfn.XLOOKUP($A321,Строчный!$A:$A,Строчный!B:B,"ERR",0)),IF(_xlpm.CAPS=0,_xlpm.Style,LOWER(_xlpm.Style)))</f>
        <v>3101</v>
      </c>
      <c r="C321" s="81" t="str">
        <f ca="1">TRIM(PROPER(_xlfn.XLOOKUP($A321,Строчный!$A:$A,Строчный!C:C,"ERR",0)))</f>
        <v>Кепки</v>
      </c>
      <c r="D321" s="81" t="str">
        <f ca="1">_xlfn.LET(_xlpm.DATA,TRIM(_xlfn.XLOOKUP($A321,Строчный!$A:$A,Строчный!D:D,"ERR",0)),UPPER(MID(_xlpm.DATA,1,1))&amp;LOWER(MID(_xlpm.DATA,2,LEN(_xlpm.DATA)-1)))</f>
        <v>Кепка восьмиклинка</v>
      </c>
      <c r="E321" s="81" t="str">
        <f ca="1">PROPER(TRIM(_xlfn.XLOOKUP($A321,Строчный!$A:$A,Строчный!E:E,"ERR",0)))</f>
        <v>Fredrikson</v>
      </c>
      <c r="F321" s="81" t="str">
        <f ca="1">LOWER(TRIM(_xlfn.XLOOKUP($A321,Строчный!$A:$A,Строчный!F:F,"ERR",0)))</f>
        <v>всесезон</v>
      </c>
      <c r="G321" s="81" t="str">
        <f ca="1">UPPER(TRIM(_xlfn.XLOOKUP($A321,Строчный!$A:$A,Строчный!G:G,"ERR",0)))</f>
        <v>FREDRIKSON</v>
      </c>
      <c r="H321" s="81" t="str">
        <f ca="1">LOWER(TRIM(_xlfn.XLOOKUP($A321,Строчный!$A:$A,Строчный!H:H,"ERR",0)))</f>
        <v>637/70</v>
      </c>
      <c r="I321" s="81" t="str">
        <f ca="1">LOWER(TRIM(_xlfn.XLOOKUP($A321,Строчный!$A:$A,Строчный!I:I,"ERR",0)))</f>
        <v>темно-серый / темно-синий</v>
      </c>
      <c r="J321" s="81" t="str">
        <f ca="1">SUBSTITUTE(LOWER(TRIM(_xlfn.XLOOKUP($A321,Строчный!$A:$A,Строчный!J:J,"ERR",0))),"подклад","Подклад")</f>
        <v>80% шерсть - 20% полиамид / Подклад: 100% вискоза</v>
      </c>
      <c r="K321" s="81" t="str">
        <f ca="1">LOWER(TRIM(_xlfn.XLOOKUP($A321,Строчный!$A:$A,Строчный!K:K,"ERR",0)))</f>
        <v>шерстяные</v>
      </c>
      <c r="L321" s="81" t="str">
        <f ca="1">PROPER(TRIM(_xlfn.XLOOKUP($A321,Строчный!$A:$A,Строчный!L:L,"ERR",0)))</f>
        <v>Унисекс</v>
      </c>
      <c r="M321" s="113" t="str">
        <f ca="1">PROPER(TRIM(_xlfn.XLOOKUP($A321,Строчный!$A:$A,Строчный!M:M,"ERR",0)))</f>
        <v>Россия</v>
      </c>
      <c r="N321" s="81" t="str">
        <f ca="1">UPPER(TRIM(_xlfn.XLOOKUP($A321,Строчный!$A:$A,Строчный!O:O,"ERR",0)))</f>
        <v/>
      </c>
      <c r="O321" s="102" t="str">
        <f ca="1">PROPER(TRIM(_xlfn.XLOOKUP($A321,Строчный!$A:$A,Строчный!P:P,"ERR",0)))</f>
        <v/>
      </c>
      <c r="P321" s="81" t="str">
        <f ca="1">PROPER(TRIM(_xlfn.XLOOKUP($A321,Строчный!$A:$A,Строчный!R:R,"ERR",0)))</f>
        <v/>
      </c>
      <c r="Q321" s="90">
        <f ca="1">VALUE(_xlfn.XLOOKUP($A321,Строчный!$A:$A,Строчный!N:N,"ERR",0))</f>
        <v>975.8</v>
      </c>
      <c r="R321" s="89" t="str">
        <f ca="1">_xlfn.XLOOKUP($G321,Фабрика!A:A,Фабрика!B:B,"ERR",0)</f>
        <v>ООО "ФРЭДРИКСОН" Россия 192029, С-Петербург, пр. Обуховской обороны, д.86, лит М</v>
      </c>
      <c r="S321" s="80" t="str">
        <f ca="1">_xlfn.XLOOKUP(RIGHT(AA321,2),Размеры!D:D,Размеры!A:A,"ERR",0)</f>
        <v>60</v>
      </c>
      <c r="T321" s="80">
        <f ca="1">VALUE(_xlfn.XLOOKUP($AA321,Строчный!$S:$S,Строчный!U:U,"ERR",0))</f>
        <v>21</v>
      </c>
      <c r="U321" s="14" t="s">
        <v>265</v>
      </c>
      <c r="V321" s="101" t="str">
        <f t="shared" ca="1" si="26"/>
        <v>Кепка FREDRIKSON арт. 3101 (темно-серый / темно-синий)</v>
      </c>
      <c r="W321" s="100" t="str">
        <f t="shared" ca="1" si="27"/>
        <v>Кепка FREDRIKSON арт. 3101 (темно-серый / темно-синий) {637/70}</v>
      </c>
      <c r="X321" s="18" t="str">
        <f t="shared" ca="1" si="28"/>
        <v>серый / темно-синий</v>
      </c>
      <c r="Y321" s="18" t="str">
        <f t="shared" ca="1" si="29"/>
        <v>серый / темно-синий</v>
      </c>
      <c r="Z321" s="117" t="s">
        <v>28</v>
      </c>
      <c r="AA321" s="73" t="str">
        <f ca="1"/>
        <v>95-004-63-60</v>
      </c>
      <c r="AB321" s="75" t="str">
        <f ca="1">VLOOKUP(C321,Группа!A:B,2,FALSE)</f>
        <v>Кепка</v>
      </c>
      <c r="AC321" s="97" t="str">
        <f ca="1">IFERROR(VLOOKUP(S321,Размеры!A:C,3,FALSE),"")</f>
        <v>60 L/XL</v>
      </c>
      <c r="AD321" s="97" t="str">
        <f ca="1">VLOOKUP(I321,ЦветПолный!A:B,2,FALSE)</f>
        <v>63</v>
      </c>
      <c r="AE321" s="97" t="str">
        <f ca="1">IFERROR(VLOOKUP(S321,Размеры!A:D,4,FALSE),"")</f>
        <v>60</v>
      </c>
      <c r="AF321" s="97">
        <f ca="1">IF(LEFT(IFERROR(VLOOKUP(LOOKUP(2,1/SEARCH(B321,Товары!A:A),Товары!A:A),Товары!A:B,2,0),""),6)=MID(AA321,1,6),1,0)</f>
        <v>0</v>
      </c>
      <c r="AH321" s="97">
        <f ca="1">SUMIF(Группа!A:A,C321,Группа!C:C)</f>
        <v>1</v>
      </c>
      <c r="AI321" s="97">
        <f ca="1">SUMIF(Группа!B:B,AB321,Группа!C:C)</f>
        <v>1</v>
      </c>
      <c r="AJ321" s="97">
        <f ca="1">SUMIF(Формы!A:A,D321,Формы!B:B)</f>
        <v>1</v>
      </c>
      <c r="AK321" s="97">
        <f ca="1">SUMIF(Материал!A:A,K321,Материал!B:B)</f>
        <v>1</v>
      </c>
      <c r="AL321" s="97">
        <f ca="1">SUMIF(Размеры!A:A,S321,Размеры!E:E)</f>
        <v>1</v>
      </c>
      <c r="AM321" s="97">
        <f ca="1">SUMIF(Сезон!A:A,F321,Сезон!B:B)</f>
        <v>1</v>
      </c>
      <c r="AN321" s="97">
        <f ca="1">SUMIF(Состав!A:A,J321,Состав!B:B)</f>
        <v>0</v>
      </c>
      <c r="AO321" s="97">
        <f ca="1">VLOOKUP(I321,ЦветПолный!A:C,3,0)</f>
        <v>1</v>
      </c>
      <c r="AP321" s="97">
        <f>SUMIF(Цвет!A:A,Z321,Цвет!B:B)</f>
        <v>1</v>
      </c>
      <c r="AQ321" s="97">
        <f ca="1">_xlfn.XLOOKUP(L321,Пол!A:A,Пол!B:B,0,0)</f>
        <v>1</v>
      </c>
      <c r="AR321" s="97">
        <f ca="1">SUMIF(Бренд!A:A,G321,Бренд!B:B)</f>
        <v>1</v>
      </c>
      <c r="AS321" s="97">
        <f ca="1">SUMIF(Страна!A:A,M321,Страна!B:B)</f>
        <v>1</v>
      </c>
      <c r="AT321" s="64" t="e">
        <f ca="1">IF(VLOOKUP(W321,Товары!A:B,2,FALSE)=A321,"Есть в 1С","ERR")</f>
        <v>#N/A</v>
      </c>
      <c r="AU321" s="65" t="e">
        <f ca="1">IF(VLOOKUP(A321,Товары!B:B,1,FALSE)=A321,"Есть в 1С","ERR")</f>
        <v>#N/A</v>
      </c>
      <c r="AV321" s="96" t="e">
        <f ca="1">VLOOKUP(W321,Товары!A:B,2,FALSE)</f>
        <v>#N/A</v>
      </c>
      <c r="AW321" s="94" t="e">
        <f ca="1">VLOOKUP(W321,Товары!A:B,1,FALSE)</f>
        <v>#N/A</v>
      </c>
    </row>
    <row r="322" spans="1:49" x14ac:dyDescent="0.25">
      <c r="A322" s="110" t="str">
        <f t="shared" ca="1" si="25"/>
        <v>95-004-63</v>
      </c>
      <c r="B322" s="107" t="str">
        <f ca="1">_xlfn.LET(_xlpm.CAPS,0,_xlpm.Style,TRIM(_xlfn.XLOOKUP($A322,Строчный!$A:$A,Строчный!B:B,"ERR",0)),IF(_xlpm.CAPS=0,_xlpm.Style,LOWER(_xlpm.Style)))</f>
        <v>3101</v>
      </c>
      <c r="C322" s="81" t="str">
        <f ca="1">TRIM(PROPER(_xlfn.XLOOKUP($A322,Строчный!$A:$A,Строчный!C:C,"ERR",0)))</f>
        <v>Кепки</v>
      </c>
      <c r="D322" s="81" t="str">
        <f ca="1">_xlfn.LET(_xlpm.DATA,TRIM(_xlfn.XLOOKUP($A322,Строчный!$A:$A,Строчный!D:D,"ERR",0)),UPPER(MID(_xlpm.DATA,1,1))&amp;LOWER(MID(_xlpm.DATA,2,LEN(_xlpm.DATA)-1)))</f>
        <v>Кепка восьмиклинка</v>
      </c>
      <c r="E322" s="81" t="str">
        <f ca="1">PROPER(TRIM(_xlfn.XLOOKUP($A322,Строчный!$A:$A,Строчный!E:E,"ERR",0)))</f>
        <v>Fredrikson</v>
      </c>
      <c r="F322" s="81" t="str">
        <f ca="1">LOWER(TRIM(_xlfn.XLOOKUP($A322,Строчный!$A:$A,Строчный!F:F,"ERR",0)))</f>
        <v>всесезон</v>
      </c>
      <c r="G322" s="81" t="str">
        <f ca="1">UPPER(TRIM(_xlfn.XLOOKUP($A322,Строчный!$A:$A,Строчный!G:G,"ERR",0)))</f>
        <v>FREDRIKSON</v>
      </c>
      <c r="H322" s="81" t="str">
        <f ca="1">LOWER(TRIM(_xlfn.XLOOKUP($A322,Строчный!$A:$A,Строчный!H:H,"ERR",0)))</f>
        <v>637/70</v>
      </c>
      <c r="I322" s="81" t="str">
        <f ca="1">LOWER(TRIM(_xlfn.XLOOKUP($A322,Строчный!$A:$A,Строчный!I:I,"ERR",0)))</f>
        <v>темно-серый / темно-синий</v>
      </c>
      <c r="J322" s="81" t="str">
        <f ca="1">SUBSTITUTE(LOWER(TRIM(_xlfn.XLOOKUP($A322,Строчный!$A:$A,Строчный!J:J,"ERR",0))),"подклад","Подклад")</f>
        <v>80% шерсть - 20% полиамид / Подклад: 100% вискоза</v>
      </c>
      <c r="K322" s="81" t="str">
        <f ca="1">LOWER(TRIM(_xlfn.XLOOKUP($A322,Строчный!$A:$A,Строчный!K:K,"ERR",0)))</f>
        <v>шерстяные</v>
      </c>
      <c r="L322" s="81" t="str">
        <f ca="1">PROPER(TRIM(_xlfn.XLOOKUP($A322,Строчный!$A:$A,Строчный!L:L,"ERR",0)))</f>
        <v>Унисекс</v>
      </c>
      <c r="M322" s="113" t="str">
        <f ca="1">PROPER(TRIM(_xlfn.XLOOKUP($A322,Строчный!$A:$A,Строчный!M:M,"ERR",0)))</f>
        <v>Россия</v>
      </c>
      <c r="N322" s="81" t="str">
        <f ca="1">UPPER(TRIM(_xlfn.XLOOKUP($A322,Строчный!$A:$A,Строчный!O:O,"ERR",0)))</f>
        <v/>
      </c>
      <c r="O322" s="102" t="str">
        <f ca="1">PROPER(TRIM(_xlfn.XLOOKUP($A322,Строчный!$A:$A,Строчный!P:P,"ERR",0)))</f>
        <v/>
      </c>
      <c r="P322" s="81" t="str">
        <f ca="1">PROPER(TRIM(_xlfn.XLOOKUP($A322,Строчный!$A:$A,Строчный!R:R,"ERR",0)))</f>
        <v/>
      </c>
      <c r="Q322" s="90">
        <f ca="1">VALUE(_xlfn.XLOOKUP($A322,Строчный!$A:$A,Строчный!N:N,"ERR",0))</f>
        <v>975.8</v>
      </c>
      <c r="R322" s="89" t="str">
        <f ca="1">_xlfn.XLOOKUP($G322,Фабрика!A:A,Фабрика!B:B,"ERR",0)</f>
        <v>ООО "ФРЭДРИКСОН" Россия 192029, С-Петербург, пр. Обуховской обороны, д.86, лит М</v>
      </c>
      <c r="S322" s="80" t="str">
        <f ca="1">_xlfn.XLOOKUP(RIGHT(AA322,2),Размеры!D:D,Размеры!A:A,"ERR",0)</f>
        <v>59</v>
      </c>
      <c r="T322" s="80">
        <f ca="1">VALUE(_xlfn.XLOOKUP($AA322,Строчный!$S:$S,Строчный!U:U,"ERR",0))</f>
        <v>28</v>
      </c>
      <c r="U322" s="14" t="s">
        <v>265</v>
      </c>
      <c r="V322" s="101" t="str">
        <f t="shared" ca="1" si="26"/>
        <v>Кепка FREDRIKSON арт. 3101 (темно-серый / темно-синий)</v>
      </c>
      <c r="W322" s="100" t="str">
        <f t="shared" ca="1" si="27"/>
        <v>Кепка FREDRIKSON арт. 3101 (темно-серый / темно-синий) {637/70}</v>
      </c>
      <c r="X322" s="18" t="str">
        <f t="shared" ca="1" si="28"/>
        <v>серый / темно-синий</v>
      </c>
      <c r="Y322" s="18" t="str">
        <f t="shared" ca="1" si="29"/>
        <v>серый / темно-синий</v>
      </c>
      <c r="Z322" s="117" t="s">
        <v>28</v>
      </c>
      <c r="AA322" s="73" t="str">
        <f ca="1"/>
        <v>95-004-63-59</v>
      </c>
      <c r="AB322" s="75" t="str">
        <f ca="1">VLOOKUP(C322,Группа!A:B,2,FALSE)</f>
        <v>Кепка</v>
      </c>
      <c r="AC322" s="97" t="str">
        <f ca="1">IFERROR(VLOOKUP(S322,Размеры!A:C,3,FALSE),"")</f>
        <v>59 L</v>
      </c>
      <c r="AD322" s="97" t="str">
        <f ca="1">VLOOKUP(I322,ЦветПолный!A:B,2,FALSE)</f>
        <v>63</v>
      </c>
      <c r="AE322" s="97" t="str">
        <f ca="1">IFERROR(VLOOKUP(S322,Размеры!A:D,4,FALSE),"")</f>
        <v>59</v>
      </c>
      <c r="AF322" s="97">
        <f ca="1">IF(LEFT(IFERROR(VLOOKUP(LOOKUP(2,1/SEARCH(B322,Товары!A:A),Товары!A:A),Товары!A:B,2,0),""),6)=MID(AA322,1,6),1,0)</f>
        <v>0</v>
      </c>
      <c r="AH322" s="97">
        <f ca="1">SUMIF(Группа!A:A,C322,Группа!C:C)</f>
        <v>1</v>
      </c>
      <c r="AI322" s="97">
        <f ca="1">SUMIF(Группа!B:B,AB322,Группа!C:C)</f>
        <v>1</v>
      </c>
      <c r="AJ322" s="97">
        <f ca="1">SUMIF(Формы!A:A,D322,Формы!B:B)</f>
        <v>1</v>
      </c>
      <c r="AK322" s="97">
        <f ca="1">SUMIF(Материал!A:A,K322,Материал!B:B)</f>
        <v>1</v>
      </c>
      <c r="AL322" s="97">
        <f ca="1">SUMIF(Размеры!A:A,S322,Размеры!E:E)</f>
        <v>1</v>
      </c>
      <c r="AM322" s="97">
        <f ca="1">SUMIF(Сезон!A:A,F322,Сезон!B:B)</f>
        <v>1</v>
      </c>
      <c r="AN322" s="97">
        <f ca="1">SUMIF(Состав!A:A,J322,Состав!B:B)</f>
        <v>0</v>
      </c>
      <c r="AO322" s="97">
        <f ca="1">VLOOKUP(I322,ЦветПолный!A:C,3,0)</f>
        <v>1</v>
      </c>
      <c r="AP322" s="97">
        <f>SUMIF(Цвет!A:A,Z322,Цвет!B:B)</f>
        <v>1</v>
      </c>
      <c r="AQ322" s="97">
        <f ca="1">_xlfn.XLOOKUP(L322,Пол!A:A,Пол!B:B,0,0)</f>
        <v>1</v>
      </c>
      <c r="AR322" s="97">
        <f ca="1">SUMIF(Бренд!A:A,G322,Бренд!B:B)</f>
        <v>1</v>
      </c>
      <c r="AS322" s="97">
        <f ca="1">SUMIF(Страна!A:A,M322,Страна!B:B)</f>
        <v>1</v>
      </c>
      <c r="AT322" s="64" t="e">
        <f ca="1">IF(VLOOKUP(W322,Товары!A:B,2,FALSE)=A322,"Есть в 1С","ERR")</f>
        <v>#N/A</v>
      </c>
      <c r="AU322" s="65" t="e">
        <f ca="1">IF(VLOOKUP(A322,Товары!B:B,1,FALSE)=A322,"Есть в 1С","ERR")</f>
        <v>#N/A</v>
      </c>
      <c r="AV322" s="96" t="e">
        <f ca="1">VLOOKUP(W322,Товары!A:B,2,FALSE)</f>
        <v>#N/A</v>
      </c>
      <c r="AW322" s="94" t="e">
        <f ca="1">VLOOKUP(W322,Товары!A:B,1,FALSE)</f>
        <v>#N/A</v>
      </c>
    </row>
    <row r="323" spans="1:49" x14ac:dyDescent="0.25">
      <c r="A323" s="110" t="str">
        <f t="shared" ca="1" si="25"/>
        <v>95-004-63</v>
      </c>
      <c r="B323" s="107" t="str">
        <f ca="1">_xlfn.LET(_xlpm.CAPS,0,_xlpm.Style,TRIM(_xlfn.XLOOKUP($A323,Строчный!$A:$A,Строчный!B:B,"ERR",0)),IF(_xlpm.CAPS=0,_xlpm.Style,LOWER(_xlpm.Style)))</f>
        <v>3101</v>
      </c>
      <c r="C323" s="81" t="str">
        <f ca="1">TRIM(PROPER(_xlfn.XLOOKUP($A323,Строчный!$A:$A,Строчный!C:C,"ERR",0)))</f>
        <v>Кепки</v>
      </c>
      <c r="D323" s="81" t="str">
        <f ca="1">_xlfn.LET(_xlpm.DATA,TRIM(_xlfn.XLOOKUP($A323,Строчный!$A:$A,Строчный!D:D,"ERR",0)),UPPER(MID(_xlpm.DATA,1,1))&amp;LOWER(MID(_xlpm.DATA,2,LEN(_xlpm.DATA)-1)))</f>
        <v>Кепка восьмиклинка</v>
      </c>
      <c r="E323" s="81" t="str">
        <f ca="1">PROPER(TRIM(_xlfn.XLOOKUP($A323,Строчный!$A:$A,Строчный!E:E,"ERR",0)))</f>
        <v>Fredrikson</v>
      </c>
      <c r="F323" s="81" t="str">
        <f ca="1">LOWER(TRIM(_xlfn.XLOOKUP($A323,Строчный!$A:$A,Строчный!F:F,"ERR",0)))</f>
        <v>всесезон</v>
      </c>
      <c r="G323" s="81" t="str">
        <f ca="1">UPPER(TRIM(_xlfn.XLOOKUP($A323,Строчный!$A:$A,Строчный!G:G,"ERR",0)))</f>
        <v>FREDRIKSON</v>
      </c>
      <c r="H323" s="81" t="str">
        <f ca="1">LOWER(TRIM(_xlfn.XLOOKUP($A323,Строчный!$A:$A,Строчный!H:H,"ERR",0)))</f>
        <v>637/70</v>
      </c>
      <c r="I323" s="81" t="str">
        <f ca="1">LOWER(TRIM(_xlfn.XLOOKUP($A323,Строчный!$A:$A,Строчный!I:I,"ERR",0)))</f>
        <v>темно-серый / темно-синий</v>
      </c>
      <c r="J323" s="81" t="str">
        <f ca="1">SUBSTITUTE(LOWER(TRIM(_xlfn.XLOOKUP($A323,Строчный!$A:$A,Строчный!J:J,"ERR",0))),"подклад","Подклад")</f>
        <v>80% шерсть - 20% полиамид / Подклад: 100% вискоза</v>
      </c>
      <c r="K323" s="81" t="str">
        <f ca="1">LOWER(TRIM(_xlfn.XLOOKUP($A323,Строчный!$A:$A,Строчный!K:K,"ERR",0)))</f>
        <v>шерстяные</v>
      </c>
      <c r="L323" s="81" t="str">
        <f ca="1">PROPER(TRIM(_xlfn.XLOOKUP($A323,Строчный!$A:$A,Строчный!L:L,"ERR",0)))</f>
        <v>Унисекс</v>
      </c>
      <c r="M323" s="113" t="str">
        <f ca="1">PROPER(TRIM(_xlfn.XLOOKUP($A323,Строчный!$A:$A,Строчный!M:M,"ERR",0)))</f>
        <v>Россия</v>
      </c>
      <c r="N323" s="81" t="str">
        <f ca="1">UPPER(TRIM(_xlfn.XLOOKUP($A323,Строчный!$A:$A,Строчный!O:O,"ERR",0)))</f>
        <v/>
      </c>
      <c r="O323" s="102" t="str">
        <f ca="1">PROPER(TRIM(_xlfn.XLOOKUP($A323,Строчный!$A:$A,Строчный!P:P,"ERR",0)))</f>
        <v/>
      </c>
      <c r="P323" s="81" t="str">
        <f ca="1">PROPER(TRIM(_xlfn.XLOOKUP($A323,Строчный!$A:$A,Строчный!R:R,"ERR",0)))</f>
        <v/>
      </c>
      <c r="Q323" s="90">
        <f ca="1">VALUE(_xlfn.XLOOKUP($A323,Строчный!$A:$A,Строчный!N:N,"ERR",0))</f>
        <v>975.8</v>
      </c>
      <c r="R323" s="89" t="str">
        <f ca="1">_xlfn.XLOOKUP($G323,Фабрика!A:A,Фабрика!B:B,"ERR",0)</f>
        <v>ООО "ФРЭДРИКСОН" Россия 192029, С-Петербург, пр. Обуховской обороны, д.86, лит М</v>
      </c>
      <c r="S323" s="80" t="str">
        <f ca="1">_xlfn.XLOOKUP(RIGHT(AA323,2),Размеры!D:D,Размеры!A:A,"ERR",0)</f>
        <v>58</v>
      </c>
      <c r="T323" s="80">
        <f ca="1">VALUE(_xlfn.XLOOKUP($AA323,Строчный!$S:$S,Строчный!U:U,"ERR",0))</f>
        <v>21</v>
      </c>
      <c r="U323" s="14" t="s">
        <v>265</v>
      </c>
      <c r="V323" s="101" t="str">
        <f t="shared" ca="1" si="26"/>
        <v>Кепка FREDRIKSON арт. 3101 (темно-серый / темно-синий)</v>
      </c>
      <c r="W323" s="100" t="str">
        <f t="shared" ca="1" si="27"/>
        <v>Кепка FREDRIKSON арт. 3101 (темно-серый / темно-синий) {637/70}</v>
      </c>
      <c r="X323" s="18" t="str">
        <f t="shared" ca="1" si="28"/>
        <v>серый / темно-синий</v>
      </c>
      <c r="Y323" s="18" t="str">
        <f t="shared" ca="1" si="29"/>
        <v>серый / темно-синий</v>
      </c>
      <c r="Z323" s="117" t="s">
        <v>28</v>
      </c>
      <c r="AA323" s="73" t="str">
        <f ca="1"/>
        <v>95-004-63-58</v>
      </c>
      <c r="AB323" s="75" t="str">
        <f ca="1">VLOOKUP(C323,Группа!A:B,2,FALSE)</f>
        <v>Кепка</v>
      </c>
      <c r="AC323" s="97" t="str">
        <f ca="1">IFERROR(VLOOKUP(S323,Размеры!A:C,3,FALSE),"")</f>
        <v>58 M/L</v>
      </c>
      <c r="AD323" s="97" t="str">
        <f ca="1">VLOOKUP(I323,ЦветПолный!A:B,2,FALSE)</f>
        <v>63</v>
      </c>
      <c r="AE323" s="97" t="str">
        <f ca="1">IFERROR(VLOOKUP(S323,Размеры!A:D,4,FALSE),"")</f>
        <v>58</v>
      </c>
      <c r="AF323" s="97">
        <f ca="1">IF(LEFT(IFERROR(VLOOKUP(LOOKUP(2,1/SEARCH(B323,Товары!A:A),Товары!A:A),Товары!A:B,2,0),""),6)=MID(AA323,1,6),1,0)</f>
        <v>0</v>
      </c>
      <c r="AH323" s="97">
        <f ca="1">SUMIF(Группа!A:A,C323,Группа!C:C)</f>
        <v>1</v>
      </c>
      <c r="AI323" s="97">
        <f ca="1">SUMIF(Группа!B:B,AB323,Группа!C:C)</f>
        <v>1</v>
      </c>
      <c r="AJ323" s="97">
        <f ca="1">SUMIF(Формы!A:A,D323,Формы!B:B)</f>
        <v>1</v>
      </c>
      <c r="AK323" s="97">
        <f ca="1">SUMIF(Материал!A:A,K323,Материал!B:B)</f>
        <v>1</v>
      </c>
      <c r="AL323" s="97">
        <f ca="1">SUMIF(Размеры!A:A,S323,Размеры!E:E)</f>
        <v>1</v>
      </c>
      <c r="AM323" s="97">
        <f ca="1">SUMIF(Сезон!A:A,F323,Сезон!B:B)</f>
        <v>1</v>
      </c>
      <c r="AN323" s="97">
        <f ca="1">SUMIF(Состав!A:A,J323,Состав!B:B)</f>
        <v>0</v>
      </c>
      <c r="AO323" s="97">
        <f ca="1">VLOOKUP(I323,ЦветПолный!A:C,3,0)</f>
        <v>1</v>
      </c>
      <c r="AP323" s="97">
        <f>SUMIF(Цвет!A:A,Z323,Цвет!B:B)</f>
        <v>1</v>
      </c>
      <c r="AQ323" s="97">
        <f ca="1">_xlfn.XLOOKUP(L323,Пол!A:A,Пол!B:B,0,0)</f>
        <v>1</v>
      </c>
      <c r="AR323" s="97">
        <f ca="1">SUMIF(Бренд!A:A,G323,Бренд!B:B)</f>
        <v>1</v>
      </c>
      <c r="AS323" s="97">
        <f ca="1">SUMIF(Страна!A:A,M323,Страна!B:B)</f>
        <v>1</v>
      </c>
      <c r="AT323" s="64" t="e">
        <f ca="1">IF(VLOOKUP(W323,Товары!A:B,2,FALSE)=A323,"Есть в 1С","ERR")</f>
        <v>#N/A</v>
      </c>
      <c r="AU323" s="65" t="e">
        <f ca="1">IF(VLOOKUP(A323,Товары!B:B,1,FALSE)=A323,"Есть в 1С","ERR")</f>
        <v>#N/A</v>
      </c>
      <c r="AV323" s="96" t="e">
        <f ca="1">VLOOKUP(W323,Товары!A:B,2,FALSE)</f>
        <v>#N/A</v>
      </c>
      <c r="AW323" s="94" t="e">
        <f ca="1">VLOOKUP(W323,Товары!A:B,1,FALSE)</f>
        <v>#N/A</v>
      </c>
    </row>
    <row r="324" spans="1:49" x14ac:dyDescent="0.25">
      <c r="A324" s="110" t="str">
        <f t="shared" ca="1" si="25"/>
        <v>95-004-63</v>
      </c>
      <c r="B324" s="107" t="str">
        <f ca="1">_xlfn.LET(_xlpm.CAPS,0,_xlpm.Style,TRIM(_xlfn.XLOOKUP($A324,Строчный!$A:$A,Строчный!B:B,"ERR",0)),IF(_xlpm.CAPS=0,_xlpm.Style,LOWER(_xlpm.Style)))</f>
        <v>3101</v>
      </c>
      <c r="C324" s="81" t="str">
        <f ca="1">TRIM(PROPER(_xlfn.XLOOKUP($A324,Строчный!$A:$A,Строчный!C:C,"ERR",0)))</f>
        <v>Кепки</v>
      </c>
      <c r="D324" s="81" t="str">
        <f ca="1">_xlfn.LET(_xlpm.DATA,TRIM(_xlfn.XLOOKUP($A324,Строчный!$A:$A,Строчный!D:D,"ERR",0)),UPPER(MID(_xlpm.DATA,1,1))&amp;LOWER(MID(_xlpm.DATA,2,LEN(_xlpm.DATA)-1)))</f>
        <v>Кепка восьмиклинка</v>
      </c>
      <c r="E324" s="81" t="str">
        <f ca="1">PROPER(TRIM(_xlfn.XLOOKUP($A324,Строчный!$A:$A,Строчный!E:E,"ERR",0)))</f>
        <v>Fredrikson</v>
      </c>
      <c r="F324" s="81" t="str">
        <f ca="1">LOWER(TRIM(_xlfn.XLOOKUP($A324,Строчный!$A:$A,Строчный!F:F,"ERR",0)))</f>
        <v>всесезон</v>
      </c>
      <c r="G324" s="81" t="str">
        <f ca="1">UPPER(TRIM(_xlfn.XLOOKUP($A324,Строчный!$A:$A,Строчный!G:G,"ERR",0)))</f>
        <v>FREDRIKSON</v>
      </c>
      <c r="H324" s="81" t="str">
        <f ca="1">LOWER(TRIM(_xlfn.XLOOKUP($A324,Строчный!$A:$A,Строчный!H:H,"ERR",0)))</f>
        <v>637/70</v>
      </c>
      <c r="I324" s="81" t="str">
        <f ca="1">LOWER(TRIM(_xlfn.XLOOKUP($A324,Строчный!$A:$A,Строчный!I:I,"ERR",0)))</f>
        <v>темно-серый / темно-синий</v>
      </c>
      <c r="J324" s="81" t="str">
        <f ca="1">SUBSTITUTE(LOWER(TRIM(_xlfn.XLOOKUP($A324,Строчный!$A:$A,Строчный!J:J,"ERR",0))),"подклад","Подклад")</f>
        <v>80% шерсть - 20% полиамид / Подклад: 100% вискоза</v>
      </c>
      <c r="K324" s="81" t="str">
        <f ca="1">LOWER(TRIM(_xlfn.XLOOKUP($A324,Строчный!$A:$A,Строчный!K:K,"ERR",0)))</f>
        <v>шерстяные</v>
      </c>
      <c r="L324" s="81" t="str">
        <f ca="1">PROPER(TRIM(_xlfn.XLOOKUP($A324,Строчный!$A:$A,Строчный!L:L,"ERR",0)))</f>
        <v>Унисекс</v>
      </c>
      <c r="M324" s="113" t="str">
        <f ca="1">PROPER(TRIM(_xlfn.XLOOKUP($A324,Строчный!$A:$A,Строчный!M:M,"ERR",0)))</f>
        <v>Россия</v>
      </c>
      <c r="N324" s="81" t="str">
        <f ca="1">UPPER(TRIM(_xlfn.XLOOKUP($A324,Строчный!$A:$A,Строчный!O:O,"ERR",0)))</f>
        <v/>
      </c>
      <c r="O324" s="102" t="str">
        <f ca="1">PROPER(TRIM(_xlfn.XLOOKUP($A324,Строчный!$A:$A,Строчный!P:P,"ERR",0)))</f>
        <v/>
      </c>
      <c r="P324" s="81" t="str">
        <f ca="1">PROPER(TRIM(_xlfn.XLOOKUP($A324,Строчный!$A:$A,Строчный!R:R,"ERR",0)))</f>
        <v/>
      </c>
      <c r="Q324" s="90">
        <f ca="1">VALUE(_xlfn.XLOOKUP($A324,Строчный!$A:$A,Строчный!N:N,"ERR",0))</f>
        <v>975.8</v>
      </c>
      <c r="R324" s="89" t="str">
        <f ca="1">_xlfn.XLOOKUP($G324,Фабрика!A:A,Фабрика!B:B,"ERR",0)</f>
        <v>ООО "ФРЭДРИКСОН" Россия 192029, С-Петербург, пр. Обуховской обороны, д.86, лит М</v>
      </c>
      <c r="S324" s="80" t="str">
        <f ca="1">_xlfn.XLOOKUP(RIGHT(AA324,2),Размеры!D:D,Размеры!A:A,"ERR",0)</f>
        <v>57</v>
      </c>
      <c r="T324" s="80">
        <f ca="1">VALUE(_xlfn.XLOOKUP($AA324,Строчный!$S:$S,Строчный!U:U,"ERR",0))</f>
        <v>14</v>
      </c>
      <c r="U324" s="14" t="s">
        <v>265</v>
      </c>
      <c r="V324" s="101" t="str">
        <f t="shared" ca="1" si="26"/>
        <v>Кепка FREDRIKSON арт. 3101 (темно-серый / темно-синий)</v>
      </c>
      <c r="W324" s="100" t="str">
        <f t="shared" ca="1" si="27"/>
        <v>Кепка FREDRIKSON арт. 3101 (темно-серый / темно-синий) {637/70}</v>
      </c>
      <c r="X324" s="18" t="str">
        <f t="shared" ca="1" si="28"/>
        <v>серый / темно-синий</v>
      </c>
      <c r="Y324" s="18" t="str">
        <f t="shared" ca="1" si="29"/>
        <v>серый / темно-синий</v>
      </c>
      <c r="Z324" s="117" t="s">
        <v>28</v>
      </c>
      <c r="AA324" s="73" t="str">
        <f ca="1"/>
        <v>95-004-63-57</v>
      </c>
      <c r="AB324" s="75" t="str">
        <f ca="1">VLOOKUP(C324,Группа!A:B,2,FALSE)</f>
        <v>Кепка</v>
      </c>
      <c r="AC324" s="97" t="str">
        <f ca="1">IFERROR(VLOOKUP(S324,Размеры!A:C,3,FALSE),"")</f>
        <v>57 M</v>
      </c>
      <c r="AD324" s="97" t="str">
        <f ca="1">VLOOKUP(I324,ЦветПолный!A:B,2,FALSE)</f>
        <v>63</v>
      </c>
      <c r="AE324" s="97" t="str">
        <f ca="1">IFERROR(VLOOKUP(S324,Размеры!A:D,4,FALSE),"")</f>
        <v>57</v>
      </c>
      <c r="AF324" s="97">
        <f ca="1">IF(LEFT(IFERROR(VLOOKUP(LOOKUP(2,1/SEARCH(B324,Товары!A:A),Товары!A:A),Товары!A:B,2,0),""),6)=MID(AA324,1,6),1,0)</f>
        <v>0</v>
      </c>
      <c r="AH324" s="97">
        <f ca="1">SUMIF(Группа!A:A,C324,Группа!C:C)</f>
        <v>1</v>
      </c>
      <c r="AI324" s="97">
        <f ca="1">SUMIF(Группа!B:B,AB324,Группа!C:C)</f>
        <v>1</v>
      </c>
      <c r="AJ324" s="97">
        <f ca="1">SUMIF(Формы!A:A,D324,Формы!B:B)</f>
        <v>1</v>
      </c>
      <c r="AK324" s="97">
        <f ca="1">SUMIF(Материал!A:A,K324,Материал!B:B)</f>
        <v>1</v>
      </c>
      <c r="AL324" s="97">
        <f ca="1">SUMIF(Размеры!A:A,S324,Размеры!E:E)</f>
        <v>1</v>
      </c>
      <c r="AM324" s="97">
        <f ca="1">SUMIF(Сезон!A:A,F324,Сезон!B:B)</f>
        <v>1</v>
      </c>
      <c r="AN324" s="97">
        <f ca="1">SUMIF(Состав!A:A,J324,Состав!B:B)</f>
        <v>0</v>
      </c>
      <c r="AO324" s="97">
        <f ca="1">VLOOKUP(I324,ЦветПолный!A:C,3,0)</f>
        <v>1</v>
      </c>
      <c r="AP324" s="97">
        <f>SUMIF(Цвет!A:A,Z324,Цвет!B:B)</f>
        <v>1</v>
      </c>
      <c r="AQ324" s="97">
        <f ca="1">_xlfn.XLOOKUP(L324,Пол!A:A,Пол!B:B,0,0)</f>
        <v>1</v>
      </c>
      <c r="AR324" s="97">
        <f ca="1">SUMIF(Бренд!A:A,G324,Бренд!B:B)</f>
        <v>1</v>
      </c>
      <c r="AS324" s="97">
        <f ca="1">SUMIF(Страна!A:A,M324,Страна!B:B)</f>
        <v>1</v>
      </c>
      <c r="AT324" s="64" t="e">
        <f ca="1">IF(VLOOKUP(W324,Товары!A:B,2,FALSE)=A324,"Есть в 1С","ERR")</f>
        <v>#N/A</v>
      </c>
      <c r="AU324" s="65" t="e">
        <f ca="1">IF(VLOOKUP(A324,Товары!B:B,1,FALSE)=A324,"Есть в 1С","ERR")</f>
        <v>#N/A</v>
      </c>
      <c r="AV324" s="96" t="e">
        <f ca="1">VLOOKUP(W324,Товары!A:B,2,FALSE)</f>
        <v>#N/A</v>
      </c>
      <c r="AW324" s="94" t="e">
        <f ca="1">VLOOKUP(W324,Товары!A:B,1,FALSE)</f>
        <v>#N/A</v>
      </c>
    </row>
    <row r="325" spans="1:49" x14ac:dyDescent="0.25">
      <c r="A325" s="110" t="str">
        <f t="shared" ca="1" si="25"/>
        <v>95-004-63</v>
      </c>
      <c r="B325" s="107" t="str">
        <f ca="1">_xlfn.LET(_xlpm.CAPS,0,_xlpm.Style,TRIM(_xlfn.XLOOKUP($A325,Строчный!$A:$A,Строчный!B:B,"ERR",0)),IF(_xlpm.CAPS=0,_xlpm.Style,LOWER(_xlpm.Style)))</f>
        <v>3101</v>
      </c>
      <c r="C325" s="81" t="str">
        <f ca="1">TRIM(PROPER(_xlfn.XLOOKUP($A325,Строчный!$A:$A,Строчный!C:C,"ERR",0)))</f>
        <v>Кепки</v>
      </c>
      <c r="D325" s="81" t="str">
        <f ca="1">_xlfn.LET(_xlpm.DATA,TRIM(_xlfn.XLOOKUP($A325,Строчный!$A:$A,Строчный!D:D,"ERR",0)),UPPER(MID(_xlpm.DATA,1,1))&amp;LOWER(MID(_xlpm.DATA,2,LEN(_xlpm.DATA)-1)))</f>
        <v>Кепка восьмиклинка</v>
      </c>
      <c r="E325" s="81" t="str">
        <f ca="1">PROPER(TRIM(_xlfn.XLOOKUP($A325,Строчный!$A:$A,Строчный!E:E,"ERR",0)))</f>
        <v>Fredrikson</v>
      </c>
      <c r="F325" s="81" t="str">
        <f ca="1">LOWER(TRIM(_xlfn.XLOOKUP($A325,Строчный!$A:$A,Строчный!F:F,"ERR",0)))</f>
        <v>всесезон</v>
      </c>
      <c r="G325" s="81" t="str">
        <f ca="1">UPPER(TRIM(_xlfn.XLOOKUP($A325,Строчный!$A:$A,Строчный!G:G,"ERR",0)))</f>
        <v>FREDRIKSON</v>
      </c>
      <c r="H325" s="81" t="str">
        <f ca="1">LOWER(TRIM(_xlfn.XLOOKUP($A325,Строчный!$A:$A,Строчный!H:H,"ERR",0)))</f>
        <v>637/70</v>
      </c>
      <c r="I325" s="81" t="str">
        <f ca="1">LOWER(TRIM(_xlfn.XLOOKUP($A325,Строчный!$A:$A,Строчный!I:I,"ERR",0)))</f>
        <v>темно-серый / темно-синий</v>
      </c>
      <c r="J325" s="81" t="str">
        <f ca="1">SUBSTITUTE(LOWER(TRIM(_xlfn.XLOOKUP($A325,Строчный!$A:$A,Строчный!J:J,"ERR",0))),"подклад","Подклад")</f>
        <v>80% шерсть - 20% полиамид / Подклад: 100% вискоза</v>
      </c>
      <c r="K325" s="81" t="str">
        <f ca="1">LOWER(TRIM(_xlfn.XLOOKUP($A325,Строчный!$A:$A,Строчный!K:K,"ERR",0)))</f>
        <v>шерстяные</v>
      </c>
      <c r="L325" s="81" t="str">
        <f ca="1">PROPER(TRIM(_xlfn.XLOOKUP($A325,Строчный!$A:$A,Строчный!L:L,"ERR",0)))</f>
        <v>Унисекс</v>
      </c>
      <c r="M325" s="113" t="str">
        <f ca="1">PROPER(TRIM(_xlfn.XLOOKUP($A325,Строчный!$A:$A,Строчный!M:M,"ERR",0)))</f>
        <v>Россия</v>
      </c>
      <c r="N325" s="81" t="str">
        <f ca="1">UPPER(TRIM(_xlfn.XLOOKUP($A325,Строчный!$A:$A,Строчный!O:O,"ERR",0)))</f>
        <v/>
      </c>
      <c r="O325" s="102" t="str">
        <f ca="1">PROPER(TRIM(_xlfn.XLOOKUP($A325,Строчный!$A:$A,Строчный!P:P,"ERR",0)))</f>
        <v/>
      </c>
      <c r="P325" s="81" t="str">
        <f ca="1">PROPER(TRIM(_xlfn.XLOOKUP($A325,Строчный!$A:$A,Строчный!R:R,"ERR",0)))</f>
        <v/>
      </c>
      <c r="Q325" s="90">
        <f ca="1">VALUE(_xlfn.XLOOKUP($A325,Строчный!$A:$A,Строчный!N:N,"ERR",0))</f>
        <v>975.8</v>
      </c>
      <c r="R325" s="89" t="str">
        <f ca="1">_xlfn.XLOOKUP($G325,Фабрика!A:A,Фабрика!B:B,"ERR",0)</f>
        <v>ООО "ФРЭДРИКСОН" Россия 192029, С-Петербург, пр. Обуховской обороны, д.86, лит М</v>
      </c>
      <c r="S325" s="80" t="str">
        <f ca="1">_xlfn.XLOOKUP(RIGHT(AA325,2),Размеры!D:D,Размеры!A:A,"ERR",0)</f>
        <v>56</v>
      </c>
      <c r="T325" s="80">
        <f ca="1">VALUE(_xlfn.XLOOKUP($AA325,Строчный!$S:$S,Строчный!U:U,"ERR",0))</f>
        <v>7</v>
      </c>
      <c r="U325" s="14" t="s">
        <v>265</v>
      </c>
      <c r="V325" s="101" t="str">
        <f t="shared" ca="1" si="26"/>
        <v>Кепка FREDRIKSON арт. 3101 (темно-серый / темно-синий)</v>
      </c>
      <c r="W325" s="100" t="str">
        <f t="shared" ca="1" si="27"/>
        <v>Кепка FREDRIKSON арт. 3101 (темно-серый / темно-синий) {637/70}</v>
      </c>
      <c r="X325" s="18" t="str">
        <f t="shared" ca="1" si="28"/>
        <v>серый / темно-синий</v>
      </c>
      <c r="Y325" s="18" t="str">
        <f t="shared" ca="1" si="29"/>
        <v>серый / темно-синий</v>
      </c>
      <c r="Z325" s="117" t="s">
        <v>28</v>
      </c>
      <c r="AA325" s="73" t="str">
        <f ca="1"/>
        <v>95-004-63-56</v>
      </c>
      <c r="AB325" s="75" t="str">
        <f ca="1">VLOOKUP(C325,Группа!A:B,2,FALSE)</f>
        <v>Кепка</v>
      </c>
      <c r="AC325" s="97" t="str">
        <f ca="1">IFERROR(VLOOKUP(S325,Размеры!A:C,3,FALSE),"")</f>
        <v>56 S/M</v>
      </c>
      <c r="AD325" s="97" t="str">
        <f ca="1">VLOOKUP(I325,ЦветПолный!A:B,2,FALSE)</f>
        <v>63</v>
      </c>
      <c r="AE325" s="97" t="str">
        <f ca="1">IFERROR(VLOOKUP(S325,Размеры!A:D,4,FALSE),"")</f>
        <v>56</v>
      </c>
      <c r="AF325" s="97">
        <f ca="1">IF(LEFT(IFERROR(VLOOKUP(LOOKUP(2,1/SEARCH(B325,Товары!A:A),Товары!A:A),Товары!A:B,2,0),""),6)=MID(AA325,1,6),1,0)</f>
        <v>0</v>
      </c>
      <c r="AH325" s="97">
        <f ca="1">SUMIF(Группа!A:A,C325,Группа!C:C)</f>
        <v>1</v>
      </c>
      <c r="AI325" s="97">
        <f ca="1">SUMIF(Группа!B:B,AB325,Группа!C:C)</f>
        <v>1</v>
      </c>
      <c r="AJ325" s="97">
        <f ca="1">SUMIF(Формы!A:A,D325,Формы!B:B)</f>
        <v>1</v>
      </c>
      <c r="AK325" s="97">
        <f ca="1">SUMIF(Материал!A:A,K325,Материал!B:B)</f>
        <v>1</v>
      </c>
      <c r="AL325" s="97">
        <f ca="1">SUMIF(Размеры!A:A,S325,Размеры!E:E)</f>
        <v>1</v>
      </c>
      <c r="AM325" s="97">
        <f ca="1">SUMIF(Сезон!A:A,F325,Сезон!B:B)</f>
        <v>1</v>
      </c>
      <c r="AN325" s="97">
        <f ca="1">SUMIF(Состав!A:A,J325,Состав!B:B)</f>
        <v>0</v>
      </c>
      <c r="AO325" s="97">
        <f ca="1">VLOOKUP(I325,ЦветПолный!A:C,3,0)</f>
        <v>1</v>
      </c>
      <c r="AP325" s="97">
        <f>SUMIF(Цвет!A:A,Z325,Цвет!B:B)</f>
        <v>1</v>
      </c>
      <c r="AQ325" s="97">
        <f ca="1">_xlfn.XLOOKUP(L325,Пол!A:A,Пол!B:B,0,0)</f>
        <v>1</v>
      </c>
      <c r="AR325" s="97">
        <f ca="1">SUMIF(Бренд!A:A,G325,Бренд!B:B)</f>
        <v>1</v>
      </c>
      <c r="AS325" s="97">
        <f ca="1">SUMIF(Страна!A:A,M325,Страна!B:B)</f>
        <v>1</v>
      </c>
      <c r="AT325" s="64" t="e">
        <f ca="1">IF(VLOOKUP(W325,Товары!A:B,2,FALSE)=A325,"Есть в 1С","ERR")</f>
        <v>#N/A</v>
      </c>
      <c r="AU325" s="65" t="e">
        <f ca="1">IF(VLOOKUP(A325,Товары!B:B,1,FALSE)=A325,"Есть в 1С","ERR")</f>
        <v>#N/A</v>
      </c>
      <c r="AV325" s="96" t="e">
        <f ca="1">VLOOKUP(W325,Товары!A:B,2,FALSE)</f>
        <v>#N/A</v>
      </c>
      <c r="AW325" s="94" t="e">
        <f ca="1">VLOOKUP(W325,Товары!A:B,1,FALSE)</f>
        <v>#N/A</v>
      </c>
    </row>
    <row r="326" spans="1:49" x14ac:dyDescent="0.25">
      <c r="A326" s="110" t="str">
        <f t="shared" ca="1" si="25"/>
        <v>95-004-58</v>
      </c>
      <c r="B326" s="107" t="str">
        <f ca="1">_xlfn.LET(_xlpm.CAPS,0,_xlpm.Style,TRIM(_xlfn.XLOOKUP($A326,Строчный!$A:$A,Строчный!B:B,"ERR",0)),IF(_xlpm.CAPS=0,_xlpm.Style,LOWER(_xlpm.Style)))</f>
        <v>3101</v>
      </c>
      <c r="C326" s="81" t="str">
        <f ca="1">TRIM(PROPER(_xlfn.XLOOKUP($A326,Строчный!$A:$A,Строчный!C:C,"ERR",0)))</f>
        <v>Кепки</v>
      </c>
      <c r="D326" s="81" t="str">
        <f ca="1">_xlfn.LET(_xlpm.DATA,TRIM(_xlfn.XLOOKUP($A326,Строчный!$A:$A,Строчный!D:D,"ERR",0)),UPPER(MID(_xlpm.DATA,1,1))&amp;LOWER(MID(_xlpm.DATA,2,LEN(_xlpm.DATA)-1)))</f>
        <v>Кепка восьмиклинка</v>
      </c>
      <c r="E326" s="81" t="str">
        <f ca="1">PROPER(TRIM(_xlfn.XLOOKUP($A326,Строчный!$A:$A,Строчный!E:E,"ERR",0)))</f>
        <v>Fredrikson</v>
      </c>
      <c r="F326" s="81" t="str">
        <f ca="1">LOWER(TRIM(_xlfn.XLOOKUP($A326,Строчный!$A:$A,Строчный!F:F,"ERR",0)))</f>
        <v>всесезон</v>
      </c>
      <c r="G326" s="81" t="str">
        <f ca="1">UPPER(TRIM(_xlfn.XLOOKUP($A326,Строчный!$A:$A,Строчный!G:G,"ERR",0)))</f>
        <v>FREDRIKSON</v>
      </c>
      <c r="H326" s="81" t="str">
        <f ca="1">LOWER(TRIM(_xlfn.XLOOKUP($A326,Строчный!$A:$A,Строчный!H:H,"ERR",0)))</f>
        <v>684/44</v>
      </c>
      <c r="I326" s="81" t="str">
        <f ca="1">LOWER(TRIM(_xlfn.XLOOKUP($A326,Строчный!$A:$A,Строчный!I:I,"ERR",0)))</f>
        <v>голубой / синий</v>
      </c>
      <c r="J326" s="81" t="str">
        <f ca="1">SUBSTITUTE(LOWER(TRIM(_xlfn.XLOOKUP($A326,Строчный!$A:$A,Строчный!J:J,"ERR",0))),"подклад","Подклад")</f>
        <v>80% шерсть - 20% полиамид / Подклад: 100% вискоза</v>
      </c>
      <c r="K326" s="81" t="str">
        <f ca="1">LOWER(TRIM(_xlfn.XLOOKUP($A326,Строчный!$A:$A,Строчный!K:K,"ERR",0)))</f>
        <v>шерстяные</v>
      </c>
      <c r="L326" s="81" t="str">
        <f ca="1">PROPER(TRIM(_xlfn.XLOOKUP($A326,Строчный!$A:$A,Строчный!L:L,"ERR",0)))</f>
        <v>Унисекс</v>
      </c>
      <c r="M326" s="113" t="str">
        <f ca="1">PROPER(TRIM(_xlfn.XLOOKUP($A326,Строчный!$A:$A,Строчный!M:M,"ERR",0)))</f>
        <v>Россия</v>
      </c>
      <c r="N326" s="81" t="str">
        <f ca="1">UPPER(TRIM(_xlfn.XLOOKUP($A326,Строчный!$A:$A,Строчный!O:O,"ERR",0)))</f>
        <v/>
      </c>
      <c r="O326" s="102" t="str">
        <f ca="1">PROPER(TRIM(_xlfn.XLOOKUP($A326,Строчный!$A:$A,Строчный!P:P,"ERR",0)))</f>
        <v/>
      </c>
      <c r="P326" s="81" t="str">
        <f ca="1">PROPER(TRIM(_xlfn.XLOOKUP($A326,Строчный!$A:$A,Строчный!R:R,"ERR",0)))</f>
        <v/>
      </c>
      <c r="Q326" s="90">
        <f ca="1">VALUE(_xlfn.XLOOKUP($A326,Строчный!$A:$A,Строчный!N:N,"ERR",0))</f>
        <v>975.8</v>
      </c>
      <c r="R326" s="89" t="str">
        <f ca="1">_xlfn.XLOOKUP($G326,Фабрика!A:A,Фабрика!B:B,"ERR",0)</f>
        <v>ООО "ФРЭДРИКСОН" Россия 192029, С-Петербург, пр. Обуховской обороны, д.86, лит М</v>
      </c>
      <c r="S326" s="80" t="str">
        <f ca="1">_xlfn.XLOOKUP(RIGHT(AA326,2),Размеры!D:D,Размеры!A:A,"ERR",0)</f>
        <v>62</v>
      </c>
      <c r="T326" s="80">
        <f ca="1">VALUE(_xlfn.XLOOKUP($AA326,Строчный!$S:$S,Строчный!U:U,"ERR",0))</f>
        <v>1</v>
      </c>
      <c r="U326" s="14" t="s">
        <v>265</v>
      </c>
      <c r="V326" s="101" t="str">
        <f t="shared" ca="1" si="26"/>
        <v>Кепка FREDRIKSON арт. 3101 (голубой / синий)</v>
      </c>
      <c r="W326" s="100" t="str">
        <f t="shared" ca="1" si="27"/>
        <v>Кепка FREDRIKSON арт. 3101 (голубой / синий) {684/44}</v>
      </c>
      <c r="X326" s="18" t="str">
        <f t="shared" ca="1" si="28"/>
        <v>голубой</v>
      </c>
      <c r="Y326" s="18" t="str">
        <f t="shared" ca="1" si="29"/>
        <v>синий</v>
      </c>
      <c r="Z326" s="117" t="s">
        <v>28</v>
      </c>
      <c r="AA326" s="73" t="str">
        <f ca="1"/>
        <v>95-004-58-62</v>
      </c>
      <c r="AB326" s="75" t="str">
        <f ca="1">VLOOKUP(C326,Группа!A:B,2,FALSE)</f>
        <v>Кепка</v>
      </c>
      <c r="AC326" s="97" t="str">
        <f ca="1">IFERROR(VLOOKUP(S326,Размеры!A:C,3,FALSE),"")</f>
        <v>62 XL/XXL</v>
      </c>
      <c r="AD326" s="97" t="str">
        <f ca="1">VLOOKUP(I326,ЦветПолный!A:B,2,FALSE)</f>
        <v>58</v>
      </c>
      <c r="AE326" s="97" t="str">
        <f ca="1">IFERROR(VLOOKUP(S326,Размеры!A:D,4,FALSE),"")</f>
        <v>62</v>
      </c>
      <c r="AF326" s="97">
        <f ca="1">IF(LEFT(IFERROR(VLOOKUP(LOOKUP(2,1/SEARCH(B326,Товары!A:A),Товары!A:A),Товары!A:B,2,0),""),6)=MID(AA326,1,6),1,0)</f>
        <v>0</v>
      </c>
      <c r="AH326" s="97">
        <f ca="1">SUMIF(Группа!A:A,C326,Группа!C:C)</f>
        <v>1</v>
      </c>
      <c r="AI326" s="97">
        <f ca="1">SUMIF(Группа!B:B,AB326,Группа!C:C)</f>
        <v>1</v>
      </c>
      <c r="AJ326" s="97">
        <f ca="1">SUMIF(Формы!A:A,D326,Формы!B:B)</f>
        <v>1</v>
      </c>
      <c r="AK326" s="97">
        <f ca="1">SUMIF(Материал!A:A,K326,Материал!B:B)</f>
        <v>1</v>
      </c>
      <c r="AL326" s="97">
        <f ca="1">SUMIF(Размеры!A:A,S326,Размеры!E:E)</f>
        <v>1</v>
      </c>
      <c r="AM326" s="97">
        <f ca="1">SUMIF(Сезон!A:A,F326,Сезон!B:B)</f>
        <v>1</v>
      </c>
      <c r="AN326" s="97">
        <f ca="1">SUMIF(Состав!A:A,J326,Состав!B:B)</f>
        <v>0</v>
      </c>
      <c r="AO326" s="97">
        <f ca="1">VLOOKUP(I326,ЦветПолный!A:C,3,0)</f>
        <v>1</v>
      </c>
      <c r="AP326" s="97">
        <f>SUMIF(Цвет!A:A,Z326,Цвет!B:B)</f>
        <v>1</v>
      </c>
      <c r="AQ326" s="97">
        <f ca="1">_xlfn.XLOOKUP(L326,Пол!A:A,Пол!B:B,0,0)</f>
        <v>1</v>
      </c>
      <c r="AR326" s="97">
        <f ca="1">SUMIF(Бренд!A:A,G326,Бренд!B:B)</f>
        <v>1</v>
      </c>
      <c r="AS326" s="97">
        <f ca="1">SUMIF(Страна!A:A,M326,Страна!B:B)</f>
        <v>1</v>
      </c>
      <c r="AT326" s="64" t="e">
        <f ca="1">IF(VLOOKUP(W326,Товары!A:B,2,FALSE)=A326,"Есть в 1С","ERR")</f>
        <v>#N/A</v>
      </c>
      <c r="AU326" s="65" t="e">
        <f ca="1">IF(VLOOKUP(A326,Товары!B:B,1,FALSE)=A326,"Есть в 1С","ERR")</f>
        <v>#N/A</v>
      </c>
      <c r="AV326" s="96" t="e">
        <f ca="1">VLOOKUP(W326,Товары!A:B,2,FALSE)</f>
        <v>#N/A</v>
      </c>
      <c r="AW326" s="94" t="e">
        <f ca="1">VLOOKUP(W326,Товары!A:B,1,FALSE)</f>
        <v>#N/A</v>
      </c>
    </row>
    <row r="327" spans="1:49" x14ac:dyDescent="0.25">
      <c r="A327" s="110" t="str">
        <f t="shared" ca="1" si="25"/>
        <v>95-004-58</v>
      </c>
      <c r="B327" s="107" t="str">
        <f ca="1">_xlfn.LET(_xlpm.CAPS,0,_xlpm.Style,TRIM(_xlfn.XLOOKUP($A327,Строчный!$A:$A,Строчный!B:B,"ERR",0)),IF(_xlpm.CAPS=0,_xlpm.Style,LOWER(_xlpm.Style)))</f>
        <v>3101</v>
      </c>
      <c r="C327" s="81" t="str">
        <f ca="1">TRIM(PROPER(_xlfn.XLOOKUP($A327,Строчный!$A:$A,Строчный!C:C,"ERR",0)))</f>
        <v>Кепки</v>
      </c>
      <c r="D327" s="81" t="str">
        <f ca="1">_xlfn.LET(_xlpm.DATA,TRIM(_xlfn.XLOOKUP($A327,Строчный!$A:$A,Строчный!D:D,"ERR",0)),UPPER(MID(_xlpm.DATA,1,1))&amp;LOWER(MID(_xlpm.DATA,2,LEN(_xlpm.DATA)-1)))</f>
        <v>Кепка восьмиклинка</v>
      </c>
      <c r="E327" s="81" t="str">
        <f ca="1">PROPER(TRIM(_xlfn.XLOOKUP($A327,Строчный!$A:$A,Строчный!E:E,"ERR",0)))</f>
        <v>Fredrikson</v>
      </c>
      <c r="F327" s="81" t="str">
        <f ca="1">LOWER(TRIM(_xlfn.XLOOKUP($A327,Строчный!$A:$A,Строчный!F:F,"ERR",0)))</f>
        <v>всесезон</v>
      </c>
      <c r="G327" s="81" t="str">
        <f ca="1">UPPER(TRIM(_xlfn.XLOOKUP($A327,Строчный!$A:$A,Строчный!G:G,"ERR",0)))</f>
        <v>FREDRIKSON</v>
      </c>
      <c r="H327" s="81" t="str">
        <f ca="1">LOWER(TRIM(_xlfn.XLOOKUP($A327,Строчный!$A:$A,Строчный!H:H,"ERR",0)))</f>
        <v>684/44</v>
      </c>
      <c r="I327" s="81" t="str">
        <f ca="1">LOWER(TRIM(_xlfn.XLOOKUP($A327,Строчный!$A:$A,Строчный!I:I,"ERR",0)))</f>
        <v>голубой / синий</v>
      </c>
      <c r="J327" s="81" t="str">
        <f ca="1">SUBSTITUTE(LOWER(TRIM(_xlfn.XLOOKUP($A327,Строчный!$A:$A,Строчный!J:J,"ERR",0))),"подклад","Подклад")</f>
        <v>80% шерсть - 20% полиамид / Подклад: 100% вискоза</v>
      </c>
      <c r="K327" s="81" t="str">
        <f ca="1">LOWER(TRIM(_xlfn.XLOOKUP($A327,Строчный!$A:$A,Строчный!K:K,"ERR",0)))</f>
        <v>шерстяные</v>
      </c>
      <c r="L327" s="81" t="str">
        <f ca="1">PROPER(TRIM(_xlfn.XLOOKUP($A327,Строчный!$A:$A,Строчный!L:L,"ERR",0)))</f>
        <v>Унисекс</v>
      </c>
      <c r="M327" s="113" t="str">
        <f ca="1">PROPER(TRIM(_xlfn.XLOOKUP($A327,Строчный!$A:$A,Строчный!M:M,"ERR",0)))</f>
        <v>Россия</v>
      </c>
      <c r="N327" s="81" t="str">
        <f ca="1">UPPER(TRIM(_xlfn.XLOOKUP($A327,Строчный!$A:$A,Строчный!O:O,"ERR",0)))</f>
        <v/>
      </c>
      <c r="O327" s="102" t="str">
        <f ca="1">PROPER(TRIM(_xlfn.XLOOKUP($A327,Строчный!$A:$A,Строчный!P:P,"ERR",0)))</f>
        <v/>
      </c>
      <c r="P327" s="81" t="str">
        <f ca="1">PROPER(TRIM(_xlfn.XLOOKUP($A327,Строчный!$A:$A,Строчный!R:R,"ERR",0)))</f>
        <v/>
      </c>
      <c r="Q327" s="90">
        <f ca="1">VALUE(_xlfn.XLOOKUP($A327,Строчный!$A:$A,Строчный!N:N,"ERR",0))</f>
        <v>975.8</v>
      </c>
      <c r="R327" s="89" t="str">
        <f ca="1">_xlfn.XLOOKUP($G327,Фабрика!A:A,Фабрика!B:B,"ERR",0)</f>
        <v>ООО "ФРЭДРИКСОН" Россия 192029, С-Петербург, пр. Обуховской обороны, д.86, лит М</v>
      </c>
      <c r="S327" s="80" t="str">
        <f ca="1">_xlfn.XLOOKUP(RIGHT(AA327,2),Размеры!D:D,Размеры!A:A,"ERR",0)</f>
        <v>61</v>
      </c>
      <c r="T327" s="80">
        <f ca="1">VALUE(_xlfn.XLOOKUP($AA327,Строчный!$S:$S,Строчный!U:U,"ERR",0))</f>
        <v>1</v>
      </c>
      <c r="U327" s="14" t="s">
        <v>265</v>
      </c>
      <c r="V327" s="101" t="str">
        <f t="shared" ca="1" si="26"/>
        <v>Кепка FREDRIKSON арт. 3101 (голубой / синий)</v>
      </c>
      <c r="W327" s="100" t="str">
        <f t="shared" ca="1" si="27"/>
        <v>Кепка FREDRIKSON арт. 3101 (голубой / синий) {684/44}</v>
      </c>
      <c r="X327" s="18" t="str">
        <f t="shared" ca="1" si="28"/>
        <v>голубой</v>
      </c>
      <c r="Y327" s="18" t="str">
        <f t="shared" ca="1" si="29"/>
        <v>синий</v>
      </c>
      <c r="Z327" s="117" t="s">
        <v>28</v>
      </c>
      <c r="AA327" s="73" t="str">
        <f ca="1"/>
        <v>95-004-58-61</v>
      </c>
      <c r="AB327" s="75" t="str">
        <f ca="1">VLOOKUP(C327,Группа!A:B,2,FALSE)</f>
        <v>Кепка</v>
      </c>
      <c r="AC327" s="97" t="str">
        <f ca="1">IFERROR(VLOOKUP(S327,Размеры!A:C,3,FALSE),"")</f>
        <v>61 XL</v>
      </c>
      <c r="AD327" s="97" t="str">
        <f ca="1">VLOOKUP(I327,ЦветПолный!A:B,2,FALSE)</f>
        <v>58</v>
      </c>
      <c r="AE327" s="97" t="str">
        <f ca="1">IFERROR(VLOOKUP(S327,Размеры!A:D,4,FALSE),"")</f>
        <v>61</v>
      </c>
      <c r="AF327" s="97">
        <f ca="1">IF(LEFT(IFERROR(VLOOKUP(LOOKUP(2,1/SEARCH(B327,Товары!A:A),Товары!A:A),Товары!A:B,2,0),""),6)=MID(AA327,1,6),1,0)</f>
        <v>0</v>
      </c>
      <c r="AH327" s="97">
        <f ca="1">SUMIF(Группа!A:A,C327,Группа!C:C)</f>
        <v>1</v>
      </c>
      <c r="AI327" s="97">
        <f ca="1">SUMIF(Группа!B:B,AB327,Группа!C:C)</f>
        <v>1</v>
      </c>
      <c r="AJ327" s="97">
        <f ca="1">SUMIF(Формы!A:A,D327,Формы!B:B)</f>
        <v>1</v>
      </c>
      <c r="AK327" s="97">
        <f ca="1">SUMIF(Материал!A:A,K327,Материал!B:B)</f>
        <v>1</v>
      </c>
      <c r="AL327" s="97">
        <f ca="1">SUMIF(Размеры!A:A,S327,Размеры!E:E)</f>
        <v>1</v>
      </c>
      <c r="AM327" s="97">
        <f ca="1">SUMIF(Сезон!A:A,F327,Сезон!B:B)</f>
        <v>1</v>
      </c>
      <c r="AN327" s="97">
        <f ca="1">SUMIF(Состав!A:A,J327,Состав!B:B)</f>
        <v>0</v>
      </c>
      <c r="AO327" s="97">
        <f ca="1">VLOOKUP(I327,ЦветПолный!A:C,3,0)</f>
        <v>1</v>
      </c>
      <c r="AP327" s="97">
        <f>SUMIF(Цвет!A:A,Z327,Цвет!B:B)</f>
        <v>1</v>
      </c>
      <c r="AQ327" s="97">
        <f ca="1">_xlfn.XLOOKUP(L327,Пол!A:A,Пол!B:B,0,0)</f>
        <v>1</v>
      </c>
      <c r="AR327" s="97">
        <f ca="1">SUMIF(Бренд!A:A,G327,Бренд!B:B)</f>
        <v>1</v>
      </c>
      <c r="AS327" s="97">
        <f ca="1">SUMIF(Страна!A:A,M327,Страна!B:B)</f>
        <v>1</v>
      </c>
      <c r="AT327" s="64" t="e">
        <f ca="1">IF(VLOOKUP(W327,Товары!A:B,2,FALSE)=A327,"Есть в 1С","ERR")</f>
        <v>#N/A</v>
      </c>
      <c r="AU327" s="65" t="e">
        <f ca="1">IF(VLOOKUP(A327,Товары!B:B,1,FALSE)=A327,"Есть в 1С","ERR")</f>
        <v>#N/A</v>
      </c>
      <c r="AV327" s="96" t="e">
        <f ca="1">VLOOKUP(W327,Товары!A:B,2,FALSE)</f>
        <v>#N/A</v>
      </c>
      <c r="AW327" s="94" t="e">
        <f ca="1">VLOOKUP(W327,Товары!A:B,1,FALSE)</f>
        <v>#N/A</v>
      </c>
    </row>
    <row r="328" spans="1:49" x14ac:dyDescent="0.25">
      <c r="A328" s="110" t="str">
        <f t="shared" ca="1" si="25"/>
        <v>95-004-58</v>
      </c>
      <c r="B328" s="107" t="str">
        <f ca="1">_xlfn.LET(_xlpm.CAPS,0,_xlpm.Style,TRIM(_xlfn.XLOOKUP($A328,Строчный!$A:$A,Строчный!B:B,"ERR",0)),IF(_xlpm.CAPS=0,_xlpm.Style,LOWER(_xlpm.Style)))</f>
        <v>3101</v>
      </c>
      <c r="C328" s="81" t="str">
        <f ca="1">TRIM(PROPER(_xlfn.XLOOKUP($A328,Строчный!$A:$A,Строчный!C:C,"ERR",0)))</f>
        <v>Кепки</v>
      </c>
      <c r="D328" s="81" t="str">
        <f ca="1">_xlfn.LET(_xlpm.DATA,TRIM(_xlfn.XLOOKUP($A328,Строчный!$A:$A,Строчный!D:D,"ERR",0)),UPPER(MID(_xlpm.DATA,1,1))&amp;LOWER(MID(_xlpm.DATA,2,LEN(_xlpm.DATA)-1)))</f>
        <v>Кепка восьмиклинка</v>
      </c>
      <c r="E328" s="81" t="str">
        <f ca="1">PROPER(TRIM(_xlfn.XLOOKUP($A328,Строчный!$A:$A,Строчный!E:E,"ERR",0)))</f>
        <v>Fredrikson</v>
      </c>
      <c r="F328" s="81" t="str">
        <f ca="1">LOWER(TRIM(_xlfn.XLOOKUP($A328,Строчный!$A:$A,Строчный!F:F,"ERR",0)))</f>
        <v>всесезон</v>
      </c>
      <c r="G328" s="81" t="str">
        <f ca="1">UPPER(TRIM(_xlfn.XLOOKUP($A328,Строчный!$A:$A,Строчный!G:G,"ERR",0)))</f>
        <v>FREDRIKSON</v>
      </c>
      <c r="H328" s="81" t="str">
        <f ca="1">LOWER(TRIM(_xlfn.XLOOKUP($A328,Строчный!$A:$A,Строчный!H:H,"ERR",0)))</f>
        <v>684/44</v>
      </c>
      <c r="I328" s="81" t="str">
        <f ca="1">LOWER(TRIM(_xlfn.XLOOKUP($A328,Строчный!$A:$A,Строчный!I:I,"ERR",0)))</f>
        <v>голубой / синий</v>
      </c>
      <c r="J328" s="81" t="str">
        <f ca="1">SUBSTITUTE(LOWER(TRIM(_xlfn.XLOOKUP($A328,Строчный!$A:$A,Строчный!J:J,"ERR",0))),"подклад","Подклад")</f>
        <v>80% шерсть - 20% полиамид / Подклад: 100% вискоза</v>
      </c>
      <c r="K328" s="81" t="str">
        <f ca="1">LOWER(TRIM(_xlfn.XLOOKUP($A328,Строчный!$A:$A,Строчный!K:K,"ERR",0)))</f>
        <v>шерстяные</v>
      </c>
      <c r="L328" s="81" t="str">
        <f ca="1">PROPER(TRIM(_xlfn.XLOOKUP($A328,Строчный!$A:$A,Строчный!L:L,"ERR",0)))</f>
        <v>Унисекс</v>
      </c>
      <c r="M328" s="113" t="str">
        <f ca="1">PROPER(TRIM(_xlfn.XLOOKUP($A328,Строчный!$A:$A,Строчный!M:M,"ERR",0)))</f>
        <v>Россия</v>
      </c>
      <c r="N328" s="81" t="str">
        <f ca="1">UPPER(TRIM(_xlfn.XLOOKUP($A328,Строчный!$A:$A,Строчный!O:O,"ERR",0)))</f>
        <v/>
      </c>
      <c r="O328" s="102" t="str">
        <f ca="1">PROPER(TRIM(_xlfn.XLOOKUP($A328,Строчный!$A:$A,Строчный!P:P,"ERR",0)))</f>
        <v/>
      </c>
      <c r="P328" s="81" t="str">
        <f ca="1">PROPER(TRIM(_xlfn.XLOOKUP($A328,Строчный!$A:$A,Строчный!R:R,"ERR",0)))</f>
        <v/>
      </c>
      <c r="Q328" s="90">
        <f ca="1">VALUE(_xlfn.XLOOKUP($A328,Строчный!$A:$A,Строчный!N:N,"ERR",0))</f>
        <v>975.8</v>
      </c>
      <c r="R328" s="89" t="str">
        <f ca="1">_xlfn.XLOOKUP($G328,Фабрика!A:A,Фабрика!B:B,"ERR",0)</f>
        <v>ООО "ФРЭДРИКСОН" Россия 192029, С-Петербург, пр. Обуховской обороны, д.86, лит М</v>
      </c>
      <c r="S328" s="80" t="str">
        <f ca="1">_xlfn.XLOOKUP(RIGHT(AA328,2),Размеры!D:D,Размеры!A:A,"ERR",0)</f>
        <v>60</v>
      </c>
      <c r="T328" s="80">
        <f ca="1">VALUE(_xlfn.XLOOKUP($AA328,Строчный!$S:$S,Строчный!U:U,"ERR",0))</f>
        <v>2</v>
      </c>
      <c r="U328" s="14" t="s">
        <v>265</v>
      </c>
      <c r="V328" s="101" t="str">
        <f t="shared" ca="1" si="26"/>
        <v>Кепка FREDRIKSON арт. 3101 (голубой / синий)</v>
      </c>
      <c r="W328" s="100" t="str">
        <f t="shared" ca="1" si="27"/>
        <v>Кепка FREDRIKSON арт. 3101 (голубой / синий) {684/44}</v>
      </c>
      <c r="X328" s="18" t="str">
        <f t="shared" ca="1" si="28"/>
        <v>голубой</v>
      </c>
      <c r="Y328" s="18" t="str">
        <f t="shared" ca="1" si="29"/>
        <v>синий</v>
      </c>
      <c r="Z328" s="117" t="s">
        <v>28</v>
      </c>
      <c r="AA328" s="73" t="str">
        <f ca="1"/>
        <v>95-004-58-60</v>
      </c>
      <c r="AB328" s="75" t="str">
        <f ca="1">VLOOKUP(C328,Группа!A:B,2,FALSE)</f>
        <v>Кепка</v>
      </c>
      <c r="AC328" s="97" t="str">
        <f ca="1">IFERROR(VLOOKUP(S328,Размеры!A:C,3,FALSE),"")</f>
        <v>60 L/XL</v>
      </c>
      <c r="AD328" s="97" t="str">
        <f ca="1">VLOOKUP(I328,ЦветПолный!A:B,2,FALSE)</f>
        <v>58</v>
      </c>
      <c r="AE328" s="97" t="str">
        <f ca="1">IFERROR(VLOOKUP(S328,Размеры!A:D,4,FALSE),"")</f>
        <v>60</v>
      </c>
      <c r="AF328" s="97">
        <f ca="1">IF(LEFT(IFERROR(VLOOKUP(LOOKUP(2,1/SEARCH(B328,Товары!A:A),Товары!A:A),Товары!A:B,2,0),""),6)=MID(AA328,1,6),1,0)</f>
        <v>0</v>
      </c>
      <c r="AH328" s="97">
        <f ca="1">SUMIF(Группа!A:A,C328,Группа!C:C)</f>
        <v>1</v>
      </c>
      <c r="AI328" s="97">
        <f ca="1">SUMIF(Группа!B:B,AB328,Группа!C:C)</f>
        <v>1</v>
      </c>
      <c r="AJ328" s="97">
        <f ca="1">SUMIF(Формы!A:A,D328,Формы!B:B)</f>
        <v>1</v>
      </c>
      <c r="AK328" s="97">
        <f ca="1">SUMIF(Материал!A:A,K328,Материал!B:B)</f>
        <v>1</v>
      </c>
      <c r="AL328" s="97">
        <f ca="1">SUMIF(Размеры!A:A,S328,Размеры!E:E)</f>
        <v>1</v>
      </c>
      <c r="AM328" s="97">
        <f ca="1">SUMIF(Сезон!A:A,F328,Сезон!B:B)</f>
        <v>1</v>
      </c>
      <c r="AN328" s="97">
        <f ca="1">SUMIF(Состав!A:A,J328,Состав!B:B)</f>
        <v>0</v>
      </c>
      <c r="AO328" s="97">
        <f ca="1">VLOOKUP(I328,ЦветПолный!A:C,3,0)</f>
        <v>1</v>
      </c>
      <c r="AP328" s="97">
        <f>SUMIF(Цвет!A:A,Z328,Цвет!B:B)</f>
        <v>1</v>
      </c>
      <c r="AQ328" s="97">
        <f ca="1">_xlfn.XLOOKUP(L328,Пол!A:A,Пол!B:B,0,0)</f>
        <v>1</v>
      </c>
      <c r="AR328" s="97">
        <f ca="1">SUMIF(Бренд!A:A,G328,Бренд!B:B)</f>
        <v>1</v>
      </c>
      <c r="AS328" s="97">
        <f ca="1">SUMIF(Страна!A:A,M328,Страна!B:B)</f>
        <v>1</v>
      </c>
      <c r="AT328" s="64" t="e">
        <f ca="1">IF(VLOOKUP(W328,Товары!A:B,2,FALSE)=A328,"Есть в 1С","ERR")</f>
        <v>#N/A</v>
      </c>
      <c r="AU328" s="65" t="e">
        <f ca="1">IF(VLOOKUP(A328,Товары!B:B,1,FALSE)=A328,"Есть в 1С","ERR")</f>
        <v>#N/A</v>
      </c>
      <c r="AV328" s="96" t="e">
        <f ca="1">VLOOKUP(W328,Товары!A:B,2,FALSE)</f>
        <v>#N/A</v>
      </c>
      <c r="AW328" s="94" t="e">
        <f ca="1">VLOOKUP(W328,Товары!A:B,1,FALSE)</f>
        <v>#N/A</v>
      </c>
    </row>
    <row r="329" spans="1:49" x14ac:dyDescent="0.25">
      <c r="A329" s="110" t="str">
        <f t="shared" ca="1" si="25"/>
        <v>95-004-58</v>
      </c>
      <c r="B329" s="107" t="str">
        <f ca="1">_xlfn.LET(_xlpm.CAPS,0,_xlpm.Style,TRIM(_xlfn.XLOOKUP($A329,Строчный!$A:$A,Строчный!B:B,"ERR",0)),IF(_xlpm.CAPS=0,_xlpm.Style,LOWER(_xlpm.Style)))</f>
        <v>3101</v>
      </c>
      <c r="C329" s="81" t="str">
        <f ca="1">TRIM(PROPER(_xlfn.XLOOKUP($A329,Строчный!$A:$A,Строчный!C:C,"ERR",0)))</f>
        <v>Кепки</v>
      </c>
      <c r="D329" s="81" t="str">
        <f ca="1">_xlfn.LET(_xlpm.DATA,TRIM(_xlfn.XLOOKUP($A329,Строчный!$A:$A,Строчный!D:D,"ERR",0)),UPPER(MID(_xlpm.DATA,1,1))&amp;LOWER(MID(_xlpm.DATA,2,LEN(_xlpm.DATA)-1)))</f>
        <v>Кепка восьмиклинка</v>
      </c>
      <c r="E329" s="81" t="str">
        <f ca="1">PROPER(TRIM(_xlfn.XLOOKUP($A329,Строчный!$A:$A,Строчный!E:E,"ERR",0)))</f>
        <v>Fredrikson</v>
      </c>
      <c r="F329" s="81" t="str">
        <f ca="1">LOWER(TRIM(_xlfn.XLOOKUP($A329,Строчный!$A:$A,Строчный!F:F,"ERR",0)))</f>
        <v>всесезон</v>
      </c>
      <c r="G329" s="81" t="str">
        <f ca="1">UPPER(TRIM(_xlfn.XLOOKUP($A329,Строчный!$A:$A,Строчный!G:G,"ERR",0)))</f>
        <v>FREDRIKSON</v>
      </c>
      <c r="H329" s="81" t="str">
        <f ca="1">LOWER(TRIM(_xlfn.XLOOKUP($A329,Строчный!$A:$A,Строчный!H:H,"ERR",0)))</f>
        <v>684/44</v>
      </c>
      <c r="I329" s="81" t="str">
        <f ca="1">LOWER(TRIM(_xlfn.XLOOKUP($A329,Строчный!$A:$A,Строчный!I:I,"ERR",0)))</f>
        <v>голубой / синий</v>
      </c>
      <c r="J329" s="81" t="str">
        <f ca="1">SUBSTITUTE(LOWER(TRIM(_xlfn.XLOOKUP($A329,Строчный!$A:$A,Строчный!J:J,"ERR",0))),"подклад","Подклад")</f>
        <v>80% шерсть - 20% полиамид / Подклад: 100% вискоза</v>
      </c>
      <c r="K329" s="81" t="str">
        <f ca="1">LOWER(TRIM(_xlfn.XLOOKUP($A329,Строчный!$A:$A,Строчный!K:K,"ERR",0)))</f>
        <v>шерстяные</v>
      </c>
      <c r="L329" s="81" t="str">
        <f ca="1">PROPER(TRIM(_xlfn.XLOOKUP($A329,Строчный!$A:$A,Строчный!L:L,"ERR",0)))</f>
        <v>Унисекс</v>
      </c>
      <c r="M329" s="113" t="str">
        <f ca="1">PROPER(TRIM(_xlfn.XLOOKUP($A329,Строчный!$A:$A,Строчный!M:M,"ERR",0)))</f>
        <v>Россия</v>
      </c>
      <c r="N329" s="81" t="str">
        <f ca="1">UPPER(TRIM(_xlfn.XLOOKUP($A329,Строчный!$A:$A,Строчный!O:O,"ERR",0)))</f>
        <v/>
      </c>
      <c r="O329" s="102" t="str">
        <f ca="1">PROPER(TRIM(_xlfn.XLOOKUP($A329,Строчный!$A:$A,Строчный!P:P,"ERR",0)))</f>
        <v/>
      </c>
      <c r="P329" s="81" t="str">
        <f ca="1">PROPER(TRIM(_xlfn.XLOOKUP($A329,Строчный!$A:$A,Строчный!R:R,"ERR",0)))</f>
        <v/>
      </c>
      <c r="Q329" s="90">
        <f ca="1">VALUE(_xlfn.XLOOKUP($A329,Строчный!$A:$A,Строчный!N:N,"ERR",0))</f>
        <v>975.8</v>
      </c>
      <c r="R329" s="89" t="str">
        <f ca="1">_xlfn.XLOOKUP($G329,Фабрика!A:A,Фабрика!B:B,"ERR",0)</f>
        <v>ООО "ФРЭДРИКСОН" Россия 192029, С-Петербург, пр. Обуховской обороны, д.86, лит М</v>
      </c>
      <c r="S329" s="80" t="str">
        <f ca="1">_xlfn.XLOOKUP(RIGHT(AA329,2),Размеры!D:D,Размеры!A:A,"ERR",0)</f>
        <v>59</v>
      </c>
      <c r="T329" s="80">
        <f ca="1">VALUE(_xlfn.XLOOKUP($AA329,Строчный!$S:$S,Строчный!U:U,"ERR",0))</f>
        <v>3</v>
      </c>
      <c r="U329" s="14" t="s">
        <v>265</v>
      </c>
      <c r="V329" s="101" t="str">
        <f t="shared" ca="1" si="26"/>
        <v>Кепка FREDRIKSON арт. 3101 (голубой / синий)</v>
      </c>
      <c r="W329" s="100" t="str">
        <f t="shared" ca="1" si="27"/>
        <v>Кепка FREDRIKSON арт. 3101 (голубой / синий) {684/44}</v>
      </c>
      <c r="X329" s="18" t="str">
        <f t="shared" ca="1" si="28"/>
        <v>голубой</v>
      </c>
      <c r="Y329" s="18" t="str">
        <f t="shared" ca="1" si="29"/>
        <v>синий</v>
      </c>
      <c r="Z329" s="117" t="s">
        <v>28</v>
      </c>
      <c r="AA329" s="73" t="str">
        <f ca="1"/>
        <v>95-004-58-59</v>
      </c>
      <c r="AB329" s="75" t="str">
        <f ca="1">VLOOKUP(C329,Группа!A:B,2,FALSE)</f>
        <v>Кепка</v>
      </c>
      <c r="AC329" s="97" t="str">
        <f ca="1">IFERROR(VLOOKUP(S329,Размеры!A:C,3,FALSE),"")</f>
        <v>59 L</v>
      </c>
      <c r="AD329" s="97" t="str">
        <f ca="1">VLOOKUP(I329,ЦветПолный!A:B,2,FALSE)</f>
        <v>58</v>
      </c>
      <c r="AE329" s="97" t="str">
        <f ca="1">IFERROR(VLOOKUP(S329,Размеры!A:D,4,FALSE),"")</f>
        <v>59</v>
      </c>
      <c r="AF329" s="97">
        <f ca="1">IF(LEFT(IFERROR(VLOOKUP(LOOKUP(2,1/SEARCH(B329,Товары!A:A),Товары!A:A),Товары!A:B,2,0),""),6)=MID(AA329,1,6),1,0)</f>
        <v>0</v>
      </c>
      <c r="AH329" s="97">
        <f ca="1">SUMIF(Группа!A:A,C329,Группа!C:C)</f>
        <v>1</v>
      </c>
      <c r="AI329" s="97">
        <f ca="1">SUMIF(Группа!B:B,AB329,Группа!C:C)</f>
        <v>1</v>
      </c>
      <c r="AJ329" s="97">
        <f ca="1">SUMIF(Формы!A:A,D329,Формы!B:B)</f>
        <v>1</v>
      </c>
      <c r="AK329" s="97">
        <f ca="1">SUMIF(Материал!A:A,K329,Материал!B:B)</f>
        <v>1</v>
      </c>
      <c r="AL329" s="97">
        <f ca="1">SUMIF(Размеры!A:A,S329,Размеры!E:E)</f>
        <v>1</v>
      </c>
      <c r="AM329" s="97">
        <f ca="1">SUMIF(Сезон!A:A,F329,Сезон!B:B)</f>
        <v>1</v>
      </c>
      <c r="AN329" s="97">
        <f ca="1">SUMIF(Состав!A:A,J329,Состав!B:B)</f>
        <v>0</v>
      </c>
      <c r="AO329" s="97">
        <f ca="1">VLOOKUP(I329,ЦветПолный!A:C,3,0)</f>
        <v>1</v>
      </c>
      <c r="AP329" s="97">
        <f>SUMIF(Цвет!A:A,Z329,Цвет!B:B)</f>
        <v>1</v>
      </c>
      <c r="AQ329" s="97">
        <f ca="1">_xlfn.XLOOKUP(L329,Пол!A:A,Пол!B:B,0,0)</f>
        <v>1</v>
      </c>
      <c r="AR329" s="97">
        <f ca="1">SUMIF(Бренд!A:A,G329,Бренд!B:B)</f>
        <v>1</v>
      </c>
      <c r="AS329" s="97">
        <f ca="1">SUMIF(Страна!A:A,M329,Страна!B:B)</f>
        <v>1</v>
      </c>
      <c r="AT329" s="64" t="e">
        <f ca="1">IF(VLOOKUP(W329,Товары!A:B,2,FALSE)=A329,"Есть в 1С","ERR")</f>
        <v>#N/A</v>
      </c>
      <c r="AU329" s="65" t="e">
        <f ca="1">IF(VLOOKUP(A329,Товары!B:B,1,FALSE)=A329,"Есть в 1С","ERR")</f>
        <v>#N/A</v>
      </c>
      <c r="AV329" s="96" t="e">
        <f ca="1">VLOOKUP(W329,Товары!A:B,2,FALSE)</f>
        <v>#N/A</v>
      </c>
      <c r="AW329" s="94" t="e">
        <f ca="1">VLOOKUP(W329,Товары!A:B,1,FALSE)</f>
        <v>#N/A</v>
      </c>
    </row>
    <row r="330" spans="1:49" x14ac:dyDescent="0.25">
      <c r="A330" s="110" t="str">
        <f t="shared" ca="1" si="25"/>
        <v>95-004-58</v>
      </c>
      <c r="B330" s="107" t="str">
        <f ca="1">_xlfn.LET(_xlpm.CAPS,0,_xlpm.Style,TRIM(_xlfn.XLOOKUP($A330,Строчный!$A:$A,Строчный!B:B,"ERR",0)),IF(_xlpm.CAPS=0,_xlpm.Style,LOWER(_xlpm.Style)))</f>
        <v>3101</v>
      </c>
      <c r="C330" s="81" t="str">
        <f ca="1">TRIM(PROPER(_xlfn.XLOOKUP($A330,Строчный!$A:$A,Строчный!C:C,"ERR",0)))</f>
        <v>Кепки</v>
      </c>
      <c r="D330" s="81" t="str">
        <f ca="1">_xlfn.LET(_xlpm.DATA,TRIM(_xlfn.XLOOKUP($A330,Строчный!$A:$A,Строчный!D:D,"ERR",0)),UPPER(MID(_xlpm.DATA,1,1))&amp;LOWER(MID(_xlpm.DATA,2,LEN(_xlpm.DATA)-1)))</f>
        <v>Кепка восьмиклинка</v>
      </c>
      <c r="E330" s="81" t="str">
        <f ca="1">PROPER(TRIM(_xlfn.XLOOKUP($A330,Строчный!$A:$A,Строчный!E:E,"ERR",0)))</f>
        <v>Fredrikson</v>
      </c>
      <c r="F330" s="81" t="str">
        <f ca="1">LOWER(TRIM(_xlfn.XLOOKUP($A330,Строчный!$A:$A,Строчный!F:F,"ERR",0)))</f>
        <v>всесезон</v>
      </c>
      <c r="G330" s="81" t="str">
        <f ca="1">UPPER(TRIM(_xlfn.XLOOKUP($A330,Строчный!$A:$A,Строчный!G:G,"ERR",0)))</f>
        <v>FREDRIKSON</v>
      </c>
      <c r="H330" s="81" t="str">
        <f ca="1">LOWER(TRIM(_xlfn.XLOOKUP($A330,Строчный!$A:$A,Строчный!H:H,"ERR",0)))</f>
        <v>684/44</v>
      </c>
      <c r="I330" s="81" t="str">
        <f ca="1">LOWER(TRIM(_xlfn.XLOOKUP($A330,Строчный!$A:$A,Строчный!I:I,"ERR",0)))</f>
        <v>голубой / синий</v>
      </c>
      <c r="J330" s="81" t="str">
        <f ca="1">SUBSTITUTE(LOWER(TRIM(_xlfn.XLOOKUP($A330,Строчный!$A:$A,Строчный!J:J,"ERR",0))),"подклад","Подклад")</f>
        <v>80% шерсть - 20% полиамид / Подклад: 100% вискоза</v>
      </c>
      <c r="K330" s="81" t="str">
        <f ca="1">LOWER(TRIM(_xlfn.XLOOKUP($A330,Строчный!$A:$A,Строчный!K:K,"ERR",0)))</f>
        <v>шерстяные</v>
      </c>
      <c r="L330" s="81" t="str">
        <f ca="1">PROPER(TRIM(_xlfn.XLOOKUP($A330,Строчный!$A:$A,Строчный!L:L,"ERR",0)))</f>
        <v>Унисекс</v>
      </c>
      <c r="M330" s="113" t="str">
        <f ca="1">PROPER(TRIM(_xlfn.XLOOKUP($A330,Строчный!$A:$A,Строчный!M:M,"ERR",0)))</f>
        <v>Россия</v>
      </c>
      <c r="N330" s="81" t="str">
        <f ca="1">UPPER(TRIM(_xlfn.XLOOKUP($A330,Строчный!$A:$A,Строчный!O:O,"ERR",0)))</f>
        <v/>
      </c>
      <c r="O330" s="102" t="str">
        <f ca="1">PROPER(TRIM(_xlfn.XLOOKUP($A330,Строчный!$A:$A,Строчный!P:P,"ERR",0)))</f>
        <v/>
      </c>
      <c r="P330" s="81" t="str">
        <f ca="1">PROPER(TRIM(_xlfn.XLOOKUP($A330,Строчный!$A:$A,Строчный!R:R,"ERR",0)))</f>
        <v/>
      </c>
      <c r="Q330" s="90">
        <f ca="1">VALUE(_xlfn.XLOOKUP($A330,Строчный!$A:$A,Строчный!N:N,"ERR",0))</f>
        <v>975.8</v>
      </c>
      <c r="R330" s="89" t="str">
        <f ca="1">_xlfn.XLOOKUP($G330,Фабрика!A:A,Фабрика!B:B,"ERR",0)</f>
        <v>ООО "ФРЭДРИКСОН" Россия 192029, С-Петербург, пр. Обуховской обороны, д.86, лит М</v>
      </c>
      <c r="S330" s="80" t="str">
        <f ca="1">_xlfn.XLOOKUP(RIGHT(AA330,2),Размеры!D:D,Размеры!A:A,"ERR",0)</f>
        <v>58</v>
      </c>
      <c r="T330" s="80">
        <f ca="1">VALUE(_xlfn.XLOOKUP($AA330,Строчный!$S:$S,Строчный!U:U,"ERR",0))</f>
        <v>2</v>
      </c>
      <c r="U330" s="14" t="s">
        <v>265</v>
      </c>
      <c r="V330" s="101" t="str">
        <f t="shared" ca="1" si="26"/>
        <v>Кепка FREDRIKSON арт. 3101 (голубой / синий)</v>
      </c>
      <c r="W330" s="100" t="str">
        <f t="shared" ca="1" si="27"/>
        <v>Кепка FREDRIKSON арт. 3101 (голубой / синий) {684/44}</v>
      </c>
      <c r="X330" s="18" t="str">
        <f t="shared" ca="1" si="28"/>
        <v>голубой</v>
      </c>
      <c r="Y330" s="18" t="str">
        <f t="shared" ca="1" si="29"/>
        <v>синий</v>
      </c>
      <c r="Z330" s="117" t="s">
        <v>28</v>
      </c>
      <c r="AA330" s="73" t="str">
        <f ca="1"/>
        <v>95-004-58-58</v>
      </c>
      <c r="AB330" s="75" t="str">
        <f ca="1">VLOOKUP(C330,Группа!A:B,2,FALSE)</f>
        <v>Кепка</v>
      </c>
      <c r="AC330" s="97" t="str">
        <f ca="1">IFERROR(VLOOKUP(S330,Размеры!A:C,3,FALSE),"")</f>
        <v>58 M/L</v>
      </c>
      <c r="AD330" s="97" t="str">
        <f ca="1">VLOOKUP(I330,ЦветПолный!A:B,2,FALSE)</f>
        <v>58</v>
      </c>
      <c r="AE330" s="97" t="str">
        <f ca="1">IFERROR(VLOOKUP(S330,Размеры!A:D,4,FALSE),"")</f>
        <v>58</v>
      </c>
      <c r="AF330" s="97">
        <f ca="1">IF(LEFT(IFERROR(VLOOKUP(LOOKUP(2,1/SEARCH(B330,Товары!A:A),Товары!A:A),Товары!A:B,2,0),""),6)=MID(AA330,1,6),1,0)</f>
        <v>0</v>
      </c>
      <c r="AH330" s="97">
        <f ca="1">SUMIF(Группа!A:A,C330,Группа!C:C)</f>
        <v>1</v>
      </c>
      <c r="AI330" s="97">
        <f ca="1">SUMIF(Группа!B:B,AB330,Группа!C:C)</f>
        <v>1</v>
      </c>
      <c r="AJ330" s="97">
        <f ca="1">SUMIF(Формы!A:A,D330,Формы!B:B)</f>
        <v>1</v>
      </c>
      <c r="AK330" s="97">
        <f ca="1">SUMIF(Материал!A:A,K330,Материал!B:B)</f>
        <v>1</v>
      </c>
      <c r="AL330" s="97">
        <f ca="1">SUMIF(Размеры!A:A,S330,Размеры!E:E)</f>
        <v>1</v>
      </c>
      <c r="AM330" s="97">
        <f ca="1">SUMIF(Сезон!A:A,F330,Сезон!B:B)</f>
        <v>1</v>
      </c>
      <c r="AN330" s="97">
        <f ca="1">SUMIF(Состав!A:A,J330,Состав!B:B)</f>
        <v>0</v>
      </c>
      <c r="AO330" s="97">
        <f ca="1">VLOOKUP(I330,ЦветПолный!A:C,3,0)</f>
        <v>1</v>
      </c>
      <c r="AP330" s="97">
        <f>SUMIF(Цвет!A:A,Z330,Цвет!B:B)</f>
        <v>1</v>
      </c>
      <c r="AQ330" s="97">
        <f ca="1">_xlfn.XLOOKUP(L330,Пол!A:A,Пол!B:B,0,0)</f>
        <v>1</v>
      </c>
      <c r="AR330" s="97">
        <f ca="1">SUMIF(Бренд!A:A,G330,Бренд!B:B)</f>
        <v>1</v>
      </c>
      <c r="AS330" s="97">
        <f ca="1">SUMIF(Страна!A:A,M330,Страна!B:B)</f>
        <v>1</v>
      </c>
      <c r="AT330" s="64" t="e">
        <f ca="1">IF(VLOOKUP(W330,Товары!A:B,2,FALSE)=A330,"Есть в 1С","ERR")</f>
        <v>#N/A</v>
      </c>
      <c r="AU330" s="65" t="e">
        <f ca="1">IF(VLOOKUP(A330,Товары!B:B,1,FALSE)=A330,"Есть в 1С","ERR")</f>
        <v>#N/A</v>
      </c>
      <c r="AV330" s="96" t="e">
        <f ca="1">VLOOKUP(W330,Товары!A:B,2,FALSE)</f>
        <v>#N/A</v>
      </c>
      <c r="AW330" s="94" t="e">
        <f ca="1">VLOOKUP(W330,Товары!A:B,1,FALSE)</f>
        <v>#N/A</v>
      </c>
    </row>
    <row r="331" spans="1:49" x14ac:dyDescent="0.25">
      <c r="A331" s="110" t="str">
        <f t="shared" ca="1" si="25"/>
        <v>95-004-48</v>
      </c>
      <c r="B331" s="107" t="str">
        <f ca="1">_xlfn.LET(_xlpm.CAPS,0,_xlpm.Style,TRIM(_xlfn.XLOOKUP($A331,Строчный!$A:$A,Строчный!B:B,"ERR",0)),IF(_xlpm.CAPS=0,_xlpm.Style,LOWER(_xlpm.Style)))</f>
        <v>3101</v>
      </c>
      <c r="C331" s="81" t="str">
        <f ca="1">TRIM(PROPER(_xlfn.XLOOKUP($A331,Строчный!$A:$A,Строчный!C:C,"ERR",0)))</f>
        <v>Кепки</v>
      </c>
      <c r="D331" s="81" t="str">
        <f ca="1">_xlfn.LET(_xlpm.DATA,TRIM(_xlfn.XLOOKUP($A331,Строчный!$A:$A,Строчный!D:D,"ERR",0)),UPPER(MID(_xlpm.DATA,1,1))&amp;LOWER(MID(_xlpm.DATA,2,LEN(_xlpm.DATA)-1)))</f>
        <v>Кепка восьмиклинка</v>
      </c>
      <c r="E331" s="81" t="str">
        <f ca="1">PROPER(TRIM(_xlfn.XLOOKUP($A331,Строчный!$A:$A,Строчный!E:E,"ERR",0)))</f>
        <v>Fredrikson</v>
      </c>
      <c r="F331" s="81" t="str">
        <f ca="1">LOWER(TRIM(_xlfn.XLOOKUP($A331,Строчный!$A:$A,Строчный!F:F,"ERR",0)))</f>
        <v>всесезон</v>
      </c>
      <c r="G331" s="81" t="str">
        <f ca="1">UPPER(TRIM(_xlfn.XLOOKUP($A331,Строчный!$A:$A,Строчный!G:G,"ERR",0)))</f>
        <v>FREDRIKSON</v>
      </c>
      <c r="H331" s="81" t="str">
        <f ca="1">LOWER(TRIM(_xlfn.XLOOKUP($A331,Строчный!$A:$A,Строчный!H:H,"ERR",0)))</f>
        <v>624/25</v>
      </c>
      <c r="I331" s="81" t="str">
        <f ca="1">LOWER(TRIM(_xlfn.XLOOKUP($A331,Строчный!$A:$A,Строчный!I:I,"ERR",0)))</f>
        <v>черный / черный</v>
      </c>
      <c r="J331" s="81" t="str">
        <f ca="1">SUBSTITUTE(LOWER(TRIM(_xlfn.XLOOKUP($A331,Строчный!$A:$A,Строчный!J:J,"ERR",0))),"подклад","Подклад")</f>
        <v>80% шерсть - 20% полиамид / Подклад: 100% вискоза</v>
      </c>
      <c r="K331" s="81" t="str">
        <f ca="1">LOWER(TRIM(_xlfn.XLOOKUP($A331,Строчный!$A:$A,Строчный!K:K,"ERR",0)))</f>
        <v>шерстяные</v>
      </c>
      <c r="L331" s="81" t="str">
        <f ca="1">PROPER(TRIM(_xlfn.XLOOKUP($A331,Строчный!$A:$A,Строчный!L:L,"ERR",0)))</f>
        <v>Унисекс</v>
      </c>
      <c r="M331" s="113" t="str">
        <f ca="1">PROPER(TRIM(_xlfn.XLOOKUP($A331,Строчный!$A:$A,Строчный!M:M,"ERR",0)))</f>
        <v>Россия</v>
      </c>
      <c r="N331" s="81" t="str">
        <f ca="1">UPPER(TRIM(_xlfn.XLOOKUP($A331,Строчный!$A:$A,Строчный!O:O,"ERR",0)))</f>
        <v/>
      </c>
      <c r="O331" s="102" t="str">
        <f ca="1">PROPER(TRIM(_xlfn.XLOOKUP($A331,Строчный!$A:$A,Строчный!P:P,"ERR",0)))</f>
        <v/>
      </c>
      <c r="P331" s="81" t="str">
        <f ca="1">PROPER(TRIM(_xlfn.XLOOKUP($A331,Строчный!$A:$A,Строчный!R:R,"ERR",0)))</f>
        <v/>
      </c>
      <c r="Q331" s="90">
        <f ca="1">VALUE(_xlfn.XLOOKUP($A331,Строчный!$A:$A,Строчный!N:N,"ERR",0))</f>
        <v>975.8</v>
      </c>
      <c r="R331" s="89" t="str">
        <f ca="1">_xlfn.XLOOKUP($G331,Фабрика!A:A,Фабрика!B:B,"ERR",0)</f>
        <v>ООО "ФРЭДРИКСОН" Россия 192029, С-Петербург, пр. Обуховской обороны, д.86, лит М</v>
      </c>
      <c r="S331" s="80" t="str">
        <f ca="1">_xlfn.XLOOKUP(RIGHT(AA331,2),Размеры!D:D,Размеры!A:A,"ERR",0)</f>
        <v>62</v>
      </c>
      <c r="T331" s="80">
        <f ca="1">VALUE(_xlfn.XLOOKUP($AA331,Строчный!$S:$S,Строчный!U:U,"ERR",0))</f>
        <v>2</v>
      </c>
      <c r="U331" s="14" t="s">
        <v>265</v>
      </c>
      <c r="V331" s="101" t="str">
        <f t="shared" ca="1" si="26"/>
        <v>Кепка FREDRIKSON арт. 3101 (черный / черный)</v>
      </c>
      <c r="W331" s="100" t="str">
        <f t="shared" ca="1" si="27"/>
        <v>Кепка FREDRIKSON арт. 3101 (черный / черный) {624/25}</v>
      </c>
      <c r="X331" s="18" t="str">
        <f t="shared" ca="1" si="28"/>
        <v>черный</v>
      </c>
      <c r="Y331" s="18" t="str">
        <f t="shared" ca="1" si="29"/>
        <v>черный</v>
      </c>
      <c r="Z331" s="117" t="s">
        <v>28</v>
      </c>
      <c r="AA331" s="73" t="str">
        <f ca="1"/>
        <v>95-004-48-62</v>
      </c>
      <c r="AB331" s="75" t="str">
        <f ca="1">VLOOKUP(C331,Группа!A:B,2,FALSE)</f>
        <v>Кепка</v>
      </c>
      <c r="AC331" s="97" t="str">
        <f ca="1">IFERROR(VLOOKUP(S331,Размеры!A:C,3,FALSE),"")</f>
        <v>62 XL/XXL</v>
      </c>
      <c r="AD331" s="97" t="str">
        <f ca="1">VLOOKUP(I331,ЦветПолный!A:B,2,FALSE)</f>
        <v>48</v>
      </c>
      <c r="AE331" s="97" t="str">
        <f ca="1">IFERROR(VLOOKUP(S331,Размеры!A:D,4,FALSE),"")</f>
        <v>62</v>
      </c>
      <c r="AF331" s="97">
        <f ca="1">IF(LEFT(IFERROR(VLOOKUP(LOOKUP(2,1/SEARCH(B331,Товары!A:A),Товары!A:A),Товары!A:B,2,0),""),6)=MID(AA331,1,6),1,0)</f>
        <v>0</v>
      </c>
      <c r="AH331" s="97">
        <f ca="1">SUMIF(Группа!A:A,C331,Группа!C:C)</f>
        <v>1</v>
      </c>
      <c r="AI331" s="97">
        <f ca="1">SUMIF(Группа!B:B,AB331,Группа!C:C)</f>
        <v>1</v>
      </c>
      <c r="AJ331" s="97">
        <f ca="1">SUMIF(Формы!A:A,D331,Формы!B:B)</f>
        <v>1</v>
      </c>
      <c r="AK331" s="97">
        <f ca="1">SUMIF(Материал!A:A,K331,Материал!B:B)</f>
        <v>1</v>
      </c>
      <c r="AL331" s="97">
        <f ca="1">SUMIF(Размеры!A:A,S331,Размеры!E:E)</f>
        <v>1</v>
      </c>
      <c r="AM331" s="97">
        <f ca="1">SUMIF(Сезон!A:A,F331,Сезон!B:B)</f>
        <v>1</v>
      </c>
      <c r="AN331" s="97">
        <f ca="1">SUMIF(Состав!A:A,J331,Состав!B:B)</f>
        <v>0</v>
      </c>
      <c r="AO331" s="97">
        <f ca="1">VLOOKUP(I331,ЦветПолный!A:C,3,0)</f>
        <v>1</v>
      </c>
      <c r="AP331" s="97">
        <f>SUMIF(Цвет!A:A,Z331,Цвет!B:B)</f>
        <v>1</v>
      </c>
      <c r="AQ331" s="97">
        <f ca="1">_xlfn.XLOOKUP(L331,Пол!A:A,Пол!B:B,0,0)</f>
        <v>1</v>
      </c>
      <c r="AR331" s="97">
        <f ca="1">SUMIF(Бренд!A:A,G331,Бренд!B:B)</f>
        <v>1</v>
      </c>
      <c r="AS331" s="97">
        <f ca="1">SUMIF(Страна!A:A,M331,Страна!B:B)</f>
        <v>1</v>
      </c>
      <c r="AT331" s="64" t="e">
        <f ca="1">IF(VLOOKUP(W331,Товары!A:B,2,FALSE)=A331,"Есть в 1С","ERR")</f>
        <v>#N/A</v>
      </c>
      <c r="AU331" s="65" t="e">
        <f ca="1">IF(VLOOKUP(A331,Товары!B:B,1,FALSE)=A331,"Есть в 1С","ERR")</f>
        <v>#N/A</v>
      </c>
      <c r="AV331" s="96" t="e">
        <f ca="1">VLOOKUP(W331,Товары!A:B,2,FALSE)</f>
        <v>#N/A</v>
      </c>
      <c r="AW331" s="94" t="e">
        <f ca="1">VLOOKUP(W331,Товары!A:B,1,FALSE)</f>
        <v>#N/A</v>
      </c>
    </row>
    <row r="332" spans="1:49" x14ac:dyDescent="0.25">
      <c r="A332" s="110" t="str">
        <f t="shared" ca="1" si="25"/>
        <v>95-004-48</v>
      </c>
      <c r="B332" s="107" t="str">
        <f ca="1">_xlfn.LET(_xlpm.CAPS,0,_xlpm.Style,TRIM(_xlfn.XLOOKUP($A332,Строчный!$A:$A,Строчный!B:B,"ERR",0)),IF(_xlpm.CAPS=0,_xlpm.Style,LOWER(_xlpm.Style)))</f>
        <v>3101</v>
      </c>
      <c r="C332" s="81" t="str">
        <f ca="1">TRIM(PROPER(_xlfn.XLOOKUP($A332,Строчный!$A:$A,Строчный!C:C,"ERR",0)))</f>
        <v>Кепки</v>
      </c>
      <c r="D332" s="81" t="str">
        <f ca="1">_xlfn.LET(_xlpm.DATA,TRIM(_xlfn.XLOOKUP($A332,Строчный!$A:$A,Строчный!D:D,"ERR",0)),UPPER(MID(_xlpm.DATA,1,1))&amp;LOWER(MID(_xlpm.DATA,2,LEN(_xlpm.DATA)-1)))</f>
        <v>Кепка восьмиклинка</v>
      </c>
      <c r="E332" s="81" t="str">
        <f ca="1">PROPER(TRIM(_xlfn.XLOOKUP($A332,Строчный!$A:$A,Строчный!E:E,"ERR",0)))</f>
        <v>Fredrikson</v>
      </c>
      <c r="F332" s="81" t="str">
        <f ca="1">LOWER(TRIM(_xlfn.XLOOKUP($A332,Строчный!$A:$A,Строчный!F:F,"ERR",0)))</f>
        <v>всесезон</v>
      </c>
      <c r="G332" s="81" t="str">
        <f ca="1">UPPER(TRIM(_xlfn.XLOOKUP($A332,Строчный!$A:$A,Строчный!G:G,"ERR",0)))</f>
        <v>FREDRIKSON</v>
      </c>
      <c r="H332" s="81" t="str">
        <f ca="1">LOWER(TRIM(_xlfn.XLOOKUP($A332,Строчный!$A:$A,Строчный!H:H,"ERR",0)))</f>
        <v>624/25</v>
      </c>
      <c r="I332" s="81" t="str">
        <f ca="1">LOWER(TRIM(_xlfn.XLOOKUP($A332,Строчный!$A:$A,Строчный!I:I,"ERR",0)))</f>
        <v>черный / черный</v>
      </c>
      <c r="J332" s="81" t="str">
        <f ca="1">SUBSTITUTE(LOWER(TRIM(_xlfn.XLOOKUP($A332,Строчный!$A:$A,Строчный!J:J,"ERR",0))),"подклад","Подклад")</f>
        <v>80% шерсть - 20% полиамид / Подклад: 100% вискоза</v>
      </c>
      <c r="K332" s="81" t="str">
        <f ca="1">LOWER(TRIM(_xlfn.XLOOKUP($A332,Строчный!$A:$A,Строчный!K:K,"ERR",0)))</f>
        <v>шерстяные</v>
      </c>
      <c r="L332" s="81" t="str">
        <f ca="1">PROPER(TRIM(_xlfn.XLOOKUP($A332,Строчный!$A:$A,Строчный!L:L,"ERR",0)))</f>
        <v>Унисекс</v>
      </c>
      <c r="M332" s="113" t="str">
        <f ca="1">PROPER(TRIM(_xlfn.XLOOKUP($A332,Строчный!$A:$A,Строчный!M:M,"ERR",0)))</f>
        <v>Россия</v>
      </c>
      <c r="N332" s="81" t="str">
        <f ca="1">UPPER(TRIM(_xlfn.XLOOKUP($A332,Строчный!$A:$A,Строчный!O:O,"ERR",0)))</f>
        <v/>
      </c>
      <c r="O332" s="102" t="str">
        <f ca="1">PROPER(TRIM(_xlfn.XLOOKUP($A332,Строчный!$A:$A,Строчный!P:P,"ERR",0)))</f>
        <v/>
      </c>
      <c r="P332" s="81" t="str">
        <f ca="1">PROPER(TRIM(_xlfn.XLOOKUP($A332,Строчный!$A:$A,Строчный!R:R,"ERR",0)))</f>
        <v/>
      </c>
      <c r="Q332" s="90">
        <f ca="1">VALUE(_xlfn.XLOOKUP($A332,Строчный!$A:$A,Строчный!N:N,"ERR",0))</f>
        <v>975.8</v>
      </c>
      <c r="R332" s="89" t="str">
        <f ca="1">_xlfn.XLOOKUP($G332,Фабрика!A:A,Фабрика!B:B,"ERR",0)</f>
        <v>ООО "ФРЭДРИКСОН" Россия 192029, С-Петербург, пр. Обуховской обороны, д.86, лит М</v>
      </c>
      <c r="S332" s="80" t="str">
        <f ca="1">_xlfn.XLOOKUP(RIGHT(AA332,2),Размеры!D:D,Размеры!A:A,"ERR",0)</f>
        <v>61</v>
      </c>
      <c r="T332" s="80">
        <f ca="1">VALUE(_xlfn.XLOOKUP($AA332,Строчный!$S:$S,Строчный!U:U,"ERR",0))</f>
        <v>3</v>
      </c>
      <c r="U332" s="14" t="s">
        <v>265</v>
      </c>
      <c r="V332" s="101" t="str">
        <f t="shared" ca="1" si="26"/>
        <v>Кепка FREDRIKSON арт. 3101 (черный / черный)</v>
      </c>
      <c r="W332" s="100" t="str">
        <f t="shared" ca="1" si="27"/>
        <v>Кепка FREDRIKSON арт. 3101 (черный / черный) {624/25}</v>
      </c>
      <c r="X332" s="18" t="str">
        <f t="shared" ca="1" si="28"/>
        <v>черный</v>
      </c>
      <c r="Y332" s="18" t="str">
        <f t="shared" ca="1" si="29"/>
        <v>черный</v>
      </c>
      <c r="Z332" s="117" t="s">
        <v>28</v>
      </c>
      <c r="AA332" s="73" t="str">
        <f ca="1"/>
        <v>95-004-48-61</v>
      </c>
      <c r="AB332" s="75" t="str">
        <f ca="1">VLOOKUP(C332,Группа!A:B,2,FALSE)</f>
        <v>Кепка</v>
      </c>
      <c r="AC332" s="97" t="str">
        <f ca="1">IFERROR(VLOOKUP(S332,Размеры!A:C,3,FALSE),"")</f>
        <v>61 XL</v>
      </c>
      <c r="AD332" s="97" t="str">
        <f ca="1">VLOOKUP(I332,ЦветПолный!A:B,2,FALSE)</f>
        <v>48</v>
      </c>
      <c r="AE332" s="97" t="str">
        <f ca="1">IFERROR(VLOOKUP(S332,Размеры!A:D,4,FALSE),"")</f>
        <v>61</v>
      </c>
      <c r="AF332" s="97">
        <f ca="1">IF(LEFT(IFERROR(VLOOKUP(LOOKUP(2,1/SEARCH(B332,Товары!A:A),Товары!A:A),Товары!A:B,2,0),""),6)=MID(AA332,1,6),1,0)</f>
        <v>0</v>
      </c>
      <c r="AH332" s="97">
        <f ca="1">SUMIF(Группа!A:A,C332,Группа!C:C)</f>
        <v>1</v>
      </c>
      <c r="AI332" s="97">
        <f ca="1">SUMIF(Группа!B:B,AB332,Группа!C:C)</f>
        <v>1</v>
      </c>
      <c r="AJ332" s="97">
        <f ca="1">SUMIF(Формы!A:A,D332,Формы!B:B)</f>
        <v>1</v>
      </c>
      <c r="AK332" s="97">
        <f ca="1">SUMIF(Материал!A:A,K332,Материал!B:B)</f>
        <v>1</v>
      </c>
      <c r="AL332" s="97">
        <f ca="1">SUMIF(Размеры!A:A,S332,Размеры!E:E)</f>
        <v>1</v>
      </c>
      <c r="AM332" s="97">
        <f ca="1">SUMIF(Сезон!A:A,F332,Сезон!B:B)</f>
        <v>1</v>
      </c>
      <c r="AN332" s="97">
        <f ca="1">SUMIF(Состав!A:A,J332,Состав!B:B)</f>
        <v>0</v>
      </c>
      <c r="AO332" s="97">
        <f ca="1">VLOOKUP(I332,ЦветПолный!A:C,3,0)</f>
        <v>1</v>
      </c>
      <c r="AP332" s="97">
        <f>SUMIF(Цвет!A:A,Z332,Цвет!B:B)</f>
        <v>1</v>
      </c>
      <c r="AQ332" s="97">
        <f ca="1">_xlfn.XLOOKUP(L332,Пол!A:A,Пол!B:B,0,0)</f>
        <v>1</v>
      </c>
      <c r="AR332" s="97">
        <f ca="1">SUMIF(Бренд!A:A,G332,Бренд!B:B)</f>
        <v>1</v>
      </c>
      <c r="AS332" s="97">
        <f ca="1">SUMIF(Страна!A:A,M332,Страна!B:B)</f>
        <v>1</v>
      </c>
      <c r="AT332" s="64" t="e">
        <f ca="1">IF(VLOOKUP(W332,Товары!A:B,2,FALSE)=A332,"Есть в 1С","ERR")</f>
        <v>#N/A</v>
      </c>
      <c r="AU332" s="65" t="e">
        <f ca="1">IF(VLOOKUP(A332,Товары!B:B,1,FALSE)=A332,"Есть в 1С","ERR")</f>
        <v>#N/A</v>
      </c>
      <c r="AV332" s="96" t="e">
        <f ca="1">VLOOKUP(W332,Товары!A:B,2,FALSE)</f>
        <v>#N/A</v>
      </c>
      <c r="AW332" s="94" t="e">
        <f ca="1">VLOOKUP(W332,Товары!A:B,1,FALSE)</f>
        <v>#N/A</v>
      </c>
    </row>
    <row r="333" spans="1:49" x14ac:dyDescent="0.25">
      <c r="A333" s="110" t="str">
        <f t="shared" ca="1" si="25"/>
        <v>95-004-48</v>
      </c>
      <c r="B333" s="107" t="str">
        <f ca="1">_xlfn.LET(_xlpm.CAPS,0,_xlpm.Style,TRIM(_xlfn.XLOOKUP($A333,Строчный!$A:$A,Строчный!B:B,"ERR",0)),IF(_xlpm.CAPS=0,_xlpm.Style,LOWER(_xlpm.Style)))</f>
        <v>3101</v>
      </c>
      <c r="C333" s="81" t="str">
        <f ca="1">TRIM(PROPER(_xlfn.XLOOKUP($A333,Строчный!$A:$A,Строчный!C:C,"ERR",0)))</f>
        <v>Кепки</v>
      </c>
      <c r="D333" s="81" t="str">
        <f ca="1">_xlfn.LET(_xlpm.DATA,TRIM(_xlfn.XLOOKUP($A333,Строчный!$A:$A,Строчный!D:D,"ERR",0)),UPPER(MID(_xlpm.DATA,1,1))&amp;LOWER(MID(_xlpm.DATA,2,LEN(_xlpm.DATA)-1)))</f>
        <v>Кепка восьмиклинка</v>
      </c>
      <c r="E333" s="81" t="str">
        <f ca="1">PROPER(TRIM(_xlfn.XLOOKUP($A333,Строчный!$A:$A,Строчный!E:E,"ERR",0)))</f>
        <v>Fredrikson</v>
      </c>
      <c r="F333" s="81" t="str">
        <f ca="1">LOWER(TRIM(_xlfn.XLOOKUP($A333,Строчный!$A:$A,Строчный!F:F,"ERR",0)))</f>
        <v>всесезон</v>
      </c>
      <c r="G333" s="81" t="str">
        <f ca="1">UPPER(TRIM(_xlfn.XLOOKUP($A333,Строчный!$A:$A,Строчный!G:G,"ERR",0)))</f>
        <v>FREDRIKSON</v>
      </c>
      <c r="H333" s="81" t="str">
        <f ca="1">LOWER(TRIM(_xlfn.XLOOKUP($A333,Строчный!$A:$A,Строчный!H:H,"ERR",0)))</f>
        <v>624/25</v>
      </c>
      <c r="I333" s="81" t="str">
        <f ca="1">LOWER(TRIM(_xlfn.XLOOKUP($A333,Строчный!$A:$A,Строчный!I:I,"ERR",0)))</f>
        <v>черный / черный</v>
      </c>
      <c r="J333" s="81" t="str">
        <f ca="1">SUBSTITUTE(LOWER(TRIM(_xlfn.XLOOKUP($A333,Строчный!$A:$A,Строчный!J:J,"ERR",0))),"подклад","Подклад")</f>
        <v>80% шерсть - 20% полиамид / Подклад: 100% вискоза</v>
      </c>
      <c r="K333" s="81" t="str">
        <f ca="1">LOWER(TRIM(_xlfn.XLOOKUP($A333,Строчный!$A:$A,Строчный!K:K,"ERR",0)))</f>
        <v>шерстяные</v>
      </c>
      <c r="L333" s="81" t="str">
        <f ca="1">PROPER(TRIM(_xlfn.XLOOKUP($A333,Строчный!$A:$A,Строчный!L:L,"ERR",0)))</f>
        <v>Унисекс</v>
      </c>
      <c r="M333" s="113" t="str">
        <f ca="1">PROPER(TRIM(_xlfn.XLOOKUP($A333,Строчный!$A:$A,Строчный!M:M,"ERR",0)))</f>
        <v>Россия</v>
      </c>
      <c r="N333" s="81" t="str">
        <f ca="1">UPPER(TRIM(_xlfn.XLOOKUP($A333,Строчный!$A:$A,Строчный!O:O,"ERR",0)))</f>
        <v/>
      </c>
      <c r="O333" s="102" t="str">
        <f ca="1">PROPER(TRIM(_xlfn.XLOOKUP($A333,Строчный!$A:$A,Строчный!P:P,"ERR",0)))</f>
        <v/>
      </c>
      <c r="P333" s="81" t="str">
        <f ca="1">PROPER(TRIM(_xlfn.XLOOKUP($A333,Строчный!$A:$A,Строчный!R:R,"ERR",0)))</f>
        <v/>
      </c>
      <c r="Q333" s="90">
        <f ca="1">VALUE(_xlfn.XLOOKUP($A333,Строчный!$A:$A,Строчный!N:N,"ERR",0))</f>
        <v>975.8</v>
      </c>
      <c r="R333" s="89" t="str">
        <f ca="1">_xlfn.XLOOKUP($G333,Фабрика!A:A,Фабрика!B:B,"ERR",0)</f>
        <v>ООО "ФРЭДРИКСОН" Россия 192029, С-Петербург, пр. Обуховской обороны, д.86, лит М</v>
      </c>
      <c r="S333" s="80" t="str">
        <f ca="1">_xlfn.XLOOKUP(RIGHT(AA333,2),Размеры!D:D,Размеры!A:A,"ERR",0)</f>
        <v>60</v>
      </c>
      <c r="T333" s="80">
        <f ca="1">VALUE(_xlfn.XLOOKUP($AA333,Строчный!$S:$S,Строчный!U:U,"ERR",0))</f>
        <v>4</v>
      </c>
      <c r="U333" s="14" t="s">
        <v>265</v>
      </c>
      <c r="V333" s="101" t="str">
        <f t="shared" ca="1" si="26"/>
        <v>Кепка FREDRIKSON арт. 3101 (черный / черный)</v>
      </c>
      <c r="W333" s="100" t="str">
        <f t="shared" ca="1" si="27"/>
        <v>Кепка FREDRIKSON арт. 3101 (черный / черный) {624/25}</v>
      </c>
      <c r="X333" s="18" t="str">
        <f t="shared" ca="1" si="28"/>
        <v>черный</v>
      </c>
      <c r="Y333" s="18" t="str">
        <f t="shared" ca="1" si="29"/>
        <v>черный</v>
      </c>
      <c r="Z333" s="117" t="s">
        <v>28</v>
      </c>
      <c r="AA333" s="73" t="str">
        <f ca="1"/>
        <v>95-004-48-60</v>
      </c>
      <c r="AB333" s="75" t="str">
        <f ca="1">VLOOKUP(C333,Группа!A:B,2,FALSE)</f>
        <v>Кепка</v>
      </c>
      <c r="AC333" s="97" t="str">
        <f ca="1">IFERROR(VLOOKUP(S333,Размеры!A:C,3,FALSE),"")</f>
        <v>60 L/XL</v>
      </c>
      <c r="AD333" s="97" t="str">
        <f ca="1">VLOOKUP(I333,ЦветПолный!A:B,2,FALSE)</f>
        <v>48</v>
      </c>
      <c r="AE333" s="97" t="str">
        <f ca="1">IFERROR(VLOOKUP(S333,Размеры!A:D,4,FALSE),"")</f>
        <v>60</v>
      </c>
      <c r="AF333" s="97">
        <f ca="1">IF(LEFT(IFERROR(VLOOKUP(LOOKUP(2,1/SEARCH(B333,Товары!A:A),Товары!A:A),Товары!A:B,2,0),""),6)=MID(AA333,1,6),1,0)</f>
        <v>0</v>
      </c>
      <c r="AH333" s="97">
        <f ca="1">SUMIF(Группа!A:A,C333,Группа!C:C)</f>
        <v>1</v>
      </c>
      <c r="AI333" s="97">
        <f ca="1">SUMIF(Группа!B:B,AB333,Группа!C:C)</f>
        <v>1</v>
      </c>
      <c r="AJ333" s="97">
        <f ca="1">SUMIF(Формы!A:A,D333,Формы!B:B)</f>
        <v>1</v>
      </c>
      <c r="AK333" s="97">
        <f ca="1">SUMIF(Материал!A:A,K333,Материал!B:B)</f>
        <v>1</v>
      </c>
      <c r="AL333" s="97">
        <f ca="1">SUMIF(Размеры!A:A,S333,Размеры!E:E)</f>
        <v>1</v>
      </c>
      <c r="AM333" s="97">
        <f ca="1">SUMIF(Сезон!A:A,F333,Сезон!B:B)</f>
        <v>1</v>
      </c>
      <c r="AN333" s="97">
        <f ca="1">SUMIF(Состав!A:A,J333,Состав!B:B)</f>
        <v>0</v>
      </c>
      <c r="AO333" s="97">
        <f ca="1">VLOOKUP(I333,ЦветПолный!A:C,3,0)</f>
        <v>1</v>
      </c>
      <c r="AP333" s="97">
        <f>SUMIF(Цвет!A:A,Z333,Цвет!B:B)</f>
        <v>1</v>
      </c>
      <c r="AQ333" s="97">
        <f ca="1">_xlfn.XLOOKUP(L333,Пол!A:A,Пол!B:B,0,0)</f>
        <v>1</v>
      </c>
      <c r="AR333" s="97">
        <f ca="1">SUMIF(Бренд!A:A,G333,Бренд!B:B)</f>
        <v>1</v>
      </c>
      <c r="AS333" s="97">
        <f ca="1">SUMIF(Страна!A:A,M333,Страна!B:B)</f>
        <v>1</v>
      </c>
      <c r="AT333" s="64" t="e">
        <f ca="1">IF(VLOOKUP(W333,Товары!A:B,2,FALSE)=A333,"Есть в 1С","ERR")</f>
        <v>#N/A</v>
      </c>
      <c r="AU333" s="65" t="e">
        <f ca="1">IF(VLOOKUP(A333,Товары!B:B,1,FALSE)=A333,"Есть в 1С","ERR")</f>
        <v>#N/A</v>
      </c>
      <c r="AV333" s="96" t="e">
        <f ca="1">VLOOKUP(W333,Товары!A:B,2,FALSE)</f>
        <v>#N/A</v>
      </c>
      <c r="AW333" s="94" t="e">
        <f ca="1">VLOOKUP(W333,Товары!A:B,1,FALSE)</f>
        <v>#N/A</v>
      </c>
    </row>
    <row r="334" spans="1:49" x14ac:dyDescent="0.25">
      <c r="A334" s="110" t="str">
        <f t="shared" ca="1" si="25"/>
        <v>95-004-48</v>
      </c>
      <c r="B334" s="107" t="str">
        <f ca="1">_xlfn.LET(_xlpm.CAPS,0,_xlpm.Style,TRIM(_xlfn.XLOOKUP($A334,Строчный!$A:$A,Строчный!B:B,"ERR",0)),IF(_xlpm.CAPS=0,_xlpm.Style,LOWER(_xlpm.Style)))</f>
        <v>3101</v>
      </c>
      <c r="C334" s="81" t="str">
        <f ca="1">TRIM(PROPER(_xlfn.XLOOKUP($A334,Строчный!$A:$A,Строчный!C:C,"ERR",0)))</f>
        <v>Кепки</v>
      </c>
      <c r="D334" s="81" t="str">
        <f ca="1">_xlfn.LET(_xlpm.DATA,TRIM(_xlfn.XLOOKUP($A334,Строчный!$A:$A,Строчный!D:D,"ERR",0)),UPPER(MID(_xlpm.DATA,1,1))&amp;LOWER(MID(_xlpm.DATA,2,LEN(_xlpm.DATA)-1)))</f>
        <v>Кепка восьмиклинка</v>
      </c>
      <c r="E334" s="81" t="str">
        <f ca="1">PROPER(TRIM(_xlfn.XLOOKUP($A334,Строчный!$A:$A,Строчный!E:E,"ERR",0)))</f>
        <v>Fredrikson</v>
      </c>
      <c r="F334" s="81" t="str">
        <f ca="1">LOWER(TRIM(_xlfn.XLOOKUP($A334,Строчный!$A:$A,Строчный!F:F,"ERR",0)))</f>
        <v>всесезон</v>
      </c>
      <c r="G334" s="81" t="str">
        <f ca="1">UPPER(TRIM(_xlfn.XLOOKUP($A334,Строчный!$A:$A,Строчный!G:G,"ERR",0)))</f>
        <v>FREDRIKSON</v>
      </c>
      <c r="H334" s="81" t="str">
        <f ca="1">LOWER(TRIM(_xlfn.XLOOKUP($A334,Строчный!$A:$A,Строчный!H:H,"ERR",0)))</f>
        <v>624/25</v>
      </c>
      <c r="I334" s="81" t="str">
        <f ca="1">LOWER(TRIM(_xlfn.XLOOKUP($A334,Строчный!$A:$A,Строчный!I:I,"ERR",0)))</f>
        <v>черный / черный</v>
      </c>
      <c r="J334" s="81" t="str">
        <f ca="1">SUBSTITUTE(LOWER(TRIM(_xlfn.XLOOKUP($A334,Строчный!$A:$A,Строчный!J:J,"ERR",0))),"подклад","Подклад")</f>
        <v>80% шерсть - 20% полиамид / Подклад: 100% вискоза</v>
      </c>
      <c r="K334" s="81" t="str">
        <f ca="1">LOWER(TRIM(_xlfn.XLOOKUP($A334,Строчный!$A:$A,Строчный!K:K,"ERR",0)))</f>
        <v>шерстяные</v>
      </c>
      <c r="L334" s="81" t="str">
        <f ca="1">PROPER(TRIM(_xlfn.XLOOKUP($A334,Строчный!$A:$A,Строчный!L:L,"ERR",0)))</f>
        <v>Унисекс</v>
      </c>
      <c r="M334" s="113" t="str">
        <f ca="1">PROPER(TRIM(_xlfn.XLOOKUP($A334,Строчный!$A:$A,Строчный!M:M,"ERR",0)))</f>
        <v>Россия</v>
      </c>
      <c r="N334" s="81" t="str">
        <f ca="1">UPPER(TRIM(_xlfn.XLOOKUP($A334,Строчный!$A:$A,Строчный!O:O,"ERR",0)))</f>
        <v/>
      </c>
      <c r="O334" s="102" t="str">
        <f ca="1">PROPER(TRIM(_xlfn.XLOOKUP($A334,Строчный!$A:$A,Строчный!P:P,"ERR",0)))</f>
        <v/>
      </c>
      <c r="P334" s="81" t="str">
        <f ca="1">PROPER(TRIM(_xlfn.XLOOKUP($A334,Строчный!$A:$A,Строчный!R:R,"ERR",0)))</f>
        <v/>
      </c>
      <c r="Q334" s="90">
        <f ca="1">VALUE(_xlfn.XLOOKUP($A334,Строчный!$A:$A,Строчный!N:N,"ERR",0))</f>
        <v>975.8</v>
      </c>
      <c r="R334" s="89" t="str">
        <f ca="1">_xlfn.XLOOKUP($G334,Фабрика!A:A,Фабрика!B:B,"ERR",0)</f>
        <v>ООО "ФРЭДРИКСОН" Россия 192029, С-Петербург, пр. Обуховской обороны, д.86, лит М</v>
      </c>
      <c r="S334" s="80" t="str">
        <f ca="1">_xlfn.XLOOKUP(RIGHT(AA334,2),Размеры!D:D,Размеры!A:A,"ERR",0)</f>
        <v>59</v>
      </c>
      <c r="T334" s="80">
        <f ca="1">VALUE(_xlfn.XLOOKUP($AA334,Строчный!$S:$S,Строчный!U:U,"ERR",0))</f>
        <v>6</v>
      </c>
      <c r="U334" s="14" t="s">
        <v>265</v>
      </c>
      <c r="V334" s="101" t="str">
        <f t="shared" ca="1" si="26"/>
        <v>Кепка FREDRIKSON арт. 3101 (черный / черный)</v>
      </c>
      <c r="W334" s="100" t="str">
        <f t="shared" ca="1" si="27"/>
        <v>Кепка FREDRIKSON арт. 3101 (черный / черный) {624/25}</v>
      </c>
      <c r="X334" s="18" t="str">
        <f t="shared" ca="1" si="28"/>
        <v>черный</v>
      </c>
      <c r="Y334" s="18" t="str">
        <f t="shared" ca="1" si="29"/>
        <v>черный</v>
      </c>
      <c r="Z334" s="117" t="s">
        <v>28</v>
      </c>
      <c r="AA334" s="73" t="str">
        <f ca="1"/>
        <v>95-004-48-59</v>
      </c>
      <c r="AB334" s="75" t="str">
        <f ca="1">VLOOKUP(C334,Группа!A:B,2,FALSE)</f>
        <v>Кепка</v>
      </c>
      <c r="AC334" s="97" t="str">
        <f ca="1">IFERROR(VLOOKUP(S334,Размеры!A:C,3,FALSE),"")</f>
        <v>59 L</v>
      </c>
      <c r="AD334" s="97" t="str">
        <f ca="1">VLOOKUP(I334,ЦветПолный!A:B,2,FALSE)</f>
        <v>48</v>
      </c>
      <c r="AE334" s="97" t="str">
        <f ca="1">IFERROR(VLOOKUP(S334,Размеры!A:D,4,FALSE),"")</f>
        <v>59</v>
      </c>
      <c r="AF334" s="97">
        <f ca="1">IF(LEFT(IFERROR(VLOOKUP(LOOKUP(2,1/SEARCH(B334,Товары!A:A),Товары!A:A),Товары!A:B,2,0),""),6)=MID(AA334,1,6),1,0)</f>
        <v>0</v>
      </c>
      <c r="AH334" s="97">
        <f ca="1">SUMIF(Группа!A:A,C334,Группа!C:C)</f>
        <v>1</v>
      </c>
      <c r="AI334" s="97">
        <f ca="1">SUMIF(Группа!B:B,AB334,Группа!C:C)</f>
        <v>1</v>
      </c>
      <c r="AJ334" s="97">
        <f ca="1">SUMIF(Формы!A:A,D334,Формы!B:B)</f>
        <v>1</v>
      </c>
      <c r="AK334" s="97">
        <f ca="1">SUMIF(Материал!A:A,K334,Материал!B:B)</f>
        <v>1</v>
      </c>
      <c r="AL334" s="97">
        <f ca="1">SUMIF(Размеры!A:A,S334,Размеры!E:E)</f>
        <v>1</v>
      </c>
      <c r="AM334" s="97">
        <f ca="1">SUMIF(Сезон!A:A,F334,Сезон!B:B)</f>
        <v>1</v>
      </c>
      <c r="AN334" s="97">
        <f ca="1">SUMIF(Состав!A:A,J334,Состав!B:B)</f>
        <v>0</v>
      </c>
      <c r="AO334" s="97">
        <f ca="1">VLOOKUP(I334,ЦветПолный!A:C,3,0)</f>
        <v>1</v>
      </c>
      <c r="AP334" s="97">
        <f>SUMIF(Цвет!A:A,Z334,Цвет!B:B)</f>
        <v>1</v>
      </c>
      <c r="AQ334" s="97">
        <f ca="1">_xlfn.XLOOKUP(L334,Пол!A:A,Пол!B:B,0,0)</f>
        <v>1</v>
      </c>
      <c r="AR334" s="97">
        <f ca="1">SUMIF(Бренд!A:A,G334,Бренд!B:B)</f>
        <v>1</v>
      </c>
      <c r="AS334" s="97">
        <f ca="1">SUMIF(Страна!A:A,M334,Страна!B:B)</f>
        <v>1</v>
      </c>
      <c r="AT334" s="64" t="e">
        <f ca="1">IF(VLOOKUP(W334,Товары!A:B,2,FALSE)=A334,"Есть в 1С","ERR")</f>
        <v>#N/A</v>
      </c>
      <c r="AU334" s="65" t="e">
        <f ca="1">IF(VLOOKUP(A334,Товары!B:B,1,FALSE)=A334,"Есть в 1С","ERR")</f>
        <v>#N/A</v>
      </c>
      <c r="AV334" s="96" t="e">
        <f ca="1">VLOOKUP(W334,Товары!A:B,2,FALSE)</f>
        <v>#N/A</v>
      </c>
      <c r="AW334" s="94" t="e">
        <f ca="1">VLOOKUP(W334,Товары!A:B,1,FALSE)</f>
        <v>#N/A</v>
      </c>
    </row>
    <row r="335" spans="1:49" x14ac:dyDescent="0.25">
      <c r="A335" s="110" t="str">
        <f t="shared" ca="1" si="25"/>
        <v>95-004-48</v>
      </c>
      <c r="B335" s="107" t="str">
        <f ca="1">_xlfn.LET(_xlpm.CAPS,0,_xlpm.Style,TRIM(_xlfn.XLOOKUP($A335,Строчный!$A:$A,Строчный!B:B,"ERR",0)),IF(_xlpm.CAPS=0,_xlpm.Style,LOWER(_xlpm.Style)))</f>
        <v>3101</v>
      </c>
      <c r="C335" s="81" t="str">
        <f ca="1">TRIM(PROPER(_xlfn.XLOOKUP($A335,Строчный!$A:$A,Строчный!C:C,"ERR",0)))</f>
        <v>Кепки</v>
      </c>
      <c r="D335" s="81" t="str">
        <f ca="1">_xlfn.LET(_xlpm.DATA,TRIM(_xlfn.XLOOKUP($A335,Строчный!$A:$A,Строчный!D:D,"ERR",0)),UPPER(MID(_xlpm.DATA,1,1))&amp;LOWER(MID(_xlpm.DATA,2,LEN(_xlpm.DATA)-1)))</f>
        <v>Кепка восьмиклинка</v>
      </c>
      <c r="E335" s="81" t="str">
        <f ca="1">PROPER(TRIM(_xlfn.XLOOKUP($A335,Строчный!$A:$A,Строчный!E:E,"ERR",0)))</f>
        <v>Fredrikson</v>
      </c>
      <c r="F335" s="81" t="str">
        <f ca="1">LOWER(TRIM(_xlfn.XLOOKUP($A335,Строчный!$A:$A,Строчный!F:F,"ERR",0)))</f>
        <v>всесезон</v>
      </c>
      <c r="G335" s="81" t="str">
        <f ca="1">UPPER(TRIM(_xlfn.XLOOKUP($A335,Строчный!$A:$A,Строчный!G:G,"ERR",0)))</f>
        <v>FREDRIKSON</v>
      </c>
      <c r="H335" s="81" t="str">
        <f ca="1">LOWER(TRIM(_xlfn.XLOOKUP($A335,Строчный!$A:$A,Строчный!H:H,"ERR",0)))</f>
        <v>624/25</v>
      </c>
      <c r="I335" s="81" t="str">
        <f ca="1">LOWER(TRIM(_xlfn.XLOOKUP($A335,Строчный!$A:$A,Строчный!I:I,"ERR",0)))</f>
        <v>черный / черный</v>
      </c>
      <c r="J335" s="81" t="str">
        <f ca="1">SUBSTITUTE(LOWER(TRIM(_xlfn.XLOOKUP($A335,Строчный!$A:$A,Строчный!J:J,"ERR",0))),"подклад","Подклад")</f>
        <v>80% шерсть - 20% полиамид / Подклад: 100% вискоза</v>
      </c>
      <c r="K335" s="81" t="str">
        <f ca="1">LOWER(TRIM(_xlfn.XLOOKUP($A335,Строчный!$A:$A,Строчный!K:K,"ERR",0)))</f>
        <v>шерстяные</v>
      </c>
      <c r="L335" s="81" t="str">
        <f ca="1">PROPER(TRIM(_xlfn.XLOOKUP($A335,Строчный!$A:$A,Строчный!L:L,"ERR",0)))</f>
        <v>Унисекс</v>
      </c>
      <c r="M335" s="113" t="str">
        <f ca="1">PROPER(TRIM(_xlfn.XLOOKUP($A335,Строчный!$A:$A,Строчный!M:M,"ERR",0)))</f>
        <v>Россия</v>
      </c>
      <c r="N335" s="81" t="str">
        <f ca="1">UPPER(TRIM(_xlfn.XLOOKUP($A335,Строчный!$A:$A,Строчный!O:O,"ERR",0)))</f>
        <v/>
      </c>
      <c r="O335" s="102" t="str">
        <f ca="1">PROPER(TRIM(_xlfn.XLOOKUP($A335,Строчный!$A:$A,Строчный!P:P,"ERR",0)))</f>
        <v/>
      </c>
      <c r="P335" s="81" t="str">
        <f ca="1">PROPER(TRIM(_xlfn.XLOOKUP($A335,Строчный!$A:$A,Строчный!R:R,"ERR",0)))</f>
        <v/>
      </c>
      <c r="Q335" s="90">
        <f ca="1">VALUE(_xlfn.XLOOKUP($A335,Строчный!$A:$A,Строчный!N:N,"ERR",0))</f>
        <v>975.8</v>
      </c>
      <c r="R335" s="89" t="str">
        <f ca="1">_xlfn.XLOOKUP($G335,Фабрика!A:A,Фабрика!B:B,"ERR",0)</f>
        <v>ООО "ФРЭДРИКСОН" Россия 192029, С-Петербург, пр. Обуховской обороны, д.86, лит М</v>
      </c>
      <c r="S335" s="80" t="str">
        <f ca="1">_xlfn.XLOOKUP(RIGHT(AA335,2),Размеры!D:D,Размеры!A:A,"ERR",0)</f>
        <v>58</v>
      </c>
      <c r="T335" s="80">
        <f ca="1">VALUE(_xlfn.XLOOKUP($AA335,Строчный!$S:$S,Строчный!U:U,"ERR",0))</f>
        <v>4</v>
      </c>
      <c r="U335" s="14" t="s">
        <v>265</v>
      </c>
      <c r="V335" s="101" t="str">
        <f t="shared" ca="1" si="26"/>
        <v>Кепка FREDRIKSON арт. 3101 (черный / черный)</v>
      </c>
      <c r="W335" s="100" t="str">
        <f t="shared" ca="1" si="27"/>
        <v>Кепка FREDRIKSON арт. 3101 (черный / черный) {624/25}</v>
      </c>
      <c r="X335" s="18" t="str">
        <f t="shared" ca="1" si="28"/>
        <v>черный</v>
      </c>
      <c r="Y335" s="18" t="str">
        <f t="shared" ca="1" si="29"/>
        <v>черный</v>
      </c>
      <c r="Z335" s="117" t="s">
        <v>28</v>
      </c>
      <c r="AA335" s="73" t="str">
        <f ca="1"/>
        <v>95-004-48-58</v>
      </c>
      <c r="AB335" s="75" t="str">
        <f ca="1">VLOOKUP(C335,Группа!A:B,2,FALSE)</f>
        <v>Кепка</v>
      </c>
      <c r="AC335" s="97" t="str">
        <f ca="1">IFERROR(VLOOKUP(S335,Размеры!A:C,3,FALSE),"")</f>
        <v>58 M/L</v>
      </c>
      <c r="AD335" s="97" t="str">
        <f ca="1">VLOOKUP(I335,ЦветПолный!A:B,2,FALSE)</f>
        <v>48</v>
      </c>
      <c r="AE335" s="97" t="str">
        <f ca="1">IFERROR(VLOOKUP(S335,Размеры!A:D,4,FALSE),"")</f>
        <v>58</v>
      </c>
      <c r="AF335" s="97">
        <f ca="1">IF(LEFT(IFERROR(VLOOKUP(LOOKUP(2,1/SEARCH(B335,Товары!A:A),Товары!A:A),Товары!A:B,2,0),""),6)=MID(AA335,1,6),1,0)</f>
        <v>0</v>
      </c>
      <c r="AH335" s="97">
        <f ca="1">SUMIF(Группа!A:A,C335,Группа!C:C)</f>
        <v>1</v>
      </c>
      <c r="AI335" s="97">
        <f ca="1">SUMIF(Группа!B:B,AB335,Группа!C:C)</f>
        <v>1</v>
      </c>
      <c r="AJ335" s="97">
        <f ca="1">SUMIF(Формы!A:A,D335,Формы!B:B)</f>
        <v>1</v>
      </c>
      <c r="AK335" s="97">
        <f ca="1">SUMIF(Материал!A:A,K335,Материал!B:B)</f>
        <v>1</v>
      </c>
      <c r="AL335" s="97">
        <f ca="1">SUMIF(Размеры!A:A,S335,Размеры!E:E)</f>
        <v>1</v>
      </c>
      <c r="AM335" s="97">
        <f ca="1">SUMIF(Сезон!A:A,F335,Сезон!B:B)</f>
        <v>1</v>
      </c>
      <c r="AN335" s="97">
        <f ca="1">SUMIF(Состав!A:A,J335,Состав!B:B)</f>
        <v>0</v>
      </c>
      <c r="AO335" s="97">
        <f ca="1">VLOOKUP(I335,ЦветПолный!A:C,3,0)</f>
        <v>1</v>
      </c>
      <c r="AP335" s="97">
        <f>SUMIF(Цвет!A:A,Z335,Цвет!B:B)</f>
        <v>1</v>
      </c>
      <c r="AQ335" s="97">
        <f ca="1">_xlfn.XLOOKUP(L335,Пол!A:A,Пол!B:B,0,0)</f>
        <v>1</v>
      </c>
      <c r="AR335" s="97">
        <f ca="1">SUMIF(Бренд!A:A,G335,Бренд!B:B)</f>
        <v>1</v>
      </c>
      <c r="AS335" s="97">
        <f ca="1">SUMIF(Страна!A:A,M335,Страна!B:B)</f>
        <v>1</v>
      </c>
      <c r="AT335" s="64" t="e">
        <f ca="1">IF(VLOOKUP(W335,Товары!A:B,2,FALSE)=A335,"Есть в 1С","ERR")</f>
        <v>#N/A</v>
      </c>
      <c r="AU335" s="65" t="e">
        <f ca="1">IF(VLOOKUP(A335,Товары!B:B,1,FALSE)=A335,"Есть в 1С","ERR")</f>
        <v>#N/A</v>
      </c>
      <c r="AV335" s="96" t="e">
        <f ca="1">VLOOKUP(W335,Товары!A:B,2,FALSE)</f>
        <v>#N/A</v>
      </c>
      <c r="AW335" s="94" t="e">
        <f ca="1">VLOOKUP(W335,Товары!A:B,1,FALSE)</f>
        <v>#N/A</v>
      </c>
    </row>
    <row r="336" spans="1:49" x14ac:dyDescent="0.25">
      <c r="A336" s="110" t="str">
        <f t="shared" ca="1" si="25"/>
        <v>95-004-48</v>
      </c>
      <c r="B336" s="107" t="str">
        <f ca="1">_xlfn.LET(_xlpm.CAPS,0,_xlpm.Style,TRIM(_xlfn.XLOOKUP($A336,Строчный!$A:$A,Строчный!B:B,"ERR",0)),IF(_xlpm.CAPS=0,_xlpm.Style,LOWER(_xlpm.Style)))</f>
        <v>3101</v>
      </c>
      <c r="C336" s="81" t="str">
        <f ca="1">TRIM(PROPER(_xlfn.XLOOKUP($A336,Строчный!$A:$A,Строчный!C:C,"ERR",0)))</f>
        <v>Кепки</v>
      </c>
      <c r="D336" s="81" t="str">
        <f ca="1">_xlfn.LET(_xlpm.DATA,TRIM(_xlfn.XLOOKUP($A336,Строчный!$A:$A,Строчный!D:D,"ERR",0)),UPPER(MID(_xlpm.DATA,1,1))&amp;LOWER(MID(_xlpm.DATA,2,LEN(_xlpm.DATA)-1)))</f>
        <v>Кепка восьмиклинка</v>
      </c>
      <c r="E336" s="81" t="str">
        <f ca="1">PROPER(TRIM(_xlfn.XLOOKUP($A336,Строчный!$A:$A,Строчный!E:E,"ERR",0)))</f>
        <v>Fredrikson</v>
      </c>
      <c r="F336" s="81" t="str">
        <f ca="1">LOWER(TRIM(_xlfn.XLOOKUP($A336,Строчный!$A:$A,Строчный!F:F,"ERR",0)))</f>
        <v>всесезон</v>
      </c>
      <c r="G336" s="81" t="str">
        <f ca="1">UPPER(TRIM(_xlfn.XLOOKUP($A336,Строчный!$A:$A,Строчный!G:G,"ERR",0)))</f>
        <v>FREDRIKSON</v>
      </c>
      <c r="H336" s="81" t="str">
        <f ca="1">LOWER(TRIM(_xlfn.XLOOKUP($A336,Строчный!$A:$A,Строчный!H:H,"ERR",0)))</f>
        <v>624/25</v>
      </c>
      <c r="I336" s="81" t="str">
        <f ca="1">LOWER(TRIM(_xlfn.XLOOKUP($A336,Строчный!$A:$A,Строчный!I:I,"ERR",0)))</f>
        <v>черный / черный</v>
      </c>
      <c r="J336" s="81" t="str">
        <f ca="1">SUBSTITUTE(LOWER(TRIM(_xlfn.XLOOKUP($A336,Строчный!$A:$A,Строчный!J:J,"ERR",0))),"подклад","Подклад")</f>
        <v>80% шерсть - 20% полиамид / Подклад: 100% вискоза</v>
      </c>
      <c r="K336" s="81" t="str">
        <f ca="1">LOWER(TRIM(_xlfn.XLOOKUP($A336,Строчный!$A:$A,Строчный!K:K,"ERR",0)))</f>
        <v>шерстяные</v>
      </c>
      <c r="L336" s="81" t="str">
        <f ca="1">PROPER(TRIM(_xlfn.XLOOKUP($A336,Строчный!$A:$A,Строчный!L:L,"ERR",0)))</f>
        <v>Унисекс</v>
      </c>
      <c r="M336" s="113" t="str">
        <f ca="1">PROPER(TRIM(_xlfn.XLOOKUP($A336,Строчный!$A:$A,Строчный!M:M,"ERR",0)))</f>
        <v>Россия</v>
      </c>
      <c r="N336" s="81" t="str">
        <f ca="1">UPPER(TRIM(_xlfn.XLOOKUP($A336,Строчный!$A:$A,Строчный!O:O,"ERR",0)))</f>
        <v/>
      </c>
      <c r="O336" s="102" t="str">
        <f ca="1">PROPER(TRIM(_xlfn.XLOOKUP($A336,Строчный!$A:$A,Строчный!P:P,"ERR",0)))</f>
        <v/>
      </c>
      <c r="P336" s="81" t="str">
        <f ca="1">PROPER(TRIM(_xlfn.XLOOKUP($A336,Строчный!$A:$A,Строчный!R:R,"ERR",0)))</f>
        <v/>
      </c>
      <c r="Q336" s="90">
        <f ca="1">VALUE(_xlfn.XLOOKUP($A336,Строчный!$A:$A,Строчный!N:N,"ERR",0))</f>
        <v>975.8</v>
      </c>
      <c r="R336" s="89" t="str">
        <f ca="1">_xlfn.XLOOKUP($G336,Фабрика!A:A,Фабрика!B:B,"ERR",0)</f>
        <v>ООО "ФРЭДРИКСОН" Россия 192029, С-Петербург, пр. Обуховской обороны, д.86, лит М</v>
      </c>
      <c r="S336" s="80" t="str">
        <f ca="1">_xlfn.XLOOKUP(RIGHT(AA336,2),Размеры!D:D,Размеры!A:A,"ERR",0)</f>
        <v>57</v>
      </c>
      <c r="T336" s="80">
        <f ca="1">VALUE(_xlfn.XLOOKUP($AA336,Строчный!$S:$S,Строчный!U:U,"ERR",0))</f>
        <v>3</v>
      </c>
      <c r="U336" s="14" t="s">
        <v>265</v>
      </c>
      <c r="V336" s="101" t="str">
        <f t="shared" ca="1" si="26"/>
        <v>Кепка FREDRIKSON арт. 3101 (черный / черный)</v>
      </c>
      <c r="W336" s="100" t="str">
        <f t="shared" ca="1" si="27"/>
        <v>Кепка FREDRIKSON арт. 3101 (черный / черный) {624/25}</v>
      </c>
      <c r="X336" s="18" t="str">
        <f t="shared" ca="1" si="28"/>
        <v>черный</v>
      </c>
      <c r="Y336" s="18" t="str">
        <f t="shared" ca="1" si="29"/>
        <v>черный</v>
      </c>
      <c r="Z336" s="117" t="s">
        <v>28</v>
      </c>
      <c r="AA336" s="73" t="str">
        <f ca="1"/>
        <v>95-004-48-57</v>
      </c>
      <c r="AB336" s="75" t="str">
        <f ca="1">VLOOKUP(C336,Группа!A:B,2,FALSE)</f>
        <v>Кепка</v>
      </c>
      <c r="AC336" s="97" t="str">
        <f ca="1">IFERROR(VLOOKUP(S336,Размеры!A:C,3,FALSE),"")</f>
        <v>57 M</v>
      </c>
      <c r="AD336" s="97" t="str">
        <f ca="1">VLOOKUP(I336,ЦветПолный!A:B,2,FALSE)</f>
        <v>48</v>
      </c>
      <c r="AE336" s="97" t="str">
        <f ca="1">IFERROR(VLOOKUP(S336,Размеры!A:D,4,FALSE),"")</f>
        <v>57</v>
      </c>
      <c r="AF336" s="97">
        <f ca="1">IF(LEFT(IFERROR(VLOOKUP(LOOKUP(2,1/SEARCH(B336,Товары!A:A),Товары!A:A),Товары!A:B,2,0),""),6)=MID(AA336,1,6),1,0)</f>
        <v>0</v>
      </c>
      <c r="AH336" s="97">
        <f ca="1">SUMIF(Группа!A:A,C336,Группа!C:C)</f>
        <v>1</v>
      </c>
      <c r="AI336" s="97">
        <f ca="1">SUMIF(Группа!B:B,AB336,Группа!C:C)</f>
        <v>1</v>
      </c>
      <c r="AJ336" s="97">
        <f ca="1">SUMIF(Формы!A:A,D336,Формы!B:B)</f>
        <v>1</v>
      </c>
      <c r="AK336" s="97">
        <f ca="1">SUMIF(Материал!A:A,K336,Материал!B:B)</f>
        <v>1</v>
      </c>
      <c r="AL336" s="97">
        <f ca="1">SUMIF(Размеры!A:A,S336,Размеры!E:E)</f>
        <v>1</v>
      </c>
      <c r="AM336" s="97">
        <f ca="1">SUMIF(Сезон!A:A,F336,Сезон!B:B)</f>
        <v>1</v>
      </c>
      <c r="AN336" s="97">
        <f ca="1">SUMIF(Состав!A:A,J336,Состав!B:B)</f>
        <v>0</v>
      </c>
      <c r="AO336" s="97">
        <f ca="1">VLOOKUP(I336,ЦветПолный!A:C,3,0)</f>
        <v>1</v>
      </c>
      <c r="AP336" s="97">
        <f>SUMIF(Цвет!A:A,Z336,Цвет!B:B)</f>
        <v>1</v>
      </c>
      <c r="AQ336" s="97">
        <f ca="1">_xlfn.XLOOKUP(L336,Пол!A:A,Пол!B:B,0,0)</f>
        <v>1</v>
      </c>
      <c r="AR336" s="97">
        <f ca="1">SUMIF(Бренд!A:A,G336,Бренд!B:B)</f>
        <v>1</v>
      </c>
      <c r="AS336" s="97">
        <f ca="1">SUMIF(Страна!A:A,M336,Страна!B:B)</f>
        <v>1</v>
      </c>
      <c r="AT336" s="64" t="e">
        <f ca="1">IF(VLOOKUP(W336,Товары!A:B,2,FALSE)=A336,"Есть в 1С","ERR")</f>
        <v>#N/A</v>
      </c>
      <c r="AU336" s="65" t="e">
        <f ca="1">IF(VLOOKUP(A336,Товары!B:B,1,FALSE)=A336,"Есть в 1С","ERR")</f>
        <v>#N/A</v>
      </c>
      <c r="AV336" s="96" t="e">
        <f ca="1">VLOOKUP(W336,Товары!A:B,2,FALSE)</f>
        <v>#N/A</v>
      </c>
      <c r="AW336" s="94" t="e">
        <f ca="1">VLOOKUP(W336,Товары!A:B,1,FALSE)</f>
        <v>#N/A</v>
      </c>
    </row>
    <row r="337" spans="1:49" x14ac:dyDescent="0.25">
      <c r="A337" s="110" t="str">
        <f t="shared" ca="1" si="25"/>
        <v>95-004-48</v>
      </c>
      <c r="B337" s="107" t="str">
        <f ca="1">_xlfn.LET(_xlpm.CAPS,0,_xlpm.Style,TRIM(_xlfn.XLOOKUP($A337,Строчный!$A:$A,Строчный!B:B,"ERR",0)),IF(_xlpm.CAPS=0,_xlpm.Style,LOWER(_xlpm.Style)))</f>
        <v>3101</v>
      </c>
      <c r="C337" s="81" t="str">
        <f ca="1">TRIM(PROPER(_xlfn.XLOOKUP($A337,Строчный!$A:$A,Строчный!C:C,"ERR",0)))</f>
        <v>Кепки</v>
      </c>
      <c r="D337" s="81" t="str">
        <f ca="1">_xlfn.LET(_xlpm.DATA,TRIM(_xlfn.XLOOKUP($A337,Строчный!$A:$A,Строчный!D:D,"ERR",0)),UPPER(MID(_xlpm.DATA,1,1))&amp;LOWER(MID(_xlpm.DATA,2,LEN(_xlpm.DATA)-1)))</f>
        <v>Кепка восьмиклинка</v>
      </c>
      <c r="E337" s="81" t="str">
        <f ca="1">PROPER(TRIM(_xlfn.XLOOKUP($A337,Строчный!$A:$A,Строчный!E:E,"ERR",0)))</f>
        <v>Fredrikson</v>
      </c>
      <c r="F337" s="81" t="str">
        <f ca="1">LOWER(TRIM(_xlfn.XLOOKUP($A337,Строчный!$A:$A,Строчный!F:F,"ERR",0)))</f>
        <v>всесезон</v>
      </c>
      <c r="G337" s="81" t="str">
        <f ca="1">UPPER(TRIM(_xlfn.XLOOKUP($A337,Строчный!$A:$A,Строчный!G:G,"ERR",0)))</f>
        <v>FREDRIKSON</v>
      </c>
      <c r="H337" s="81" t="str">
        <f ca="1">LOWER(TRIM(_xlfn.XLOOKUP($A337,Строчный!$A:$A,Строчный!H:H,"ERR",0)))</f>
        <v>624/25</v>
      </c>
      <c r="I337" s="81" t="str">
        <f ca="1">LOWER(TRIM(_xlfn.XLOOKUP($A337,Строчный!$A:$A,Строчный!I:I,"ERR",0)))</f>
        <v>черный / черный</v>
      </c>
      <c r="J337" s="81" t="str">
        <f ca="1">SUBSTITUTE(LOWER(TRIM(_xlfn.XLOOKUP($A337,Строчный!$A:$A,Строчный!J:J,"ERR",0))),"подклад","Подклад")</f>
        <v>80% шерсть - 20% полиамид / Подклад: 100% вискоза</v>
      </c>
      <c r="K337" s="81" t="str">
        <f ca="1">LOWER(TRIM(_xlfn.XLOOKUP($A337,Строчный!$A:$A,Строчный!K:K,"ERR",0)))</f>
        <v>шерстяные</v>
      </c>
      <c r="L337" s="81" t="str">
        <f ca="1">PROPER(TRIM(_xlfn.XLOOKUP($A337,Строчный!$A:$A,Строчный!L:L,"ERR",0)))</f>
        <v>Унисекс</v>
      </c>
      <c r="M337" s="113" t="str">
        <f ca="1">PROPER(TRIM(_xlfn.XLOOKUP($A337,Строчный!$A:$A,Строчный!M:M,"ERR",0)))</f>
        <v>Россия</v>
      </c>
      <c r="N337" s="81" t="str">
        <f ca="1">UPPER(TRIM(_xlfn.XLOOKUP($A337,Строчный!$A:$A,Строчный!O:O,"ERR",0)))</f>
        <v/>
      </c>
      <c r="O337" s="102" t="str">
        <f ca="1">PROPER(TRIM(_xlfn.XLOOKUP($A337,Строчный!$A:$A,Строчный!P:P,"ERR",0)))</f>
        <v/>
      </c>
      <c r="P337" s="81" t="str">
        <f ca="1">PROPER(TRIM(_xlfn.XLOOKUP($A337,Строчный!$A:$A,Строчный!R:R,"ERR",0)))</f>
        <v/>
      </c>
      <c r="Q337" s="90">
        <f ca="1">VALUE(_xlfn.XLOOKUP($A337,Строчный!$A:$A,Строчный!N:N,"ERR",0))</f>
        <v>975.8</v>
      </c>
      <c r="R337" s="89" t="str">
        <f ca="1">_xlfn.XLOOKUP($G337,Фабрика!A:A,Фабрика!B:B,"ERR",0)</f>
        <v>ООО "ФРЭДРИКСОН" Россия 192029, С-Петербург, пр. Обуховской обороны, д.86, лит М</v>
      </c>
      <c r="S337" s="80" t="str">
        <f ca="1">_xlfn.XLOOKUP(RIGHT(AA337,2),Размеры!D:D,Размеры!A:A,"ERR",0)</f>
        <v>56</v>
      </c>
      <c r="T337" s="80">
        <f ca="1">VALUE(_xlfn.XLOOKUP($AA337,Строчный!$S:$S,Строчный!U:U,"ERR",0))</f>
        <v>1</v>
      </c>
      <c r="U337" s="14" t="s">
        <v>265</v>
      </c>
      <c r="V337" s="101" t="str">
        <f t="shared" ca="1" si="26"/>
        <v>Кепка FREDRIKSON арт. 3101 (черный / черный)</v>
      </c>
      <c r="W337" s="100" t="str">
        <f t="shared" ca="1" si="27"/>
        <v>Кепка FREDRIKSON арт. 3101 (черный / черный) {624/25}</v>
      </c>
      <c r="X337" s="18" t="str">
        <f t="shared" ca="1" si="28"/>
        <v>черный</v>
      </c>
      <c r="Y337" s="18" t="str">
        <f t="shared" ca="1" si="29"/>
        <v>черный</v>
      </c>
      <c r="Z337" s="117" t="s">
        <v>28</v>
      </c>
      <c r="AA337" s="73" t="str">
        <f ca="1"/>
        <v>95-004-48-56</v>
      </c>
      <c r="AB337" s="75" t="str">
        <f ca="1">VLOOKUP(C337,Группа!A:B,2,FALSE)</f>
        <v>Кепка</v>
      </c>
      <c r="AC337" s="97" t="str">
        <f ca="1">IFERROR(VLOOKUP(S337,Размеры!A:C,3,FALSE),"")</f>
        <v>56 S/M</v>
      </c>
      <c r="AD337" s="97" t="str">
        <f ca="1">VLOOKUP(I337,ЦветПолный!A:B,2,FALSE)</f>
        <v>48</v>
      </c>
      <c r="AE337" s="97" t="str">
        <f ca="1">IFERROR(VLOOKUP(S337,Размеры!A:D,4,FALSE),"")</f>
        <v>56</v>
      </c>
      <c r="AF337" s="97">
        <f ca="1">IF(LEFT(IFERROR(VLOOKUP(LOOKUP(2,1/SEARCH(B337,Товары!A:A),Товары!A:A),Товары!A:B,2,0),""),6)=MID(AA337,1,6),1,0)</f>
        <v>0</v>
      </c>
      <c r="AH337" s="97">
        <f ca="1">SUMIF(Группа!A:A,C337,Группа!C:C)</f>
        <v>1</v>
      </c>
      <c r="AI337" s="97">
        <f ca="1">SUMIF(Группа!B:B,AB337,Группа!C:C)</f>
        <v>1</v>
      </c>
      <c r="AJ337" s="97">
        <f ca="1">SUMIF(Формы!A:A,D337,Формы!B:B)</f>
        <v>1</v>
      </c>
      <c r="AK337" s="97">
        <f ca="1">SUMIF(Материал!A:A,K337,Материал!B:B)</f>
        <v>1</v>
      </c>
      <c r="AL337" s="97">
        <f ca="1">SUMIF(Размеры!A:A,S337,Размеры!E:E)</f>
        <v>1</v>
      </c>
      <c r="AM337" s="97">
        <f ca="1">SUMIF(Сезон!A:A,F337,Сезон!B:B)</f>
        <v>1</v>
      </c>
      <c r="AN337" s="97">
        <f ca="1">SUMIF(Состав!A:A,J337,Состав!B:B)</f>
        <v>0</v>
      </c>
      <c r="AO337" s="97">
        <f ca="1">VLOOKUP(I337,ЦветПолный!A:C,3,0)</f>
        <v>1</v>
      </c>
      <c r="AP337" s="97">
        <f>SUMIF(Цвет!A:A,Z337,Цвет!B:B)</f>
        <v>1</v>
      </c>
      <c r="AQ337" s="97">
        <f ca="1">_xlfn.XLOOKUP(L337,Пол!A:A,Пол!B:B,0,0)</f>
        <v>1</v>
      </c>
      <c r="AR337" s="97">
        <f ca="1">SUMIF(Бренд!A:A,G337,Бренд!B:B)</f>
        <v>1</v>
      </c>
      <c r="AS337" s="97">
        <f ca="1">SUMIF(Страна!A:A,M337,Страна!B:B)</f>
        <v>1</v>
      </c>
      <c r="AT337" s="64" t="e">
        <f ca="1">IF(VLOOKUP(W337,Товары!A:B,2,FALSE)=A337,"Есть в 1С","ERR")</f>
        <v>#N/A</v>
      </c>
      <c r="AU337" s="65" t="e">
        <f ca="1">IF(VLOOKUP(A337,Товары!B:B,1,FALSE)=A337,"Есть в 1С","ERR")</f>
        <v>#N/A</v>
      </c>
      <c r="AV337" s="96" t="e">
        <f ca="1">VLOOKUP(W337,Товары!A:B,2,FALSE)</f>
        <v>#N/A</v>
      </c>
      <c r="AW337" s="94" t="e">
        <f ca="1">VLOOKUP(W337,Товары!A:B,1,FALSE)</f>
        <v>#N/A</v>
      </c>
    </row>
    <row r="338" spans="1:49" x14ac:dyDescent="0.25">
      <c r="A338" s="110" t="str">
        <f t="shared" ca="1" si="25"/>
        <v>95-004-19</v>
      </c>
      <c r="B338" s="107" t="str">
        <f ca="1">_xlfn.LET(_xlpm.CAPS,0,_xlpm.Style,TRIM(_xlfn.XLOOKUP($A338,Строчный!$A:$A,Строчный!B:B,"ERR",0)),IF(_xlpm.CAPS=0,_xlpm.Style,LOWER(_xlpm.Style)))</f>
        <v>3101</v>
      </c>
      <c r="C338" s="81" t="str">
        <f ca="1">TRIM(PROPER(_xlfn.XLOOKUP($A338,Строчный!$A:$A,Строчный!C:C,"ERR",0)))</f>
        <v>Кепки</v>
      </c>
      <c r="D338" s="81" t="str">
        <f ca="1">_xlfn.LET(_xlpm.DATA,TRIM(_xlfn.XLOOKUP($A338,Строчный!$A:$A,Строчный!D:D,"ERR",0)),UPPER(MID(_xlpm.DATA,1,1))&amp;LOWER(MID(_xlpm.DATA,2,LEN(_xlpm.DATA)-1)))</f>
        <v>Кепка восьмиклинка</v>
      </c>
      <c r="E338" s="81" t="str">
        <f ca="1">PROPER(TRIM(_xlfn.XLOOKUP($A338,Строчный!$A:$A,Строчный!E:E,"ERR",0)))</f>
        <v>Fredrikson</v>
      </c>
      <c r="F338" s="81" t="str">
        <f ca="1">LOWER(TRIM(_xlfn.XLOOKUP($A338,Строчный!$A:$A,Строчный!F:F,"ERR",0)))</f>
        <v>всесезон</v>
      </c>
      <c r="G338" s="81" t="str">
        <f ca="1">UPPER(TRIM(_xlfn.XLOOKUP($A338,Строчный!$A:$A,Строчный!G:G,"ERR",0)))</f>
        <v>FREDRIKSON</v>
      </c>
      <c r="H338" s="81" t="str">
        <f ca="1">LOWER(TRIM(_xlfn.XLOOKUP($A338,Строчный!$A:$A,Строчный!H:H,"ERR",0)))</f>
        <v>685/15</v>
      </c>
      <c r="I338" s="81" t="str">
        <f ca="1">LOWER(TRIM(_xlfn.XLOOKUP($A338,Строчный!$A:$A,Строчный!I:I,"ERR",0)))</f>
        <v>голубой / красный</v>
      </c>
      <c r="J338" s="81" t="str">
        <f ca="1">SUBSTITUTE(LOWER(TRIM(_xlfn.XLOOKUP($A338,Строчный!$A:$A,Строчный!J:J,"ERR",0))),"подклад","Подклад")</f>
        <v>80% шерсть - 20% полиамид / Подклад: 100% вискоза</v>
      </c>
      <c r="K338" s="81" t="str">
        <f ca="1">LOWER(TRIM(_xlfn.XLOOKUP($A338,Строчный!$A:$A,Строчный!K:K,"ERR",0)))</f>
        <v>шерстяные</v>
      </c>
      <c r="L338" s="81" t="str">
        <f ca="1">PROPER(TRIM(_xlfn.XLOOKUP($A338,Строчный!$A:$A,Строчный!L:L,"ERR",0)))</f>
        <v>Унисекс</v>
      </c>
      <c r="M338" s="113" t="str">
        <f ca="1">PROPER(TRIM(_xlfn.XLOOKUP($A338,Строчный!$A:$A,Строчный!M:M,"ERR",0)))</f>
        <v>Россия</v>
      </c>
      <c r="N338" s="81" t="str">
        <f ca="1">UPPER(TRIM(_xlfn.XLOOKUP($A338,Строчный!$A:$A,Строчный!O:O,"ERR",0)))</f>
        <v/>
      </c>
      <c r="O338" s="102" t="str">
        <f ca="1">PROPER(TRIM(_xlfn.XLOOKUP($A338,Строчный!$A:$A,Строчный!P:P,"ERR",0)))</f>
        <v/>
      </c>
      <c r="P338" s="81" t="str">
        <f ca="1">PROPER(TRIM(_xlfn.XLOOKUP($A338,Строчный!$A:$A,Строчный!R:R,"ERR",0)))</f>
        <v/>
      </c>
      <c r="Q338" s="90">
        <f ca="1">VALUE(_xlfn.XLOOKUP($A338,Строчный!$A:$A,Строчный!N:N,"ERR",0))</f>
        <v>975.8</v>
      </c>
      <c r="R338" s="89" t="str">
        <f ca="1">_xlfn.XLOOKUP($G338,Фабрика!A:A,Фабрика!B:B,"ERR",0)</f>
        <v>ООО "ФРЭДРИКСОН" Россия 192029, С-Петербург, пр. Обуховской обороны, д.86, лит М</v>
      </c>
      <c r="S338" s="80" t="str">
        <f ca="1">_xlfn.XLOOKUP(RIGHT(AA338,2),Размеры!D:D,Размеры!A:A,"ERR",0)</f>
        <v>61</v>
      </c>
      <c r="T338" s="80">
        <f ca="1">VALUE(_xlfn.XLOOKUP($AA338,Строчный!$S:$S,Строчный!U:U,"ERR",0))</f>
        <v>1</v>
      </c>
      <c r="U338" s="14" t="s">
        <v>265</v>
      </c>
      <c r="V338" s="101" t="str">
        <f t="shared" ca="1" si="26"/>
        <v>Кепка FREDRIKSON арт. 3101 (голубой / красный)</v>
      </c>
      <c r="W338" s="100" t="str">
        <f t="shared" ca="1" si="27"/>
        <v>Кепка FREDRIKSON арт. 3101 (голубой / красный) {685/15}</v>
      </c>
      <c r="X338" s="18" t="str">
        <f t="shared" ca="1" si="28"/>
        <v>голубой</v>
      </c>
      <c r="Y338" s="18" t="str">
        <f t="shared" ca="1" si="29"/>
        <v>красный</v>
      </c>
      <c r="Z338" s="117" t="s">
        <v>28</v>
      </c>
      <c r="AA338" s="73" t="str">
        <f ca="1"/>
        <v>95-004-19-61</v>
      </c>
      <c r="AB338" s="75" t="str">
        <f ca="1">VLOOKUP(C338,Группа!A:B,2,FALSE)</f>
        <v>Кепка</v>
      </c>
      <c r="AC338" s="97" t="str">
        <f ca="1">IFERROR(VLOOKUP(S338,Размеры!A:C,3,FALSE),"")</f>
        <v>61 XL</v>
      </c>
      <c r="AD338" s="97" t="str">
        <f ca="1">VLOOKUP(I338,ЦветПолный!A:B,2,FALSE)</f>
        <v>19</v>
      </c>
      <c r="AE338" s="97" t="str">
        <f ca="1">IFERROR(VLOOKUP(S338,Размеры!A:D,4,FALSE),"")</f>
        <v>61</v>
      </c>
      <c r="AF338" s="97">
        <f ca="1">IF(LEFT(IFERROR(VLOOKUP(LOOKUP(2,1/SEARCH(B338,Товары!A:A),Товары!A:A),Товары!A:B,2,0),""),6)=MID(AA338,1,6),1,0)</f>
        <v>0</v>
      </c>
      <c r="AH338" s="97">
        <f ca="1">SUMIF(Группа!A:A,C338,Группа!C:C)</f>
        <v>1</v>
      </c>
      <c r="AI338" s="97">
        <f ca="1">SUMIF(Группа!B:B,AB338,Группа!C:C)</f>
        <v>1</v>
      </c>
      <c r="AJ338" s="97">
        <f ca="1">SUMIF(Формы!A:A,D338,Формы!B:B)</f>
        <v>1</v>
      </c>
      <c r="AK338" s="97">
        <f ca="1">SUMIF(Материал!A:A,K338,Материал!B:B)</f>
        <v>1</v>
      </c>
      <c r="AL338" s="97">
        <f ca="1">SUMIF(Размеры!A:A,S338,Размеры!E:E)</f>
        <v>1</v>
      </c>
      <c r="AM338" s="97">
        <f ca="1">SUMIF(Сезон!A:A,F338,Сезон!B:B)</f>
        <v>1</v>
      </c>
      <c r="AN338" s="97">
        <f ca="1">SUMIF(Состав!A:A,J338,Состав!B:B)</f>
        <v>0</v>
      </c>
      <c r="AO338" s="97">
        <f ca="1">VLOOKUP(I338,ЦветПолный!A:C,3,0)</f>
        <v>1</v>
      </c>
      <c r="AP338" s="97">
        <f>SUMIF(Цвет!A:A,Z338,Цвет!B:B)</f>
        <v>1</v>
      </c>
      <c r="AQ338" s="97">
        <f ca="1">_xlfn.XLOOKUP(L338,Пол!A:A,Пол!B:B,0,0)</f>
        <v>1</v>
      </c>
      <c r="AR338" s="97">
        <f ca="1">SUMIF(Бренд!A:A,G338,Бренд!B:B)</f>
        <v>1</v>
      </c>
      <c r="AS338" s="97">
        <f ca="1">SUMIF(Страна!A:A,M338,Страна!B:B)</f>
        <v>1</v>
      </c>
      <c r="AT338" s="64" t="e">
        <f ca="1">IF(VLOOKUP(W338,Товары!A:B,2,FALSE)=A338,"Есть в 1С","ERR")</f>
        <v>#N/A</v>
      </c>
      <c r="AU338" s="65" t="e">
        <f ca="1">IF(VLOOKUP(A338,Товары!B:B,1,FALSE)=A338,"Есть в 1С","ERR")</f>
        <v>#N/A</v>
      </c>
      <c r="AV338" s="96" t="e">
        <f ca="1">VLOOKUP(W338,Товары!A:B,2,FALSE)</f>
        <v>#N/A</v>
      </c>
      <c r="AW338" s="94" t="e">
        <f ca="1">VLOOKUP(W338,Товары!A:B,1,FALSE)</f>
        <v>#N/A</v>
      </c>
    </row>
    <row r="339" spans="1:49" x14ac:dyDescent="0.25">
      <c r="A339" s="110" t="str">
        <f t="shared" ca="1" si="25"/>
        <v>95-004-19</v>
      </c>
      <c r="B339" s="107" t="str">
        <f ca="1">_xlfn.LET(_xlpm.CAPS,0,_xlpm.Style,TRIM(_xlfn.XLOOKUP($A339,Строчный!$A:$A,Строчный!B:B,"ERR",0)),IF(_xlpm.CAPS=0,_xlpm.Style,LOWER(_xlpm.Style)))</f>
        <v>3101</v>
      </c>
      <c r="C339" s="81" t="str">
        <f ca="1">TRIM(PROPER(_xlfn.XLOOKUP($A339,Строчный!$A:$A,Строчный!C:C,"ERR",0)))</f>
        <v>Кепки</v>
      </c>
      <c r="D339" s="81" t="str">
        <f ca="1">_xlfn.LET(_xlpm.DATA,TRIM(_xlfn.XLOOKUP($A339,Строчный!$A:$A,Строчный!D:D,"ERR",0)),UPPER(MID(_xlpm.DATA,1,1))&amp;LOWER(MID(_xlpm.DATA,2,LEN(_xlpm.DATA)-1)))</f>
        <v>Кепка восьмиклинка</v>
      </c>
      <c r="E339" s="81" t="str">
        <f ca="1">PROPER(TRIM(_xlfn.XLOOKUP($A339,Строчный!$A:$A,Строчный!E:E,"ERR",0)))</f>
        <v>Fredrikson</v>
      </c>
      <c r="F339" s="81" t="str">
        <f ca="1">LOWER(TRIM(_xlfn.XLOOKUP($A339,Строчный!$A:$A,Строчный!F:F,"ERR",0)))</f>
        <v>всесезон</v>
      </c>
      <c r="G339" s="81" t="str">
        <f ca="1">UPPER(TRIM(_xlfn.XLOOKUP($A339,Строчный!$A:$A,Строчный!G:G,"ERR",0)))</f>
        <v>FREDRIKSON</v>
      </c>
      <c r="H339" s="81" t="str">
        <f ca="1">LOWER(TRIM(_xlfn.XLOOKUP($A339,Строчный!$A:$A,Строчный!H:H,"ERR",0)))</f>
        <v>685/15</v>
      </c>
      <c r="I339" s="81" t="str">
        <f ca="1">LOWER(TRIM(_xlfn.XLOOKUP($A339,Строчный!$A:$A,Строчный!I:I,"ERR",0)))</f>
        <v>голубой / красный</v>
      </c>
      <c r="J339" s="81" t="str">
        <f ca="1">SUBSTITUTE(LOWER(TRIM(_xlfn.XLOOKUP($A339,Строчный!$A:$A,Строчный!J:J,"ERR",0))),"подклад","Подклад")</f>
        <v>80% шерсть - 20% полиамид / Подклад: 100% вискоза</v>
      </c>
      <c r="K339" s="81" t="str">
        <f ca="1">LOWER(TRIM(_xlfn.XLOOKUP($A339,Строчный!$A:$A,Строчный!K:K,"ERR",0)))</f>
        <v>шерстяные</v>
      </c>
      <c r="L339" s="81" t="str">
        <f ca="1">PROPER(TRIM(_xlfn.XLOOKUP($A339,Строчный!$A:$A,Строчный!L:L,"ERR",0)))</f>
        <v>Унисекс</v>
      </c>
      <c r="M339" s="113" t="str">
        <f ca="1">PROPER(TRIM(_xlfn.XLOOKUP($A339,Строчный!$A:$A,Строчный!M:M,"ERR",0)))</f>
        <v>Россия</v>
      </c>
      <c r="N339" s="81" t="str">
        <f ca="1">UPPER(TRIM(_xlfn.XLOOKUP($A339,Строчный!$A:$A,Строчный!O:O,"ERR",0)))</f>
        <v/>
      </c>
      <c r="O339" s="102" t="str">
        <f ca="1">PROPER(TRIM(_xlfn.XLOOKUP($A339,Строчный!$A:$A,Строчный!P:P,"ERR",0)))</f>
        <v/>
      </c>
      <c r="P339" s="81" t="str">
        <f ca="1">PROPER(TRIM(_xlfn.XLOOKUP($A339,Строчный!$A:$A,Строчный!R:R,"ERR",0)))</f>
        <v/>
      </c>
      <c r="Q339" s="90">
        <f ca="1">VALUE(_xlfn.XLOOKUP($A339,Строчный!$A:$A,Строчный!N:N,"ERR",0))</f>
        <v>975.8</v>
      </c>
      <c r="R339" s="89" t="str">
        <f ca="1">_xlfn.XLOOKUP($G339,Фабрика!A:A,Фабрика!B:B,"ERR",0)</f>
        <v>ООО "ФРЭДРИКСОН" Россия 192029, С-Петербург, пр. Обуховской обороны, д.86, лит М</v>
      </c>
      <c r="S339" s="80" t="str">
        <f ca="1">_xlfn.XLOOKUP(RIGHT(AA339,2),Размеры!D:D,Размеры!A:A,"ERR",0)</f>
        <v>60</v>
      </c>
      <c r="T339" s="80">
        <f ca="1">VALUE(_xlfn.XLOOKUP($AA339,Строчный!$S:$S,Строчный!U:U,"ERR",0))</f>
        <v>1</v>
      </c>
      <c r="U339" s="14" t="s">
        <v>265</v>
      </c>
      <c r="V339" s="101" t="str">
        <f t="shared" ca="1" si="26"/>
        <v>Кепка FREDRIKSON арт. 3101 (голубой / красный)</v>
      </c>
      <c r="W339" s="100" t="str">
        <f t="shared" ca="1" si="27"/>
        <v>Кепка FREDRIKSON арт. 3101 (голубой / красный) {685/15}</v>
      </c>
      <c r="X339" s="18" t="str">
        <f t="shared" ca="1" si="28"/>
        <v>голубой</v>
      </c>
      <c r="Y339" s="18" t="str">
        <f t="shared" ca="1" si="29"/>
        <v>красный</v>
      </c>
      <c r="Z339" s="117" t="s">
        <v>28</v>
      </c>
      <c r="AA339" s="73" t="str">
        <f ca="1"/>
        <v>95-004-19-60</v>
      </c>
      <c r="AB339" s="75" t="str">
        <f ca="1">VLOOKUP(C339,Группа!A:B,2,FALSE)</f>
        <v>Кепка</v>
      </c>
      <c r="AC339" s="97" t="str">
        <f ca="1">IFERROR(VLOOKUP(S339,Размеры!A:C,3,FALSE),"")</f>
        <v>60 L/XL</v>
      </c>
      <c r="AD339" s="97" t="str">
        <f ca="1">VLOOKUP(I339,ЦветПолный!A:B,2,FALSE)</f>
        <v>19</v>
      </c>
      <c r="AE339" s="97" t="str">
        <f ca="1">IFERROR(VLOOKUP(S339,Размеры!A:D,4,FALSE),"")</f>
        <v>60</v>
      </c>
      <c r="AF339" s="97">
        <f ca="1">IF(LEFT(IFERROR(VLOOKUP(LOOKUP(2,1/SEARCH(B339,Товары!A:A),Товары!A:A),Товары!A:B,2,0),""),6)=MID(AA339,1,6),1,0)</f>
        <v>0</v>
      </c>
      <c r="AH339" s="97">
        <f ca="1">SUMIF(Группа!A:A,C339,Группа!C:C)</f>
        <v>1</v>
      </c>
      <c r="AI339" s="97">
        <f ca="1">SUMIF(Группа!B:B,AB339,Группа!C:C)</f>
        <v>1</v>
      </c>
      <c r="AJ339" s="97">
        <f ca="1">SUMIF(Формы!A:A,D339,Формы!B:B)</f>
        <v>1</v>
      </c>
      <c r="AK339" s="97">
        <f ca="1">SUMIF(Материал!A:A,K339,Материал!B:B)</f>
        <v>1</v>
      </c>
      <c r="AL339" s="97">
        <f ca="1">SUMIF(Размеры!A:A,S339,Размеры!E:E)</f>
        <v>1</v>
      </c>
      <c r="AM339" s="97">
        <f ca="1">SUMIF(Сезон!A:A,F339,Сезон!B:B)</f>
        <v>1</v>
      </c>
      <c r="AN339" s="97">
        <f ca="1">SUMIF(Состав!A:A,J339,Состав!B:B)</f>
        <v>0</v>
      </c>
      <c r="AO339" s="97">
        <f ca="1">VLOOKUP(I339,ЦветПолный!A:C,3,0)</f>
        <v>1</v>
      </c>
      <c r="AP339" s="97">
        <f>SUMIF(Цвет!A:A,Z339,Цвет!B:B)</f>
        <v>1</v>
      </c>
      <c r="AQ339" s="97">
        <f ca="1">_xlfn.XLOOKUP(L339,Пол!A:A,Пол!B:B,0,0)</f>
        <v>1</v>
      </c>
      <c r="AR339" s="97">
        <f ca="1">SUMIF(Бренд!A:A,G339,Бренд!B:B)</f>
        <v>1</v>
      </c>
      <c r="AS339" s="97">
        <f ca="1">SUMIF(Страна!A:A,M339,Страна!B:B)</f>
        <v>1</v>
      </c>
      <c r="AT339" s="64" t="e">
        <f ca="1">IF(VLOOKUP(W339,Товары!A:B,2,FALSE)=A339,"Есть в 1С","ERR")</f>
        <v>#N/A</v>
      </c>
      <c r="AU339" s="65" t="e">
        <f ca="1">IF(VLOOKUP(A339,Товары!B:B,1,FALSE)=A339,"Есть в 1С","ERR")</f>
        <v>#N/A</v>
      </c>
      <c r="AV339" s="96" t="e">
        <f ca="1">VLOOKUP(W339,Товары!A:B,2,FALSE)</f>
        <v>#N/A</v>
      </c>
      <c r="AW339" s="94" t="e">
        <f ca="1">VLOOKUP(W339,Товары!A:B,1,FALSE)</f>
        <v>#N/A</v>
      </c>
    </row>
    <row r="340" spans="1:49" x14ac:dyDescent="0.25">
      <c r="A340" s="110" t="str">
        <f t="shared" ca="1" si="25"/>
        <v>95-004-19</v>
      </c>
      <c r="B340" s="107" t="str">
        <f ca="1">_xlfn.LET(_xlpm.CAPS,0,_xlpm.Style,TRIM(_xlfn.XLOOKUP($A340,Строчный!$A:$A,Строчный!B:B,"ERR",0)),IF(_xlpm.CAPS=0,_xlpm.Style,LOWER(_xlpm.Style)))</f>
        <v>3101</v>
      </c>
      <c r="C340" s="81" t="str">
        <f ca="1">TRIM(PROPER(_xlfn.XLOOKUP($A340,Строчный!$A:$A,Строчный!C:C,"ERR",0)))</f>
        <v>Кепки</v>
      </c>
      <c r="D340" s="81" t="str">
        <f ca="1">_xlfn.LET(_xlpm.DATA,TRIM(_xlfn.XLOOKUP($A340,Строчный!$A:$A,Строчный!D:D,"ERR",0)),UPPER(MID(_xlpm.DATA,1,1))&amp;LOWER(MID(_xlpm.DATA,2,LEN(_xlpm.DATA)-1)))</f>
        <v>Кепка восьмиклинка</v>
      </c>
      <c r="E340" s="81" t="str">
        <f ca="1">PROPER(TRIM(_xlfn.XLOOKUP($A340,Строчный!$A:$A,Строчный!E:E,"ERR",0)))</f>
        <v>Fredrikson</v>
      </c>
      <c r="F340" s="81" t="str">
        <f ca="1">LOWER(TRIM(_xlfn.XLOOKUP($A340,Строчный!$A:$A,Строчный!F:F,"ERR",0)))</f>
        <v>всесезон</v>
      </c>
      <c r="G340" s="81" t="str">
        <f ca="1">UPPER(TRIM(_xlfn.XLOOKUP($A340,Строчный!$A:$A,Строчный!G:G,"ERR",0)))</f>
        <v>FREDRIKSON</v>
      </c>
      <c r="H340" s="81" t="str">
        <f ca="1">LOWER(TRIM(_xlfn.XLOOKUP($A340,Строчный!$A:$A,Строчный!H:H,"ERR",0)))</f>
        <v>685/15</v>
      </c>
      <c r="I340" s="81" t="str">
        <f ca="1">LOWER(TRIM(_xlfn.XLOOKUP($A340,Строчный!$A:$A,Строчный!I:I,"ERR",0)))</f>
        <v>голубой / красный</v>
      </c>
      <c r="J340" s="81" t="str">
        <f ca="1">SUBSTITUTE(LOWER(TRIM(_xlfn.XLOOKUP($A340,Строчный!$A:$A,Строчный!J:J,"ERR",0))),"подклад","Подклад")</f>
        <v>80% шерсть - 20% полиамид / Подклад: 100% вискоза</v>
      </c>
      <c r="K340" s="81" t="str">
        <f ca="1">LOWER(TRIM(_xlfn.XLOOKUP($A340,Строчный!$A:$A,Строчный!K:K,"ERR",0)))</f>
        <v>шерстяные</v>
      </c>
      <c r="L340" s="81" t="str">
        <f ca="1">PROPER(TRIM(_xlfn.XLOOKUP($A340,Строчный!$A:$A,Строчный!L:L,"ERR",0)))</f>
        <v>Унисекс</v>
      </c>
      <c r="M340" s="113" t="str">
        <f ca="1">PROPER(TRIM(_xlfn.XLOOKUP($A340,Строчный!$A:$A,Строчный!M:M,"ERR",0)))</f>
        <v>Россия</v>
      </c>
      <c r="N340" s="81" t="str">
        <f ca="1">UPPER(TRIM(_xlfn.XLOOKUP($A340,Строчный!$A:$A,Строчный!O:O,"ERR",0)))</f>
        <v/>
      </c>
      <c r="O340" s="102" t="str">
        <f ca="1">PROPER(TRIM(_xlfn.XLOOKUP($A340,Строчный!$A:$A,Строчный!P:P,"ERR",0)))</f>
        <v/>
      </c>
      <c r="P340" s="81" t="str">
        <f ca="1">PROPER(TRIM(_xlfn.XLOOKUP($A340,Строчный!$A:$A,Строчный!R:R,"ERR",0)))</f>
        <v/>
      </c>
      <c r="Q340" s="90">
        <f ca="1">VALUE(_xlfn.XLOOKUP($A340,Строчный!$A:$A,Строчный!N:N,"ERR",0))</f>
        <v>975.8</v>
      </c>
      <c r="R340" s="89" t="str">
        <f ca="1">_xlfn.XLOOKUP($G340,Фабрика!A:A,Фабрика!B:B,"ERR",0)</f>
        <v>ООО "ФРЭДРИКСОН" Россия 192029, С-Петербург, пр. Обуховской обороны, д.86, лит М</v>
      </c>
      <c r="S340" s="80" t="str">
        <f ca="1">_xlfn.XLOOKUP(RIGHT(AA340,2),Размеры!D:D,Размеры!A:A,"ERR",0)</f>
        <v>59</v>
      </c>
      <c r="T340" s="80">
        <f ca="1">VALUE(_xlfn.XLOOKUP($AA340,Строчный!$S:$S,Строчный!U:U,"ERR",0))</f>
        <v>2</v>
      </c>
      <c r="U340" s="14" t="s">
        <v>265</v>
      </c>
      <c r="V340" s="101" t="str">
        <f t="shared" ca="1" si="26"/>
        <v>Кепка FREDRIKSON арт. 3101 (голубой / красный)</v>
      </c>
      <c r="W340" s="100" t="str">
        <f t="shared" ca="1" si="27"/>
        <v>Кепка FREDRIKSON арт. 3101 (голубой / красный) {685/15}</v>
      </c>
      <c r="X340" s="18" t="str">
        <f t="shared" ca="1" si="28"/>
        <v>голубой</v>
      </c>
      <c r="Y340" s="18" t="str">
        <f t="shared" ca="1" si="29"/>
        <v>красный</v>
      </c>
      <c r="Z340" s="117" t="s">
        <v>28</v>
      </c>
      <c r="AA340" s="73" t="str">
        <f ca="1"/>
        <v>95-004-19-59</v>
      </c>
      <c r="AB340" s="75" t="str">
        <f ca="1">VLOOKUP(C340,Группа!A:B,2,FALSE)</f>
        <v>Кепка</v>
      </c>
      <c r="AC340" s="97" t="str">
        <f ca="1">IFERROR(VLOOKUP(S340,Размеры!A:C,3,FALSE),"")</f>
        <v>59 L</v>
      </c>
      <c r="AD340" s="97" t="str">
        <f ca="1">VLOOKUP(I340,ЦветПолный!A:B,2,FALSE)</f>
        <v>19</v>
      </c>
      <c r="AE340" s="97" t="str">
        <f ca="1">IFERROR(VLOOKUP(S340,Размеры!A:D,4,FALSE),"")</f>
        <v>59</v>
      </c>
      <c r="AF340" s="97">
        <f ca="1">IF(LEFT(IFERROR(VLOOKUP(LOOKUP(2,1/SEARCH(B340,Товары!A:A),Товары!A:A),Товары!A:B,2,0),""),6)=MID(AA340,1,6),1,0)</f>
        <v>0</v>
      </c>
      <c r="AH340" s="97">
        <f ca="1">SUMIF(Группа!A:A,C340,Группа!C:C)</f>
        <v>1</v>
      </c>
      <c r="AI340" s="97">
        <f ca="1">SUMIF(Группа!B:B,AB340,Группа!C:C)</f>
        <v>1</v>
      </c>
      <c r="AJ340" s="97">
        <f ca="1">SUMIF(Формы!A:A,D340,Формы!B:B)</f>
        <v>1</v>
      </c>
      <c r="AK340" s="97">
        <f ca="1">SUMIF(Материал!A:A,K340,Материал!B:B)</f>
        <v>1</v>
      </c>
      <c r="AL340" s="97">
        <f ca="1">SUMIF(Размеры!A:A,S340,Размеры!E:E)</f>
        <v>1</v>
      </c>
      <c r="AM340" s="97">
        <f ca="1">SUMIF(Сезон!A:A,F340,Сезон!B:B)</f>
        <v>1</v>
      </c>
      <c r="AN340" s="97">
        <f ca="1">SUMIF(Состав!A:A,J340,Состав!B:B)</f>
        <v>0</v>
      </c>
      <c r="AO340" s="97">
        <f ca="1">VLOOKUP(I340,ЦветПолный!A:C,3,0)</f>
        <v>1</v>
      </c>
      <c r="AP340" s="97">
        <f>SUMIF(Цвет!A:A,Z340,Цвет!B:B)</f>
        <v>1</v>
      </c>
      <c r="AQ340" s="97">
        <f ca="1">_xlfn.XLOOKUP(L340,Пол!A:A,Пол!B:B,0,0)</f>
        <v>1</v>
      </c>
      <c r="AR340" s="97">
        <f ca="1">SUMIF(Бренд!A:A,G340,Бренд!B:B)</f>
        <v>1</v>
      </c>
      <c r="AS340" s="97">
        <f ca="1">SUMIF(Страна!A:A,M340,Страна!B:B)</f>
        <v>1</v>
      </c>
      <c r="AT340" s="64" t="e">
        <f ca="1">IF(VLOOKUP(W340,Товары!A:B,2,FALSE)=A340,"Есть в 1С","ERR")</f>
        <v>#N/A</v>
      </c>
      <c r="AU340" s="65" t="e">
        <f ca="1">IF(VLOOKUP(A340,Товары!B:B,1,FALSE)=A340,"Есть в 1С","ERR")</f>
        <v>#N/A</v>
      </c>
      <c r="AV340" s="96" t="e">
        <f ca="1">VLOOKUP(W340,Товары!A:B,2,FALSE)</f>
        <v>#N/A</v>
      </c>
      <c r="AW340" s="94" t="e">
        <f ca="1">VLOOKUP(W340,Товары!A:B,1,FALSE)</f>
        <v>#N/A</v>
      </c>
    </row>
    <row r="341" spans="1:49" x14ac:dyDescent="0.25">
      <c r="A341" s="110" t="str">
        <f t="shared" ca="1" si="25"/>
        <v>95-004-19</v>
      </c>
      <c r="B341" s="107" t="str">
        <f ca="1">_xlfn.LET(_xlpm.CAPS,0,_xlpm.Style,TRIM(_xlfn.XLOOKUP($A341,Строчный!$A:$A,Строчный!B:B,"ERR",0)),IF(_xlpm.CAPS=0,_xlpm.Style,LOWER(_xlpm.Style)))</f>
        <v>3101</v>
      </c>
      <c r="C341" s="81" t="str">
        <f ca="1">TRIM(PROPER(_xlfn.XLOOKUP($A341,Строчный!$A:$A,Строчный!C:C,"ERR",0)))</f>
        <v>Кепки</v>
      </c>
      <c r="D341" s="81" t="str">
        <f ca="1">_xlfn.LET(_xlpm.DATA,TRIM(_xlfn.XLOOKUP($A341,Строчный!$A:$A,Строчный!D:D,"ERR",0)),UPPER(MID(_xlpm.DATA,1,1))&amp;LOWER(MID(_xlpm.DATA,2,LEN(_xlpm.DATA)-1)))</f>
        <v>Кепка восьмиклинка</v>
      </c>
      <c r="E341" s="81" t="str">
        <f ca="1">PROPER(TRIM(_xlfn.XLOOKUP($A341,Строчный!$A:$A,Строчный!E:E,"ERR",0)))</f>
        <v>Fredrikson</v>
      </c>
      <c r="F341" s="81" t="str">
        <f ca="1">LOWER(TRIM(_xlfn.XLOOKUP($A341,Строчный!$A:$A,Строчный!F:F,"ERR",0)))</f>
        <v>всесезон</v>
      </c>
      <c r="G341" s="81" t="str">
        <f ca="1">UPPER(TRIM(_xlfn.XLOOKUP($A341,Строчный!$A:$A,Строчный!G:G,"ERR",0)))</f>
        <v>FREDRIKSON</v>
      </c>
      <c r="H341" s="81" t="str">
        <f ca="1">LOWER(TRIM(_xlfn.XLOOKUP($A341,Строчный!$A:$A,Строчный!H:H,"ERR",0)))</f>
        <v>685/15</v>
      </c>
      <c r="I341" s="81" t="str">
        <f ca="1">LOWER(TRIM(_xlfn.XLOOKUP($A341,Строчный!$A:$A,Строчный!I:I,"ERR",0)))</f>
        <v>голубой / красный</v>
      </c>
      <c r="J341" s="81" t="str">
        <f ca="1">SUBSTITUTE(LOWER(TRIM(_xlfn.XLOOKUP($A341,Строчный!$A:$A,Строчный!J:J,"ERR",0))),"подклад","Подклад")</f>
        <v>80% шерсть - 20% полиамид / Подклад: 100% вискоза</v>
      </c>
      <c r="K341" s="81" t="str">
        <f ca="1">LOWER(TRIM(_xlfn.XLOOKUP($A341,Строчный!$A:$A,Строчный!K:K,"ERR",0)))</f>
        <v>шерстяные</v>
      </c>
      <c r="L341" s="81" t="str">
        <f ca="1">PROPER(TRIM(_xlfn.XLOOKUP($A341,Строчный!$A:$A,Строчный!L:L,"ERR",0)))</f>
        <v>Унисекс</v>
      </c>
      <c r="M341" s="113" t="str">
        <f ca="1">PROPER(TRIM(_xlfn.XLOOKUP($A341,Строчный!$A:$A,Строчный!M:M,"ERR",0)))</f>
        <v>Россия</v>
      </c>
      <c r="N341" s="81" t="str">
        <f ca="1">UPPER(TRIM(_xlfn.XLOOKUP($A341,Строчный!$A:$A,Строчный!O:O,"ERR",0)))</f>
        <v/>
      </c>
      <c r="O341" s="102" t="str">
        <f ca="1">PROPER(TRIM(_xlfn.XLOOKUP($A341,Строчный!$A:$A,Строчный!P:P,"ERR",0)))</f>
        <v/>
      </c>
      <c r="P341" s="81" t="str">
        <f ca="1">PROPER(TRIM(_xlfn.XLOOKUP($A341,Строчный!$A:$A,Строчный!R:R,"ERR",0)))</f>
        <v/>
      </c>
      <c r="Q341" s="90">
        <f ca="1">VALUE(_xlfn.XLOOKUP($A341,Строчный!$A:$A,Строчный!N:N,"ERR",0))</f>
        <v>975.8</v>
      </c>
      <c r="R341" s="89" t="str">
        <f ca="1">_xlfn.XLOOKUP($G341,Фабрика!A:A,Фабрика!B:B,"ERR",0)</f>
        <v>ООО "ФРЭДРИКСОН" Россия 192029, С-Петербург, пр. Обуховской обороны, д.86, лит М</v>
      </c>
      <c r="S341" s="80" t="str">
        <f ca="1">_xlfn.XLOOKUP(RIGHT(AA341,2),Размеры!D:D,Размеры!A:A,"ERR",0)</f>
        <v>58</v>
      </c>
      <c r="T341" s="80">
        <f ca="1">VALUE(_xlfn.XLOOKUP($AA341,Строчный!$S:$S,Строчный!U:U,"ERR",0))</f>
        <v>1</v>
      </c>
      <c r="U341" s="14" t="s">
        <v>265</v>
      </c>
      <c r="V341" s="101" t="str">
        <f t="shared" ca="1" si="26"/>
        <v>Кепка FREDRIKSON арт. 3101 (голубой / красный)</v>
      </c>
      <c r="W341" s="100" t="str">
        <f t="shared" ca="1" si="27"/>
        <v>Кепка FREDRIKSON арт. 3101 (голубой / красный) {685/15}</v>
      </c>
      <c r="X341" s="18" t="str">
        <f t="shared" ca="1" si="28"/>
        <v>голубой</v>
      </c>
      <c r="Y341" s="18" t="str">
        <f t="shared" ca="1" si="29"/>
        <v>красный</v>
      </c>
      <c r="Z341" s="117" t="s">
        <v>28</v>
      </c>
      <c r="AA341" s="73" t="str">
        <f ca="1"/>
        <v>95-004-19-58</v>
      </c>
      <c r="AB341" s="75" t="str">
        <f ca="1">VLOOKUP(C341,Группа!A:B,2,FALSE)</f>
        <v>Кепка</v>
      </c>
      <c r="AC341" s="97" t="str">
        <f ca="1">IFERROR(VLOOKUP(S341,Размеры!A:C,3,FALSE),"")</f>
        <v>58 M/L</v>
      </c>
      <c r="AD341" s="97" t="str">
        <f ca="1">VLOOKUP(I341,ЦветПолный!A:B,2,FALSE)</f>
        <v>19</v>
      </c>
      <c r="AE341" s="97" t="str">
        <f ca="1">IFERROR(VLOOKUP(S341,Размеры!A:D,4,FALSE),"")</f>
        <v>58</v>
      </c>
      <c r="AF341" s="97">
        <f ca="1">IF(LEFT(IFERROR(VLOOKUP(LOOKUP(2,1/SEARCH(B341,Товары!A:A),Товары!A:A),Товары!A:B,2,0),""),6)=MID(AA341,1,6),1,0)</f>
        <v>0</v>
      </c>
      <c r="AH341" s="97">
        <f ca="1">SUMIF(Группа!A:A,C341,Группа!C:C)</f>
        <v>1</v>
      </c>
      <c r="AI341" s="97">
        <f ca="1">SUMIF(Группа!B:B,AB341,Группа!C:C)</f>
        <v>1</v>
      </c>
      <c r="AJ341" s="97">
        <f ca="1">SUMIF(Формы!A:A,D341,Формы!B:B)</f>
        <v>1</v>
      </c>
      <c r="AK341" s="97">
        <f ca="1">SUMIF(Материал!A:A,K341,Материал!B:B)</f>
        <v>1</v>
      </c>
      <c r="AL341" s="97">
        <f ca="1">SUMIF(Размеры!A:A,S341,Размеры!E:E)</f>
        <v>1</v>
      </c>
      <c r="AM341" s="97">
        <f ca="1">SUMIF(Сезон!A:A,F341,Сезон!B:B)</f>
        <v>1</v>
      </c>
      <c r="AN341" s="97">
        <f ca="1">SUMIF(Состав!A:A,J341,Состав!B:B)</f>
        <v>0</v>
      </c>
      <c r="AO341" s="97">
        <f ca="1">VLOOKUP(I341,ЦветПолный!A:C,3,0)</f>
        <v>1</v>
      </c>
      <c r="AP341" s="97">
        <f>SUMIF(Цвет!A:A,Z341,Цвет!B:B)</f>
        <v>1</v>
      </c>
      <c r="AQ341" s="97">
        <f ca="1">_xlfn.XLOOKUP(L341,Пол!A:A,Пол!B:B,0,0)</f>
        <v>1</v>
      </c>
      <c r="AR341" s="97">
        <f ca="1">SUMIF(Бренд!A:A,G341,Бренд!B:B)</f>
        <v>1</v>
      </c>
      <c r="AS341" s="97">
        <f ca="1">SUMIF(Страна!A:A,M341,Страна!B:B)</f>
        <v>1</v>
      </c>
      <c r="AT341" s="64" t="e">
        <f ca="1">IF(VLOOKUP(W341,Товары!A:B,2,FALSE)=A341,"Есть в 1С","ERR")</f>
        <v>#N/A</v>
      </c>
      <c r="AU341" s="65" t="e">
        <f ca="1">IF(VLOOKUP(A341,Товары!B:B,1,FALSE)=A341,"Есть в 1С","ERR")</f>
        <v>#N/A</v>
      </c>
      <c r="AV341" s="96" t="e">
        <f ca="1">VLOOKUP(W341,Товары!A:B,2,FALSE)</f>
        <v>#N/A</v>
      </c>
      <c r="AW341" s="94" t="e">
        <f ca="1">VLOOKUP(W341,Товары!A:B,1,FALSE)</f>
        <v>#N/A</v>
      </c>
    </row>
    <row r="342" spans="1:49" x14ac:dyDescent="0.25">
      <c r="A342" s="110" t="str">
        <f t="shared" ca="1" si="25"/>
        <v>95-004-19</v>
      </c>
      <c r="B342" s="107" t="str">
        <f ca="1">_xlfn.LET(_xlpm.CAPS,0,_xlpm.Style,TRIM(_xlfn.XLOOKUP($A342,Строчный!$A:$A,Строчный!B:B,"ERR",0)),IF(_xlpm.CAPS=0,_xlpm.Style,LOWER(_xlpm.Style)))</f>
        <v>3101</v>
      </c>
      <c r="C342" s="81" t="str">
        <f ca="1">TRIM(PROPER(_xlfn.XLOOKUP($A342,Строчный!$A:$A,Строчный!C:C,"ERR",0)))</f>
        <v>Кепки</v>
      </c>
      <c r="D342" s="81" t="str">
        <f ca="1">_xlfn.LET(_xlpm.DATA,TRIM(_xlfn.XLOOKUP($A342,Строчный!$A:$A,Строчный!D:D,"ERR",0)),UPPER(MID(_xlpm.DATA,1,1))&amp;LOWER(MID(_xlpm.DATA,2,LEN(_xlpm.DATA)-1)))</f>
        <v>Кепка восьмиклинка</v>
      </c>
      <c r="E342" s="81" t="str">
        <f ca="1">PROPER(TRIM(_xlfn.XLOOKUP($A342,Строчный!$A:$A,Строчный!E:E,"ERR",0)))</f>
        <v>Fredrikson</v>
      </c>
      <c r="F342" s="81" t="str">
        <f ca="1">LOWER(TRIM(_xlfn.XLOOKUP($A342,Строчный!$A:$A,Строчный!F:F,"ERR",0)))</f>
        <v>всесезон</v>
      </c>
      <c r="G342" s="81" t="str">
        <f ca="1">UPPER(TRIM(_xlfn.XLOOKUP($A342,Строчный!$A:$A,Строчный!G:G,"ERR",0)))</f>
        <v>FREDRIKSON</v>
      </c>
      <c r="H342" s="81" t="str">
        <f ca="1">LOWER(TRIM(_xlfn.XLOOKUP($A342,Строчный!$A:$A,Строчный!H:H,"ERR",0)))</f>
        <v>685/15</v>
      </c>
      <c r="I342" s="81" t="str">
        <f ca="1">LOWER(TRIM(_xlfn.XLOOKUP($A342,Строчный!$A:$A,Строчный!I:I,"ERR",0)))</f>
        <v>голубой / красный</v>
      </c>
      <c r="J342" s="81" t="str">
        <f ca="1">SUBSTITUTE(LOWER(TRIM(_xlfn.XLOOKUP($A342,Строчный!$A:$A,Строчный!J:J,"ERR",0))),"подклад","Подклад")</f>
        <v>80% шерсть - 20% полиамид / Подклад: 100% вискоза</v>
      </c>
      <c r="K342" s="81" t="str">
        <f ca="1">LOWER(TRIM(_xlfn.XLOOKUP($A342,Строчный!$A:$A,Строчный!K:K,"ERR",0)))</f>
        <v>шерстяные</v>
      </c>
      <c r="L342" s="81" t="str">
        <f ca="1">PROPER(TRIM(_xlfn.XLOOKUP($A342,Строчный!$A:$A,Строчный!L:L,"ERR",0)))</f>
        <v>Унисекс</v>
      </c>
      <c r="M342" s="113" t="str">
        <f ca="1">PROPER(TRIM(_xlfn.XLOOKUP($A342,Строчный!$A:$A,Строчный!M:M,"ERR",0)))</f>
        <v>Россия</v>
      </c>
      <c r="N342" s="81" t="str">
        <f ca="1">UPPER(TRIM(_xlfn.XLOOKUP($A342,Строчный!$A:$A,Строчный!O:O,"ERR",0)))</f>
        <v/>
      </c>
      <c r="O342" s="102" t="str">
        <f ca="1">PROPER(TRIM(_xlfn.XLOOKUP($A342,Строчный!$A:$A,Строчный!P:P,"ERR",0)))</f>
        <v/>
      </c>
      <c r="P342" s="81" t="str">
        <f ca="1">PROPER(TRIM(_xlfn.XLOOKUP($A342,Строчный!$A:$A,Строчный!R:R,"ERR",0)))</f>
        <v/>
      </c>
      <c r="Q342" s="90">
        <f ca="1">VALUE(_xlfn.XLOOKUP($A342,Строчный!$A:$A,Строчный!N:N,"ERR",0))</f>
        <v>975.8</v>
      </c>
      <c r="R342" s="89" t="str">
        <f ca="1">_xlfn.XLOOKUP($G342,Фабрика!A:A,Фабрика!B:B,"ERR",0)</f>
        <v>ООО "ФРЭДРИКСОН" Россия 192029, С-Петербург, пр. Обуховской обороны, д.86, лит М</v>
      </c>
      <c r="S342" s="80" t="str">
        <f ca="1">_xlfn.XLOOKUP(RIGHT(AA342,2),Размеры!D:D,Размеры!A:A,"ERR",0)</f>
        <v>57</v>
      </c>
      <c r="T342" s="80">
        <f ca="1">VALUE(_xlfn.XLOOKUP($AA342,Строчный!$S:$S,Строчный!U:U,"ERR",0))</f>
        <v>1</v>
      </c>
      <c r="U342" s="14" t="s">
        <v>265</v>
      </c>
      <c r="V342" s="101" t="str">
        <f t="shared" ca="1" si="26"/>
        <v>Кепка FREDRIKSON арт. 3101 (голубой / красный)</v>
      </c>
      <c r="W342" s="100" t="str">
        <f t="shared" ca="1" si="27"/>
        <v>Кепка FREDRIKSON арт. 3101 (голубой / красный) {685/15}</v>
      </c>
      <c r="X342" s="18" t="str">
        <f t="shared" ca="1" si="28"/>
        <v>голубой</v>
      </c>
      <c r="Y342" s="18" t="str">
        <f t="shared" ca="1" si="29"/>
        <v>красный</v>
      </c>
      <c r="Z342" s="117" t="s">
        <v>28</v>
      </c>
      <c r="AA342" s="73" t="str">
        <f ca="1"/>
        <v>95-004-19-57</v>
      </c>
      <c r="AB342" s="75" t="str">
        <f ca="1">VLOOKUP(C342,Группа!A:B,2,FALSE)</f>
        <v>Кепка</v>
      </c>
      <c r="AC342" s="97" t="str">
        <f ca="1">IFERROR(VLOOKUP(S342,Размеры!A:C,3,FALSE),"")</f>
        <v>57 M</v>
      </c>
      <c r="AD342" s="97" t="str">
        <f ca="1">VLOOKUP(I342,ЦветПолный!A:B,2,FALSE)</f>
        <v>19</v>
      </c>
      <c r="AE342" s="97" t="str">
        <f ca="1">IFERROR(VLOOKUP(S342,Размеры!A:D,4,FALSE),"")</f>
        <v>57</v>
      </c>
      <c r="AF342" s="97">
        <f ca="1">IF(LEFT(IFERROR(VLOOKUP(LOOKUP(2,1/SEARCH(B342,Товары!A:A),Товары!A:A),Товары!A:B,2,0),""),6)=MID(AA342,1,6),1,0)</f>
        <v>0</v>
      </c>
      <c r="AH342" s="97">
        <f ca="1">SUMIF(Группа!A:A,C342,Группа!C:C)</f>
        <v>1</v>
      </c>
      <c r="AI342" s="97">
        <f ca="1">SUMIF(Группа!B:B,AB342,Группа!C:C)</f>
        <v>1</v>
      </c>
      <c r="AJ342" s="97">
        <f ca="1">SUMIF(Формы!A:A,D342,Формы!B:B)</f>
        <v>1</v>
      </c>
      <c r="AK342" s="97">
        <f ca="1">SUMIF(Материал!A:A,K342,Материал!B:B)</f>
        <v>1</v>
      </c>
      <c r="AL342" s="97">
        <f ca="1">SUMIF(Размеры!A:A,S342,Размеры!E:E)</f>
        <v>1</v>
      </c>
      <c r="AM342" s="97">
        <f ca="1">SUMIF(Сезон!A:A,F342,Сезон!B:B)</f>
        <v>1</v>
      </c>
      <c r="AN342" s="97">
        <f ca="1">SUMIF(Состав!A:A,J342,Состав!B:B)</f>
        <v>0</v>
      </c>
      <c r="AO342" s="97">
        <f ca="1">VLOOKUP(I342,ЦветПолный!A:C,3,0)</f>
        <v>1</v>
      </c>
      <c r="AP342" s="97">
        <f>SUMIF(Цвет!A:A,Z342,Цвет!B:B)</f>
        <v>1</v>
      </c>
      <c r="AQ342" s="97">
        <f ca="1">_xlfn.XLOOKUP(L342,Пол!A:A,Пол!B:B,0,0)</f>
        <v>1</v>
      </c>
      <c r="AR342" s="97">
        <f ca="1">SUMIF(Бренд!A:A,G342,Бренд!B:B)</f>
        <v>1</v>
      </c>
      <c r="AS342" s="97">
        <f ca="1">SUMIF(Страна!A:A,M342,Страна!B:B)</f>
        <v>1</v>
      </c>
      <c r="AT342" s="64" t="e">
        <f ca="1">IF(VLOOKUP(W342,Товары!A:B,2,FALSE)=A342,"Есть в 1С","ERR")</f>
        <v>#N/A</v>
      </c>
      <c r="AU342" s="65" t="e">
        <f ca="1">IF(VLOOKUP(A342,Товары!B:B,1,FALSE)=A342,"Есть в 1С","ERR")</f>
        <v>#N/A</v>
      </c>
      <c r="AV342" s="96" t="e">
        <f ca="1">VLOOKUP(W342,Товары!A:B,2,FALSE)</f>
        <v>#N/A</v>
      </c>
      <c r="AW342" s="94" t="e">
        <f ca="1">VLOOKUP(W342,Товары!A:B,1,FALSE)</f>
        <v>#N/A</v>
      </c>
    </row>
    <row r="343" spans="1:49" x14ac:dyDescent="0.25">
      <c r="A343" s="110" t="str">
        <f t="shared" ca="1" si="25"/>
        <v>95-004-10</v>
      </c>
      <c r="B343" s="107" t="str">
        <f ca="1">_xlfn.LET(_xlpm.CAPS,0,_xlpm.Style,TRIM(_xlfn.XLOOKUP($A343,Строчный!$A:$A,Строчный!B:B,"ERR",0)),IF(_xlpm.CAPS=0,_xlpm.Style,LOWER(_xlpm.Style)))</f>
        <v>3101</v>
      </c>
      <c r="C343" s="81" t="str">
        <f ca="1">TRIM(PROPER(_xlfn.XLOOKUP($A343,Строчный!$A:$A,Строчный!C:C,"ERR",0)))</f>
        <v>Кепки</v>
      </c>
      <c r="D343" s="81" t="str">
        <f ca="1">_xlfn.LET(_xlpm.DATA,TRIM(_xlfn.XLOOKUP($A343,Строчный!$A:$A,Строчный!D:D,"ERR",0)),UPPER(MID(_xlpm.DATA,1,1))&amp;LOWER(MID(_xlpm.DATA,2,LEN(_xlpm.DATA)-1)))</f>
        <v>Кепка восьмиклинка</v>
      </c>
      <c r="E343" s="81" t="str">
        <f ca="1">PROPER(TRIM(_xlfn.XLOOKUP($A343,Строчный!$A:$A,Строчный!E:E,"ERR",0)))</f>
        <v>Fredrikson</v>
      </c>
      <c r="F343" s="81" t="str">
        <f ca="1">LOWER(TRIM(_xlfn.XLOOKUP($A343,Строчный!$A:$A,Строчный!F:F,"ERR",0)))</f>
        <v>всесезон</v>
      </c>
      <c r="G343" s="81" t="str">
        <f ca="1">UPPER(TRIM(_xlfn.XLOOKUP($A343,Строчный!$A:$A,Строчный!G:G,"ERR",0)))</f>
        <v>FREDRIKSON</v>
      </c>
      <c r="H343" s="81" t="str">
        <f ca="1">LOWER(TRIM(_xlfn.XLOOKUP($A343,Строчный!$A:$A,Строчный!H:H,"ERR",0)))</f>
        <v>644/74</v>
      </c>
      <c r="I343" s="81" t="str">
        <f ca="1">LOWER(TRIM(_xlfn.XLOOKUP($A343,Строчный!$A:$A,Строчный!I:I,"ERR",0)))</f>
        <v>черный / серый</v>
      </c>
      <c r="J343" s="81" t="str">
        <f ca="1">SUBSTITUTE(LOWER(TRIM(_xlfn.XLOOKUP($A343,Строчный!$A:$A,Строчный!J:J,"ERR",0))),"подклад","Подклад")</f>
        <v>80% шерсть - 20% полиамид / Подклад: 100% вискоза</v>
      </c>
      <c r="K343" s="81" t="str">
        <f ca="1">LOWER(TRIM(_xlfn.XLOOKUP($A343,Строчный!$A:$A,Строчный!K:K,"ERR",0)))</f>
        <v>шерстяные</v>
      </c>
      <c r="L343" s="81" t="str">
        <f ca="1">PROPER(TRIM(_xlfn.XLOOKUP($A343,Строчный!$A:$A,Строчный!L:L,"ERR",0)))</f>
        <v>Унисекс</v>
      </c>
      <c r="M343" s="113" t="str">
        <f ca="1">PROPER(TRIM(_xlfn.XLOOKUP($A343,Строчный!$A:$A,Строчный!M:M,"ERR",0)))</f>
        <v>Россия</v>
      </c>
      <c r="N343" s="81" t="str">
        <f ca="1">UPPER(TRIM(_xlfn.XLOOKUP($A343,Строчный!$A:$A,Строчный!O:O,"ERR",0)))</f>
        <v/>
      </c>
      <c r="O343" s="102" t="str">
        <f ca="1">PROPER(TRIM(_xlfn.XLOOKUP($A343,Строчный!$A:$A,Строчный!P:P,"ERR",0)))</f>
        <v/>
      </c>
      <c r="P343" s="81" t="str">
        <f ca="1">PROPER(TRIM(_xlfn.XLOOKUP($A343,Строчный!$A:$A,Строчный!R:R,"ERR",0)))</f>
        <v/>
      </c>
      <c r="Q343" s="90">
        <f ca="1">VALUE(_xlfn.XLOOKUP($A343,Строчный!$A:$A,Строчный!N:N,"ERR",0))</f>
        <v>975.8</v>
      </c>
      <c r="R343" s="89" t="str">
        <f ca="1">_xlfn.XLOOKUP($G343,Фабрика!A:A,Фабрика!B:B,"ERR",0)</f>
        <v>ООО "ФРЭДРИКСОН" Россия 192029, С-Петербург, пр. Обуховской обороны, д.86, лит М</v>
      </c>
      <c r="S343" s="80" t="str">
        <f ca="1">_xlfn.XLOOKUP(RIGHT(AA343,2),Размеры!D:D,Размеры!A:A,"ERR",0)</f>
        <v>60</v>
      </c>
      <c r="T343" s="80">
        <f ca="1">VALUE(_xlfn.XLOOKUP($AA343,Строчный!$S:$S,Строчный!U:U,"ERR",0))</f>
        <v>15</v>
      </c>
      <c r="U343" s="14" t="s">
        <v>265</v>
      </c>
      <c r="V343" s="101" t="str">
        <f t="shared" ca="1" si="26"/>
        <v>Кепка FREDRIKSON арт. 3101 (черный / серый)</v>
      </c>
      <c r="W343" s="100" t="str">
        <f t="shared" ca="1" si="27"/>
        <v>Кепка FREDRIKSON арт. 3101 (черный / серый) {644/74}</v>
      </c>
      <c r="X343" s="18" t="str">
        <f t="shared" ca="1" si="28"/>
        <v>черный</v>
      </c>
      <c r="Y343" s="18" t="str">
        <f t="shared" ca="1" si="29"/>
        <v>серый</v>
      </c>
      <c r="Z343" s="117" t="s">
        <v>28</v>
      </c>
      <c r="AA343" s="73" t="str">
        <f ca="1"/>
        <v>95-004-10-60</v>
      </c>
      <c r="AB343" s="75" t="str">
        <f ca="1">VLOOKUP(C343,Группа!A:B,2,FALSE)</f>
        <v>Кепка</v>
      </c>
      <c r="AC343" s="97" t="str">
        <f ca="1">IFERROR(VLOOKUP(S343,Размеры!A:C,3,FALSE),"")</f>
        <v>60 L/XL</v>
      </c>
      <c r="AD343" s="97" t="str">
        <f ca="1">VLOOKUP(I343,ЦветПолный!A:B,2,FALSE)</f>
        <v>10</v>
      </c>
      <c r="AE343" s="97" t="str">
        <f ca="1">IFERROR(VLOOKUP(S343,Размеры!A:D,4,FALSE),"")</f>
        <v>60</v>
      </c>
      <c r="AF343" s="97">
        <f ca="1">IF(LEFT(IFERROR(VLOOKUP(LOOKUP(2,1/SEARCH(B343,Товары!A:A),Товары!A:A),Товары!A:B,2,0),""),6)=MID(AA343,1,6),1,0)</f>
        <v>0</v>
      </c>
      <c r="AH343" s="97">
        <f ca="1">SUMIF(Группа!A:A,C343,Группа!C:C)</f>
        <v>1</v>
      </c>
      <c r="AI343" s="97">
        <f ca="1">SUMIF(Группа!B:B,AB343,Группа!C:C)</f>
        <v>1</v>
      </c>
      <c r="AJ343" s="97">
        <f ca="1">SUMIF(Формы!A:A,D343,Формы!B:B)</f>
        <v>1</v>
      </c>
      <c r="AK343" s="97">
        <f ca="1">SUMIF(Материал!A:A,K343,Материал!B:B)</f>
        <v>1</v>
      </c>
      <c r="AL343" s="97">
        <f ca="1">SUMIF(Размеры!A:A,S343,Размеры!E:E)</f>
        <v>1</v>
      </c>
      <c r="AM343" s="97">
        <f ca="1">SUMIF(Сезон!A:A,F343,Сезон!B:B)</f>
        <v>1</v>
      </c>
      <c r="AN343" s="97">
        <f ca="1">SUMIF(Состав!A:A,J343,Состав!B:B)</f>
        <v>0</v>
      </c>
      <c r="AO343" s="97">
        <f ca="1">VLOOKUP(I343,ЦветПолный!A:C,3,0)</f>
        <v>1</v>
      </c>
      <c r="AP343" s="97">
        <f>SUMIF(Цвет!A:A,Z343,Цвет!B:B)</f>
        <v>1</v>
      </c>
      <c r="AQ343" s="97">
        <f ca="1">_xlfn.XLOOKUP(L343,Пол!A:A,Пол!B:B,0,0)</f>
        <v>1</v>
      </c>
      <c r="AR343" s="97">
        <f ca="1">SUMIF(Бренд!A:A,G343,Бренд!B:B)</f>
        <v>1</v>
      </c>
      <c r="AS343" s="97">
        <f ca="1">SUMIF(Страна!A:A,M343,Страна!B:B)</f>
        <v>1</v>
      </c>
      <c r="AT343" s="64" t="e">
        <f ca="1">IF(VLOOKUP(W343,Товары!A:B,2,FALSE)=A343,"Есть в 1С","ERR")</f>
        <v>#N/A</v>
      </c>
      <c r="AU343" s="65" t="e">
        <f ca="1">IF(VLOOKUP(A343,Товары!B:B,1,FALSE)=A343,"Есть в 1С","ERR")</f>
        <v>#N/A</v>
      </c>
      <c r="AV343" s="96" t="e">
        <f ca="1">VLOOKUP(W343,Товары!A:B,2,FALSE)</f>
        <v>#N/A</v>
      </c>
      <c r="AW343" s="94" t="e">
        <f ca="1">VLOOKUP(W343,Товары!A:B,1,FALSE)</f>
        <v>#N/A</v>
      </c>
    </row>
    <row r="344" spans="1:49" x14ac:dyDescent="0.25">
      <c r="A344" s="110" t="str">
        <f t="shared" ca="1" si="25"/>
        <v>95-004-10</v>
      </c>
      <c r="B344" s="107" t="str">
        <f ca="1">_xlfn.LET(_xlpm.CAPS,0,_xlpm.Style,TRIM(_xlfn.XLOOKUP($A344,Строчный!$A:$A,Строчный!B:B,"ERR",0)),IF(_xlpm.CAPS=0,_xlpm.Style,LOWER(_xlpm.Style)))</f>
        <v>3101</v>
      </c>
      <c r="C344" s="81" t="str">
        <f ca="1">TRIM(PROPER(_xlfn.XLOOKUP($A344,Строчный!$A:$A,Строчный!C:C,"ERR",0)))</f>
        <v>Кепки</v>
      </c>
      <c r="D344" s="81" t="str">
        <f ca="1">_xlfn.LET(_xlpm.DATA,TRIM(_xlfn.XLOOKUP($A344,Строчный!$A:$A,Строчный!D:D,"ERR",0)),UPPER(MID(_xlpm.DATA,1,1))&amp;LOWER(MID(_xlpm.DATA,2,LEN(_xlpm.DATA)-1)))</f>
        <v>Кепка восьмиклинка</v>
      </c>
      <c r="E344" s="81" t="str">
        <f ca="1">PROPER(TRIM(_xlfn.XLOOKUP($A344,Строчный!$A:$A,Строчный!E:E,"ERR",0)))</f>
        <v>Fredrikson</v>
      </c>
      <c r="F344" s="81" t="str">
        <f ca="1">LOWER(TRIM(_xlfn.XLOOKUP($A344,Строчный!$A:$A,Строчный!F:F,"ERR",0)))</f>
        <v>всесезон</v>
      </c>
      <c r="G344" s="81" t="str">
        <f ca="1">UPPER(TRIM(_xlfn.XLOOKUP($A344,Строчный!$A:$A,Строчный!G:G,"ERR",0)))</f>
        <v>FREDRIKSON</v>
      </c>
      <c r="H344" s="81" t="str">
        <f ca="1">LOWER(TRIM(_xlfn.XLOOKUP($A344,Строчный!$A:$A,Строчный!H:H,"ERR",0)))</f>
        <v>644/74</v>
      </c>
      <c r="I344" s="81" t="str">
        <f ca="1">LOWER(TRIM(_xlfn.XLOOKUP($A344,Строчный!$A:$A,Строчный!I:I,"ERR",0)))</f>
        <v>черный / серый</v>
      </c>
      <c r="J344" s="81" t="str">
        <f ca="1">SUBSTITUTE(LOWER(TRIM(_xlfn.XLOOKUP($A344,Строчный!$A:$A,Строчный!J:J,"ERR",0))),"подклад","Подклад")</f>
        <v>80% шерсть - 20% полиамид / Подклад: 100% вискоза</v>
      </c>
      <c r="K344" s="81" t="str">
        <f ca="1">LOWER(TRIM(_xlfn.XLOOKUP($A344,Строчный!$A:$A,Строчный!K:K,"ERR",0)))</f>
        <v>шерстяные</v>
      </c>
      <c r="L344" s="81" t="str">
        <f ca="1">PROPER(TRIM(_xlfn.XLOOKUP($A344,Строчный!$A:$A,Строчный!L:L,"ERR",0)))</f>
        <v>Унисекс</v>
      </c>
      <c r="M344" s="113" t="str">
        <f ca="1">PROPER(TRIM(_xlfn.XLOOKUP($A344,Строчный!$A:$A,Строчный!M:M,"ERR",0)))</f>
        <v>Россия</v>
      </c>
      <c r="N344" s="81" t="str">
        <f ca="1">UPPER(TRIM(_xlfn.XLOOKUP($A344,Строчный!$A:$A,Строчный!O:O,"ERR",0)))</f>
        <v/>
      </c>
      <c r="O344" s="102" t="str">
        <f ca="1">PROPER(TRIM(_xlfn.XLOOKUP($A344,Строчный!$A:$A,Строчный!P:P,"ERR",0)))</f>
        <v/>
      </c>
      <c r="P344" s="81" t="str">
        <f ca="1">PROPER(TRIM(_xlfn.XLOOKUP($A344,Строчный!$A:$A,Строчный!R:R,"ERR",0)))</f>
        <v/>
      </c>
      <c r="Q344" s="90">
        <f ca="1">VALUE(_xlfn.XLOOKUP($A344,Строчный!$A:$A,Строчный!N:N,"ERR",0))</f>
        <v>975.8</v>
      </c>
      <c r="R344" s="89" t="str">
        <f ca="1">_xlfn.XLOOKUP($G344,Фабрика!A:A,Фабрика!B:B,"ERR",0)</f>
        <v>ООО "ФРЭДРИКСОН" Россия 192029, С-Петербург, пр. Обуховской обороны, д.86, лит М</v>
      </c>
      <c r="S344" s="80" t="str">
        <f ca="1">_xlfn.XLOOKUP(RIGHT(AA344,2),Размеры!D:D,Размеры!A:A,"ERR",0)</f>
        <v>59</v>
      </c>
      <c r="T344" s="80">
        <f ca="1">VALUE(_xlfn.XLOOKUP($AA344,Строчный!$S:$S,Строчный!U:U,"ERR",0))</f>
        <v>10</v>
      </c>
      <c r="U344" s="14" t="s">
        <v>265</v>
      </c>
      <c r="V344" s="101" t="str">
        <f t="shared" ca="1" si="26"/>
        <v>Кепка FREDRIKSON арт. 3101 (черный / серый)</v>
      </c>
      <c r="W344" s="100" t="str">
        <f t="shared" ca="1" si="27"/>
        <v>Кепка FREDRIKSON арт. 3101 (черный / серый) {644/74}</v>
      </c>
      <c r="X344" s="18" t="str">
        <f t="shared" ca="1" si="28"/>
        <v>черный</v>
      </c>
      <c r="Y344" s="18" t="str">
        <f t="shared" ca="1" si="29"/>
        <v>серый</v>
      </c>
      <c r="Z344" s="117" t="s">
        <v>28</v>
      </c>
      <c r="AA344" s="73" t="str">
        <f ca="1"/>
        <v>95-004-10-59</v>
      </c>
      <c r="AB344" s="75" t="str">
        <f ca="1">VLOOKUP(C344,Группа!A:B,2,FALSE)</f>
        <v>Кепка</v>
      </c>
      <c r="AC344" s="97" t="str">
        <f ca="1">IFERROR(VLOOKUP(S344,Размеры!A:C,3,FALSE),"")</f>
        <v>59 L</v>
      </c>
      <c r="AD344" s="97" t="str">
        <f ca="1">VLOOKUP(I344,ЦветПолный!A:B,2,FALSE)</f>
        <v>10</v>
      </c>
      <c r="AE344" s="97" t="str">
        <f ca="1">IFERROR(VLOOKUP(S344,Размеры!A:D,4,FALSE),"")</f>
        <v>59</v>
      </c>
      <c r="AF344" s="97">
        <f ca="1">IF(LEFT(IFERROR(VLOOKUP(LOOKUP(2,1/SEARCH(B344,Товары!A:A),Товары!A:A),Товары!A:B,2,0),""),6)=MID(AA344,1,6),1,0)</f>
        <v>0</v>
      </c>
      <c r="AH344" s="97">
        <f ca="1">SUMIF(Группа!A:A,C344,Группа!C:C)</f>
        <v>1</v>
      </c>
      <c r="AI344" s="97">
        <f ca="1">SUMIF(Группа!B:B,AB344,Группа!C:C)</f>
        <v>1</v>
      </c>
      <c r="AJ344" s="97">
        <f ca="1">SUMIF(Формы!A:A,D344,Формы!B:B)</f>
        <v>1</v>
      </c>
      <c r="AK344" s="97">
        <f ca="1">SUMIF(Материал!A:A,K344,Материал!B:B)</f>
        <v>1</v>
      </c>
      <c r="AL344" s="97">
        <f ca="1">SUMIF(Размеры!A:A,S344,Размеры!E:E)</f>
        <v>1</v>
      </c>
      <c r="AM344" s="97">
        <f ca="1">SUMIF(Сезон!A:A,F344,Сезон!B:B)</f>
        <v>1</v>
      </c>
      <c r="AN344" s="97">
        <f ca="1">SUMIF(Состав!A:A,J344,Состав!B:B)</f>
        <v>0</v>
      </c>
      <c r="AO344" s="97">
        <f ca="1">VLOOKUP(I344,ЦветПолный!A:C,3,0)</f>
        <v>1</v>
      </c>
      <c r="AP344" s="97">
        <f>SUMIF(Цвет!A:A,Z344,Цвет!B:B)</f>
        <v>1</v>
      </c>
      <c r="AQ344" s="97">
        <f ca="1">_xlfn.XLOOKUP(L344,Пол!A:A,Пол!B:B,0,0)</f>
        <v>1</v>
      </c>
      <c r="AR344" s="97">
        <f ca="1">SUMIF(Бренд!A:A,G344,Бренд!B:B)</f>
        <v>1</v>
      </c>
      <c r="AS344" s="97">
        <f ca="1">SUMIF(Страна!A:A,M344,Страна!B:B)</f>
        <v>1</v>
      </c>
      <c r="AT344" s="64" t="e">
        <f ca="1">IF(VLOOKUP(W344,Товары!A:B,2,FALSE)=A344,"Есть в 1С","ERR")</f>
        <v>#N/A</v>
      </c>
      <c r="AU344" s="65" t="e">
        <f ca="1">IF(VLOOKUP(A344,Товары!B:B,1,FALSE)=A344,"Есть в 1С","ERR")</f>
        <v>#N/A</v>
      </c>
      <c r="AV344" s="96" t="e">
        <f ca="1">VLOOKUP(W344,Товары!A:B,2,FALSE)</f>
        <v>#N/A</v>
      </c>
      <c r="AW344" s="94" t="e">
        <f ca="1">VLOOKUP(W344,Товары!A:B,1,FALSE)</f>
        <v>#N/A</v>
      </c>
    </row>
    <row r="345" spans="1:49" x14ac:dyDescent="0.25">
      <c r="A345" s="110" t="str">
        <f t="shared" ca="1" si="25"/>
        <v>95-004-10</v>
      </c>
      <c r="B345" s="107" t="str">
        <f ca="1">_xlfn.LET(_xlpm.CAPS,0,_xlpm.Style,TRIM(_xlfn.XLOOKUP($A345,Строчный!$A:$A,Строчный!B:B,"ERR",0)),IF(_xlpm.CAPS=0,_xlpm.Style,LOWER(_xlpm.Style)))</f>
        <v>3101</v>
      </c>
      <c r="C345" s="81" t="str">
        <f ca="1">TRIM(PROPER(_xlfn.XLOOKUP($A345,Строчный!$A:$A,Строчный!C:C,"ERR",0)))</f>
        <v>Кепки</v>
      </c>
      <c r="D345" s="81" t="str">
        <f ca="1">_xlfn.LET(_xlpm.DATA,TRIM(_xlfn.XLOOKUP($A345,Строчный!$A:$A,Строчный!D:D,"ERR",0)),UPPER(MID(_xlpm.DATA,1,1))&amp;LOWER(MID(_xlpm.DATA,2,LEN(_xlpm.DATA)-1)))</f>
        <v>Кепка восьмиклинка</v>
      </c>
      <c r="E345" s="81" t="str">
        <f ca="1">PROPER(TRIM(_xlfn.XLOOKUP($A345,Строчный!$A:$A,Строчный!E:E,"ERR",0)))</f>
        <v>Fredrikson</v>
      </c>
      <c r="F345" s="81" t="str">
        <f ca="1">LOWER(TRIM(_xlfn.XLOOKUP($A345,Строчный!$A:$A,Строчный!F:F,"ERR",0)))</f>
        <v>всесезон</v>
      </c>
      <c r="G345" s="81" t="str">
        <f ca="1">UPPER(TRIM(_xlfn.XLOOKUP($A345,Строчный!$A:$A,Строчный!G:G,"ERR",0)))</f>
        <v>FREDRIKSON</v>
      </c>
      <c r="H345" s="81" t="str">
        <f ca="1">LOWER(TRIM(_xlfn.XLOOKUP($A345,Строчный!$A:$A,Строчный!H:H,"ERR",0)))</f>
        <v>644/74</v>
      </c>
      <c r="I345" s="81" t="str">
        <f ca="1">LOWER(TRIM(_xlfn.XLOOKUP($A345,Строчный!$A:$A,Строчный!I:I,"ERR",0)))</f>
        <v>черный / серый</v>
      </c>
      <c r="J345" s="81" t="str">
        <f ca="1">SUBSTITUTE(LOWER(TRIM(_xlfn.XLOOKUP($A345,Строчный!$A:$A,Строчный!J:J,"ERR",0))),"подклад","Подклад")</f>
        <v>80% шерсть - 20% полиамид / Подклад: 100% вискоза</v>
      </c>
      <c r="K345" s="81" t="str">
        <f ca="1">LOWER(TRIM(_xlfn.XLOOKUP($A345,Строчный!$A:$A,Строчный!K:K,"ERR",0)))</f>
        <v>шерстяные</v>
      </c>
      <c r="L345" s="81" t="str">
        <f ca="1">PROPER(TRIM(_xlfn.XLOOKUP($A345,Строчный!$A:$A,Строчный!L:L,"ERR",0)))</f>
        <v>Унисекс</v>
      </c>
      <c r="M345" s="113" t="str">
        <f ca="1">PROPER(TRIM(_xlfn.XLOOKUP($A345,Строчный!$A:$A,Строчный!M:M,"ERR",0)))</f>
        <v>Россия</v>
      </c>
      <c r="N345" s="81" t="str">
        <f ca="1">UPPER(TRIM(_xlfn.XLOOKUP($A345,Строчный!$A:$A,Строчный!O:O,"ERR",0)))</f>
        <v/>
      </c>
      <c r="O345" s="102" t="str">
        <f ca="1">PROPER(TRIM(_xlfn.XLOOKUP($A345,Строчный!$A:$A,Строчный!P:P,"ERR",0)))</f>
        <v/>
      </c>
      <c r="P345" s="81" t="str">
        <f ca="1">PROPER(TRIM(_xlfn.XLOOKUP($A345,Строчный!$A:$A,Строчный!R:R,"ERR",0)))</f>
        <v/>
      </c>
      <c r="Q345" s="90">
        <f ca="1">VALUE(_xlfn.XLOOKUP($A345,Строчный!$A:$A,Строчный!N:N,"ERR",0))</f>
        <v>975.8</v>
      </c>
      <c r="R345" s="89" t="str">
        <f ca="1">_xlfn.XLOOKUP($G345,Фабрика!A:A,Фабрика!B:B,"ERR",0)</f>
        <v>ООО "ФРЭДРИКСОН" Россия 192029, С-Петербург, пр. Обуховской обороны, д.86, лит М</v>
      </c>
      <c r="S345" s="80" t="str">
        <f ca="1">_xlfn.XLOOKUP(RIGHT(AA345,2),Размеры!D:D,Размеры!A:A,"ERR",0)</f>
        <v>58</v>
      </c>
      <c r="T345" s="80">
        <f ca="1">VALUE(_xlfn.XLOOKUP($AA345,Строчный!$S:$S,Строчный!U:U,"ERR",0))</f>
        <v>6</v>
      </c>
      <c r="U345" s="14" t="s">
        <v>265</v>
      </c>
      <c r="V345" s="101" t="str">
        <f t="shared" ca="1" si="26"/>
        <v>Кепка FREDRIKSON арт. 3101 (черный / серый)</v>
      </c>
      <c r="W345" s="100" t="str">
        <f t="shared" ca="1" si="27"/>
        <v>Кепка FREDRIKSON арт. 3101 (черный / серый) {644/74}</v>
      </c>
      <c r="X345" s="18" t="str">
        <f t="shared" ca="1" si="28"/>
        <v>черный</v>
      </c>
      <c r="Y345" s="18" t="str">
        <f t="shared" ca="1" si="29"/>
        <v>серый</v>
      </c>
      <c r="Z345" s="117" t="s">
        <v>28</v>
      </c>
      <c r="AA345" s="73" t="str">
        <f ca="1"/>
        <v>95-004-10-58</v>
      </c>
      <c r="AB345" s="75" t="str">
        <f ca="1">VLOOKUP(C345,Группа!A:B,2,FALSE)</f>
        <v>Кепка</v>
      </c>
      <c r="AC345" s="97" t="str">
        <f ca="1">IFERROR(VLOOKUP(S345,Размеры!A:C,3,FALSE),"")</f>
        <v>58 M/L</v>
      </c>
      <c r="AD345" s="97" t="str">
        <f ca="1">VLOOKUP(I345,ЦветПолный!A:B,2,FALSE)</f>
        <v>10</v>
      </c>
      <c r="AE345" s="97" t="str">
        <f ca="1">IFERROR(VLOOKUP(S345,Размеры!A:D,4,FALSE),"")</f>
        <v>58</v>
      </c>
      <c r="AF345" s="97">
        <f ca="1">IF(LEFT(IFERROR(VLOOKUP(LOOKUP(2,1/SEARCH(B345,Товары!A:A),Товары!A:A),Товары!A:B,2,0),""),6)=MID(AA345,1,6),1,0)</f>
        <v>0</v>
      </c>
      <c r="AH345" s="97">
        <f ca="1">SUMIF(Группа!A:A,C345,Группа!C:C)</f>
        <v>1</v>
      </c>
      <c r="AI345" s="97">
        <f ca="1">SUMIF(Группа!B:B,AB345,Группа!C:C)</f>
        <v>1</v>
      </c>
      <c r="AJ345" s="97">
        <f ca="1">SUMIF(Формы!A:A,D345,Формы!B:B)</f>
        <v>1</v>
      </c>
      <c r="AK345" s="97">
        <f ca="1">SUMIF(Материал!A:A,K345,Материал!B:B)</f>
        <v>1</v>
      </c>
      <c r="AL345" s="97">
        <f ca="1">SUMIF(Размеры!A:A,S345,Размеры!E:E)</f>
        <v>1</v>
      </c>
      <c r="AM345" s="97">
        <f ca="1">SUMIF(Сезон!A:A,F345,Сезон!B:B)</f>
        <v>1</v>
      </c>
      <c r="AN345" s="97">
        <f ca="1">SUMIF(Состав!A:A,J345,Состав!B:B)</f>
        <v>0</v>
      </c>
      <c r="AO345" s="97">
        <f ca="1">VLOOKUP(I345,ЦветПолный!A:C,3,0)</f>
        <v>1</v>
      </c>
      <c r="AP345" s="97">
        <f>SUMIF(Цвет!A:A,Z345,Цвет!B:B)</f>
        <v>1</v>
      </c>
      <c r="AQ345" s="97">
        <f ca="1">_xlfn.XLOOKUP(L345,Пол!A:A,Пол!B:B,0,0)</f>
        <v>1</v>
      </c>
      <c r="AR345" s="97">
        <f ca="1">SUMIF(Бренд!A:A,G345,Бренд!B:B)</f>
        <v>1</v>
      </c>
      <c r="AS345" s="97">
        <f ca="1">SUMIF(Страна!A:A,M345,Страна!B:B)</f>
        <v>1</v>
      </c>
      <c r="AT345" s="64" t="e">
        <f ca="1">IF(VLOOKUP(W345,Товары!A:B,2,FALSE)=A345,"Есть в 1С","ERR")</f>
        <v>#N/A</v>
      </c>
      <c r="AU345" s="65" t="e">
        <f ca="1">IF(VLOOKUP(A345,Товары!B:B,1,FALSE)=A345,"Есть в 1С","ERR")</f>
        <v>#N/A</v>
      </c>
      <c r="AV345" s="96" t="e">
        <f ca="1">VLOOKUP(W345,Товары!A:B,2,FALSE)</f>
        <v>#N/A</v>
      </c>
      <c r="AW345" s="94" t="e">
        <f ca="1">VLOOKUP(W345,Товары!A:B,1,FALSE)</f>
        <v>#N/A</v>
      </c>
    </row>
    <row r="346" spans="1:49" x14ac:dyDescent="0.25">
      <c r="A346" s="110" t="str">
        <f t="shared" ca="1" si="25"/>
        <v>95-004-10</v>
      </c>
      <c r="B346" s="107" t="str">
        <f ca="1">_xlfn.LET(_xlpm.CAPS,0,_xlpm.Style,TRIM(_xlfn.XLOOKUP($A346,Строчный!$A:$A,Строчный!B:B,"ERR",0)),IF(_xlpm.CAPS=0,_xlpm.Style,LOWER(_xlpm.Style)))</f>
        <v>3101</v>
      </c>
      <c r="C346" s="81" t="str">
        <f ca="1">TRIM(PROPER(_xlfn.XLOOKUP($A346,Строчный!$A:$A,Строчный!C:C,"ERR",0)))</f>
        <v>Кепки</v>
      </c>
      <c r="D346" s="81" t="str">
        <f ca="1">_xlfn.LET(_xlpm.DATA,TRIM(_xlfn.XLOOKUP($A346,Строчный!$A:$A,Строчный!D:D,"ERR",0)),UPPER(MID(_xlpm.DATA,1,1))&amp;LOWER(MID(_xlpm.DATA,2,LEN(_xlpm.DATA)-1)))</f>
        <v>Кепка восьмиклинка</v>
      </c>
      <c r="E346" s="81" t="str">
        <f ca="1">PROPER(TRIM(_xlfn.XLOOKUP($A346,Строчный!$A:$A,Строчный!E:E,"ERR",0)))</f>
        <v>Fredrikson</v>
      </c>
      <c r="F346" s="81" t="str">
        <f ca="1">LOWER(TRIM(_xlfn.XLOOKUP($A346,Строчный!$A:$A,Строчный!F:F,"ERR",0)))</f>
        <v>всесезон</v>
      </c>
      <c r="G346" s="81" t="str">
        <f ca="1">UPPER(TRIM(_xlfn.XLOOKUP($A346,Строчный!$A:$A,Строчный!G:G,"ERR",0)))</f>
        <v>FREDRIKSON</v>
      </c>
      <c r="H346" s="81" t="str">
        <f ca="1">LOWER(TRIM(_xlfn.XLOOKUP($A346,Строчный!$A:$A,Строчный!H:H,"ERR",0)))</f>
        <v>644/74</v>
      </c>
      <c r="I346" s="81" t="str">
        <f ca="1">LOWER(TRIM(_xlfn.XLOOKUP($A346,Строчный!$A:$A,Строчный!I:I,"ERR",0)))</f>
        <v>черный / серый</v>
      </c>
      <c r="J346" s="81" t="str">
        <f ca="1">SUBSTITUTE(LOWER(TRIM(_xlfn.XLOOKUP($A346,Строчный!$A:$A,Строчный!J:J,"ERR",0))),"подклад","Подклад")</f>
        <v>80% шерсть - 20% полиамид / Подклад: 100% вискоза</v>
      </c>
      <c r="K346" s="81" t="str">
        <f ca="1">LOWER(TRIM(_xlfn.XLOOKUP($A346,Строчный!$A:$A,Строчный!K:K,"ERR",0)))</f>
        <v>шерстяные</v>
      </c>
      <c r="L346" s="81" t="str">
        <f ca="1">PROPER(TRIM(_xlfn.XLOOKUP($A346,Строчный!$A:$A,Строчный!L:L,"ERR",0)))</f>
        <v>Унисекс</v>
      </c>
      <c r="M346" s="113" t="str">
        <f ca="1">PROPER(TRIM(_xlfn.XLOOKUP($A346,Строчный!$A:$A,Строчный!M:M,"ERR",0)))</f>
        <v>Россия</v>
      </c>
      <c r="N346" s="81" t="str">
        <f ca="1">UPPER(TRIM(_xlfn.XLOOKUP($A346,Строчный!$A:$A,Строчный!O:O,"ERR",0)))</f>
        <v/>
      </c>
      <c r="O346" s="102" t="str">
        <f ca="1">PROPER(TRIM(_xlfn.XLOOKUP($A346,Строчный!$A:$A,Строчный!P:P,"ERR",0)))</f>
        <v/>
      </c>
      <c r="P346" s="81" t="str">
        <f ca="1">PROPER(TRIM(_xlfn.XLOOKUP($A346,Строчный!$A:$A,Строчный!R:R,"ERR",0)))</f>
        <v/>
      </c>
      <c r="Q346" s="90">
        <f ca="1">VALUE(_xlfn.XLOOKUP($A346,Строчный!$A:$A,Строчный!N:N,"ERR",0))</f>
        <v>975.8</v>
      </c>
      <c r="R346" s="89" t="str">
        <f ca="1">_xlfn.XLOOKUP($G346,Фабрика!A:A,Фабрика!B:B,"ERR",0)</f>
        <v>ООО "ФРЭДРИКСОН" Россия 192029, С-Петербург, пр. Обуховской обороны, д.86, лит М</v>
      </c>
      <c r="S346" s="80" t="str">
        <f ca="1">_xlfn.XLOOKUP(RIGHT(AA346,2),Размеры!D:D,Размеры!A:A,"ERR",0)</f>
        <v>57</v>
      </c>
      <c r="T346" s="80">
        <f ca="1">VALUE(_xlfn.XLOOKUP($AA346,Строчный!$S:$S,Строчный!U:U,"ERR",0))</f>
        <v>9</v>
      </c>
      <c r="U346" s="14" t="s">
        <v>265</v>
      </c>
      <c r="V346" s="101" t="str">
        <f t="shared" ca="1" si="26"/>
        <v>Кепка FREDRIKSON арт. 3101 (черный / серый)</v>
      </c>
      <c r="W346" s="100" t="str">
        <f t="shared" ca="1" si="27"/>
        <v>Кепка FREDRIKSON арт. 3101 (черный / серый) {644/74}</v>
      </c>
      <c r="X346" s="18" t="str">
        <f t="shared" ca="1" si="28"/>
        <v>черный</v>
      </c>
      <c r="Y346" s="18" t="str">
        <f t="shared" ca="1" si="29"/>
        <v>серый</v>
      </c>
      <c r="Z346" s="117" t="s">
        <v>28</v>
      </c>
      <c r="AA346" s="73" t="str">
        <f ca="1"/>
        <v>95-004-10-57</v>
      </c>
      <c r="AB346" s="75" t="str">
        <f ca="1">VLOOKUP(C346,Группа!A:B,2,FALSE)</f>
        <v>Кепка</v>
      </c>
      <c r="AC346" s="97" t="str">
        <f ca="1">IFERROR(VLOOKUP(S346,Размеры!A:C,3,FALSE),"")</f>
        <v>57 M</v>
      </c>
      <c r="AD346" s="97" t="str">
        <f ca="1">VLOOKUP(I346,ЦветПолный!A:B,2,FALSE)</f>
        <v>10</v>
      </c>
      <c r="AE346" s="97" t="str">
        <f ca="1">IFERROR(VLOOKUP(S346,Размеры!A:D,4,FALSE),"")</f>
        <v>57</v>
      </c>
      <c r="AF346" s="97">
        <f ca="1">IF(LEFT(IFERROR(VLOOKUP(LOOKUP(2,1/SEARCH(B346,Товары!A:A),Товары!A:A),Товары!A:B,2,0),""),6)=MID(AA346,1,6),1,0)</f>
        <v>0</v>
      </c>
      <c r="AH346" s="97">
        <f ca="1">SUMIF(Группа!A:A,C346,Группа!C:C)</f>
        <v>1</v>
      </c>
      <c r="AI346" s="97">
        <f ca="1">SUMIF(Группа!B:B,AB346,Группа!C:C)</f>
        <v>1</v>
      </c>
      <c r="AJ346" s="97">
        <f ca="1">SUMIF(Формы!A:A,D346,Формы!B:B)</f>
        <v>1</v>
      </c>
      <c r="AK346" s="97">
        <f ca="1">SUMIF(Материал!A:A,K346,Материал!B:B)</f>
        <v>1</v>
      </c>
      <c r="AL346" s="97">
        <f ca="1">SUMIF(Размеры!A:A,S346,Размеры!E:E)</f>
        <v>1</v>
      </c>
      <c r="AM346" s="97">
        <f ca="1">SUMIF(Сезон!A:A,F346,Сезон!B:B)</f>
        <v>1</v>
      </c>
      <c r="AN346" s="97">
        <f ca="1">SUMIF(Состав!A:A,J346,Состав!B:B)</f>
        <v>0</v>
      </c>
      <c r="AO346" s="97">
        <f ca="1">VLOOKUP(I346,ЦветПолный!A:C,3,0)</f>
        <v>1</v>
      </c>
      <c r="AP346" s="97">
        <f>SUMIF(Цвет!A:A,Z346,Цвет!B:B)</f>
        <v>1</v>
      </c>
      <c r="AQ346" s="97">
        <f ca="1">_xlfn.XLOOKUP(L346,Пол!A:A,Пол!B:B,0,0)</f>
        <v>1</v>
      </c>
      <c r="AR346" s="97">
        <f ca="1">SUMIF(Бренд!A:A,G346,Бренд!B:B)</f>
        <v>1</v>
      </c>
      <c r="AS346" s="97">
        <f ca="1">SUMIF(Страна!A:A,M346,Страна!B:B)</f>
        <v>1</v>
      </c>
      <c r="AT346" s="64" t="e">
        <f ca="1">IF(VLOOKUP(W346,Товары!A:B,2,FALSE)=A346,"Есть в 1С","ERR")</f>
        <v>#N/A</v>
      </c>
      <c r="AU346" s="65" t="e">
        <f ca="1">IF(VLOOKUP(A346,Товары!B:B,1,FALSE)=A346,"Есть в 1С","ERR")</f>
        <v>#N/A</v>
      </c>
      <c r="AV346" s="96" t="e">
        <f ca="1">VLOOKUP(W346,Товары!A:B,2,FALSE)</f>
        <v>#N/A</v>
      </c>
      <c r="AW346" s="94" t="e">
        <f ca="1">VLOOKUP(W346,Товары!A:B,1,FALSE)</f>
        <v>#N/A</v>
      </c>
    </row>
    <row r="347" spans="1:49" x14ac:dyDescent="0.25">
      <c r="A347" s="110" t="str">
        <f t="shared" ca="1" si="25"/>
        <v>95-004-10</v>
      </c>
      <c r="B347" s="107" t="str">
        <f ca="1">_xlfn.LET(_xlpm.CAPS,0,_xlpm.Style,TRIM(_xlfn.XLOOKUP($A347,Строчный!$A:$A,Строчный!B:B,"ERR",0)),IF(_xlpm.CAPS=0,_xlpm.Style,LOWER(_xlpm.Style)))</f>
        <v>3101</v>
      </c>
      <c r="C347" s="81" t="str">
        <f ca="1">TRIM(PROPER(_xlfn.XLOOKUP($A347,Строчный!$A:$A,Строчный!C:C,"ERR",0)))</f>
        <v>Кепки</v>
      </c>
      <c r="D347" s="81" t="str">
        <f ca="1">_xlfn.LET(_xlpm.DATA,TRIM(_xlfn.XLOOKUP($A347,Строчный!$A:$A,Строчный!D:D,"ERR",0)),UPPER(MID(_xlpm.DATA,1,1))&amp;LOWER(MID(_xlpm.DATA,2,LEN(_xlpm.DATA)-1)))</f>
        <v>Кепка восьмиклинка</v>
      </c>
      <c r="E347" s="81" t="str">
        <f ca="1">PROPER(TRIM(_xlfn.XLOOKUP($A347,Строчный!$A:$A,Строчный!E:E,"ERR",0)))</f>
        <v>Fredrikson</v>
      </c>
      <c r="F347" s="81" t="str">
        <f ca="1">LOWER(TRIM(_xlfn.XLOOKUP($A347,Строчный!$A:$A,Строчный!F:F,"ERR",0)))</f>
        <v>всесезон</v>
      </c>
      <c r="G347" s="81" t="str">
        <f ca="1">UPPER(TRIM(_xlfn.XLOOKUP($A347,Строчный!$A:$A,Строчный!G:G,"ERR",0)))</f>
        <v>FREDRIKSON</v>
      </c>
      <c r="H347" s="81" t="str">
        <f ca="1">LOWER(TRIM(_xlfn.XLOOKUP($A347,Строчный!$A:$A,Строчный!H:H,"ERR",0)))</f>
        <v>644/74</v>
      </c>
      <c r="I347" s="81" t="str">
        <f ca="1">LOWER(TRIM(_xlfn.XLOOKUP($A347,Строчный!$A:$A,Строчный!I:I,"ERR",0)))</f>
        <v>черный / серый</v>
      </c>
      <c r="J347" s="81" t="str">
        <f ca="1">SUBSTITUTE(LOWER(TRIM(_xlfn.XLOOKUP($A347,Строчный!$A:$A,Строчный!J:J,"ERR",0))),"подклад","Подклад")</f>
        <v>80% шерсть - 20% полиамид / Подклад: 100% вискоза</v>
      </c>
      <c r="K347" s="81" t="str">
        <f ca="1">LOWER(TRIM(_xlfn.XLOOKUP($A347,Строчный!$A:$A,Строчный!K:K,"ERR",0)))</f>
        <v>шерстяные</v>
      </c>
      <c r="L347" s="81" t="str">
        <f ca="1">PROPER(TRIM(_xlfn.XLOOKUP($A347,Строчный!$A:$A,Строчный!L:L,"ERR",0)))</f>
        <v>Унисекс</v>
      </c>
      <c r="M347" s="113" t="str">
        <f ca="1">PROPER(TRIM(_xlfn.XLOOKUP($A347,Строчный!$A:$A,Строчный!M:M,"ERR",0)))</f>
        <v>Россия</v>
      </c>
      <c r="N347" s="81" t="str">
        <f ca="1">UPPER(TRIM(_xlfn.XLOOKUP($A347,Строчный!$A:$A,Строчный!O:O,"ERR",0)))</f>
        <v/>
      </c>
      <c r="O347" s="102" t="str">
        <f ca="1">PROPER(TRIM(_xlfn.XLOOKUP($A347,Строчный!$A:$A,Строчный!P:P,"ERR",0)))</f>
        <v/>
      </c>
      <c r="P347" s="81" t="str">
        <f ca="1">PROPER(TRIM(_xlfn.XLOOKUP($A347,Строчный!$A:$A,Строчный!R:R,"ERR",0)))</f>
        <v/>
      </c>
      <c r="Q347" s="90">
        <f ca="1">VALUE(_xlfn.XLOOKUP($A347,Строчный!$A:$A,Строчный!N:N,"ERR",0))</f>
        <v>975.8</v>
      </c>
      <c r="R347" s="89" t="str">
        <f ca="1">_xlfn.XLOOKUP($G347,Фабрика!A:A,Фабрика!B:B,"ERR",0)</f>
        <v>ООО "ФРЭДРИКСОН" Россия 192029, С-Петербург, пр. Обуховской обороны, д.86, лит М</v>
      </c>
      <c r="S347" s="80" t="str">
        <f ca="1">_xlfn.XLOOKUP(RIGHT(AA347,2),Размеры!D:D,Размеры!A:A,"ERR",0)</f>
        <v>56</v>
      </c>
      <c r="T347" s="80">
        <f ca="1">VALUE(_xlfn.XLOOKUP($AA347,Строчный!$S:$S,Строчный!U:U,"ERR",0))</f>
        <v>2</v>
      </c>
      <c r="U347" s="14" t="s">
        <v>265</v>
      </c>
      <c r="V347" s="101" t="str">
        <f t="shared" ca="1" si="26"/>
        <v>Кепка FREDRIKSON арт. 3101 (черный / серый)</v>
      </c>
      <c r="W347" s="100" t="str">
        <f t="shared" ca="1" si="27"/>
        <v>Кепка FREDRIKSON арт. 3101 (черный / серый) {644/74}</v>
      </c>
      <c r="X347" s="18" t="str">
        <f t="shared" ca="1" si="28"/>
        <v>черный</v>
      </c>
      <c r="Y347" s="18" t="str">
        <f t="shared" ca="1" si="29"/>
        <v>серый</v>
      </c>
      <c r="Z347" s="117" t="s">
        <v>28</v>
      </c>
      <c r="AA347" s="73" t="str">
        <f ca="1"/>
        <v>95-004-10-56</v>
      </c>
      <c r="AB347" s="75" t="str">
        <f ca="1">VLOOKUP(C347,Группа!A:B,2,FALSE)</f>
        <v>Кепка</v>
      </c>
      <c r="AC347" s="97" t="str">
        <f ca="1">IFERROR(VLOOKUP(S347,Размеры!A:C,3,FALSE),"")</f>
        <v>56 S/M</v>
      </c>
      <c r="AD347" s="97" t="str">
        <f ca="1">VLOOKUP(I347,ЦветПолный!A:B,2,FALSE)</f>
        <v>10</v>
      </c>
      <c r="AE347" s="97" t="str">
        <f ca="1">IFERROR(VLOOKUP(S347,Размеры!A:D,4,FALSE),"")</f>
        <v>56</v>
      </c>
      <c r="AF347" s="97">
        <f ca="1">IF(LEFT(IFERROR(VLOOKUP(LOOKUP(2,1/SEARCH(B347,Товары!A:A),Товары!A:A),Товары!A:B,2,0),""),6)=MID(AA347,1,6),1,0)</f>
        <v>0</v>
      </c>
      <c r="AH347" s="97">
        <f ca="1">SUMIF(Группа!A:A,C347,Группа!C:C)</f>
        <v>1</v>
      </c>
      <c r="AI347" s="97">
        <f ca="1">SUMIF(Группа!B:B,AB347,Группа!C:C)</f>
        <v>1</v>
      </c>
      <c r="AJ347" s="97">
        <f ca="1">SUMIF(Формы!A:A,D347,Формы!B:B)</f>
        <v>1</v>
      </c>
      <c r="AK347" s="97">
        <f ca="1">SUMIF(Материал!A:A,K347,Материал!B:B)</f>
        <v>1</v>
      </c>
      <c r="AL347" s="97">
        <f ca="1">SUMIF(Размеры!A:A,S347,Размеры!E:E)</f>
        <v>1</v>
      </c>
      <c r="AM347" s="97">
        <f ca="1">SUMIF(Сезон!A:A,F347,Сезон!B:B)</f>
        <v>1</v>
      </c>
      <c r="AN347" s="97">
        <f ca="1">SUMIF(Состав!A:A,J347,Состав!B:B)</f>
        <v>0</v>
      </c>
      <c r="AO347" s="97">
        <f ca="1">VLOOKUP(I347,ЦветПолный!A:C,3,0)</f>
        <v>1</v>
      </c>
      <c r="AP347" s="97">
        <f>SUMIF(Цвет!A:A,Z347,Цвет!B:B)</f>
        <v>1</v>
      </c>
      <c r="AQ347" s="97">
        <f ca="1">_xlfn.XLOOKUP(L347,Пол!A:A,Пол!B:B,0,0)</f>
        <v>1</v>
      </c>
      <c r="AR347" s="97">
        <f ca="1">SUMIF(Бренд!A:A,G347,Бренд!B:B)</f>
        <v>1</v>
      </c>
      <c r="AS347" s="97">
        <f ca="1">SUMIF(Страна!A:A,M347,Страна!B:B)</f>
        <v>1</v>
      </c>
      <c r="AT347" s="64" t="e">
        <f ca="1">IF(VLOOKUP(W347,Товары!A:B,2,FALSE)=A347,"Есть в 1С","ERR")</f>
        <v>#N/A</v>
      </c>
      <c r="AU347" s="65" t="e">
        <f ca="1">IF(VLOOKUP(A347,Товары!B:B,1,FALSE)=A347,"Есть в 1С","ERR")</f>
        <v>#N/A</v>
      </c>
      <c r="AV347" s="96" t="e">
        <f ca="1">VLOOKUP(W347,Товары!A:B,2,FALSE)</f>
        <v>#N/A</v>
      </c>
      <c r="AW347" s="94" t="e">
        <f ca="1">VLOOKUP(W347,Товары!A:B,1,FALSE)</f>
        <v>#N/A</v>
      </c>
    </row>
    <row r="348" spans="1:49" x14ac:dyDescent="0.25">
      <c r="A348" s="110" t="str">
        <f t="shared" ca="1" si="25"/>
        <v>95-004-09</v>
      </c>
      <c r="B348" s="107" t="str">
        <f ca="1">_xlfn.LET(_xlpm.CAPS,0,_xlpm.Style,TRIM(_xlfn.XLOOKUP($A348,Строчный!$A:$A,Строчный!B:B,"ERR",0)),IF(_xlpm.CAPS=0,_xlpm.Style,LOWER(_xlpm.Style)))</f>
        <v>3101</v>
      </c>
      <c r="C348" s="81" t="str">
        <f ca="1">TRIM(PROPER(_xlfn.XLOOKUP($A348,Строчный!$A:$A,Строчный!C:C,"ERR",0)))</f>
        <v>Кепки</v>
      </c>
      <c r="D348" s="81" t="str">
        <f ca="1">_xlfn.LET(_xlpm.DATA,TRIM(_xlfn.XLOOKUP($A348,Строчный!$A:$A,Строчный!D:D,"ERR",0)),UPPER(MID(_xlpm.DATA,1,1))&amp;LOWER(MID(_xlpm.DATA,2,LEN(_xlpm.DATA)-1)))</f>
        <v>Кепка восьмиклинка</v>
      </c>
      <c r="E348" s="81" t="str">
        <f ca="1">PROPER(TRIM(_xlfn.XLOOKUP($A348,Строчный!$A:$A,Строчный!E:E,"ERR",0)))</f>
        <v>Fredrikson</v>
      </c>
      <c r="F348" s="81" t="str">
        <f ca="1">LOWER(TRIM(_xlfn.XLOOKUP($A348,Строчный!$A:$A,Строчный!F:F,"ERR",0)))</f>
        <v>всесезон</v>
      </c>
      <c r="G348" s="81" t="str">
        <f ca="1">UPPER(TRIM(_xlfn.XLOOKUP($A348,Строчный!$A:$A,Строчный!G:G,"ERR",0)))</f>
        <v>FREDRIKSON</v>
      </c>
      <c r="H348" s="81" t="str">
        <f ca="1">LOWER(TRIM(_xlfn.XLOOKUP($A348,Строчный!$A:$A,Строчный!H:H,"ERR",0)))</f>
        <v>624/91</v>
      </c>
      <c r="I348" s="81" t="str">
        <f ca="1">LOWER(TRIM(_xlfn.XLOOKUP($A348,Строчный!$A:$A,Строчный!I:I,"ERR",0)))</f>
        <v>черный</v>
      </c>
      <c r="J348" s="81" t="str">
        <f ca="1">SUBSTITUTE(LOWER(TRIM(_xlfn.XLOOKUP($A348,Строчный!$A:$A,Строчный!J:J,"ERR",0))),"подклад","Подклад")</f>
        <v>80% шерсть - 20% полиамид / Подклад: 100% вискоза</v>
      </c>
      <c r="K348" s="81" t="str">
        <f ca="1">LOWER(TRIM(_xlfn.XLOOKUP($A348,Строчный!$A:$A,Строчный!K:K,"ERR",0)))</f>
        <v>шерстяные</v>
      </c>
      <c r="L348" s="81" t="str">
        <f ca="1">PROPER(TRIM(_xlfn.XLOOKUP($A348,Строчный!$A:$A,Строчный!L:L,"ERR",0)))</f>
        <v>Унисекс</v>
      </c>
      <c r="M348" s="113" t="str">
        <f ca="1">PROPER(TRIM(_xlfn.XLOOKUP($A348,Строчный!$A:$A,Строчный!M:M,"ERR",0)))</f>
        <v>Россия</v>
      </c>
      <c r="N348" s="81" t="str">
        <f ca="1">UPPER(TRIM(_xlfn.XLOOKUP($A348,Строчный!$A:$A,Строчный!O:O,"ERR",0)))</f>
        <v/>
      </c>
      <c r="O348" s="102" t="str">
        <f ca="1">PROPER(TRIM(_xlfn.XLOOKUP($A348,Строчный!$A:$A,Строчный!P:P,"ERR",0)))</f>
        <v/>
      </c>
      <c r="P348" s="81" t="str">
        <f ca="1">PROPER(TRIM(_xlfn.XLOOKUP($A348,Строчный!$A:$A,Строчный!R:R,"ERR",0)))</f>
        <v/>
      </c>
      <c r="Q348" s="90">
        <f ca="1">VALUE(_xlfn.XLOOKUP($A348,Строчный!$A:$A,Строчный!N:N,"ERR",0))</f>
        <v>975.8</v>
      </c>
      <c r="R348" s="89" t="str">
        <f ca="1">_xlfn.XLOOKUP($G348,Фабрика!A:A,Фабрика!B:B,"ERR",0)</f>
        <v>ООО "ФРЭДРИКСОН" Россия 192029, С-Петербург, пр. Обуховской обороны, д.86, лит М</v>
      </c>
      <c r="S348" s="80" t="str">
        <f ca="1">_xlfn.XLOOKUP(RIGHT(AA348,2),Размеры!D:D,Размеры!A:A,"ERR",0)</f>
        <v>62</v>
      </c>
      <c r="T348" s="80">
        <f ca="1">VALUE(_xlfn.XLOOKUP($AA348,Строчный!$S:$S,Строчный!U:U,"ERR",0))</f>
        <v>5</v>
      </c>
      <c r="U348" s="14" t="s">
        <v>265</v>
      </c>
      <c r="V348" s="101" t="str">
        <f t="shared" ca="1" si="26"/>
        <v>Кепка FREDRIKSON арт. 3101 (черный)</v>
      </c>
      <c r="W348" s="100" t="str">
        <f t="shared" ca="1" si="27"/>
        <v>Кепка FREDRIKSON арт. 3101 (черный) {624/91}</v>
      </c>
      <c r="X348" s="18" t="str">
        <f t="shared" ca="1" si="28"/>
        <v>черный</v>
      </c>
      <c r="Y348" s="18" t="str">
        <f t="shared" ca="1" si="29"/>
        <v>черный</v>
      </c>
      <c r="Z348" s="117" t="s">
        <v>28</v>
      </c>
      <c r="AA348" s="73" t="str">
        <f ca="1"/>
        <v>95-004-09-62</v>
      </c>
      <c r="AB348" s="75" t="str">
        <f ca="1">VLOOKUP(C348,Группа!A:B,2,FALSE)</f>
        <v>Кепка</v>
      </c>
      <c r="AC348" s="97" t="str">
        <f ca="1">IFERROR(VLOOKUP(S348,Размеры!A:C,3,FALSE),"")</f>
        <v>62 XL/XXL</v>
      </c>
      <c r="AD348" s="97" t="str">
        <f ca="1">VLOOKUP(I348,ЦветПолный!A:B,2,FALSE)</f>
        <v>09</v>
      </c>
      <c r="AE348" s="97" t="str">
        <f ca="1">IFERROR(VLOOKUP(S348,Размеры!A:D,4,FALSE),"")</f>
        <v>62</v>
      </c>
      <c r="AF348" s="97">
        <f ca="1">IF(LEFT(IFERROR(VLOOKUP(LOOKUP(2,1/SEARCH(B348,Товары!A:A),Товары!A:A),Товары!A:B,2,0),""),6)=MID(AA348,1,6),1,0)</f>
        <v>0</v>
      </c>
      <c r="AH348" s="97">
        <f ca="1">SUMIF(Группа!A:A,C348,Группа!C:C)</f>
        <v>1</v>
      </c>
      <c r="AI348" s="97">
        <f ca="1">SUMIF(Группа!B:B,AB348,Группа!C:C)</f>
        <v>1</v>
      </c>
      <c r="AJ348" s="97">
        <f ca="1">SUMIF(Формы!A:A,D348,Формы!B:B)</f>
        <v>1</v>
      </c>
      <c r="AK348" s="97">
        <f ca="1">SUMIF(Материал!A:A,K348,Материал!B:B)</f>
        <v>1</v>
      </c>
      <c r="AL348" s="97">
        <f ca="1">SUMIF(Размеры!A:A,S348,Размеры!E:E)</f>
        <v>1</v>
      </c>
      <c r="AM348" s="97">
        <f ca="1">SUMIF(Сезон!A:A,F348,Сезон!B:B)</f>
        <v>1</v>
      </c>
      <c r="AN348" s="97">
        <f ca="1">SUMIF(Состав!A:A,J348,Состав!B:B)</f>
        <v>0</v>
      </c>
      <c r="AO348" s="97">
        <f ca="1">VLOOKUP(I348,ЦветПолный!A:C,3,0)</f>
        <v>1</v>
      </c>
      <c r="AP348" s="97">
        <f>SUMIF(Цвет!A:A,Z348,Цвет!B:B)</f>
        <v>1</v>
      </c>
      <c r="AQ348" s="97">
        <f ca="1">_xlfn.XLOOKUP(L348,Пол!A:A,Пол!B:B,0,0)</f>
        <v>1</v>
      </c>
      <c r="AR348" s="97">
        <f ca="1">SUMIF(Бренд!A:A,G348,Бренд!B:B)</f>
        <v>1</v>
      </c>
      <c r="AS348" s="97">
        <f ca="1">SUMIF(Страна!A:A,M348,Страна!B:B)</f>
        <v>1</v>
      </c>
      <c r="AT348" s="64" t="e">
        <f ca="1">IF(VLOOKUP(W348,Товары!A:B,2,FALSE)=A348,"Есть в 1С","ERR")</f>
        <v>#N/A</v>
      </c>
      <c r="AU348" s="65" t="e">
        <f ca="1">IF(VLOOKUP(A348,Товары!B:B,1,FALSE)=A348,"Есть в 1С","ERR")</f>
        <v>#N/A</v>
      </c>
      <c r="AV348" s="96" t="e">
        <f ca="1">VLOOKUP(W348,Товары!A:B,2,FALSE)</f>
        <v>#N/A</v>
      </c>
      <c r="AW348" s="94" t="e">
        <f ca="1">VLOOKUP(W348,Товары!A:B,1,FALSE)</f>
        <v>#N/A</v>
      </c>
    </row>
    <row r="349" spans="1:49" x14ac:dyDescent="0.25">
      <c r="A349" s="110" t="str">
        <f t="shared" ca="1" si="25"/>
        <v>95-004-09</v>
      </c>
      <c r="B349" s="107" t="str">
        <f ca="1">_xlfn.LET(_xlpm.CAPS,0,_xlpm.Style,TRIM(_xlfn.XLOOKUP($A349,Строчный!$A:$A,Строчный!B:B,"ERR",0)),IF(_xlpm.CAPS=0,_xlpm.Style,LOWER(_xlpm.Style)))</f>
        <v>3101</v>
      </c>
      <c r="C349" s="81" t="str">
        <f ca="1">TRIM(PROPER(_xlfn.XLOOKUP($A349,Строчный!$A:$A,Строчный!C:C,"ERR",0)))</f>
        <v>Кепки</v>
      </c>
      <c r="D349" s="81" t="str">
        <f ca="1">_xlfn.LET(_xlpm.DATA,TRIM(_xlfn.XLOOKUP($A349,Строчный!$A:$A,Строчный!D:D,"ERR",0)),UPPER(MID(_xlpm.DATA,1,1))&amp;LOWER(MID(_xlpm.DATA,2,LEN(_xlpm.DATA)-1)))</f>
        <v>Кепка восьмиклинка</v>
      </c>
      <c r="E349" s="81" t="str">
        <f ca="1">PROPER(TRIM(_xlfn.XLOOKUP($A349,Строчный!$A:$A,Строчный!E:E,"ERR",0)))</f>
        <v>Fredrikson</v>
      </c>
      <c r="F349" s="81" t="str">
        <f ca="1">LOWER(TRIM(_xlfn.XLOOKUP($A349,Строчный!$A:$A,Строчный!F:F,"ERR",0)))</f>
        <v>всесезон</v>
      </c>
      <c r="G349" s="81" t="str">
        <f ca="1">UPPER(TRIM(_xlfn.XLOOKUP($A349,Строчный!$A:$A,Строчный!G:G,"ERR",0)))</f>
        <v>FREDRIKSON</v>
      </c>
      <c r="H349" s="81" t="str">
        <f ca="1">LOWER(TRIM(_xlfn.XLOOKUP($A349,Строчный!$A:$A,Строчный!H:H,"ERR",0)))</f>
        <v>624/91</v>
      </c>
      <c r="I349" s="81" t="str">
        <f ca="1">LOWER(TRIM(_xlfn.XLOOKUP($A349,Строчный!$A:$A,Строчный!I:I,"ERR",0)))</f>
        <v>черный</v>
      </c>
      <c r="J349" s="81" t="str">
        <f ca="1">SUBSTITUTE(LOWER(TRIM(_xlfn.XLOOKUP($A349,Строчный!$A:$A,Строчный!J:J,"ERR",0))),"подклад","Подклад")</f>
        <v>80% шерсть - 20% полиамид / Подклад: 100% вискоза</v>
      </c>
      <c r="K349" s="81" t="str">
        <f ca="1">LOWER(TRIM(_xlfn.XLOOKUP($A349,Строчный!$A:$A,Строчный!K:K,"ERR",0)))</f>
        <v>шерстяные</v>
      </c>
      <c r="L349" s="81" t="str">
        <f ca="1">PROPER(TRIM(_xlfn.XLOOKUP($A349,Строчный!$A:$A,Строчный!L:L,"ERR",0)))</f>
        <v>Унисекс</v>
      </c>
      <c r="M349" s="113" t="str">
        <f ca="1">PROPER(TRIM(_xlfn.XLOOKUP($A349,Строчный!$A:$A,Строчный!M:M,"ERR",0)))</f>
        <v>Россия</v>
      </c>
      <c r="N349" s="81" t="str">
        <f ca="1">UPPER(TRIM(_xlfn.XLOOKUP($A349,Строчный!$A:$A,Строчный!O:O,"ERR",0)))</f>
        <v/>
      </c>
      <c r="O349" s="102" t="str">
        <f ca="1">PROPER(TRIM(_xlfn.XLOOKUP($A349,Строчный!$A:$A,Строчный!P:P,"ERR",0)))</f>
        <v/>
      </c>
      <c r="P349" s="81" t="str">
        <f ca="1">PROPER(TRIM(_xlfn.XLOOKUP($A349,Строчный!$A:$A,Строчный!R:R,"ERR",0)))</f>
        <v/>
      </c>
      <c r="Q349" s="90">
        <f ca="1">VALUE(_xlfn.XLOOKUP($A349,Строчный!$A:$A,Строчный!N:N,"ERR",0))</f>
        <v>975.8</v>
      </c>
      <c r="R349" s="89" t="str">
        <f ca="1">_xlfn.XLOOKUP($G349,Фабрика!A:A,Фабрика!B:B,"ERR",0)</f>
        <v>ООО "ФРЭДРИКСОН" Россия 192029, С-Петербург, пр. Обуховской обороны, д.86, лит М</v>
      </c>
      <c r="S349" s="80" t="str">
        <f ca="1">_xlfn.XLOOKUP(RIGHT(AA349,2),Размеры!D:D,Размеры!A:A,"ERR",0)</f>
        <v>61</v>
      </c>
      <c r="T349" s="80">
        <f ca="1">VALUE(_xlfn.XLOOKUP($AA349,Строчный!$S:$S,Строчный!U:U,"ERR",0))</f>
        <v>10</v>
      </c>
      <c r="U349" s="14" t="s">
        <v>265</v>
      </c>
      <c r="V349" s="101" t="str">
        <f t="shared" ca="1" si="26"/>
        <v>Кепка FREDRIKSON арт. 3101 (черный)</v>
      </c>
      <c r="W349" s="100" t="str">
        <f t="shared" ca="1" si="27"/>
        <v>Кепка FREDRIKSON арт. 3101 (черный) {624/91}</v>
      </c>
      <c r="X349" s="18" t="str">
        <f t="shared" ca="1" si="28"/>
        <v>черный</v>
      </c>
      <c r="Y349" s="18" t="str">
        <f t="shared" ca="1" si="29"/>
        <v>черный</v>
      </c>
      <c r="Z349" s="117" t="s">
        <v>28</v>
      </c>
      <c r="AA349" s="73" t="str">
        <f ca="1"/>
        <v>95-004-09-61</v>
      </c>
      <c r="AB349" s="75" t="str">
        <f ca="1">VLOOKUP(C349,Группа!A:B,2,FALSE)</f>
        <v>Кепка</v>
      </c>
      <c r="AC349" s="97" t="str">
        <f ca="1">IFERROR(VLOOKUP(S349,Размеры!A:C,3,FALSE),"")</f>
        <v>61 XL</v>
      </c>
      <c r="AD349" s="97" t="str">
        <f ca="1">VLOOKUP(I349,ЦветПолный!A:B,2,FALSE)</f>
        <v>09</v>
      </c>
      <c r="AE349" s="97" t="str">
        <f ca="1">IFERROR(VLOOKUP(S349,Размеры!A:D,4,FALSE),"")</f>
        <v>61</v>
      </c>
      <c r="AF349" s="97">
        <f ca="1">IF(LEFT(IFERROR(VLOOKUP(LOOKUP(2,1/SEARCH(B349,Товары!A:A),Товары!A:A),Товары!A:B,2,0),""),6)=MID(AA349,1,6),1,0)</f>
        <v>0</v>
      </c>
      <c r="AH349" s="97">
        <f ca="1">SUMIF(Группа!A:A,C349,Группа!C:C)</f>
        <v>1</v>
      </c>
      <c r="AI349" s="97">
        <f ca="1">SUMIF(Группа!B:B,AB349,Группа!C:C)</f>
        <v>1</v>
      </c>
      <c r="AJ349" s="97">
        <f ca="1">SUMIF(Формы!A:A,D349,Формы!B:B)</f>
        <v>1</v>
      </c>
      <c r="AK349" s="97">
        <f ca="1">SUMIF(Материал!A:A,K349,Материал!B:B)</f>
        <v>1</v>
      </c>
      <c r="AL349" s="97">
        <f ca="1">SUMIF(Размеры!A:A,S349,Размеры!E:E)</f>
        <v>1</v>
      </c>
      <c r="AM349" s="97">
        <f ca="1">SUMIF(Сезон!A:A,F349,Сезон!B:B)</f>
        <v>1</v>
      </c>
      <c r="AN349" s="97">
        <f ca="1">SUMIF(Состав!A:A,J349,Состав!B:B)</f>
        <v>0</v>
      </c>
      <c r="AO349" s="97">
        <f ca="1">VLOOKUP(I349,ЦветПолный!A:C,3,0)</f>
        <v>1</v>
      </c>
      <c r="AP349" s="97">
        <f>SUMIF(Цвет!A:A,Z349,Цвет!B:B)</f>
        <v>1</v>
      </c>
      <c r="AQ349" s="97">
        <f ca="1">_xlfn.XLOOKUP(L349,Пол!A:A,Пол!B:B,0,0)</f>
        <v>1</v>
      </c>
      <c r="AR349" s="97">
        <f ca="1">SUMIF(Бренд!A:A,G349,Бренд!B:B)</f>
        <v>1</v>
      </c>
      <c r="AS349" s="97">
        <f ca="1">SUMIF(Страна!A:A,M349,Страна!B:B)</f>
        <v>1</v>
      </c>
      <c r="AT349" s="64" t="e">
        <f ca="1">IF(VLOOKUP(W349,Товары!A:B,2,FALSE)=A349,"Есть в 1С","ERR")</f>
        <v>#N/A</v>
      </c>
      <c r="AU349" s="65" t="e">
        <f ca="1">IF(VLOOKUP(A349,Товары!B:B,1,FALSE)=A349,"Есть в 1С","ERR")</f>
        <v>#N/A</v>
      </c>
      <c r="AV349" s="96" t="e">
        <f ca="1">VLOOKUP(W349,Товары!A:B,2,FALSE)</f>
        <v>#N/A</v>
      </c>
      <c r="AW349" s="94" t="e">
        <f ca="1">VLOOKUP(W349,Товары!A:B,1,FALSE)</f>
        <v>#N/A</v>
      </c>
    </row>
    <row r="350" spans="1:49" x14ac:dyDescent="0.25">
      <c r="A350" s="110" t="str">
        <f t="shared" ref="A350:A413" ca="1" si="30">LEFT(AA350,9)</f>
        <v>95-004-09</v>
      </c>
      <c r="B350" s="107" t="str">
        <f ca="1">_xlfn.LET(_xlpm.CAPS,0,_xlpm.Style,TRIM(_xlfn.XLOOKUP($A350,Строчный!$A:$A,Строчный!B:B,"ERR",0)),IF(_xlpm.CAPS=0,_xlpm.Style,LOWER(_xlpm.Style)))</f>
        <v>3101</v>
      </c>
      <c r="C350" s="81" t="str">
        <f ca="1">TRIM(PROPER(_xlfn.XLOOKUP($A350,Строчный!$A:$A,Строчный!C:C,"ERR",0)))</f>
        <v>Кепки</v>
      </c>
      <c r="D350" s="81" t="str">
        <f ca="1">_xlfn.LET(_xlpm.DATA,TRIM(_xlfn.XLOOKUP($A350,Строчный!$A:$A,Строчный!D:D,"ERR",0)),UPPER(MID(_xlpm.DATA,1,1))&amp;LOWER(MID(_xlpm.DATA,2,LEN(_xlpm.DATA)-1)))</f>
        <v>Кепка восьмиклинка</v>
      </c>
      <c r="E350" s="81" t="str">
        <f ca="1">PROPER(TRIM(_xlfn.XLOOKUP($A350,Строчный!$A:$A,Строчный!E:E,"ERR",0)))</f>
        <v>Fredrikson</v>
      </c>
      <c r="F350" s="81" t="str">
        <f ca="1">LOWER(TRIM(_xlfn.XLOOKUP($A350,Строчный!$A:$A,Строчный!F:F,"ERR",0)))</f>
        <v>всесезон</v>
      </c>
      <c r="G350" s="81" t="str">
        <f ca="1">UPPER(TRIM(_xlfn.XLOOKUP($A350,Строчный!$A:$A,Строчный!G:G,"ERR",0)))</f>
        <v>FREDRIKSON</v>
      </c>
      <c r="H350" s="81" t="str">
        <f ca="1">LOWER(TRIM(_xlfn.XLOOKUP($A350,Строчный!$A:$A,Строчный!H:H,"ERR",0)))</f>
        <v>624/91</v>
      </c>
      <c r="I350" s="81" t="str">
        <f ca="1">LOWER(TRIM(_xlfn.XLOOKUP($A350,Строчный!$A:$A,Строчный!I:I,"ERR",0)))</f>
        <v>черный</v>
      </c>
      <c r="J350" s="81" t="str">
        <f ca="1">SUBSTITUTE(LOWER(TRIM(_xlfn.XLOOKUP($A350,Строчный!$A:$A,Строчный!J:J,"ERR",0))),"подклад","Подклад")</f>
        <v>80% шерсть - 20% полиамид / Подклад: 100% вискоза</v>
      </c>
      <c r="K350" s="81" t="str">
        <f ca="1">LOWER(TRIM(_xlfn.XLOOKUP($A350,Строчный!$A:$A,Строчный!K:K,"ERR",0)))</f>
        <v>шерстяные</v>
      </c>
      <c r="L350" s="81" t="str">
        <f ca="1">PROPER(TRIM(_xlfn.XLOOKUP($A350,Строчный!$A:$A,Строчный!L:L,"ERR",0)))</f>
        <v>Унисекс</v>
      </c>
      <c r="M350" s="113" t="str">
        <f ca="1">PROPER(TRIM(_xlfn.XLOOKUP($A350,Строчный!$A:$A,Строчный!M:M,"ERR",0)))</f>
        <v>Россия</v>
      </c>
      <c r="N350" s="81" t="str">
        <f ca="1">UPPER(TRIM(_xlfn.XLOOKUP($A350,Строчный!$A:$A,Строчный!O:O,"ERR",0)))</f>
        <v/>
      </c>
      <c r="O350" s="102" t="str">
        <f ca="1">PROPER(TRIM(_xlfn.XLOOKUP($A350,Строчный!$A:$A,Строчный!P:P,"ERR",0)))</f>
        <v/>
      </c>
      <c r="P350" s="81" t="str">
        <f ca="1">PROPER(TRIM(_xlfn.XLOOKUP($A350,Строчный!$A:$A,Строчный!R:R,"ERR",0)))</f>
        <v/>
      </c>
      <c r="Q350" s="90">
        <f ca="1">VALUE(_xlfn.XLOOKUP($A350,Строчный!$A:$A,Строчный!N:N,"ERR",0))</f>
        <v>975.8</v>
      </c>
      <c r="R350" s="89" t="str">
        <f ca="1">_xlfn.XLOOKUP($G350,Фабрика!A:A,Фабрика!B:B,"ERR",0)</f>
        <v>ООО "ФРЭДРИКСОН" Россия 192029, С-Петербург, пр. Обуховской обороны, д.86, лит М</v>
      </c>
      <c r="S350" s="80" t="str">
        <f ca="1">_xlfn.XLOOKUP(RIGHT(AA350,2),Размеры!D:D,Размеры!A:A,"ERR",0)</f>
        <v>60</v>
      </c>
      <c r="T350" s="80">
        <f ca="1">VALUE(_xlfn.XLOOKUP($AA350,Строчный!$S:$S,Строчный!U:U,"ERR",0))</f>
        <v>15</v>
      </c>
      <c r="U350" s="14" t="s">
        <v>265</v>
      </c>
      <c r="V350" s="101" t="str">
        <f t="shared" ref="V350:V413" ca="1" si="31">TRIM(CONCATENATE(AB350," ",G350," арт. ",B350," (",I350,")"))</f>
        <v>Кепка FREDRIKSON арт. 3101 (черный)</v>
      </c>
      <c r="W350" s="100" t="str">
        <f t="shared" ref="W350:W413" ca="1" si="32">TRIM(CONCATENATE(AB350," ",G350," арт. ",B350," (",I350,") {",H350,"}"))</f>
        <v>Кепка FREDRIKSON арт. 3101 (черный) {624/91}</v>
      </c>
      <c r="X350" s="18" t="str">
        <f t="shared" ref="X350:X413" ca="1" si="33">IFERROR(MID(I350,FIND("-",I350)+1,LEN(I350)),IFERROR(MID(I350,1,FIND("/",I350)-2),I350))</f>
        <v>черный</v>
      </c>
      <c r="Y350" s="18" t="str">
        <f t="shared" ref="Y350:Y413" ca="1" si="34">IFERROR(MID(I350,FIND("-",I350)+1,LEN(I350)),IFERROR(MID(I350,FIND("/",I350)+2,LEN(I350)),I350))</f>
        <v>черный</v>
      </c>
      <c r="Z350" s="117" t="s">
        <v>28</v>
      </c>
      <c r="AA350" s="73" t="str">
        <f ca="1"/>
        <v>95-004-09-60</v>
      </c>
      <c r="AB350" s="75" t="str">
        <f ca="1">VLOOKUP(C350,Группа!A:B,2,FALSE)</f>
        <v>Кепка</v>
      </c>
      <c r="AC350" s="97" t="str">
        <f ca="1">IFERROR(VLOOKUP(S350,Размеры!A:C,3,FALSE),"")</f>
        <v>60 L/XL</v>
      </c>
      <c r="AD350" s="97" t="str">
        <f ca="1">VLOOKUP(I350,ЦветПолный!A:B,2,FALSE)</f>
        <v>09</v>
      </c>
      <c r="AE350" s="97" t="str">
        <f ca="1">IFERROR(VLOOKUP(S350,Размеры!A:D,4,FALSE),"")</f>
        <v>60</v>
      </c>
      <c r="AF350" s="97">
        <f ca="1">IF(LEFT(IFERROR(VLOOKUP(LOOKUP(2,1/SEARCH(B350,Товары!A:A),Товары!A:A),Товары!A:B,2,0),""),6)=MID(AA350,1,6),1,0)</f>
        <v>0</v>
      </c>
      <c r="AH350" s="97">
        <f ca="1">SUMIF(Группа!A:A,C350,Группа!C:C)</f>
        <v>1</v>
      </c>
      <c r="AI350" s="97">
        <f ca="1">SUMIF(Группа!B:B,AB350,Группа!C:C)</f>
        <v>1</v>
      </c>
      <c r="AJ350" s="97">
        <f ca="1">SUMIF(Формы!A:A,D350,Формы!B:B)</f>
        <v>1</v>
      </c>
      <c r="AK350" s="97">
        <f ca="1">SUMIF(Материал!A:A,K350,Материал!B:B)</f>
        <v>1</v>
      </c>
      <c r="AL350" s="97">
        <f ca="1">SUMIF(Размеры!A:A,S350,Размеры!E:E)</f>
        <v>1</v>
      </c>
      <c r="AM350" s="97">
        <f ca="1">SUMIF(Сезон!A:A,F350,Сезон!B:B)</f>
        <v>1</v>
      </c>
      <c r="AN350" s="97">
        <f ca="1">SUMIF(Состав!A:A,J350,Состав!B:B)</f>
        <v>0</v>
      </c>
      <c r="AO350" s="97">
        <f ca="1">VLOOKUP(I350,ЦветПолный!A:C,3,0)</f>
        <v>1</v>
      </c>
      <c r="AP350" s="97">
        <f>SUMIF(Цвет!A:A,Z350,Цвет!B:B)</f>
        <v>1</v>
      </c>
      <c r="AQ350" s="97">
        <f ca="1">_xlfn.XLOOKUP(L350,Пол!A:A,Пол!B:B,0,0)</f>
        <v>1</v>
      </c>
      <c r="AR350" s="97">
        <f ca="1">SUMIF(Бренд!A:A,G350,Бренд!B:B)</f>
        <v>1</v>
      </c>
      <c r="AS350" s="97">
        <f ca="1">SUMIF(Страна!A:A,M350,Страна!B:B)</f>
        <v>1</v>
      </c>
      <c r="AT350" s="64" t="e">
        <f ca="1">IF(VLOOKUP(W350,Товары!A:B,2,FALSE)=A350,"Есть в 1С","ERR")</f>
        <v>#N/A</v>
      </c>
      <c r="AU350" s="65" t="e">
        <f ca="1">IF(VLOOKUP(A350,Товары!B:B,1,FALSE)=A350,"Есть в 1С","ERR")</f>
        <v>#N/A</v>
      </c>
      <c r="AV350" s="96" t="e">
        <f ca="1">VLOOKUP(W350,Товары!A:B,2,FALSE)</f>
        <v>#N/A</v>
      </c>
      <c r="AW350" s="94" t="e">
        <f ca="1">VLOOKUP(W350,Товары!A:B,1,FALSE)</f>
        <v>#N/A</v>
      </c>
    </row>
    <row r="351" spans="1:49" x14ac:dyDescent="0.25">
      <c r="A351" s="110" t="str">
        <f t="shared" ca="1" si="30"/>
        <v>95-004-09</v>
      </c>
      <c r="B351" s="107" t="str">
        <f ca="1">_xlfn.LET(_xlpm.CAPS,0,_xlpm.Style,TRIM(_xlfn.XLOOKUP($A351,Строчный!$A:$A,Строчный!B:B,"ERR",0)),IF(_xlpm.CAPS=0,_xlpm.Style,LOWER(_xlpm.Style)))</f>
        <v>3101</v>
      </c>
      <c r="C351" s="81" t="str">
        <f ca="1">TRIM(PROPER(_xlfn.XLOOKUP($A351,Строчный!$A:$A,Строчный!C:C,"ERR",0)))</f>
        <v>Кепки</v>
      </c>
      <c r="D351" s="81" t="str">
        <f ca="1">_xlfn.LET(_xlpm.DATA,TRIM(_xlfn.XLOOKUP($A351,Строчный!$A:$A,Строчный!D:D,"ERR",0)),UPPER(MID(_xlpm.DATA,1,1))&amp;LOWER(MID(_xlpm.DATA,2,LEN(_xlpm.DATA)-1)))</f>
        <v>Кепка восьмиклинка</v>
      </c>
      <c r="E351" s="81" t="str">
        <f ca="1">PROPER(TRIM(_xlfn.XLOOKUP($A351,Строчный!$A:$A,Строчный!E:E,"ERR",0)))</f>
        <v>Fredrikson</v>
      </c>
      <c r="F351" s="81" t="str">
        <f ca="1">LOWER(TRIM(_xlfn.XLOOKUP($A351,Строчный!$A:$A,Строчный!F:F,"ERR",0)))</f>
        <v>всесезон</v>
      </c>
      <c r="G351" s="81" t="str">
        <f ca="1">UPPER(TRIM(_xlfn.XLOOKUP($A351,Строчный!$A:$A,Строчный!G:G,"ERR",0)))</f>
        <v>FREDRIKSON</v>
      </c>
      <c r="H351" s="81" t="str">
        <f ca="1">LOWER(TRIM(_xlfn.XLOOKUP($A351,Строчный!$A:$A,Строчный!H:H,"ERR",0)))</f>
        <v>624/91</v>
      </c>
      <c r="I351" s="81" t="str">
        <f ca="1">LOWER(TRIM(_xlfn.XLOOKUP($A351,Строчный!$A:$A,Строчный!I:I,"ERR",0)))</f>
        <v>черный</v>
      </c>
      <c r="J351" s="81" t="str">
        <f ca="1">SUBSTITUTE(LOWER(TRIM(_xlfn.XLOOKUP($A351,Строчный!$A:$A,Строчный!J:J,"ERR",0))),"подклад","Подклад")</f>
        <v>80% шерсть - 20% полиамид / Подклад: 100% вискоза</v>
      </c>
      <c r="K351" s="81" t="str">
        <f ca="1">LOWER(TRIM(_xlfn.XLOOKUP($A351,Строчный!$A:$A,Строчный!K:K,"ERR",0)))</f>
        <v>шерстяные</v>
      </c>
      <c r="L351" s="81" t="str">
        <f ca="1">PROPER(TRIM(_xlfn.XLOOKUP($A351,Строчный!$A:$A,Строчный!L:L,"ERR",0)))</f>
        <v>Унисекс</v>
      </c>
      <c r="M351" s="113" t="str">
        <f ca="1">PROPER(TRIM(_xlfn.XLOOKUP($A351,Строчный!$A:$A,Строчный!M:M,"ERR",0)))</f>
        <v>Россия</v>
      </c>
      <c r="N351" s="81" t="str">
        <f ca="1">UPPER(TRIM(_xlfn.XLOOKUP($A351,Строчный!$A:$A,Строчный!O:O,"ERR",0)))</f>
        <v/>
      </c>
      <c r="O351" s="102" t="str">
        <f ca="1">PROPER(TRIM(_xlfn.XLOOKUP($A351,Строчный!$A:$A,Строчный!P:P,"ERR",0)))</f>
        <v/>
      </c>
      <c r="P351" s="81" t="str">
        <f ca="1">PROPER(TRIM(_xlfn.XLOOKUP($A351,Строчный!$A:$A,Строчный!R:R,"ERR",0)))</f>
        <v/>
      </c>
      <c r="Q351" s="90">
        <f ca="1">VALUE(_xlfn.XLOOKUP($A351,Строчный!$A:$A,Строчный!N:N,"ERR",0))</f>
        <v>975.8</v>
      </c>
      <c r="R351" s="89" t="str">
        <f ca="1">_xlfn.XLOOKUP($G351,Фабрика!A:A,Фабрика!B:B,"ERR",0)</f>
        <v>ООО "ФРЭДРИКСОН" Россия 192029, С-Петербург, пр. Обуховской обороны, д.86, лит М</v>
      </c>
      <c r="S351" s="80" t="str">
        <f ca="1">_xlfn.XLOOKUP(RIGHT(AA351,2),Размеры!D:D,Размеры!A:A,"ERR",0)</f>
        <v>59</v>
      </c>
      <c r="T351" s="80">
        <f ca="1">VALUE(_xlfn.XLOOKUP($AA351,Строчный!$S:$S,Строчный!U:U,"ERR",0))</f>
        <v>20</v>
      </c>
      <c r="U351" s="14" t="s">
        <v>265</v>
      </c>
      <c r="V351" s="101" t="str">
        <f t="shared" ca="1" si="31"/>
        <v>Кепка FREDRIKSON арт. 3101 (черный)</v>
      </c>
      <c r="W351" s="100" t="str">
        <f t="shared" ca="1" si="32"/>
        <v>Кепка FREDRIKSON арт. 3101 (черный) {624/91}</v>
      </c>
      <c r="X351" s="18" t="str">
        <f t="shared" ca="1" si="33"/>
        <v>черный</v>
      </c>
      <c r="Y351" s="18" t="str">
        <f t="shared" ca="1" si="34"/>
        <v>черный</v>
      </c>
      <c r="Z351" s="117" t="s">
        <v>28</v>
      </c>
      <c r="AA351" s="73" t="str">
        <f ca="1"/>
        <v>95-004-09-59</v>
      </c>
      <c r="AB351" s="75" t="str">
        <f ca="1">VLOOKUP(C351,Группа!A:B,2,FALSE)</f>
        <v>Кепка</v>
      </c>
      <c r="AC351" s="97" t="str">
        <f ca="1">IFERROR(VLOOKUP(S351,Размеры!A:C,3,FALSE),"")</f>
        <v>59 L</v>
      </c>
      <c r="AD351" s="97" t="str">
        <f ca="1">VLOOKUP(I351,ЦветПолный!A:B,2,FALSE)</f>
        <v>09</v>
      </c>
      <c r="AE351" s="97" t="str">
        <f ca="1">IFERROR(VLOOKUP(S351,Размеры!A:D,4,FALSE),"")</f>
        <v>59</v>
      </c>
      <c r="AF351" s="97">
        <f ca="1">IF(LEFT(IFERROR(VLOOKUP(LOOKUP(2,1/SEARCH(B351,Товары!A:A),Товары!A:A),Товары!A:B,2,0),""),6)=MID(AA351,1,6),1,0)</f>
        <v>0</v>
      </c>
      <c r="AH351" s="97">
        <f ca="1">SUMIF(Группа!A:A,C351,Группа!C:C)</f>
        <v>1</v>
      </c>
      <c r="AI351" s="97">
        <f ca="1">SUMIF(Группа!B:B,AB351,Группа!C:C)</f>
        <v>1</v>
      </c>
      <c r="AJ351" s="97">
        <f ca="1">SUMIF(Формы!A:A,D351,Формы!B:B)</f>
        <v>1</v>
      </c>
      <c r="AK351" s="97">
        <f ca="1">SUMIF(Материал!A:A,K351,Материал!B:B)</f>
        <v>1</v>
      </c>
      <c r="AL351" s="97">
        <f ca="1">SUMIF(Размеры!A:A,S351,Размеры!E:E)</f>
        <v>1</v>
      </c>
      <c r="AM351" s="97">
        <f ca="1">SUMIF(Сезон!A:A,F351,Сезон!B:B)</f>
        <v>1</v>
      </c>
      <c r="AN351" s="97">
        <f ca="1">SUMIF(Состав!A:A,J351,Состав!B:B)</f>
        <v>0</v>
      </c>
      <c r="AO351" s="97">
        <f ca="1">VLOOKUP(I351,ЦветПолный!A:C,3,0)</f>
        <v>1</v>
      </c>
      <c r="AP351" s="97">
        <f>SUMIF(Цвет!A:A,Z351,Цвет!B:B)</f>
        <v>1</v>
      </c>
      <c r="AQ351" s="97">
        <f ca="1">_xlfn.XLOOKUP(L351,Пол!A:A,Пол!B:B,0,0)</f>
        <v>1</v>
      </c>
      <c r="AR351" s="97">
        <f ca="1">SUMIF(Бренд!A:A,G351,Бренд!B:B)</f>
        <v>1</v>
      </c>
      <c r="AS351" s="97">
        <f ca="1">SUMIF(Страна!A:A,M351,Страна!B:B)</f>
        <v>1</v>
      </c>
      <c r="AT351" s="64" t="e">
        <f ca="1">IF(VLOOKUP(W351,Товары!A:B,2,FALSE)=A351,"Есть в 1С","ERR")</f>
        <v>#N/A</v>
      </c>
      <c r="AU351" s="65" t="e">
        <f ca="1">IF(VLOOKUP(A351,Товары!B:B,1,FALSE)=A351,"Есть в 1С","ERR")</f>
        <v>#N/A</v>
      </c>
      <c r="AV351" s="96" t="e">
        <f ca="1">VLOOKUP(W351,Товары!A:B,2,FALSE)</f>
        <v>#N/A</v>
      </c>
      <c r="AW351" s="94" t="e">
        <f ca="1">VLOOKUP(W351,Товары!A:B,1,FALSE)</f>
        <v>#N/A</v>
      </c>
    </row>
    <row r="352" spans="1:49" x14ac:dyDescent="0.25">
      <c r="A352" s="110" t="str">
        <f t="shared" ca="1" si="30"/>
        <v>95-004-09</v>
      </c>
      <c r="B352" s="107" t="str">
        <f ca="1">_xlfn.LET(_xlpm.CAPS,0,_xlpm.Style,TRIM(_xlfn.XLOOKUP($A352,Строчный!$A:$A,Строчный!B:B,"ERR",0)),IF(_xlpm.CAPS=0,_xlpm.Style,LOWER(_xlpm.Style)))</f>
        <v>3101</v>
      </c>
      <c r="C352" s="81" t="str">
        <f ca="1">TRIM(PROPER(_xlfn.XLOOKUP($A352,Строчный!$A:$A,Строчный!C:C,"ERR",0)))</f>
        <v>Кепки</v>
      </c>
      <c r="D352" s="81" t="str">
        <f ca="1">_xlfn.LET(_xlpm.DATA,TRIM(_xlfn.XLOOKUP($A352,Строчный!$A:$A,Строчный!D:D,"ERR",0)),UPPER(MID(_xlpm.DATA,1,1))&amp;LOWER(MID(_xlpm.DATA,2,LEN(_xlpm.DATA)-1)))</f>
        <v>Кепка восьмиклинка</v>
      </c>
      <c r="E352" s="81" t="str">
        <f ca="1">PROPER(TRIM(_xlfn.XLOOKUP($A352,Строчный!$A:$A,Строчный!E:E,"ERR",0)))</f>
        <v>Fredrikson</v>
      </c>
      <c r="F352" s="81" t="str">
        <f ca="1">LOWER(TRIM(_xlfn.XLOOKUP($A352,Строчный!$A:$A,Строчный!F:F,"ERR",0)))</f>
        <v>всесезон</v>
      </c>
      <c r="G352" s="81" t="str">
        <f ca="1">UPPER(TRIM(_xlfn.XLOOKUP($A352,Строчный!$A:$A,Строчный!G:G,"ERR",0)))</f>
        <v>FREDRIKSON</v>
      </c>
      <c r="H352" s="81" t="str">
        <f ca="1">LOWER(TRIM(_xlfn.XLOOKUP($A352,Строчный!$A:$A,Строчный!H:H,"ERR",0)))</f>
        <v>624/91</v>
      </c>
      <c r="I352" s="81" t="str">
        <f ca="1">LOWER(TRIM(_xlfn.XLOOKUP($A352,Строчный!$A:$A,Строчный!I:I,"ERR",0)))</f>
        <v>черный</v>
      </c>
      <c r="J352" s="81" t="str">
        <f ca="1">SUBSTITUTE(LOWER(TRIM(_xlfn.XLOOKUP($A352,Строчный!$A:$A,Строчный!J:J,"ERR",0))),"подклад","Подклад")</f>
        <v>80% шерсть - 20% полиамид / Подклад: 100% вискоза</v>
      </c>
      <c r="K352" s="81" t="str">
        <f ca="1">LOWER(TRIM(_xlfn.XLOOKUP($A352,Строчный!$A:$A,Строчный!K:K,"ERR",0)))</f>
        <v>шерстяные</v>
      </c>
      <c r="L352" s="81" t="str">
        <f ca="1">PROPER(TRIM(_xlfn.XLOOKUP($A352,Строчный!$A:$A,Строчный!L:L,"ERR",0)))</f>
        <v>Унисекс</v>
      </c>
      <c r="M352" s="113" t="str">
        <f ca="1">PROPER(TRIM(_xlfn.XLOOKUP($A352,Строчный!$A:$A,Строчный!M:M,"ERR",0)))</f>
        <v>Россия</v>
      </c>
      <c r="N352" s="81" t="str">
        <f ca="1">UPPER(TRIM(_xlfn.XLOOKUP($A352,Строчный!$A:$A,Строчный!O:O,"ERR",0)))</f>
        <v/>
      </c>
      <c r="O352" s="102" t="str">
        <f ca="1">PROPER(TRIM(_xlfn.XLOOKUP($A352,Строчный!$A:$A,Строчный!P:P,"ERR",0)))</f>
        <v/>
      </c>
      <c r="P352" s="81" t="str">
        <f ca="1">PROPER(TRIM(_xlfn.XLOOKUP($A352,Строчный!$A:$A,Строчный!R:R,"ERR",0)))</f>
        <v/>
      </c>
      <c r="Q352" s="90">
        <f ca="1">VALUE(_xlfn.XLOOKUP($A352,Строчный!$A:$A,Строчный!N:N,"ERR",0))</f>
        <v>975.8</v>
      </c>
      <c r="R352" s="89" t="str">
        <f ca="1">_xlfn.XLOOKUP($G352,Фабрика!A:A,Фабрика!B:B,"ERR",0)</f>
        <v>ООО "ФРЭДРИКСОН" Россия 192029, С-Петербург, пр. Обуховской обороны, д.86, лит М</v>
      </c>
      <c r="S352" s="80" t="str">
        <f ca="1">_xlfn.XLOOKUP(RIGHT(AA352,2),Размеры!D:D,Размеры!A:A,"ERR",0)</f>
        <v>58</v>
      </c>
      <c r="T352" s="80">
        <f ca="1">VALUE(_xlfn.XLOOKUP($AA352,Строчный!$S:$S,Строчный!U:U,"ERR",0))</f>
        <v>15</v>
      </c>
      <c r="U352" s="14" t="s">
        <v>265</v>
      </c>
      <c r="V352" s="101" t="str">
        <f t="shared" ca="1" si="31"/>
        <v>Кепка FREDRIKSON арт. 3101 (черный)</v>
      </c>
      <c r="W352" s="100" t="str">
        <f t="shared" ca="1" si="32"/>
        <v>Кепка FREDRIKSON арт. 3101 (черный) {624/91}</v>
      </c>
      <c r="X352" s="18" t="str">
        <f t="shared" ca="1" si="33"/>
        <v>черный</v>
      </c>
      <c r="Y352" s="18" t="str">
        <f t="shared" ca="1" si="34"/>
        <v>черный</v>
      </c>
      <c r="Z352" s="117" t="s">
        <v>28</v>
      </c>
      <c r="AA352" s="73" t="str">
        <f ca="1"/>
        <v>95-004-09-58</v>
      </c>
      <c r="AB352" s="75" t="str">
        <f ca="1">VLOOKUP(C352,Группа!A:B,2,FALSE)</f>
        <v>Кепка</v>
      </c>
      <c r="AC352" s="97" t="str">
        <f ca="1">IFERROR(VLOOKUP(S352,Размеры!A:C,3,FALSE),"")</f>
        <v>58 M/L</v>
      </c>
      <c r="AD352" s="97" t="str">
        <f ca="1">VLOOKUP(I352,ЦветПолный!A:B,2,FALSE)</f>
        <v>09</v>
      </c>
      <c r="AE352" s="97" t="str">
        <f ca="1">IFERROR(VLOOKUP(S352,Размеры!A:D,4,FALSE),"")</f>
        <v>58</v>
      </c>
      <c r="AF352" s="97">
        <f ca="1">IF(LEFT(IFERROR(VLOOKUP(LOOKUP(2,1/SEARCH(B352,Товары!A:A),Товары!A:A),Товары!A:B,2,0),""),6)=MID(AA352,1,6),1,0)</f>
        <v>0</v>
      </c>
      <c r="AH352" s="97">
        <f ca="1">SUMIF(Группа!A:A,C352,Группа!C:C)</f>
        <v>1</v>
      </c>
      <c r="AI352" s="97">
        <f ca="1">SUMIF(Группа!B:B,AB352,Группа!C:C)</f>
        <v>1</v>
      </c>
      <c r="AJ352" s="97">
        <f ca="1">SUMIF(Формы!A:A,D352,Формы!B:B)</f>
        <v>1</v>
      </c>
      <c r="AK352" s="97">
        <f ca="1">SUMIF(Материал!A:A,K352,Материал!B:B)</f>
        <v>1</v>
      </c>
      <c r="AL352" s="97">
        <f ca="1">SUMIF(Размеры!A:A,S352,Размеры!E:E)</f>
        <v>1</v>
      </c>
      <c r="AM352" s="97">
        <f ca="1">SUMIF(Сезон!A:A,F352,Сезон!B:B)</f>
        <v>1</v>
      </c>
      <c r="AN352" s="97">
        <f ca="1">SUMIF(Состав!A:A,J352,Состав!B:B)</f>
        <v>0</v>
      </c>
      <c r="AO352" s="97">
        <f ca="1">VLOOKUP(I352,ЦветПолный!A:C,3,0)</f>
        <v>1</v>
      </c>
      <c r="AP352" s="97">
        <f>SUMIF(Цвет!A:A,Z352,Цвет!B:B)</f>
        <v>1</v>
      </c>
      <c r="AQ352" s="97">
        <f ca="1">_xlfn.XLOOKUP(L352,Пол!A:A,Пол!B:B,0,0)</f>
        <v>1</v>
      </c>
      <c r="AR352" s="97">
        <f ca="1">SUMIF(Бренд!A:A,G352,Бренд!B:B)</f>
        <v>1</v>
      </c>
      <c r="AS352" s="97">
        <f ca="1">SUMIF(Страна!A:A,M352,Страна!B:B)</f>
        <v>1</v>
      </c>
      <c r="AT352" s="64" t="e">
        <f ca="1">IF(VLOOKUP(W352,Товары!A:B,2,FALSE)=A352,"Есть в 1С","ERR")</f>
        <v>#N/A</v>
      </c>
      <c r="AU352" s="65" t="e">
        <f ca="1">IF(VLOOKUP(A352,Товары!B:B,1,FALSE)=A352,"Есть в 1С","ERR")</f>
        <v>#N/A</v>
      </c>
      <c r="AV352" s="96" t="e">
        <f ca="1">VLOOKUP(W352,Товары!A:B,2,FALSE)</f>
        <v>#N/A</v>
      </c>
      <c r="AW352" s="94" t="e">
        <f ca="1">VLOOKUP(W352,Товары!A:B,1,FALSE)</f>
        <v>#N/A</v>
      </c>
    </row>
    <row r="353" spans="1:49" x14ac:dyDescent="0.25">
      <c r="A353" s="110" t="str">
        <f t="shared" ca="1" si="30"/>
        <v>95-004-09</v>
      </c>
      <c r="B353" s="107" t="str">
        <f ca="1">_xlfn.LET(_xlpm.CAPS,0,_xlpm.Style,TRIM(_xlfn.XLOOKUP($A353,Строчный!$A:$A,Строчный!B:B,"ERR",0)),IF(_xlpm.CAPS=0,_xlpm.Style,LOWER(_xlpm.Style)))</f>
        <v>3101</v>
      </c>
      <c r="C353" s="81" t="str">
        <f ca="1">TRIM(PROPER(_xlfn.XLOOKUP($A353,Строчный!$A:$A,Строчный!C:C,"ERR",0)))</f>
        <v>Кепки</v>
      </c>
      <c r="D353" s="81" t="str">
        <f ca="1">_xlfn.LET(_xlpm.DATA,TRIM(_xlfn.XLOOKUP($A353,Строчный!$A:$A,Строчный!D:D,"ERR",0)),UPPER(MID(_xlpm.DATA,1,1))&amp;LOWER(MID(_xlpm.DATA,2,LEN(_xlpm.DATA)-1)))</f>
        <v>Кепка восьмиклинка</v>
      </c>
      <c r="E353" s="81" t="str">
        <f ca="1">PROPER(TRIM(_xlfn.XLOOKUP($A353,Строчный!$A:$A,Строчный!E:E,"ERR",0)))</f>
        <v>Fredrikson</v>
      </c>
      <c r="F353" s="81" t="str">
        <f ca="1">LOWER(TRIM(_xlfn.XLOOKUP($A353,Строчный!$A:$A,Строчный!F:F,"ERR",0)))</f>
        <v>всесезон</v>
      </c>
      <c r="G353" s="81" t="str">
        <f ca="1">UPPER(TRIM(_xlfn.XLOOKUP($A353,Строчный!$A:$A,Строчный!G:G,"ERR",0)))</f>
        <v>FREDRIKSON</v>
      </c>
      <c r="H353" s="81" t="str">
        <f ca="1">LOWER(TRIM(_xlfn.XLOOKUP($A353,Строчный!$A:$A,Строчный!H:H,"ERR",0)))</f>
        <v>624/91</v>
      </c>
      <c r="I353" s="81" t="str">
        <f ca="1">LOWER(TRIM(_xlfn.XLOOKUP($A353,Строчный!$A:$A,Строчный!I:I,"ERR",0)))</f>
        <v>черный</v>
      </c>
      <c r="J353" s="81" t="str">
        <f ca="1">SUBSTITUTE(LOWER(TRIM(_xlfn.XLOOKUP($A353,Строчный!$A:$A,Строчный!J:J,"ERR",0))),"подклад","Подклад")</f>
        <v>80% шерсть - 20% полиамид / Подклад: 100% вискоза</v>
      </c>
      <c r="K353" s="81" t="str">
        <f ca="1">LOWER(TRIM(_xlfn.XLOOKUP($A353,Строчный!$A:$A,Строчный!K:K,"ERR",0)))</f>
        <v>шерстяные</v>
      </c>
      <c r="L353" s="81" t="str">
        <f ca="1">PROPER(TRIM(_xlfn.XLOOKUP($A353,Строчный!$A:$A,Строчный!L:L,"ERR",0)))</f>
        <v>Унисекс</v>
      </c>
      <c r="M353" s="113" t="str">
        <f ca="1">PROPER(TRIM(_xlfn.XLOOKUP($A353,Строчный!$A:$A,Строчный!M:M,"ERR",0)))</f>
        <v>Россия</v>
      </c>
      <c r="N353" s="81" t="str">
        <f ca="1">UPPER(TRIM(_xlfn.XLOOKUP($A353,Строчный!$A:$A,Строчный!O:O,"ERR",0)))</f>
        <v/>
      </c>
      <c r="O353" s="102" t="str">
        <f ca="1">PROPER(TRIM(_xlfn.XLOOKUP($A353,Строчный!$A:$A,Строчный!P:P,"ERR",0)))</f>
        <v/>
      </c>
      <c r="P353" s="81" t="str">
        <f ca="1">PROPER(TRIM(_xlfn.XLOOKUP($A353,Строчный!$A:$A,Строчный!R:R,"ERR",0)))</f>
        <v/>
      </c>
      <c r="Q353" s="90">
        <f ca="1">VALUE(_xlfn.XLOOKUP($A353,Строчный!$A:$A,Строчный!N:N,"ERR",0))</f>
        <v>975.8</v>
      </c>
      <c r="R353" s="89" t="str">
        <f ca="1">_xlfn.XLOOKUP($G353,Фабрика!A:A,Фабрика!B:B,"ERR",0)</f>
        <v>ООО "ФРЭДРИКСОН" Россия 192029, С-Петербург, пр. Обуховской обороны, д.86, лит М</v>
      </c>
      <c r="S353" s="80" t="str">
        <f ca="1">_xlfn.XLOOKUP(RIGHT(AA353,2),Размеры!D:D,Размеры!A:A,"ERR",0)</f>
        <v>57</v>
      </c>
      <c r="T353" s="80">
        <f ca="1">VALUE(_xlfn.XLOOKUP($AA353,Строчный!$S:$S,Строчный!U:U,"ERR",0))</f>
        <v>10</v>
      </c>
      <c r="U353" s="14" t="s">
        <v>265</v>
      </c>
      <c r="V353" s="101" t="str">
        <f t="shared" ca="1" si="31"/>
        <v>Кепка FREDRIKSON арт. 3101 (черный)</v>
      </c>
      <c r="W353" s="100" t="str">
        <f t="shared" ca="1" si="32"/>
        <v>Кепка FREDRIKSON арт. 3101 (черный) {624/91}</v>
      </c>
      <c r="X353" s="18" t="str">
        <f t="shared" ca="1" si="33"/>
        <v>черный</v>
      </c>
      <c r="Y353" s="18" t="str">
        <f t="shared" ca="1" si="34"/>
        <v>черный</v>
      </c>
      <c r="Z353" s="117" t="s">
        <v>28</v>
      </c>
      <c r="AA353" s="73" t="str">
        <f ca="1"/>
        <v>95-004-09-57</v>
      </c>
      <c r="AB353" s="75" t="str">
        <f ca="1">VLOOKUP(C353,Группа!A:B,2,FALSE)</f>
        <v>Кепка</v>
      </c>
      <c r="AC353" s="97" t="str">
        <f ca="1">IFERROR(VLOOKUP(S353,Размеры!A:C,3,FALSE),"")</f>
        <v>57 M</v>
      </c>
      <c r="AD353" s="97" t="str">
        <f ca="1">VLOOKUP(I353,ЦветПолный!A:B,2,FALSE)</f>
        <v>09</v>
      </c>
      <c r="AE353" s="97" t="str">
        <f ca="1">IFERROR(VLOOKUP(S353,Размеры!A:D,4,FALSE),"")</f>
        <v>57</v>
      </c>
      <c r="AF353" s="97">
        <f ca="1">IF(LEFT(IFERROR(VLOOKUP(LOOKUP(2,1/SEARCH(B353,Товары!A:A),Товары!A:A),Товары!A:B,2,0),""),6)=MID(AA353,1,6),1,0)</f>
        <v>0</v>
      </c>
      <c r="AH353" s="97">
        <f ca="1">SUMIF(Группа!A:A,C353,Группа!C:C)</f>
        <v>1</v>
      </c>
      <c r="AI353" s="97">
        <f ca="1">SUMIF(Группа!B:B,AB353,Группа!C:C)</f>
        <v>1</v>
      </c>
      <c r="AJ353" s="97">
        <f ca="1">SUMIF(Формы!A:A,D353,Формы!B:B)</f>
        <v>1</v>
      </c>
      <c r="AK353" s="97">
        <f ca="1">SUMIF(Материал!A:A,K353,Материал!B:B)</f>
        <v>1</v>
      </c>
      <c r="AL353" s="97">
        <f ca="1">SUMIF(Размеры!A:A,S353,Размеры!E:E)</f>
        <v>1</v>
      </c>
      <c r="AM353" s="97">
        <f ca="1">SUMIF(Сезон!A:A,F353,Сезон!B:B)</f>
        <v>1</v>
      </c>
      <c r="AN353" s="97">
        <f ca="1">SUMIF(Состав!A:A,J353,Состав!B:B)</f>
        <v>0</v>
      </c>
      <c r="AO353" s="97">
        <f ca="1">VLOOKUP(I353,ЦветПолный!A:C,3,0)</f>
        <v>1</v>
      </c>
      <c r="AP353" s="97">
        <f>SUMIF(Цвет!A:A,Z353,Цвет!B:B)</f>
        <v>1</v>
      </c>
      <c r="AQ353" s="97">
        <f ca="1">_xlfn.XLOOKUP(L353,Пол!A:A,Пол!B:B,0,0)</f>
        <v>1</v>
      </c>
      <c r="AR353" s="97">
        <f ca="1">SUMIF(Бренд!A:A,G353,Бренд!B:B)</f>
        <v>1</v>
      </c>
      <c r="AS353" s="97">
        <f ca="1">SUMIF(Страна!A:A,M353,Страна!B:B)</f>
        <v>1</v>
      </c>
      <c r="AT353" s="64" t="e">
        <f ca="1">IF(VLOOKUP(W353,Товары!A:B,2,FALSE)=A353,"Есть в 1С","ERR")</f>
        <v>#N/A</v>
      </c>
      <c r="AU353" s="65" t="e">
        <f ca="1">IF(VLOOKUP(A353,Товары!B:B,1,FALSE)=A353,"Есть в 1С","ERR")</f>
        <v>#N/A</v>
      </c>
      <c r="AV353" s="96" t="e">
        <f ca="1">VLOOKUP(W353,Товары!A:B,2,FALSE)</f>
        <v>#N/A</v>
      </c>
      <c r="AW353" s="94" t="e">
        <f ca="1">VLOOKUP(W353,Товары!A:B,1,FALSE)</f>
        <v>#N/A</v>
      </c>
    </row>
    <row r="354" spans="1:49" x14ac:dyDescent="0.25">
      <c r="A354" s="110" t="str">
        <f t="shared" ca="1" si="30"/>
        <v>95-004-09</v>
      </c>
      <c r="B354" s="107" t="str">
        <f ca="1">_xlfn.LET(_xlpm.CAPS,0,_xlpm.Style,TRIM(_xlfn.XLOOKUP($A354,Строчный!$A:$A,Строчный!B:B,"ERR",0)),IF(_xlpm.CAPS=0,_xlpm.Style,LOWER(_xlpm.Style)))</f>
        <v>3101</v>
      </c>
      <c r="C354" s="81" t="str">
        <f ca="1">TRIM(PROPER(_xlfn.XLOOKUP($A354,Строчный!$A:$A,Строчный!C:C,"ERR",0)))</f>
        <v>Кепки</v>
      </c>
      <c r="D354" s="81" t="str">
        <f ca="1">_xlfn.LET(_xlpm.DATA,TRIM(_xlfn.XLOOKUP($A354,Строчный!$A:$A,Строчный!D:D,"ERR",0)),UPPER(MID(_xlpm.DATA,1,1))&amp;LOWER(MID(_xlpm.DATA,2,LEN(_xlpm.DATA)-1)))</f>
        <v>Кепка восьмиклинка</v>
      </c>
      <c r="E354" s="81" t="str">
        <f ca="1">PROPER(TRIM(_xlfn.XLOOKUP($A354,Строчный!$A:$A,Строчный!E:E,"ERR",0)))</f>
        <v>Fredrikson</v>
      </c>
      <c r="F354" s="81" t="str">
        <f ca="1">LOWER(TRIM(_xlfn.XLOOKUP($A354,Строчный!$A:$A,Строчный!F:F,"ERR",0)))</f>
        <v>всесезон</v>
      </c>
      <c r="G354" s="81" t="str">
        <f ca="1">UPPER(TRIM(_xlfn.XLOOKUP($A354,Строчный!$A:$A,Строчный!G:G,"ERR",0)))</f>
        <v>FREDRIKSON</v>
      </c>
      <c r="H354" s="81" t="str">
        <f ca="1">LOWER(TRIM(_xlfn.XLOOKUP($A354,Строчный!$A:$A,Строчный!H:H,"ERR",0)))</f>
        <v>624/91</v>
      </c>
      <c r="I354" s="81" t="str">
        <f ca="1">LOWER(TRIM(_xlfn.XLOOKUP($A354,Строчный!$A:$A,Строчный!I:I,"ERR",0)))</f>
        <v>черный</v>
      </c>
      <c r="J354" s="81" t="str">
        <f ca="1">SUBSTITUTE(LOWER(TRIM(_xlfn.XLOOKUP($A354,Строчный!$A:$A,Строчный!J:J,"ERR",0))),"подклад","Подклад")</f>
        <v>80% шерсть - 20% полиамид / Подклад: 100% вискоза</v>
      </c>
      <c r="K354" s="81" t="str">
        <f ca="1">LOWER(TRIM(_xlfn.XLOOKUP($A354,Строчный!$A:$A,Строчный!K:K,"ERR",0)))</f>
        <v>шерстяные</v>
      </c>
      <c r="L354" s="81" t="str">
        <f ca="1">PROPER(TRIM(_xlfn.XLOOKUP($A354,Строчный!$A:$A,Строчный!L:L,"ERR",0)))</f>
        <v>Унисекс</v>
      </c>
      <c r="M354" s="113" t="str">
        <f ca="1">PROPER(TRIM(_xlfn.XLOOKUP($A354,Строчный!$A:$A,Строчный!M:M,"ERR",0)))</f>
        <v>Россия</v>
      </c>
      <c r="N354" s="81" t="str">
        <f ca="1">UPPER(TRIM(_xlfn.XLOOKUP($A354,Строчный!$A:$A,Строчный!O:O,"ERR",0)))</f>
        <v/>
      </c>
      <c r="O354" s="102" t="str">
        <f ca="1">PROPER(TRIM(_xlfn.XLOOKUP($A354,Строчный!$A:$A,Строчный!P:P,"ERR",0)))</f>
        <v/>
      </c>
      <c r="P354" s="81" t="str">
        <f ca="1">PROPER(TRIM(_xlfn.XLOOKUP($A354,Строчный!$A:$A,Строчный!R:R,"ERR",0)))</f>
        <v/>
      </c>
      <c r="Q354" s="90">
        <f ca="1">VALUE(_xlfn.XLOOKUP($A354,Строчный!$A:$A,Строчный!N:N,"ERR",0))</f>
        <v>975.8</v>
      </c>
      <c r="R354" s="89" t="str">
        <f ca="1">_xlfn.XLOOKUP($G354,Фабрика!A:A,Фабрика!B:B,"ERR",0)</f>
        <v>ООО "ФРЭДРИКСОН" Россия 192029, С-Петербург, пр. Обуховской обороны, д.86, лит М</v>
      </c>
      <c r="S354" s="80" t="str">
        <f ca="1">_xlfn.XLOOKUP(RIGHT(AA354,2),Размеры!D:D,Размеры!A:A,"ERR",0)</f>
        <v>56</v>
      </c>
      <c r="T354" s="80">
        <f ca="1">VALUE(_xlfn.XLOOKUP($AA354,Строчный!$S:$S,Строчный!U:U,"ERR",0))</f>
        <v>5</v>
      </c>
      <c r="U354" s="14" t="s">
        <v>265</v>
      </c>
      <c r="V354" s="101" t="str">
        <f t="shared" ca="1" si="31"/>
        <v>Кепка FREDRIKSON арт. 3101 (черный)</v>
      </c>
      <c r="W354" s="100" t="str">
        <f t="shared" ca="1" si="32"/>
        <v>Кепка FREDRIKSON арт. 3101 (черный) {624/91}</v>
      </c>
      <c r="X354" s="18" t="str">
        <f t="shared" ca="1" si="33"/>
        <v>черный</v>
      </c>
      <c r="Y354" s="18" t="str">
        <f t="shared" ca="1" si="34"/>
        <v>черный</v>
      </c>
      <c r="Z354" s="117" t="s">
        <v>28</v>
      </c>
      <c r="AA354" s="73" t="str">
        <f ca="1"/>
        <v>95-004-09-56</v>
      </c>
      <c r="AB354" s="75" t="str">
        <f ca="1">VLOOKUP(C354,Группа!A:B,2,FALSE)</f>
        <v>Кепка</v>
      </c>
      <c r="AC354" s="97" t="str">
        <f ca="1">IFERROR(VLOOKUP(S354,Размеры!A:C,3,FALSE),"")</f>
        <v>56 S/M</v>
      </c>
      <c r="AD354" s="97" t="str">
        <f ca="1">VLOOKUP(I354,ЦветПолный!A:B,2,FALSE)</f>
        <v>09</v>
      </c>
      <c r="AE354" s="97" t="str">
        <f ca="1">IFERROR(VLOOKUP(S354,Размеры!A:D,4,FALSE),"")</f>
        <v>56</v>
      </c>
      <c r="AF354" s="97">
        <f ca="1">IF(LEFT(IFERROR(VLOOKUP(LOOKUP(2,1/SEARCH(B354,Товары!A:A),Товары!A:A),Товары!A:B,2,0),""),6)=MID(AA354,1,6),1,0)</f>
        <v>0</v>
      </c>
      <c r="AH354" s="97">
        <f ca="1">SUMIF(Группа!A:A,C354,Группа!C:C)</f>
        <v>1</v>
      </c>
      <c r="AI354" s="97">
        <f ca="1">SUMIF(Группа!B:B,AB354,Группа!C:C)</f>
        <v>1</v>
      </c>
      <c r="AJ354" s="97">
        <f ca="1">SUMIF(Формы!A:A,D354,Формы!B:B)</f>
        <v>1</v>
      </c>
      <c r="AK354" s="97">
        <f ca="1">SUMIF(Материал!A:A,K354,Материал!B:B)</f>
        <v>1</v>
      </c>
      <c r="AL354" s="97">
        <f ca="1">SUMIF(Размеры!A:A,S354,Размеры!E:E)</f>
        <v>1</v>
      </c>
      <c r="AM354" s="97">
        <f ca="1">SUMIF(Сезон!A:A,F354,Сезон!B:B)</f>
        <v>1</v>
      </c>
      <c r="AN354" s="97">
        <f ca="1">SUMIF(Состав!A:A,J354,Состав!B:B)</f>
        <v>0</v>
      </c>
      <c r="AO354" s="97">
        <f ca="1">VLOOKUP(I354,ЦветПолный!A:C,3,0)</f>
        <v>1</v>
      </c>
      <c r="AP354" s="97">
        <f>SUMIF(Цвет!A:A,Z354,Цвет!B:B)</f>
        <v>1</v>
      </c>
      <c r="AQ354" s="97">
        <f ca="1">_xlfn.XLOOKUP(L354,Пол!A:A,Пол!B:B,0,0)</f>
        <v>1</v>
      </c>
      <c r="AR354" s="97">
        <f ca="1">SUMIF(Бренд!A:A,G354,Бренд!B:B)</f>
        <v>1</v>
      </c>
      <c r="AS354" s="97">
        <f ca="1">SUMIF(Страна!A:A,M354,Страна!B:B)</f>
        <v>1</v>
      </c>
      <c r="AT354" s="64" t="e">
        <f ca="1">IF(VLOOKUP(W354,Товары!A:B,2,FALSE)=A354,"Есть в 1С","ERR")</f>
        <v>#N/A</v>
      </c>
      <c r="AU354" s="65" t="e">
        <f ca="1">IF(VLOOKUP(A354,Товары!B:B,1,FALSE)=A354,"Есть в 1С","ERR")</f>
        <v>#N/A</v>
      </c>
      <c r="AV354" s="96" t="e">
        <f ca="1">VLOOKUP(W354,Товары!A:B,2,FALSE)</f>
        <v>#N/A</v>
      </c>
      <c r="AW354" s="94" t="e">
        <f ca="1">VLOOKUP(W354,Товары!A:B,1,FALSE)</f>
        <v>#N/A</v>
      </c>
    </row>
    <row r="355" spans="1:49" x14ac:dyDescent="0.25">
      <c r="A355" s="110" t="str">
        <f t="shared" ca="1" si="30"/>
        <v>95-003-89</v>
      </c>
      <c r="B355" s="107" t="str">
        <f ca="1">_xlfn.LET(_xlpm.CAPS,0,_xlpm.Style,TRIM(_xlfn.XLOOKUP($A355,Строчный!$A:$A,Строчный!B:B,"ERR",0)),IF(_xlpm.CAPS=0,_xlpm.Style,LOWER(_xlpm.Style)))</f>
        <v>3035</v>
      </c>
      <c r="C355" s="81" t="str">
        <f ca="1">TRIM(PROPER(_xlfn.XLOOKUP($A355,Строчный!$A:$A,Строчный!C:C,"ERR",0)))</f>
        <v>Кепки</v>
      </c>
      <c r="D355" s="81" t="str">
        <f ca="1">_xlfn.LET(_xlpm.DATA,TRIM(_xlfn.XLOOKUP($A355,Строчный!$A:$A,Строчный!D:D,"ERR",0)),UPPER(MID(_xlpm.DATA,1,1))&amp;LOWER(MID(_xlpm.DATA,2,LEN(_xlpm.DATA)-1)))</f>
        <v>Кепка восьмиклинка</v>
      </c>
      <c r="E355" s="81" t="str">
        <f ca="1">PROPER(TRIM(_xlfn.XLOOKUP($A355,Строчный!$A:$A,Строчный!E:E,"ERR",0)))</f>
        <v>Fredrikson</v>
      </c>
      <c r="F355" s="81" t="str">
        <f ca="1">LOWER(TRIM(_xlfn.XLOOKUP($A355,Строчный!$A:$A,Строчный!F:F,"ERR",0)))</f>
        <v>всесезон</v>
      </c>
      <c r="G355" s="81" t="str">
        <f ca="1">UPPER(TRIM(_xlfn.XLOOKUP($A355,Строчный!$A:$A,Строчный!G:G,"ERR",0)))</f>
        <v>FREDRIKSON</v>
      </c>
      <c r="H355" s="81" t="str">
        <f ca="1">LOWER(TRIM(_xlfn.XLOOKUP($A355,Строчный!$A:$A,Строчный!H:H,"ERR",0)))</f>
        <v>630/23</v>
      </c>
      <c r="I355" s="81" t="str">
        <f ca="1">LOWER(TRIM(_xlfn.XLOOKUP($A355,Строчный!$A:$A,Строчный!I:I,"ERR",0)))</f>
        <v>голубой / серый</v>
      </c>
      <c r="J355" s="81" t="str">
        <f ca="1">SUBSTITUTE(LOWER(TRIM(_xlfn.XLOOKUP($A355,Строчный!$A:$A,Строчный!J:J,"ERR",0))),"подклад","Подклад")</f>
        <v>80% шерсть - 20% полиамид / Подклад: 100% вискоза</v>
      </c>
      <c r="K355" s="81" t="str">
        <f ca="1">LOWER(TRIM(_xlfn.XLOOKUP($A355,Строчный!$A:$A,Строчный!K:K,"ERR",0)))</f>
        <v>шерстяные</v>
      </c>
      <c r="L355" s="81" t="str">
        <f ca="1">PROPER(TRIM(_xlfn.XLOOKUP($A355,Строчный!$A:$A,Строчный!L:L,"ERR",0)))</f>
        <v>Унисекс</v>
      </c>
      <c r="M355" s="113" t="str">
        <f ca="1">PROPER(TRIM(_xlfn.XLOOKUP($A355,Строчный!$A:$A,Строчный!M:M,"ERR",0)))</f>
        <v>Россия</v>
      </c>
      <c r="N355" s="81" t="str">
        <f ca="1">UPPER(TRIM(_xlfn.XLOOKUP($A355,Строчный!$A:$A,Строчный!O:O,"ERR",0)))</f>
        <v/>
      </c>
      <c r="O355" s="102" t="str">
        <f ca="1">PROPER(TRIM(_xlfn.XLOOKUP($A355,Строчный!$A:$A,Строчный!P:P,"ERR",0)))</f>
        <v/>
      </c>
      <c r="P355" s="81" t="str">
        <f ca="1">PROPER(TRIM(_xlfn.XLOOKUP($A355,Строчный!$A:$A,Строчный!R:R,"ERR",0)))</f>
        <v/>
      </c>
      <c r="Q355" s="90">
        <f ca="1">VALUE(_xlfn.XLOOKUP($A355,Строчный!$A:$A,Строчный!N:N,"ERR",0))</f>
        <v>975.8</v>
      </c>
      <c r="R355" s="89" t="str">
        <f ca="1">_xlfn.XLOOKUP($G355,Фабрика!A:A,Фабрика!B:B,"ERR",0)</f>
        <v>ООО "ФРЭДРИКСОН" Россия 192029, С-Петербург, пр. Обуховской обороны, д.86, лит М</v>
      </c>
      <c r="S355" s="80" t="str">
        <f ca="1">_xlfn.XLOOKUP(RIGHT(AA355,2),Размеры!D:D,Размеры!A:A,"ERR",0)</f>
        <v>61</v>
      </c>
      <c r="T355" s="80">
        <f ca="1">VALUE(_xlfn.XLOOKUP($AA355,Строчный!$S:$S,Строчный!U:U,"ERR",0))</f>
        <v>1</v>
      </c>
      <c r="U355" s="14" t="s">
        <v>265</v>
      </c>
      <c r="V355" s="101" t="str">
        <f t="shared" ca="1" si="31"/>
        <v>Кепка FREDRIKSON арт. 3035 (голубой / серый)</v>
      </c>
      <c r="W355" s="100" t="str">
        <f t="shared" ca="1" si="32"/>
        <v>Кепка FREDRIKSON арт. 3035 (голубой / серый) {630/23}</v>
      </c>
      <c r="X355" s="18" t="str">
        <f t="shared" ca="1" si="33"/>
        <v>голубой</v>
      </c>
      <c r="Y355" s="18" t="str">
        <f t="shared" ca="1" si="34"/>
        <v>серый</v>
      </c>
      <c r="Z355" s="117" t="s">
        <v>28</v>
      </c>
      <c r="AA355" s="73" t="str">
        <f ca="1"/>
        <v>95-003-89-61</v>
      </c>
      <c r="AB355" s="75" t="str">
        <f ca="1">VLOOKUP(C355,Группа!A:B,2,FALSE)</f>
        <v>Кепка</v>
      </c>
      <c r="AC355" s="97" t="str">
        <f ca="1">IFERROR(VLOOKUP(S355,Размеры!A:C,3,FALSE),"")</f>
        <v>61 XL</v>
      </c>
      <c r="AD355" s="97" t="str">
        <f ca="1">VLOOKUP(I355,ЦветПолный!A:B,2,FALSE)</f>
        <v>89</v>
      </c>
      <c r="AE355" s="97" t="str">
        <f ca="1">IFERROR(VLOOKUP(S355,Размеры!A:D,4,FALSE),"")</f>
        <v>61</v>
      </c>
      <c r="AF355" s="97">
        <f ca="1">IF(LEFT(IFERROR(VLOOKUP(LOOKUP(2,1/SEARCH(B355,Товары!A:A),Товары!A:A),Товары!A:B,2,0),""),6)=MID(AA355,1,6),1,0)</f>
        <v>0</v>
      </c>
      <c r="AH355" s="97">
        <f ca="1">SUMIF(Группа!A:A,C355,Группа!C:C)</f>
        <v>1</v>
      </c>
      <c r="AI355" s="97">
        <f ca="1">SUMIF(Группа!B:B,AB355,Группа!C:C)</f>
        <v>1</v>
      </c>
      <c r="AJ355" s="97">
        <f ca="1">SUMIF(Формы!A:A,D355,Формы!B:B)</f>
        <v>1</v>
      </c>
      <c r="AK355" s="97">
        <f ca="1">SUMIF(Материал!A:A,K355,Материал!B:B)</f>
        <v>1</v>
      </c>
      <c r="AL355" s="97">
        <f ca="1">SUMIF(Размеры!A:A,S355,Размеры!E:E)</f>
        <v>1</v>
      </c>
      <c r="AM355" s="97">
        <f ca="1">SUMIF(Сезон!A:A,F355,Сезон!B:B)</f>
        <v>1</v>
      </c>
      <c r="AN355" s="97">
        <f ca="1">SUMIF(Состав!A:A,J355,Состав!B:B)</f>
        <v>0</v>
      </c>
      <c r="AO355" s="97">
        <f ca="1">VLOOKUP(I355,ЦветПолный!A:C,3,0)</f>
        <v>1</v>
      </c>
      <c r="AP355" s="97">
        <f>SUMIF(Цвет!A:A,Z355,Цвет!B:B)</f>
        <v>1</v>
      </c>
      <c r="AQ355" s="97">
        <f ca="1">_xlfn.XLOOKUP(L355,Пол!A:A,Пол!B:B,0,0)</f>
        <v>1</v>
      </c>
      <c r="AR355" s="97">
        <f ca="1">SUMIF(Бренд!A:A,G355,Бренд!B:B)</f>
        <v>1</v>
      </c>
      <c r="AS355" s="97">
        <f ca="1">SUMIF(Страна!A:A,M355,Страна!B:B)</f>
        <v>1</v>
      </c>
      <c r="AT355" s="64" t="e">
        <f ca="1">IF(VLOOKUP(W355,Товары!A:B,2,FALSE)=A355,"Есть в 1С","ERR")</f>
        <v>#N/A</v>
      </c>
      <c r="AU355" s="65" t="e">
        <f ca="1">IF(VLOOKUP(A355,Товары!B:B,1,FALSE)=A355,"Есть в 1С","ERR")</f>
        <v>#N/A</v>
      </c>
      <c r="AV355" s="96" t="e">
        <f ca="1">VLOOKUP(W355,Товары!A:B,2,FALSE)</f>
        <v>#N/A</v>
      </c>
      <c r="AW355" s="94" t="e">
        <f ca="1">VLOOKUP(W355,Товары!A:B,1,FALSE)</f>
        <v>#N/A</v>
      </c>
    </row>
    <row r="356" spans="1:49" x14ac:dyDescent="0.25">
      <c r="A356" s="110" t="str">
        <f t="shared" ca="1" si="30"/>
        <v>95-003-89</v>
      </c>
      <c r="B356" s="107" t="str">
        <f ca="1">_xlfn.LET(_xlpm.CAPS,0,_xlpm.Style,TRIM(_xlfn.XLOOKUP($A356,Строчный!$A:$A,Строчный!B:B,"ERR",0)),IF(_xlpm.CAPS=0,_xlpm.Style,LOWER(_xlpm.Style)))</f>
        <v>3035</v>
      </c>
      <c r="C356" s="81" t="str">
        <f ca="1">TRIM(PROPER(_xlfn.XLOOKUP($A356,Строчный!$A:$A,Строчный!C:C,"ERR",0)))</f>
        <v>Кепки</v>
      </c>
      <c r="D356" s="81" t="str">
        <f ca="1">_xlfn.LET(_xlpm.DATA,TRIM(_xlfn.XLOOKUP($A356,Строчный!$A:$A,Строчный!D:D,"ERR",0)),UPPER(MID(_xlpm.DATA,1,1))&amp;LOWER(MID(_xlpm.DATA,2,LEN(_xlpm.DATA)-1)))</f>
        <v>Кепка восьмиклинка</v>
      </c>
      <c r="E356" s="81" t="str">
        <f ca="1">PROPER(TRIM(_xlfn.XLOOKUP($A356,Строчный!$A:$A,Строчный!E:E,"ERR",0)))</f>
        <v>Fredrikson</v>
      </c>
      <c r="F356" s="81" t="str">
        <f ca="1">LOWER(TRIM(_xlfn.XLOOKUP($A356,Строчный!$A:$A,Строчный!F:F,"ERR",0)))</f>
        <v>всесезон</v>
      </c>
      <c r="G356" s="81" t="str">
        <f ca="1">UPPER(TRIM(_xlfn.XLOOKUP($A356,Строчный!$A:$A,Строчный!G:G,"ERR",0)))</f>
        <v>FREDRIKSON</v>
      </c>
      <c r="H356" s="81" t="str">
        <f ca="1">LOWER(TRIM(_xlfn.XLOOKUP($A356,Строчный!$A:$A,Строчный!H:H,"ERR",0)))</f>
        <v>630/23</v>
      </c>
      <c r="I356" s="81" t="str">
        <f ca="1">LOWER(TRIM(_xlfn.XLOOKUP($A356,Строчный!$A:$A,Строчный!I:I,"ERR",0)))</f>
        <v>голубой / серый</v>
      </c>
      <c r="J356" s="81" t="str">
        <f ca="1">SUBSTITUTE(LOWER(TRIM(_xlfn.XLOOKUP($A356,Строчный!$A:$A,Строчный!J:J,"ERR",0))),"подклад","Подклад")</f>
        <v>80% шерсть - 20% полиамид / Подклад: 100% вискоза</v>
      </c>
      <c r="K356" s="81" t="str">
        <f ca="1">LOWER(TRIM(_xlfn.XLOOKUP($A356,Строчный!$A:$A,Строчный!K:K,"ERR",0)))</f>
        <v>шерстяные</v>
      </c>
      <c r="L356" s="81" t="str">
        <f ca="1">PROPER(TRIM(_xlfn.XLOOKUP($A356,Строчный!$A:$A,Строчный!L:L,"ERR",0)))</f>
        <v>Унисекс</v>
      </c>
      <c r="M356" s="113" t="str">
        <f ca="1">PROPER(TRIM(_xlfn.XLOOKUP($A356,Строчный!$A:$A,Строчный!M:M,"ERR",0)))</f>
        <v>Россия</v>
      </c>
      <c r="N356" s="81" t="str">
        <f ca="1">UPPER(TRIM(_xlfn.XLOOKUP($A356,Строчный!$A:$A,Строчный!O:O,"ERR",0)))</f>
        <v/>
      </c>
      <c r="O356" s="102" t="str">
        <f ca="1">PROPER(TRIM(_xlfn.XLOOKUP($A356,Строчный!$A:$A,Строчный!P:P,"ERR",0)))</f>
        <v/>
      </c>
      <c r="P356" s="81" t="str">
        <f ca="1">PROPER(TRIM(_xlfn.XLOOKUP($A356,Строчный!$A:$A,Строчный!R:R,"ERR",0)))</f>
        <v/>
      </c>
      <c r="Q356" s="90">
        <f ca="1">VALUE(_xlfn.XLOOKUP($A356,Строчный!$A:$A,Строчный!N:N,"ERR",0))</f>
        <v>975.8</v>
      </c>
      <c r="R356" s="89" t="str">
        <f ca="1">_xlfn.XLOOKUP($G356,Фабрика!A:A,Фабрика!B:B,"ERR",0)</f>
        <v>ООО "ФРЭДРИКСОН" Россия 192029, С-Петербург, пр. Обуховской обороны, д.86, лит М</v>
      </c>
      <c r="S356" s="80" t="str">
        <f ca="1">_xlfn.XLOOKUP(RIGHT(AA356,2),Размеры!D:D,Размеры!A:A,"ERR",0)</f>
        <v>60</v>
      </c>
      <c r="T356" s="80">
        <f ca="1">VALUE(_xlfn.XLOOKUP($AA356,Строчный!$S:$S,Строчный!U:U,"ERR",0))</f>
        <v>3</v>
      </c>
      <c r="U356" s="14" t="s">
        <v>265</v>
      </c>
      <c r="V356" s="101" t="str">
        <f t="shared" ca="1" si="31"/>
        <v>Кепка FREDRIKSON арт. 3035 (голубой / серый)</v>
      </c>
      <c r="W356" s="100" t="str">
        <f t="shared" ca="1" si="32"/>
        <v>Кепка FREDRIKSON арт. 3035 (голубой / серый) {630/23}</v>
      </c>
      <c r="X356" s="18" t="str">
        <f t="shared" ca="1" si="33"/>
        <v>голубой</v>
      </c>
      <c r="Y356" s="18" t="str">
        <f t="shared" ca="1" si="34"/>
        <v>серый</v>
      </c>
      <c r="Z356" s="117" t="s">
        <v>28</v>
      </c>
      <c r="AA356" s="73" t="str">
        <f ca="1"/>
        <v>95-003-89-60</v>
      </c>
      <c r="AB356" s="75" t="str">
        <f ca="1">VLOOKUP(C356,Группа!A:B,2,FALSE)</f>
        <v>Кепка</v>
      </c>
      <c r="AC356" s="97" t="str">
        <f ca="1">IFERROR(VLOOKUP(S356,Размеры!A:C,3,FALSE),"")</f>
        <v>60 L/XL</v>
      </c>
      <c r="AD356" s="97" t="str">
        <f ca="1">VLOOKUP(I356,ЦветПолный!A:B,2,FALSE)</f>
        <v>89</v>
      </c>
      <c r="AE356" s="97" t="str">
        <f ca="1">IFERROR(VLOOKUP(S356,Размеры!A:D,4,FALSE),"")</f>
        <v>60</v>
      </c>
      <c r="AF356" s="97">
        <f ca="1">IF(LEFT(IFERROR(VLOOKUP(LOOKUP(2,1/SEARCH(B356,Товары!A:A),Товары!A:A),Товары!A:B,2,0),""),6)=MID(AA356,1,6),1,0)</f>
        <v>0</v>
      </c>
      <c r="AH356" s="97">
        <f ca="1">SUMIF(Группа!A:A,C356,Группа!C:C)</f>
        <v>1</v>
      </c>
      <c r="AI356" s="97">
        <f ca="1">SUMIF(Группа!B:B,AB356,Группа!C:C)</f>
        <v>1</v>
      </c>
      <c r="AJ356" s="97">
        <f ca="1">SUMIF(Формы!A:A,D356,Формы!B:B)</f>
        <v>1</v>
      </c>
      <c r="AK356" s="97">
        <f ca="1">SUMIF(Материал!A:A,K356,Материал!B:B)</f>
        <v>1</v>
      </c>
      <c r="AL356" s="97">
        <f ca="1">SUMIF(Размеры!A:A,S356,Размеры!E:E)</f>
        <v>1</v>
      </c>
      <c r="AM356" s="97">
        <f ca="1">SUMIF(Сезон!A:A,F356,Сезон!B:B)</f>
        <v>1</v>
      </c>
      <c r="AN356" s="97">
        <f ca="1">SUMIF(Состав!A:A,J356,Состав!B:B)</f>
        <v>0</v>
      </c>
      <c r="AO356" s="97">
        <f ca="1">VLOOKUP(I356,ЦветПолный!A:C,3,0)</f>
        <v>1</v>
      </c>
      <c r="AP356" s="97">
        <f>SUMIF(Цвет!A:A,Z356,Цвет!B:B)</f>
        <v>1</v>
      </c>
      <c r="AQ356" s="97">
        <f ca="1">_xlfn.XLOOKUP(L356,Пол!A:A,Пол!B:B,0,0)</f>
        <v>1</v>
      </c>
      <c r="AR356" s="97">
        <f ca="1">SUMIF(Бренд!A:A,G356,Бренд!B:B)</f>
        <v>1</v>
      </c>
      <c r="AS356" s="97">
        <f ca="1">SUMIF(Страна!A:A,M356,Страна!B:B)</f>
        <v>1</v>
      </c>
      <c r="AT356" s="64" t="e">
        <f ca="1">IF(VLOOKUP(W356,Товары!A:B,2,FALSE)=A356,"Есть в 1С","ERR")</f>
        <v>#N/A</v>
      </c>
      <c r="AU356" s="65" t="e">
        <f ca="1">IF(VLOOKUP(A356,Товары!B:B,1,FALSE)=A356,"Есть в 1С","ERR")</f>
        <v>#N/A</v>
      </c>
      <c r="AV356" s="96" t="e">
        <f ca="1">VLOOKUP(W356,Товары!A:B,2,FALSE)</f>
        <v>#N/A</v>
      </c>
      <c r="AW356" s="94" t="e">
        <f ca="1">VLOOKUP(W356,Товары!A:B,1,FALSE)</f>
        <v>#N/A</v>
      </c>
    </row>
    <row r="357" spans="1:49" x14ac:dyDescent="0.25">
      <c r="A357" s="110" t="str">
        <f t="shared" ca="1" si="30"/>
        <v>95-003-89</v>
      </c>
      <c r="B357" s="107" t="str">
        <f ca="1">_xlfn.LET(_xlpm.CAPS,0,_xlpm.Style,TRIM(_xlfn.XLOOKUP($A357,Строчный!$A:$A,Строчный!B:B,"ERR",0)),IF(_xlpm.CAPS=0,_xlpm.Style,LOWER(_xlpm.Style)))</f>
        <v>3035</v>
      </c>
      <c r="C357" s="81" t="str">
        <f ca="1">TRIM(PROPER(_xlfn.XLOOKUP($A357,Строчный!$A:$A,Строчный!C:C,"ERR",0)))</f>
        <v>Кепки</v>
      </c>
      <c r="D357" s="81" t="str">
        <f ca="1">_xlfn.LET(_xlpm.DATA,TRIM(_xlfn.XLOOKUP($A357,Строчный!$A:$A,Строчный!D:D,"ERR",0)),UPPER(MID(_xlpm.DATA,1,1))&amp;LOWER(MID(_xlpm.DATA,2,LEN(_xlpm.DATA)-1)))</f>
        <v>Кепка восьмиклинка</v>
      </c>
      <c r="E357" s="81" t="str">
        <f ca="1">PROPER(TRIM(_xlfn.XLOOKUP($A357,Строчный!$A:$A,Строчный!E:E,"ERR",0)))</f>
        <v>Fredrikson</v>
      </c>
      <c r="F357" s="81" t="str">
        <f ca="1">LOWER(TRIM(_xlfn.XLOOKUP($A357,Строчный!$A:$A,Строчный!F:F,"ERR",0)))</f>
        <v>всесезон</v>
      </c>
      <c r="G357" s="81" t="str">
        <f ca="1">UPPER(TRIM(_xlfn.XLOOKUP($A357,Строчный!$A:$A,Строчный!G:G,"ERR",0)))</f>
        <v>FREDRIKSON</v>
      </c>
      <c r="H357" s="81" t="str">
        <f ca="1">LOWER(TRIM(_xlfn.XLOOKUP($A357,Строчный!$A:$A,Строчный!H:H,"ERR",0)))</f>
        <v>630/23</v>
      </c>
      <c r="I357" s="81" t="str">
        <f ca="1">LOWER(TRIM(_xlfn.XLOOKUP($A357,Строчный!$A:$A,Строчный!I:I,"ERR",0)))</f>
        <v>голубой / серый</v>
      </c>
      <c r="J357" s="81" t="str">
        <f ca="1">SUBSTITUTE(LOWER(TRIM(_xlfn.XLOOKUP($A357,Строчный!$A:$A,Строчный!J:J,"ERR",0))),"подклад","Подклад")</f>
        <v>80% шерсть - 20% полиамид / Подклад: 100% вискоза</v>
      </c>
      <c r="K357" s="81" t="str">
        <f ca="1">LOWER(TRIM(_xlfn.XLOOKUP($A357,Строчный!$A:$A,Строчный!K:K,"ERR",0)))</f>
        <v>шерстяные</v>
      </c>
      <c r="L357" s="81" t="str">
        <f ca="1">PROPER(TRIM(_xlfn.XLOOKUP($A357,Строчный!$A:$A,Строчный!L:L,"ERR",0)))</f>
        <v>Унисекс</v>
      </c>
      <c r="M357" s="113" t="str">
        <f ca="1">PROPER(TRIM(_xlfn.XLOOKUP($A357,Строчный!$A:$A,Строчный!M:M,"ERR",0)))</f>
        <v>Россия</v>
      </c>
      <c r="N357" s="81" t="str">
        <f ca="1">UPPER(TRIM(_xlfn.XLOOKUP($A357,Строчный!$A:$A,Строчный!O:O,"ERR",0)))</f>
        <v/>
      </c>
      <c r="O357" s="102" t="str">
        <f ca="1">PROPER(TRIM(_xlfn.XLOOKUP($A357,Строчный!$A:$A,Строчный!P:P,"ERR",0)))</f>
        <v/>
      </c>
      <c r="P357" s="81" t="str">
        <f ca="1">PROPER(TRIM(_xlfn.XLOOKUP($A357,Строчный!$A:$A,Строчный!R:R,"ERR",0)))</f>
        <v/>
      </c>
      <c r="Q357" s="90">
        <f ca="1">VALUE(_xlfn.XLOOKUP($A357,Строчный!$A:$A,Строчный!N:N,"ERR",0))</f>
        <v>975.8</v>
      </c>
      <c r="R357" s="89" t="str">
        <f ca="1">_xlfn.XLOOKUP($G357,Фабрика!A:A,Фабрика!B:B,"ERR",0)</f>
        <v>ООО "ФРЭДРИКСОН" Россия 192029, С-Петербург, пр. Обуховской обороны, д.86, лит М</v>
      </c>
      <c r="S357" s="80" t="str">
        <f ca="1">_xlfn.XLOOKUP(RIGHT(AA357,2),Размеры!D:D,Размеры!A:A,"ERR",0)</f>
        <v>59</v>
      </c>
      <c r="T357" s="80">
        <f ca="1">VALUE(_xlfn.XLOOKUP($AA357,Строчный!$S:$S,Строчный!U:U,"ERR",0))</f>
        <v>4</v>
      </c>
      <c r="U357" s="14" t="s">
        <v>265</v>
      </c>
      <c r="V357" s="101" t="str">
        <f t="shared" ca="1" si="31"/>
        <v>Кепка FREDRIKSON арт. 3035 (голубой / серый)</v>
      </c>
      <c r="W357" s="100" t="str">
        <f t="shared" ca="1" si="32"/>
        <v>Кепка FREDRIKSON арт. 3035 (голубой / серый) {630/23}</v>
      </c>
      <c r="X357" s="18" t="str">
        <f t="shared" ca="1" si="33"/>
        <v>голубой</v>
      </c>
      <c r="Y357" s="18" t="str">
        <f t="shared" ca="1" si="34"/>
        <v>серый</v>
      </c>
      <c r="Z357" s="117" t="s">
        <v>28</v>
      </c>
      <c r="AA357" s="73" t="str">
        <f ca="1"/>
        <v>95-003-89-59</v>
      </c>
      <c r="AB357" s="75" t="str">
        <f ca="1">VLOOKUP(C357,Группа!A:B,2,FALSE)</f>
        <v>Кепка</v>
      </c>
      <c r="AC357" s="97" t="str">
        <f ca="1">IFERROR(VLOOKUP(S357,Размеры!A:C,3,FALSE),"")</f>
        <v>59 L</v>
      </c>
      <c r="AD357" s="97" t="str">
        <f ca="1">VLOOKUP(I357,ЦветПолный!A:B,2,FALSE)</f>
        <v>89</v>
      </c>
      <c r="AE357" s="97" t="str">
        <f ca="1">IFERROR(VLOOKUP(S357,Размеры!A:D,4,FALSE),"")</f>
        <v>59</v>
      </c>
      <c r="AF357" s="97">
        <f ca="1">IF(LEFT(IFERROR(VLOOKUP(LOOKUP(2,1/SEARCH(B357,Товары!A:A),Товары!A:A),Товары!A:B,2,0),""),6)=MID(AA357,1,6),1,0)</f>
        <v>0</v>
      </c>
      <c r="AH357" s="97">
        <f ca="1">SUMIF(Группа!A:A,C357,Группа!C:C)</f>
        <v>1</v>
      </c>
      <c r="AI357" s="97">
        <f ca="1">SUMIF(Группа!B:B,AB357,Группа!C:C)</f>
        <v>1</v>
      </c>
      <c r="AJ357" s="97">
        <f ca="1">SUMIF(Формы!A:A,D357,Формы!B:B)</f>
        <v>1</v>
      </c>
      <c r="AK357" s="97">
        <f ca="1">SUMIF(Материал!A:A,K357,Материал!B:B)</f>
        <v>1</v>
      </c>
      <c r="AL357" s="97">
        <f ca="1">SUMIF(Размеры!A:A,S357,Размеры!E:E)</f>
        <v>1</v>
      </c>
      <c r="AM357" s="97">
        <f ca="1">SUMIF(Сезон!A:A,F357,Сезон!B:B)</f>
        <v>1</v>
      </c>
      <c r="AN357" s="97">
        <f ca="1">SUMIF(Состав!A:A,J357,Состав!B:B)</f>
        <v>0</v>
      </c>
      <c r="AO357" s="97">
        <f ca="1">VLOOKUP(I357,ЦветПолный!A:C,3,0)</f>
        <v>1</v>
      </c>
      <c r="AP357" s="97">
        <f>SUMIF(Цвет!A:A,Z357,Цвет!B:B)</f>
        <v>1</v>
      </c>
      <c r="AQ357" s="97">
        <f ca="1">_xlfn.XLOOKUP(L357,Пол!A:A,Пол!B:B,0,0)</f>
        <v>1</v>
      </c>
      <c r="AR357" s="97">
        <f ca="1">SUMIF(Бренд!A:A,G357,Бренд!B:B)</f>
        <v>1</v>
      </c>
      <c r="AS357" s="97">
        <f ca="1">SUMIF(Страна!A:A,M357,Страна!B:B)</f>
        <v>1</v>
      </c>
      <c r="AT357" s="64" t="e">
        <f ca="1">IF(VLOOKUP(W357,Товары!A:B,2,FALSE)=A357,"Есть в 1С","ERR")</f>
        <v>#N/A</v>
      </c>
      <c r="AU357" s="65" t="e">
        <f ca="1">IF(VLOOKUP(A357,Товары!B:B,1,FALSE)=A357,"Есть в 1С","ERR")</f>
        <v>#N/A</v>
      </c>
      <c r="AV357" s="96" t="e">
        <f ca="1">VLOOKUP(W357,Товары!A:B,2,FALSE)</f>
        <v>#N/A</v>
      </c>
      <c r="AW357" s="94" t="e">
        <f ca="1">VLOOKUP(W357,Товары!A:B,1,FALSE)</f>
        <v>#N/A</v>
      </c>
    </row>
    <row r="358" spans="1:49" x14ac:dyDescent="0.25">
      <c r="A358" s="110" t="str">
        <f t="shared" ca="1" si="30"/>
        <v>95-003-89</v>
      </c>
      <c r="B358" s="107" t="str">
        <f ca="1">_xlfn.LET(_xlpm.CAPS,0,_xlpm.Style,TRIM(_xlfn.XLOOKUP($A358,Строчный!$A:$A,Строчный!B:B,"ERR",0)),IF(_xlpm.CAPS=0,_xlpm.Style,LOWER(_xlpm.Style)))</f>
        <v>3035</v>
      </c>
      <c r="C358" s="81" t="str">
        <f ca="1">TRIM(PROPER(_xlfn.XLOOKUP($A358,Строчный!$A:$A,Строчный!C:C,"ERR",0)))</f>
        <v>Кепки</v>
      </c>
      <c r="D358" s="81" t="str">
        <f ca="1">_xlfn.LET(_xlpm.DATA,TRIM(_xlfn.XLOOKUP($A358,Строчный!$A:$A,Строчный!D:D,"ERR",0)),UPPER(MID(_xlpm.DATA,1,1))&amp;LOWER(MID(_xlpm.DATA,2,LEN(_xlpm.DATA)-1)))</f>
        <v>Кепка восьмиклинка</v>
      </c>
      <c r="E358" s="81" t="str">
        <f ca="1">PROPER(TRIM(_xlfn.XLOOKUP($A358,Строчный!$A:$A,Строчный!E:E,"ERR",0)))</f>
        <v>Fredrikson</v>
      </c>
      <c r="F358" s="81" t="str">
        <f ca="1">LOWER(TRIM(_xlfn.XLOOKUP($A358,Строчный!$A:$A,Строчный!F:F,"ERR",0)))</f>
        <v>всесезон</v>
      </c>
      <c r="G358" s="81" t="str">
        <f ca="1">UPPER(TRIM(_xlfn.XLOOKUP($A358,Строчный!$A:$A,Строчный!G:G,"ERR",0)))</f>
        <v>FREDRIKSON</v>
      </c>
      <c r="H358" s="81" t="str">
        <f ca="1">LOWER(TRIM(_xlfn.XLOOKUP($A358,Строчный!$A:$A,Строчный!H:H,"ERR",0)))</f>
        <v>630/23</v>
      </c>
      <c r="I358" s="81" t="str">
        <f ca="1">LOWER(TRIM(_xlfn.XLOOKUP($A358,Строчный!$A:$A,Строчный!I:I,"ERR",0)))</f>
        <v>голубой / серый</v>
      </c>
      <c r="J358" s="81" t="str">
        <f ca="1">SUBSTITUTE(LOWER(TRIM(_xlfn.XLOOKUP($A358,Строчный!$A:$A,Строчный!J:J,"ERR",0))),"подклад","Подклад")</f>
        <v>80% шерсть - 20% полиамид / Подклад: 100% вискоза</v>
      </c>
      <c r="K358" s="81" t="str">
        <f ca="1">LOWER(TRIM(_xlfn.XLOOKUP($A358,Строчный!$A:$A,Строчный!K:K,"ERR",0)))</f>
        <v>шерстяные</v>
      </c>
      <c r="L358" s="81" t="str">
        <f ca="1">PROPER(TRIM(_xlfn.XLOOKUP($A358,Строчный!$A:$A,Строчный!L:L,"ERR",0)))</f>
        <v>Унисекс</v>
      </c>
      <c r="M358" s="113" t="str">
        <f ca="1">PROPER(TRIM(_xlfn.XLOOKUP($A358,Строчный!$A:$A,Строчный!M:M,"ERR",0)))</f>
        <v>Россия</v>
      </c>
      <c r="N358" s="81" t="str">
        <f ca="1">UPPER(TRIM(_xlfn.XLOOKUP($A358,Строчный!$A:$A,Строчный!O:O,"ERR",0)))</f>
        <v/>
      </c>
      <c r="O358" s="102" t="str">
        <f ca="1">PROPER(TRIM(_xlfn.XLOOKUP($A358,Строчный!$A:$A,Строчный!P:P,"ERR",0)))</f>
        <v/>
      </c>
      <c r="P358" s="81" t="str">
        <f ca="1">PROPER(TRIM(_xlfn.XLOOKUP($A358,Строчный!$A:$A,Строчный!R:R,"ERR",0)))</f>
        <v/>
      </c>
      <c r="Q358" s="90">
        <f ca="1">VALUE(_xlfn.XLOOKUP($A358,Строчный!$A:$A,Строчный!N:N,"ERR",0))</f>
        <v>975.8</v>
      </c>
      <c r="R358" s="89" t="str">
        <f ca="1">_xlfn.XLOOKUP($G358,Фабрика!A:A,Фабрика!B:B,"ERR",0)</f>
        <v>ООО "ФРЭДРИКСОН" Россия 192029, С-Петербург, пр. Обуховской обороны, д.86, лит М</v>
      </c>
      <c r="S358" s="80" t="str">
        <f ca="1">_xlfn.XLOOKUP(RIGHT(AA358,2),Размеры!D:D,Размеры!A:A,"ERR",0)</f>
        <v>58</v>
      </c>
      <c r="T358" s="80">
        <f ca="1">VALUE(_xlfn.XLOOKUP($AA358,Строчный!$S:$S,Строчный!U:U,"ERR",0))</f>
        <v>3</v>
      </c>
      <c r="U358" s="14" t="s">
        <v>265</v>
      </c>
      <c r="V358" s="101" t="str">
        <f t="shared" ca="1" si="31"/>
        <v>Кепка FREDRIKSON арт. 3035 (голубой / серый)</v>
      </c>
      <c r="W358" s="100" t="str">
        <f t="shared" ca="1" si="32"/>
        <v>Кепка FREDRIKSON арт. 3035 (голубой / серый) {630/23}</v>
      </c>
      <c r="X358" s="18" t="str">
        <f t="shared" ca="1" si="33"/>
        <v>голубой</v>
      </c>
      <c r="Y358" s="18" t="str">
        <f t="shared" ca="1" si="34"/>
        <v>серый</v>
      </c>
      <c r="Z358" s="117" t="s">
        <v>28</v>
      </c>
      <c r="AA358" s="73" t="str">
        <f ca="1"/>
        <v>95-003-89-58</v>
      </c>
      <c r="AB358" s="75" t="str">
        <f ca="1">VLOOKUP(C358,Группа!A:B,2,FALSE)</f>
        <v>Кепка</v>
      </c>
      <c r="AC358" s="97" t="str">
        <f ca="1">IFERROR(VLOOKUP(S358,Размеры!A:C,3,FALSE),"")</f>
        <v>58 M/L</v>
      </c>
      <c r="AD358" s="97" t="str">
        <f ca="1">VLOOKUP(I358,ЦветПолный!A:B,2,FALSE)</f>
        <v>89</v>
      </c>
      <c r="AE358" s="97" t="str">
        <f ca="1">IFERROR(VLOOKUP(S358,Размеры!A:D,4,FALSE),"")</f>
        <v>58</v>
      </c>
      <c r="AF358" s="97">
        <f ca="1">IF(LEFT(IFERROR(VLOOKUP(LOOKUP(2,1/SEARCH(B358,Товары!A:A),Товары!A:A),Товары!A:B,2,0),""),6)=MID(AA358,1,6),1,0)</f>
        <v>0</v>
      </c>
      <c r="AH358" s="97">
        <f ca="1">SUMIF(Группа!A:A,C358,Группа!C:C)</f>
        <v>1</v>
      </c>
      <c r="AI358" s="97">
        <f ca="1">SUMIF(Группа!B:B,AB358,Группа!C:C)</f>
        <v>1</v>
      </c>
      <c r="AJ358" s="97">
        <f ca="1">SUMIF(Формы!A:A,D358,Формы!B:B)</f>
        <v>1</v>
      </c>
      <c r="AK358" s="97">
        <f ca="1">SUMIF(Материал!A:A,K358,Материал!B:B)</f>
        <v>1</v>
      </c>
      <c r="AL358" s="97">
        <f ca="1">SUMIF(Размеры!A:A,S358,Размеры!E:E)</f>
        <v>1</v>
      </c>
      <c r="AM358" s="97">
        <f ca="1">SUMIF(Сезон!A:A,F358,Сезон!B:B)</f>
        <v>1</v>
      </c>
      <c r="AN358" s="97">
        <f ca="1">SUMIF(Состав!A:A,J358,Состав!B:B)</f>
        <v>0</v>
      </c>
      <c r="AO358" s="97">
        <f ca="1">VLOOKUP(I358,ЦветПолный!A:C,3,0)</f>
        <v>1</v>
      </c>
      <c r="AP358" s="97">
        <f>SUMIF(Цвет!A:A,Z358,Цвет!B:B)</f>
        <v>1</v>
      </c>
      <c r="AQ358" s="97">
        <f ca="1">_xlfn.XLOOKUP(L358,Пол!A:A,Пол!B:B,0,0)</f>
        <v>1</v>
      </c>
      <c r="AR358" s="97">
        <f ca="1">SUMIF(Бренд!A:A,G358,Бренд!B:B)</f>
        <v>1</v>
      </c>
      <c r="AS358" s="97">
        <f ca="1">SUMIF(Страна!A:A,M358,Страна!B:B)</f>
        <v>1</v>
      </c>
      <c r="AT358" s="64" t="e">
        <f ca="1">IF(VLOOKUP(W358,Товары!A:B,2,FALSE)=A358,"Есть в 1С","ERR")</f>
        <v>#N/A</v>
      </c>
      <c r="AU358" s="65" t="e">
        <f ca="1">IF(VLOOKUP(A358,Товары!B:B,1,FALSE)=A358,"Есть в 1С","ERR")</f>
        <v>#N/A</v>
      </c>
      <c r="AV358" s="96" t="e">
        <f ca="1">VLOOKUP(W358,Товары!A:B,2,FALSE)</f>
        <v>#N/A</v>
      </c>
      <c r="AW358" s="94" t="e">
        <f ca="1">VLOOKUP(W358,Товары!A:B,1,FALSE)</f>
        <v>#N/A</v>
      </c>
    </row>
    <row r="359" spans="1:49" x14ac:dyDescent="0.25">
      <c r="A359" s="110" t="str">
        <f t="shared" ca="1" si="30"/>
        <v>95-003-89</v>
      </c>
      <c r="B359" s="107" t="str">
        <f ca="1">_xlfn.LET(_xlpm.CAPS,0,_xlpm.Style,TRIM(_xlfn.XLOOKUP($A359,Строчный!$A:$A,Строчный!B:B,"ERR",0)),IF(_xlpm.CAPS=0,_xlpm.Style,LOWER(_xlpm.Style)))</f>
        <v>3035</v>
      </c>
      <c r="C359" s="81" t="str">
        <f ca="1">TRIM(PROPER(_xlfn.XLOOKUP($A359,Строчный!$A:$A,Строчный!C:C,"ERR",0)))</f>
        <v>Кепки</v>
      </c>
      <c r="D359" s="81" t="str">
        <f ca="1">_xlfn.LET(_xlpm.DATA,TRIM(_xlfn.XLOOKUP($A359,Строчный!$A:$A,Строчный!D:D,"ERR",0)),UPPER(MID(_xlpm.DATA,1,1))&amp;LOWER(MID(_xlpm.DATA,2,LEN(_xlpm.DATA)-1)))</f>
        <v>Кепка восьмиклинка</v>
      </c>
      <c r="E359" s="81" t="str">
        <f ca="1">PROPER(TRIM(_xlfn.XLOOKUP($A359,Строчный!$A:$A,Строчный!E:E,"ERR",0)))</f>
        <v>Fredrikson</v>
      </c>
      <c r="F359" s="81" t="str">
        <f ca="1">LOWER(TRIM(_xlfn.XLOOKUP($A359,Строчный!$A:$A,Строчный!F:F,"ERR",0)))</f>
        <v>всесезон</v>
      </c>
      <c r="G359" s="81" t="str">
        <f ca="1">UPPER(TRIM(_xlfn.XLOOKUP($A359,Строчный!$A:$A,Строчный!G:G,"ERR",0)))</f>
        <v>FREDRIKSON</v>
      </c>
      <c r="H359" s="81" t="str">
        <f ca="1">LOWER(TRIM(_xlfn.XLOOKUP($A359,Строчный!$A:$A,Строчный!H:H,"ERR",0)))</f>
        <v>630/23</v>
      </c>
      <c r="I359" s="81" t="str">
        <f ca="1">LOWER(TRIM(_xlfn.XLOOKUP($A359,Строчный!$A:$A,Строчный!I:I,"ERR",0)))</f>
        <v>голубой / серый</v>
      </c>
      <c r="J359" s="81" t="str">
        <f ca="1">SUBSTITUTE(LOWER(TRIM(_xlfn.XLOOKUP($A359,Строчный!$A:$A,Строчный!J:J,"ERR",0))),"подклад","Подклад")</f>
        <v>80% шерсть - 20% полиамид / Подклад: 100% вискоза</v>
      </c>
      <c r="K359" s="81" t="str">
        <f ca="1">LOWER(TRIM(_xlfn.XLOOKUP($A359,Строчный!$A:$A,Строчный!K:K,"ERR",0)))</f>
        <v>шерстяные</v>
      </c>
      <c r="L359" s="81" t="str">
        <f ca="1">PROPER(TRIM(_xlfn.XLOOKUP($A359,Строчный!$A:$A,Строчный!L:L,"ERR",0)))</f>
        <v>Унисекс</v>
      </c>
      <c r="M359" s="113" t="str">
        <f ca="1">PROPER(TRIM(_xlfn.XLOOKUP($A359,Строчный!$A:$A,Строчный!M:M,"ERR",0)))</f>
        <v>Россия</v>
      </c>
      <c r="N359" s="81" t="str">
        <f ca="1">UPPER(TRIM(_xlfn.XLOOKUP($A359,Строчный!$A:$A,Строчный!O:O,"ERR",0)))</f>
        <v/>
      </c>
      <c r="O359" s="102" t="str">
        <f ca="1">PROPER(TRIM(_xlfn.XLOOKUP($A359,Строчный!$A:$A,Строчный!P:P,"ERR",0)))</f>
        <v/>
      </c>
      <c r="P359" s="81" t="str">
        <f ca="1">PROPER(TRIM(_xlfn.XLOOKUP($A359,Строчный!$A:$A,Строчный!R:R,"ERR",0)))</f>
        <v/>
      </c>
      <c r="Q359" s="90">
        <f ca="1">VALUE(_xlfn.XLOOKUP($A359,Строчный!$A:$A,Строчный!N:N,"ERR",0))</f>
        <v>975.8</v>
      </c>
      <c r="R359" s="89" t="str">
        <f ca="1">_xlfn.XLOOKUP($G359,Фабрика!A:A,Фабрика!B:B,"ERR",0)</f>
        <v>ООО "ФРЭДРИКСОН" Россия 192029, С-Петербург, пр. Обуховской обороны, д.86, лит М</v>
      </c>
      <c r="S359" s="80" t="str">
        <f ca="1">_xlfn.XLOOKUP(RIGHT(AA359,2),Размеры!D:D,Размеры!A:A,"ERR",0)</f>
        <v>57</v>
      </c>
      <c r="T359" s="80">
        <f ca="1">VALUE(_xlfn.XLOOKUP($AA359,Строчный!$S:$S,Строчный!U:U,"ERR",0))</f>
        <v>2</v>
      </c>
      <c r="U359" s="14" t="s">
        <v>265</v>
      </c>
      <c r="V359" s="101" t="str">
        <f t="shared" ca="1" si="31"/>
        <v>Кепка FREDRIKSON арт. 3035 (голубой / серый)</v>
      </c>
      <c r="W359" s="100" t="str">
        <f t="shared" ca="1" si="32"/>
        <v>Кепка FREDRIKSON арт. 3035 (голубой / серый) {630/23}</v>
      </c>
      <c r="X359" s="18" t="str">
        <f t="shared" ca="1" si="33"/>
        <v>голубой</v>
      </c>
      <c r="Y359" s="18" t="str">
        <f t="shared" ca="1" si="34"/>
        <v>серый</v>
      </c>
      <c r="Z359" s="117" t="s">
        <v>28</v>
      </c>
      <c r="AA359" s="73" t="str">
        <f ca="1"/>
        <v>95-003-89-57</v>
      </c>
      <c r="AB359" s="75" t="str">
        <f ca="1">VLOOKUP(C359,Группа!A:B,2,FALSE)</f>
        <v>Кепка</v>
      </c>
      <c r="AC359" s="97" t="str">
        <f ca="1">IFERROR(VLOOKUP(S359,Размеры!A:C,3,FALSE),"")</f>
        <v>57 M</v>
      </c>
      <c r="AD359" s="97" t="str">
        <f ca="1">VLOOKUP(I359,ЦветПолный!A:B,2,FALSE)</f>
        <v>89</v>
      </c>
      <c r="AE359" s="97" t="str">
        <f ca="1">IFERROR(VLOOKUP(S359,Размеры!A:D,4,FALSE),"")</f>
        <v>57</v>
      </c>
      <c r="AF359" s="97">
        <f ca="1">IF(LEFT(IFERROR(VLOOKUP(LOOKUP(2,1/SEARCH(B359,Товары!A:A),Товары!A:A),Товары!A:B,2,0),""),6)=MID(AA359,1,6),1,0)</f>
        <v>0</v>
      </c>
      <c r="AH359" s="97">
        <f ca="1">SUMIF(Группа!A:A,C359,Группа!C:C)</f>
        <v>1</v>
      </c>
      <c r="AI359" s="97">
        <f ca="1">SUMIF(Группа!B:B,AB359,Группа!C:C)</f>
        <v>1</v>
      </c>
      <c r="AJ359" s="97">
        <f ca="1">SUMIF(Формы!A:A,D359,Формы!B:B)</f>
        <v>1</v>
      </c>
      <c r="AK359" s="97">
        <f ca="1">SUMIF(Материал!A:A,K359,Материал!B:B)</f>
        <v>1</v>
      </c>
      <c r="AL359" s="97">
        <f ca="1">SUMIF(Размеры!A:A,S359,Размеры!E:E)</f>
        <v>1</v>
      </c>
      <c r="AM359" s="97">
        <f ca="1">SUMIF(Сезон!A:A,F359,Сезон!B:B)</f>
        <v>1</v>
      </c>
      <c r="AN359" s="97">
        <f ca="1">SUMIF(Состав!A:A,J359,Состав!B:B)</f>
        <v>0</v>
      </c>
      <c r="AO359" s="97">
        <f ca="1">VLOOKUP(I359,ЦветПолный!A:C,3,0)</f>
        <v>1</v>
      </c>
      <c r="AP359" s="97">
        <f>SUMIF(Цвет!A:A,Z359,Цвет!B:B)</f>
        <v>1</v>
      </c>
      <c r="AQ359" s="97">
        <f ca="1">_xlfn.XLOOKUP(L359,Пол!A:A,Пол!B:B,0,0)</f>
        <v>1</v>
      </c>
      <c r="AR359" s="97">
        <f ca="1">SUMIF(Бренд!A:A,G359,Бренд!B:B)</f>
        <v>1</v>
      </c>
      <c r="AS359" s="97">
        <f ca="1">SUMIF(Страна!A:A,M359,Страна!B:B)</f>
        <v>1</v>
      </c>
      <c r="AT359" s="64" t="e">
        <f ca="1">IF(VLOOKUP(W359,Товары!A:B,2,FALSE)=A359,"Есть в 1С","ERR")</f>
        <v>#N/A</v>
      </c>
      <c r="AU359" s="65" t="e">
        <f ca="1">IF(VLOOKUP(A359,Товары!B:B,1,FALSE)=A359,"Есть в 1С","ERR")</f>
        <v>#N/A</v>
      </c>
      <c r="AV359" s="96" t="e">
        <f ca="1">VLOOKUP(W359,Товары!A:B,2,FALSE)</f>
        <v>#N/A</v>
      </c>
      <c r="AW359" s="94" t="e">
        <f ca="1">VLOOKUP(W359,Товары!A:B,1,FALSE)</f>
        <v>#N/A</v>
      </c>
    </row>
    <row r="360" spans="1:49" x14ac:dyDescent="0.25">
      <c r="A360" s="110" t="str">
        <f t="shared" ca="1" si="30"/>
        <v>95-003-63</v>
      </c>
      <c r="B360" s="107" t="str">
        <f ca="1">_xlfn.LET(_xlpm.CAPS,0,_xlpm.Style,TRIM(_xlfn.XLOOKUP($A360,Строчный!$A:$A,Строчный!B:B,"ERR",0)),IF(_xlpm.CAPS=0,_xlpm.Style,LOWER(_xlpm.Style)))</f>
        <v>3035</v>
      </c>
      <c r="C360" s="81" t="str">
        <f ca="1">TRIM(PROPER(_xlfn.XLOOKUP($A360,Строчный!$A:$A,Строчный!C:C,"ERR",0)))</f>
        <v>Кепки</v>
      </c>
      <c r="D360" s="81" t="str">
        <f ca="1">_xlfn.LET(_xlpm.DATA,TRIM(_xlfn.XLOOKUP($A360,Строчный!$A:$A,Строчный!D:D,"ERR",0)),UPPER(MID(_xlpm.DATA,1,1))&amp;LOWER(MID(_xlpm.DATA,2,LEN(_xlpm.DATA)-1)))</f>
        <v>Кепка восьмиклинка</v>
      </c>
      <c r="E360" s="81" t="str">
        <f ca="1">PROPER(TRIM(_xlfn.XLOOKUP($A360,Строчный!$A:$A,Строчный!E:E,"ERR",0)))</f>
        <v>Fredrikson</v>
      </c>
      <c r="F360" s="81" t="str">
        <f ca="1">LOWER(TRIM(_xlfn.XLOOKUP($A360,Строчный!$A:$A,Строчный!F:F,"ERR",0)))</f>
        <v>всесезон</v>
      </c>
      <c r="G360" s="81" t="str">
        <f ca="1">UPPER(TRIM(_xlfn.XLOOKUP($A360,Строчный!$A:$A,Строчный!G:G,"ERR",0)))</f>
        <v>FREDRIKSON</v>
      </c>
      <c r="H360" s="81" t="str">
        <f ca="1">LOWER(TRIM(_xlfn.XLOOKUP($A360,Строчный!$A:$A,Строчный!H:H,"ERR",0)))</f>
        <v>637/70</v>
      </c>
      <c r="I360" s="81" t="str">
        <f ca="1">LOWER(TRIM(_xlfn.XLOOKUP($A360,Строчный!$A:$A,Строчный!I:I,"ERR",0)))</f>
        <v>темно-серый / темно-синий</v>
      </c>
      <c r="J360" s="81" t="str">
        <f ca="1">SUBSTITUTE(LOWER(TRIM(_xlfn.XLOOKUP($A360,Строчный!$A:$A,Строчный!J:J,"ERR",0))),"подклад","Подклад")</f>
        <v>80% шерсть - 20% полиамид / Подклад: 100% вискоза</v>
      </c>
      <c r="K360" s="81" t="str">
        <f ca="1">LOWER(TRIM(_xlfn.XLOOKUP($A360,Строчный!$A:$A,Строчный!K:K,"ERR",0)))</f>
        <v>шерстяные</v>
      </c>
      <c r="L360" s="81" t="str">
        <f ca="1">PROPER(TRIM(_xlfn.XLOOKUP($A360,Строчный!$A:$A,Строчный!L:L,"ERR",0)))</f>
        <v>Унисекс</v>
      </c>
      <c r="M360" s="113" t="str">
        <f ca="1">PROPER(TRIM(_xlfn.XLOOKUP($A360,Строчный!$A:$A,Строчный!M:M,"ERR",0)))</f>
        <v>Россия</v>
      </c>
      <c r="N360" s="81" t="str">
        <f ca="1">UPPER(TRIM(_xlfn.XLOOKUP($A360,Строчный!$A:$A,Строчный!O:O,"ERR",0)))</f>
        <v/>
      </c>
      <c r="O360" s="102" t="str">
        <f ca="1">PROPER(TRIM(_xlfn.XLOOKUP($A360,Строчный!$A:$A,Строчный!P:P,"ERR",0)))</f>
        <v/>
      </c>
      <c r="P360" s="81" t="str">
        <f ca="1">PROPER(TRIM(_xlfn.XLOOKUP($A360,Строчный!$A:$A,Строчный!R:R,"ERR",0)))</f>
        <v/>
      </c>
      <c r="Q360" s="90">
        <f ca="1">VALUE(_xlfn.XLOOKUP($A360,Строчный!$A:$A,Строчный!N:N,"ERR",0))</f>
        <v>975.8</v>
      </c>
      <c r="R360" s="89" t="str">
        <f ca="1">_xlfn.XLOOKUP($G360,Фабрика!A:A,Фабрика!B:B,"ERR",0)</f>
        <v>ООО "ФРЭДРИКСОН" Россия 192029, С-Петербург, пр. Обуховской обороны, д.86, лит М</v>
      </c>
      <c r="S360" s="80" t="str">
        <f ca="1">_xlfn.XLOOKUP(RIGHT(AA360,2),Размеры!D:D,Размеры!A:A,"ERR",0)</f>
        <v>62</v>
      </c>
      <c r="T360" s="80">
        <f ca="1">VALUE(_xlfn.XLOOKUP($AA360,Строчный!$S:$S,Строчный!U:U,"ERR",0))</f>
        <v>1</v>
      </c>
      <c r="U360" s="14" t="s">
        <v>265</v>
      </c>
      <c r="V360" s="101" t="str">
        <f t="shared" ca="1" si="31"/>
        <v>Кепка FREDRIKSON арт. 3035 (темно-серый / темно-синий)</v>
      </c>
      <c r="W360" s="100" t="str">
        <f t="shared" ca="1" si="32"/>
        <v>Кепка FREDRIKSON арт. 3035 (темно-серый / темно-синий) {637/70}</v>
      </c>
      <c r="X360" s="18" t="str">
        <f t="shared" ca="1" si="33"/>
        <v>серый / темно-синий</v>
      </c>
      <c r="Y360" s="18" t="str">
        <f t="shared" ca="1" si="34"/>
        <v>серый / темно-синий</v>
      </c>
      <c r="Z360" s="117" t="s">
        <v>28</v>
      </c>
      <c r="AA360" s="73" t="str">
        <f ca="1"/>
        <v>95-003-63-62</v>
      </c>
      <c r="AB360" s="75" t="str">
        <f ca="1">VLOOKUP(C360,Группа!A:B,2,FALSE)</f>
        <v>Кепка</v>
      </c>
      <c r="AC360" s="97" t="str">
        <f ca="1">IFERROR(VLOOKUP(S360,Размеры!A:C,3,FALSE),"")</f>
        <v>62 XL/XXL</v>
      </c>
      <c r="AD360" s="97" t="str">
        <f ca="1">VLOOKUP(I360,ЦветПолный!A:B,2,FALSE)</f>
        <v>63</v>
      </c>
      <c r="AE360" s="97" t="str">
        <f ca="1">IFERROR(VLOOKUP(S360,Размеры!A:D,4,FALSE),"")</f>
        <v>62</v>
      </c>
      <c r="AF360" s="97">
        <f ca="1">IF(LEFT(IFERROR(VLOOKUP(LOOKUP(2,1/SEARCH(B360,Товары!A:A),Товары!A:A),Товары!A:B,2,0),""),6)=MID(AA360,1,6),1,0)</f>
        <v>0</v>
      </c>
      <c r="AH360" s="97">
        <f ca="1">SUMIF(Группа!A:A,C360,Группа!C:C)</f>
        <v>1</v>
      </c>
      <c r="AI360" s="97">
        <f ca="1">SUMIF(Группа!B:B,AB360,Группа!C:C)</f>
        <v>1</v>
      </c>
      <c r="AJ360" s="97">
        <f ca="1">SUMIF(Формы!A:A,D360,Формы!B:B)</f>
        <v>1</v>
      </c>
      <c r="AK360" s="97">
        <f ca="1">SUMIF(Материал!A:A,K360,Материал!B:B)</f>
        <v>1</v>
      </c>
      <c r="AL360" s="97">
        <f ca="1">SUMIF(Размеры!A:A,S360,Размеры!E:E)</f>
        <v>1</v>
      </c>
      <c r="AM360" s="97">
        <f ca="1">SUMIF(Сезон!A:A,F360,Сезон!B:B)</f>
        <v>1</v>
      </c>
      <c r="AN360" s="97">
        <f ca="1">SUMIF(Состав!A:A,J360,Состав!B:B)</f>
        <v>0</v>
      </c>
      <c r="AO360" s="97">
        <f ca="1">VLOOKUP(I360,ЦветПолный!A:C,3,0)</f>
        <v>1</v>
      </c>
      <c r="AP360" s="97">
        <f>SUMIF(Цвет!A:A,Z360,Цвет!B:B)</f>
        <v>1</v>
      </c>
      <c r="AQ360" s="97">
        <f ca="1">_xlfn.XLOOKUP(L360,Пол!A:A,Пол!B:B,0,0)</f>
        <v>1</v>
      </c>
      <c r="AR360" s="97">
        <f ca="1">SUMIF(Бренд!A:A,G360,Бренд!B:B)</f>
        <v>1</v>
      </c>
      <c r="AS360" s="97">
        <f ca="1">SUMIF(Страна!A:A,M360,Страна!B:B)</f>
        <v>1</v>
      </c>
      <c r="AT360" s="64" t="e">
        <f ca="1">IF(VLOOKUP(W360,Товары!A:B,2,FALSE)=A360,"Есть в 1С","ERR")</f>
        <v>#N/A</v>
      </c>
      <c r="AU360" s="65" t="e">
        <f ca="1">IF(VLOOKUP(A360,Товары!B:B,1,FALSE)=A360,"Есть в 1С","ERR")</f>
        <v>#N/A</v>
      </c>
      <c r="AV360" s="96" t="e">
        <f ca="1">VLOOKUP(W360,Товары!A:B,2,FALSE)</f>
        <v>#N/A</v>
      </c>
      <c r="AW360" s="94" t="e">
        <f ca="1">VLOOKUP(W360,Товары!A:B,1,FALSE)</f>
        <v>#N/A</v>
      </c>
    </row>
    <row r="361" spans="1:49" x14ac:dyDescent="0.25">
      <c r="A361" s="110" t="str">
        <f t="shared" ca="1" si="30"/>
        <v>95-003-63</v>
      </c>
      <c r="B361" s="107" t="str">
        <f ca="1">_xlfn.LET(_xlpm.CAPS,0,_xlpm.Style,TRIM(_xlfn.XLOOKUP($A361,Строчный!$A:$A,Строчный!B:B,"ERR",0)),IF(_xlpm.CAPS=0,_xlpm.Style,LOWER(_xlpm.Style)))</f>
        <v>3035</v>
      </c>
      <c r="C361" s="81" t="str">
        <f ca="1">TRIM(PROPER(_xlfn.XLOOKUP($A361,Строчный!$A:$A,Строчный!C:C,"ERR",0)))</f>
        <v>Кепки</v>
      </c>
      <c r="D361" s="81" t="str">
        <f ca="1">_xlfn.LET(_xlpm.DATA,TRIM(_xlfn.XLOOKUP($A361,Строчный!$A:$A,Строчный!D:D,"ERR",0)),UPPER(MID(_xlpm.DATA,1,1))&amp;LOWER(MID(_xlpm.DATA,2,LEN(_xlpm.DATA)-1)))</f>
        <v>Кепка восьмиклинка</v>
      </c>
      <c r="E361" s="81" t="str">
        <f ca="1">PROPER(TRIM(_xlfn.XLOOKUP($A361,Строчный!$A:$A,Строчный!E:E,"ERR",0)))</f>
        <v>Fredrikson</v>
      </c>
      <c r="F361" s="81" t="str">
        <f ca="1">LOWER(TRIM(_xlfn.XLOOKUP($A361,Строчный!$A:$A,Строчный!F:F,"ERR",0)))</f>
        <v>всесезон</v>
      </c>
      <c r="G361" s="81" t="str">
        <f ca="1">UPPER(TRIM(_xlfn.XLOOKUP($A361,Строчный!$A:$A,Строчный!G:G,"ERR",0)))</f>
        <v>FREDRIKSON</v>
      </c>
      <c r="H361" s="81" t="str">
        <f ca="1">LOWER(TRIM(_xlfn.XLOOKUP($A361,Строчный!$A:$A,Строчный!H:H,"ERR",0)))</f>
        <v>637/70</v>
      </c>
      <c r="I361" s="81" t="str">
        <f ca="1">LOWER(TRIM(_xlfn.XLOOKUP($A361,Строчный!$A:$A,Строчный!I:I,"ERR",0)))</f>
        <v>темно-серый / темно-синий</v>
      </c>
      <c r="J361" s="81" t="str">
        <f ca="1">SUBSTITUTE(LOWER(TRIM(_xlfn.XLOOKUP($A361,Строчный!$A:$A,Строчный!J:J,"ERR",0))),"подклад","Подклад")</f>
        <v>80% шерсть - 20% полиамид / Подклад: 100% вискоза</v>
      </c>
      <c r="K361" s="81" t="str">
        <f ca="1">LOWER(TRIM(_xlfn.XLOOKUP($A361,Строчный!$A:$A,Строчный!K:K,"ERR",0)))</f>
        <v>шерстяные</v>
      </c>
      <c r="L361" s="81" t="str">
        <f ca="1">PROPER(TRIM(_xlfn.XLOOKUP($A361,Строчный!$A:$A,Строчный!L:L,"ERR",0)))</f>
        <v>Унисекс</v>
      </c>
      <c r="M361" s="113" t="str">
        <f ca="1">PROPER(TRIM(_xlfn.XLOOKUP($A361,Строчный!$A:$A,Строчный!M:M,"ERR",0)))</f>
        <v>Россия</v>
      </c>
      <c r="N361" s="81" t="str">
        <f ca="1">UPPER(TRIM(_xlfn.XLOOKUP($A361,Строчный!$A:$A,Строчный!O:O,"ERR",0)))</f>
        <v/>
      </c>
      <c r="O361" s="102" t="str">
        <f ca="1">PROPER(TRIM(_xlfn.XLOOKUP($A361,Строчный!$A:$A,Строчный!P:P,"ERR",0)))</f>
        <v/>
      </c>
      <c r="P361" s="81" t="str">
        <f ca="1">PROPER(TRIM(_xlfn.XLOOKUP($A361,Строчный!$A:$A,Строчный!R:R,"ERR",0)))</f>
        <v/>
      </c>
      <c r="Q361" s="90">
        <f ca="1">VALUE(_xlfn.XLOOKUP($A361,Строчный!$A:$A,Строчный!N:N,"ERR",0))</f>
        <v>975.8</v>
      </c>
      <c r="R361" s="89" t="str">
        <f ca="1">_xlfn.XLOOKUP($G361,Фабрика!A:A,Фабрика!B:B,"ERR",0)</f>
        <v>ООО "ФРЭДРИКСОН" Россия 192029, С-Петербург, пр. Обуховской обороны, д.86, лит М</v>
      </c>
      <c r="S361" s="80" t="str">
        <f ca="1">_xlfn.XLOOKUP(RIGHT(AA361,2),Размеры!D:D,Размеры!A:A,"ERR",0)</f>
        <v>61</v>
      </c>
      <c r="T361" s="80">
        <f ca="1">VALUE(_xlfn.XLOOKUP($AA361,Строчный!$S:$S,Строчный!U:U,"ERR",0))</f>
        <v>2</v>
      </c>
      <c r="U361" s="14" t="s">
        <v>265</v>
      </c>
      <c r="V361" s="101" t="str">
        <f t="shared" ca="1" si="31"/>
        <v>Кепка FREDRIKSON арт. 3035 (темно-серый / темно-синий)</v>
      </c>
      <c r="W361" s="100" t="str">
        <f t="shared" ca="1" si="32"/>
        <v>Кепка FREDRIKSON арт. 3035 (темно-серый / темно-синий) {637/70}</v>
      </c>
      <c r="X361" s="18" t="str">
        <f t="shared" ca="1" si="33"/>
        <v>серый / темно-синий</v>
      </c>
      <c r="Y361" s="18" t="str">
        <f t="shared" ca="1" si="34"/>
        <v>серый / темно-синий</v>
      </c>
      <c r="Z361" s="117" t="s">
        <v>28</v>
      </c>
      <c r="AA361" s="73" t="str">
        <f ca="1"/>
        <v>95-003-63-61</v>
      </c>
      <c r="AB361" s="75" t="str">
        <f ca="1">VLOOKUP(C361,Группа!A:B,2,FALSE)</f>
        <v>Кепка</v>
      </c>
      <c r="AC361" s="97" t="str">
        <f ca="1">IFERROR(VLOOKUP(S361,Размеры!A:C,3,FALSE),"")</f>
        <v>61 XL</v>
      </c>
      <c r="AD361" s="97" t="str">
        <f ca="1">VLOOKUP(I361,ЦветПолный!A:B,2,FALSE)</f>
        <v>63</v>
      </c>
      <c r="AE361" s="97" t="str">
        <f ca="1">IFERROR(VLOOKUP(S361,Размеры!A:D,4,FALSE),"")</f>
        <v>61</v>
      </c>
      <c r="AF361" s="97">
        <f ca="1">IF(LEFT(IFERROR(VLOOKUP(LOOKUP(2,1/SEARCH(B361,Товары!A:A),Товары!A:A),Товары!A:B,2,0),""),6)=MID(AA361,1,6),1,0)</f>
        <v>0</v>
      </c>
      <c r="AH361" s="97">
        <f ca="1">SUMIF(Группа!A:A,C361,Группа!C:C)</f>
        <v>1</v>
      </c>
      <c r="AI361" s="97">
        <f ca="1">SUMIF(Группа!B:B,AB361,Группа!C:C)</f>
        <v>1</v>
      </c>
      <c r="AJ361" s="97">
        <f ca="1">SUMIF(Формы!A:A,D361,Формы!B:B)</f>
        <v>1</v>
      </c>
      <c r="AK361" s="97">
        <f ca="1">SUMIF(Материал!A:A,K361,Материал!B:B)</f>
        <v>1</v>
      </c>
      <c r="AL361" s="97">
        <f ca="1">SUMIF(Размеры!A:A,S361,Размеры!E:E)</f>
        <v>1</v>
      </c>
      <c r="AM361" s="97">
        <f ca="1">SUMIF(Сезон!A:A,F361,Сезон!B:B)</f>
        <v>1</v>
      </c>
      <c r="AN361" s="97">
        <f ca="1">SUMIF(Состав!A:A,J361,Состав!B:B)</f>
        <v>0</v>
      </c>
      <c r="AO361" s="97">
        <f ca="1">VLOOKUP(I361,ЦветПолный!A:C,3,0)</f>
        <v>1</v>
      </c>
      <c r="AP361" s="97">
        <f>SUMIF(Цвет!A:A,Z361,Цвет!B:B)</f>
        <v>1</v>
      </c>
      <c r="AQ361" s="97">
        <f ca="1">_xlfn.XLOOKUP(L361,Пол!A:A,Пол!B:B,0,0)</f>
        <v>1</v>
      </c>
      <c r="AR361" s="97">
        <f ca="1">SUMIF(Бренд!A:A,G361,Бренд!B:B)</f>
        <v>1</v>
      </c>
      <c r="AS361" s="97">
        <f ca="1">SUMIF(Страна!A:A,M361,Страна!B:B)</f>
        <v>1</v>
      </c>
      <c r="AT361" s="64" t="e">
        <f ca="1">IF(VLOOKUP(W361,Товары!A:B,2,FALSE)=A361,"Есть в 1С","ERR")</f>
        <v>#N/A</v>
      </c>
      <c r="AU361" s="65" t="e">
        <f ca="1">IF(VLOOKUP(A361,Товары!B:B,1,FALSE)=A361,"Есть в 1С","ERR")</f>
        <v>#N/A</v>
      </c>
      <c r="AV361" s="96" t="e">
        <f ca="1">VLOOKUP(W361,Товары!A:B,2,FALSE)</f>
        <v>#N/A</v>
      </c>
      <c r="AW361" s="94" t="e">
        <f ca="1">VLOOKUP(W361,Товары!A:B,1,FALSE)</f>
        <v>#N/A</v>
      </c>
    </row>
    <row r="362" spans="1:49" x14ac:dyDescent="0.25">
      <c r="A362" s="110" t="str">
        <f t="shared" ca="1" si="30"/>
        <v>95-003-63</v>
      </c>
      <c r="B362" s="107" t="str">
        <f ca="1">_xlfn.LET(_xlpm.CAPS,0,_xlpm.Style,TRIM(_xlfn.XLOOKUP($A362,Строчный!$A:$A,Строчный!B:B,"ERR",0)),IF(_xlpm.CAPS=0,_xlpm.Style,LOWER(_xlpm.Style)))</f>
        <v>3035</v>
      </c>
      <c r="C362" s="81" t="str">
        <f ca="1">TRIM(PROPER(_xlfn.XLOOKUP($A362,Строчный!$A:$A,Строчный!C:C,"ERR",0)))</f>
        <v>Кепки</v>
      </c>
      <c r="D362" s="81" t="str">
        <f ca="1">_xlfn.LET(_xlpm.DATA,TRIM(_xlfn.XLOOKUP($A362,Строчный!$A:$A,Строчный!D:D,"ERR",0)),UPPER(MID(_xlpm.DATA,1,1))&amp;LOWER(MID(_xlpm.DATA,2,LEN(_xlpm.DATA)-1)))</f>
        <v>Кепка восьмиклинка</v>
      </c>
      <c r="E362" s="81" t="str">
        <f ca="1">PROPER(TRIM(_xlfn.XLOOKUP($A362,Строчный!$A:$A,Строчный!E:E,"ERR",0)))</f>
        <v>Fredrikson</v>
      </c>
      <c r="F362" s="81" t="str">
        <f ca="1">LOWER(TRIM(_xlfn.XLOOKUP($A362,Строчный!$A:$A,Строчный!F:F,"ERR",0)))</f>
        <v>всесезон</v>
      </c>
      <c r="G362" s="81" t="str">
        <f ca="1">UPPER(TRIM(_xlfn.XLOOKUP($A362,Строчный!$A:$A,Строчный!G:G,"ERR",0)))</f>
        <v>FREDRIKSON</v>
      </c>
      <c r="H362" s="81" t="str">
        <f ca="1">LOWER(TRIM(_xlfn.XLOOKUP($A362,Строчный!$A:$A,Строчный!H:H,"ERR",0)))</f>
        <v>637/70</v>
      </c>
      <c r="I362" s="81" t="str">
        <f ca="1">LOWER(TRIM(_xlfn.XLOOKUP($A362,Строчный!$A:$A,Строчный!I:I,"ERR",0)))</f>
        <v>темно-серый / темно-синий</v>
      </c>
      <c r="J362" s="81" t="str">
        <f ca="1">SUBSTITUTE(LOWER(TRIM(_xlfn.XLOOKUP($A362,Строчный!$A:$A,Строчный!J:J,"ERR",0))),"подклад","Подклад")</f>
        <v>80% шерсть - 20% полиамид / Подклад: 100% вискоза</v>
      </c>
      <c r="K362" s="81" t="str">
        <f ca="1">LOWER(TRIM(_xlfn.XLOOKUP($A362,Строчный!$A:$A,Строчный!K:K,"ERR",0)))</f>
        <v>шерстяные</v>
      </c>
      <c r="L362" s="81" t="str">
        <f ca="1">PROPER(TRIM(_xlfn.XLOOKUP($A362,Строчный!$A:$A,Строчный!L:L,"ERR",0)))</f>
        <v>Унисекс</v>
      </c>
      <c r="M362" s="113" t="str">
        <f ca="1">PROPER(TRIM(_xlfn.XLOOKUP($A362,Строчный!$A:$A,Строчный!M:M,"ERR",0)))</f>
        <v>Россия</v>
      </c>
      <c r="N362" s="81" t="str">
        <f ca="1">UPPER(TRIM(_xlfn.XLOOKUP($A362,Строчный!$A:$A,Строчный!O:O,"ERR",0)))</f>
        <v/>
      </c>
      <c r="O362" s="102" t="str">
        <f ca="1">PROPER(TRIM(_xlfn.XLOOKUP($A362,Строчный!$A:$A,Строчный!P:P,"ERR",0)))</f>
        <v/>
      </c>
      <c r="P362" s="81" t="str">
        <f ca="1">PROPER(TRIM(_xlfn.XLOOKUP($A362,Строчный!$A:$A,Строчный!R:R,"ERR",0)))</f>
        <v/>
      </c>
      <c r="Q362" s="90">
        <f ca="1">VALUE(_xlfn.XLOOKUP($A362,Строчный!$A:$A,Строчный!N:N,"ERR",0))</f>
        <v>975.8</v>
      </c>
      <c r="R362" s="89" t="str">
        <f ca="1">_xlfn.XLOOKUP($G362,Фабрика!A:A,Фабрика!B:B,"ERR",0)</f>
        <v>ООО "ФРЭДРИКСОН" Россия 192029, С-Петербург, пр. Обуховской обороны, д.86, лит М</v>
      </c>
      <c r="S362" s="80" t="str">
        <f ca="1">_xlfn.XLOOKUP(RIGHT(AA362,2),Размеры!D:D,Размеры!A:A,"ERR",0)</f>
        <v>60</v>
      </c>
      <c r="T362" s="80">
        <f ca="1">VALUE(_xlfn.XLOOKUP($AA362,Строчный!$S:$S,Строчный!U:U,"ERR",0))</f>
        <v>4</v>
      </c>
      <c r="U362" s="14" t="s">
        <v>265</v>
      </c>
      <c r="V362" s="101" t="str">
        <f t="shared" ca="1" si="31"/>
        <v>Кепка FREDRIKSON арт. 3035 (темно-серый / темно-синий)</v>
      </c>
      <c r="W362" s="100" t="str">
        <f t="shared" ca="1" si="32"/>
        <v>Кепка FREDRIKSON арт. 3035 (темно-серый / темно-синий) {637/70}</v>
      </c>
      <c r="X362" s="18" t="str">
        <f t="shared" ca="1" si="33"/>
        <v>серый / темно-синий</v>
      </c>
      <c r="Y362" s="18" t="str">
        <f t="shared" ca="1" si="34"/>
        <v>серый / темно-синий</v>
      </c>
      <c r="Z362" s="117" t="s">
        <v>28</v>
      </c>
      <c r="AA362" s="73" t="str">
        <f ca="1"/>
        <v>95-003-63-60</v>
      </c>
      <c r="AB362" s="75" t="str">
        <f ca="1">VLOOKUP(C362,Группа!A:B,2,FALSE)</f>
        <v>Кепка</v>
      </c>
      <c r="AC362" s="97" t="str">
        <f ca="1">IFERROR(VLOOKUP(S362,Размеры!A:C,3,FALSE),"")</f>
        <v>60 L/XL</v>
      </c>
      <c r="AD362" s="97" t="str">
        <f ca="1">VLOOKUP(I362,ЦветПолный!A:B,2,FALSE)</f>
        <v>63</v>
      </c>
      <c r="AE362" s="97" t="str">
        <f ca="1">IFERROR(VLOOKUP(S362,Размеры!A:D,4,FALSE),"")</f>
        <v>60</v>
      </c>
      <c r="AF362" s="97">
        <f ca="1">IF(LEFT(IFERROR(VLOOKUP(LOOKUP(2,1/SEARCH(B362,Товары!A:A),Товары!A:A),Товары!A:B,2,0),""),6)=MID(AA362,1,6),1,0)</f>
        <v>0</v>
      </c>
      <c r="AH362" s="97">
        <f ca="1">SUMIF(Группа!A:A,C362,Группа!C:C)</f>
        <v>1</v>
      </c>
      <c r="AI362" s="97">
        <f ca="1">SUMIF(Группа!B:B,AB362,Группа!C:C)</f>
        <v>1</v>
      </c>
      <c r="AJ362" s="97">
        <f ca="1">SUMIF(Формы!A:A,D362,Формы!B:B)</f>
        <v>1</v>
      </c>
      <c r="AK362" s="97">
        <f ca="1">SUMIF(Материал!A:A,K362,Материал!B:B)</f>
        <v>1</v>
      </c>
      <c r="AL362" s="97">
        <f ca="1">SUMIF(Размеры!A:A,S362,Размеры!E:E)</f>
        <v>1</v>
      </c>
      <c r="AM362" s="97">
        <f ca="1">SUMIF(Сезон!A:A,F362,Сезон!B:B)</f>
        <v>1</v>
      </c>
      <c r="AN362" s="97">
        <f ca="1">SUMIF(Состав!A:A,J362,Состав!B:B)</f>
        <v>0</v>
      </c>
      <c r="AO362" s="97">
        <f ca="1">VLOOKUP(I362,ЦветПолный!A:C,3,0)</f>
        <v>1</v>
      </c>
      <c r="AP362" s="97">
        <f>SUMIF(Цвет!A:A,Z362,Цвет!B:B)</f>
        <v>1</v>
      </c>
      <c r="AQ362" s="97">
        <f ca="1">_xlfn.XLOOKUP(L362,Пол!A:A,Пол!B:B,0,0)</f>
        <v>1</v>
      </c>
      <c r="AR362" s="97">
        <f ca="1">SUMIF(Бренд!A:A,G362,Бренд!B:B)</f>
        <v>1</v>
      </c>
      <c r="AS362" s="97">
        <f ca="1">SUMIF(Страна!A:A,M362,Страна!B:B)</f>
        <v>1</v>
      </c>
      <c r="AT362" s="64" t="e">
        <f ca="1">IF(VLOOKUP(W362,Товары!A:B,2,FALSE)=A362,"Есть в 1С","ERR")</f>
        <v>#N/A</v>
      </c>
      <c r="AU362" s="65" t="e">
        <f ca="1">IF(VLOOKUP(A362,Товары!B:B,1,FALSE)=A362,"Есть в 1С","ERR")</f>
        <v>#N/A</v>
      </c>
      <c r="AV362" s="96" t="e">
        <f ca="1">VLOOKUP(W362,Товары!A:B,2,FALSE)</f>
        <v>#N/A</v>
      </c>
      <c r="AW362" s="94" t="e">
        <f ca="1">VLOOKUP(W362,Товары!A:B,1,FALSE)</f>
        <v>#N/A</v>
      </c>
    </row>
    <row r="363" spans="1:49" x14ac:dyDescent="0.25">
      <c r="A363" s="110" t="str">
        <f t="shared" ca="1" si="30"/>
        <v>95-003-63</v>
      </c>
      <c r="B363" s="107" t="str">
        <f ca="1">_xlfn.LET(_xlpm.CAPS,0,_xlpm.Style,TRIM(_xlfn.XLOOKUP($A363,Строчный!$A:$A,Строчный!B:B,"ERR",0)),IF(_xlpm.CAPS=0,_xlpm.Style,LOWER(_xlpm.Style)))</f>
        <v>3035</v>
      </c>
      <c r="C363" s="81" t="str">
        <f ca="1">TRIM(PROPER(_xlfn.XLOOKUP($A363,Строчный!$A:$A,Строчный!C:C,"ERR",0)))</f>
        <v>Кепки</v>
      </c>
      <c r="D363" s="81" t="str">
        <f ca="1">_xlfn.LET(_xlpm.DATA,TRIM(_xlfn.XLOOKUP($A363,Строчный!$A:$A,Строчный!D:D,"ERR",0)),UPPER(MID(_xlpm.DATA,1,1))&amp;LOWER(MID(_xlpm.DATA,2,LEN(_xlpm.DATA)-1)))</f>
        <v>Кепка восьмиклинка</v>
      </c>
      <c r="E363" s="81" t="str">
        <f ca="1">PROPER(TRIM(_xlfn.XLOOKUP($A363,Строчный!$A:$A,Строчный!E:E,"ERR",0)))</f>
        <v>Fredrikson</v>
      </c>
      <c r="F363" s="81" t="str">
        <f ca="1">LOWER(TRIM(_xlfn.XLOOKUP($A363,Строчный!$A:$A,Строчный!F:F,"ERR",0)))</f>
        <v>всесезон</v>
      </c>
      <c r="G363" s="81" t="str">
        <f ca="1">UPPER(TRIM(_xlfn.XLOOKUP($A363,Строчный!$A:$A,Строчный!G:G,"ERR",0)))</f>
        <v>FREDRIKSON</v>
      </c>
      <c r="H363" s="81" t="str">
        <f ca="1">LOWER(TRIM(_xlfn.XLOOKUP($A363,Строчный!$A:$A,Строчный!H:H,"ERR",0)))</f>
        <v>637/70</v>
      </c>
      <c r="I363" s="81" t="str">
        <f ca="1">LOWER(TRIM(_xlfn.XLOOKUP($A363,Строчный!$A:$A,Строчный!I:I,"ERR",0)))</f>
        <v>темно-серый / темно-синий</v>
      </c>
      <c r="J363" s="81" t="str">
        <f ca="1">SUBSTITUTE(LOWER(TRIM(_xlfn.XLOOKUP($A363,Строчный!$A:$A,Строчный!J:J,"ERR",0))),"подклад","Подклад")</f>
        <v>80% шерсть - 20% полиамид / Подклад: 100% вискоза</v>
      </c>
      <c r="K363" s="81" t="str">
        <f ca="1">LOWER(TRIM(_xlfn.XLOOKUP($A363,Строчный!$A:$A,Строчный!K:K,"ERR",0)))</f>
        <v>шерстяные</v>
      </c>
      <c r="L363" s="81" t="str">
        <f ca="1">PROPER(TRIM(_xlfn.XLOOKUP($A363,Строчный!$A:$A,Строчный!L:L,"ERR",0)))</f>
        <v>Унисекс</v>
      </c>
      <c r="M363" s="113" t="str">
        <f ca="1">PROPER(TRIM(_xlfn.XLOOKUP($A363,Строчный!$A:$A,Строчный!M:M,"ERR",0)))</f>
        <v>Россия</v>
      </c>
      <c r="N363" s="81" t="str">
        <f ca="1">UPPER(TRIM(_xlfn.XLOOKUP($A363,Строчный!$A:$A,Строчный!O:O,"ERR",0)))</f>
        <v/>
      </c>
      <c r="O363" s="102" t="str">
        <f ca="1">PROPER(TRIM(_xlfn.XLOOKUP($A363,Строчный!$A:$A,Строчный!P:P,"ERR",0)))</f>
        <v/>
      </c>
      <c r="P363" s="81" t="str">
        <f ca="1">PROPER(TRIM(_xlfn.XLOOKUP($A363,Строчный!$A:$A,Строчный!R:R,"ERR",0)))</f>
        <v/>
      </c>
      <c r="Q363" s="90">
        <f ca="1">VALUE(_xlfn.XLOOKUP($A363,Строчный!$A:$A,Строчный!N:N,"ERR",0))</f>
        <v>975.8</v>
      </c>
      <c r="R363" s="89" t="str">
        <f ca="1">_xlfn.XLOOKUP($G363,Фабрика!A:A,Фабрика!B:B,"ERR",0)</f>
        <v>ООО "ФРЭДРИКСОН" Россия 192029, С-Петербург, пр. Обуховской обороны, д.86, лит М</v>
      </c>
      <c r="S363" s="80" t="str">
        <f ca="1">_xlfn.XLOOKUP(RIGHT(AA363,2),Размеры!D:D,Размеры!A:A,"ERR",0)</f>
        <v>59</v>
      </c>
      <c r="T363" s="80">
        <f ca="1">VALUE(_xlfn.XLOOKUP($AA363,Строчный!$S:$S,Строчный!U:U,"ERR",0))</f>
        <v>5</v>
      </c>
      <c r="U363" s="14" t="s">
        <v>265</v>
      </c>
      <c r="V363" s="101" t="str">
        <f t="shared" ca="1" si="31"/>
        <v>Кепка FREDRIKSON арт. 3035 (темно-серый / темно-синий)</v>
      </c>
      <c r="W363" s="100" t="str">
        <f t="shared" ca="1" si="32"/>
        <v>Кепка FREDRIKSON арт. 3035 (темно-серый / темно-синий) {637/70}</v>
      </c>
      <c r="X363" s="18" t="str">
        <f t="shared" ca="1" si="33"/>
        <v>серый / темно-синий</v>
      </c>
      <c r="Y363" s="18" t="str">
        <f t="shared" ca="1" si="34"/>
        <v>серый / темно-синий</v>
      </c>
      <c r="Z363" s="117" t="s">
        <v>28</v>
      </c>
      <c r="AA363" s="73" t="str">
        <f ca="1"/>
        <v>95-003-63-59</v>
      </c>
      <c r="AB363" s="75" t="str">
        <f ca="1">VLOOKUP(C363,Группа!A:B,2,FALSE)</f>
        <v>Кепка</v>
      </c>
      <c r="AC363" s="97" t="str">
        <f ca="1">IFERROR(VLOOKUP(S363,Размеры!A:C,3,FALSE),"")</f>
        <v>59 L</v>
      </c>
      <c r="AD363" s="97" t="str">
        <f ca="1">VLOOKUP(I363,ЦветПолный!A:B,2,FALSE)</f>
        <v>63</v>
      </c>
      <c r="AE363" s="97" t="str">
        <f ca="1">IFERROR(VLOOKUP(S363,Размеры!A:D,4,FALSE),"")</f>
        <v>59</v>
      </c>
      <c r="AF363" s="97">
        <f ca="1">IF(LEFT(IFERROR(VLOOKUP(LOOKUP(2,1/SEARCH(B363,Товары!A:A),Товары!A:A),Товары!A:B,2,0),""),6)=MID(AA363,1,6),1,0)</f>
        <v>0</v>
      </c>
      <c r="AH363" s="97">
        <f ca="1">SUMIF(Группа!A:A,C363,Группа!C:C)</f>
        <v>1</v>
      </c>
      <c r="AI363" s="97">
        <f ca="1">SUMIF(Группа!B:B,AB363,Группа!C:C)</f>
        <v>1</v>
      </c>
      <c r="AJ363" s="97">
        <f ca="1">SUMIF(Формы!A:A,D363,Формы!B:B)</f>
        <v>1</v>
      </c>
      <c r="AK363" s="97">
        <f ca="1">SUMIF(Материал!A:A,K363,Материал!B:B)</f>
        <v>1</v>
      </c>
      <c r="AL363" s="97">
        <f ca="1">SUMIF(Размеры!A:A,S363,Размеры!E:E)</f>
        <v>1</v>
      </c>
      <c r="AM363" s="97">
        <f ca="1">SUMIF(Сезон!A:A,F363,Сезон!B:B)</f>
        <v>1</v>
      </c>
      <c r="AN363" s="97">
        <f ca="1">SUMIF(Состав!A:A,J363,Состав!B:B)</f>
        <v>0</v>
      </c>
      <c r="AO363" s="97">
        <f ca="1">VLOOKUP(I363,ЦветПолный!A:C,3,0)</f>
        <v>1</v>
      </c>
      <c r="AP363" s="97">
        <f>SUMIF(Цвет!A:A,Z363,Цвет!B:B)</f>
        <v>1</v>
      </c>
      <c r="AQ363" s="97">
        <f ca="1">_xlfn.XLOOKUP(L363,Пол!A:A,Пол!B:B,0,0)</f>
        <v>1</v>
      </c>
      <c r="AR363" s="97">
        <f ca="1">SUMIF(Бренд!A:A,G363,Бренд!B:B)</f>
        <v>1</v>
      </c>
      <c r="AS363" s="97">
        <f ca="1">SUMIF(Страна!A:A,M363,Страна!B:B)</f>
        <v>1</v>
      </c>
      <c r="AT363" s="64" t="e">
        <f ca="1">IF(VLOOKUP(W363,Товары!A:B,2,FALSE)=A363,"Есть в 1С","ERR")</f>
        <v>#N/A</v>
      </c>
      <c r="AU363" s="65" t="e">
        <f ca="1">IF(VLOOKUP(A363,Товары!B:B,1,FALSE)=A363,"Есть в 1С","ERR")</f>
        <v>#N/A</v>
      </c>
      <c r="AV363" s="96" t="e">
        <f ca="1">VLOOKUP(W363,Товары!A:B,2,FALSE)</f>
        <v>#N/A</v>
      </c>
      <c r="AW363" s="94" t="e">
        <f ca="1">VLOOKUP(W363,Товары!A:B,1,FALSE)</f>
        <v>#N/A</v>
      </c>
    </row>
    <row r="364" spans="1:49" x14ac:dyDescent="0.25">
      <c r="A364" s="110" t="str">
        <f t="shared" ca="1" si="30"/>
        <v>95-003-63</v>
      </c>
      <c r="B364" s="107" t="str">
        <f ca="1">_xlfn.LET(_xlpm.CAPS,0,_xlpm.Style,TRIM(_xlfn.XLOOKUP($A364,Строчный!$A:$A,Строчный!B:B,"ERR",0)),IF(_xlpm.CAPS=0,_xlpm.Style,LOWER(_xlpm.Style)))</f>
        <v>3035</v>
      </c>
      <c r="C364" s="81" t="str">
        <f ca="1">TRIM(PROPER(_xlfn.XLOOKUP($A364,Строчный!$A:$A,Строчный!C:C,"ERR",0)))</f>
        <v>Кепки</v>
      </c>
      <c r="D364" s="81" t="str">
        <f ca="1">_xlfn.LET(_xlpm.DATA,TRIM(_xlfn.XLOOKUP($A364,Строчный!$A:$A,Строчный!D:D,"ERR",0)),UPPER(MID(_xlpm.DATA,1,1))&amp;LOWER(MID(_xlpm.DATA,2,LEN(_xlpm.DATA)-1)))</f>
        <v>Кепка восьмиклинка</v>
      </c>
      <c r="E364" s="81" t="str">
        <f ca="1">PROPER(TRIM(_xlfn.XLOOKUP($A364,Строчный!$A:$A,Строчный!E:E,"ERR",0)))</f>
        <v>Fredrikson</v>
      </c>
      <c r="F364" s="81" t="str">
        <f ca="1">LOWER(TRIM(_xlfn.XLOOKUP($A364,Строчный!$A:$A,Строчный!F:F,"ERR",0)))</f>
        <v>всесезон</v>
      </c>
      <c r="G364" s="81" t="str">
        <f ca="1">UPPER(TRIM(_xlfn.XLOOKUP($A364,Строчный!$A:$A,Строчный!G:G,"ERR",0)))</f>
        <v>FREDRIKSON</v>
      </c>
      <c r="H364" s="81" t="str">
        <f ca="1">LOWER(TRIM(_xlfn.XLOOKUP($A364,Строчный!$A:$A,Строчный!H:H,"ERR",0)))</f>
        <v>637/70</v>
      </c>
      <c r="I364" s="81" t="str">
        <f ca="1">LOWER(TRIM(_xlfn.XLOOKUP($A364,Строчный!$A:$A,Строчный!I:I,"ERR",0)))</f>
        <v>темно-серый / темно-синий</v>
      </c>
      <c r="J364" s="81" t="str">
        <f ca="1">SUBSTITUTE(LOWER(TRIM(_xlfn.XLOOKUP($A364,Строчный!$A:$A,Строчный!J:J,"ERR",0))),"подклад","Подклад")</f>
        <v>80% шерсть - 20% полиамид / Подклад: 100% вискоза</v>
      </c>
      <c r="K364" s="81" t="str">
        <f ca="1">LOWER(TRIM(_xlfn.XLOOKUP($A364,Строчный!$A:$A,Строчный!K:K,"ERR",0)))</f>
        <v>шерстяные</v>
      </c>
      <c r="L364" s="81" t="str">
        <f ca="1">PROPER(TRIM(_xlfn.XLOOKUP($A364,Строчный!$A:$A,Строчный!L:L,"ERR",0)))</f>
        <v>Унисекс</v>
      </c>
      <c r="M364" s="113" t="str">
        <f ca="1">PROPER(TRIM(_xlfn.XLOOKUP($A364,Строчный!$A:$A,Строчный!M:M,"ERR",0)))</f>
        <v>Россия</v>
      </c>
      <c r="N364" s="81" t="str">
        <f ca="1">UPPER(TRIM(_xlfn.XLOOKUP($A364,Строчный!$A:$A,Строчный!O:O,"ERR",0)))</f>
        <v/>
      </c>
      <c r="O364" s="102" t="str">
        <f ca="1">PROPER(TRIM(_xlfn.XLOOKUP($A364,Строчный!$A:$A,Строчный!P:P,"ERR",0)))</f>
        <v/>
      </c>
      <c r="P364" s="81" t="str">
        <f ca="1">PROPER(TRIM(_xlfn.XLOOKUP($A364,Строчный!$A:$A,Строчный!R:R,"ERR",0)))</f>
        <v/>
      </c>
      <c r="Q364" s="90">
        <f ca="1">VALUE(_xlfn.XLOOKUP($A364,Строчный!$A:$A,Строчный!N:N,"ERR",0))</f>
        <v>975.8</v>
      </c>
      <c r="R364" s="89" t="str">
        <f ca="1">_xlfn.XLOOKUP($G364,Фабрика!A:A,Фабрика!B:B,"ERR",0)</f>
        <v>ООО "ФРЭДРИКСОН" Россия 192029, С-Петербург, пр. Обуховской обороны, д.86, лит М</v>
      </c>
      <c r="S364" s="80" t="str">
        <f ca="1">_xlfn.XLOOKUP(RIGHT(AA364,2),Размеры!D:D,Размеры!A:A,"ERR",0)</f>
        <v>58</v>
      </c>
      <c r="T364" s="80">
        <f ca="1">VALUE(_xlfn.XLOOKUP($AA364,Строчный!$S:$S,Строчный!U:U,"ERR",0))</f>
        <v>5</v>
      </c>
      <c r="U364" s="14" t="s">
        <v>265</v>
      </c>
      <c r="V364" s="101" t="str">
        <f t="shared" ca="1" si="31"/>
        <v>Кепка FREDRIKSON арт. 3035 (темно-серый / темно-синий)</v>
      </c>
      <c r="W364" s="100" t="str">
        <f t="shared" ca="1" si="32"/>
        <v>Кепка FREDRIKSON арт. 3035 (темно-серый / темно-синий) {637/70}</v>
      </c>
      <c r="X364" s="18" t="str">
        <f t="shared" ca="1" si="33"/>
        <v>серый / темно-синий</v>
      </c>
      <c r="Y364" s="18" t="str">
        <f t="shared" ca="1" si="34"/>
        <v>серый / темно-синий</v>
      </c>
      <c r="Z364" s="117" t="s">
        <v>28</v>
      </c>
      <c r="AA364" s="73" t="str">
        <f ca="1"/>
        <v>95-003-63-58</v>
      </c>
      <c r="AB364" s="75" t="str">
        <f ca="1">VLOOKUP(C364,Группа!A:B,2,FALSE)</f>
        <v>Кепка</v>
      </c>
      <c r="AC364" s="97" t="str">
        <f ca="1">IFERROR(VLOOKUP(S364,Размеры!A:C,3,FALSE),"")</f>
        <v>58 M/L</v>
      </c>
      <c r="AD364" s="97" t="str">
        <f ca="1">VLOOKUP(I364,ЦветПолный!A:B,2,FALSE)</f>
        <v>63</v>
      </c>
      <c r="AE364" s="97" t="str">
        <f ca="1">IFERROR(VLOOKUP(S364,Размеры!A:D,4,FALSE),"")</f>
        <v>58</v>
      </c>
      <c r="AF364" s="97">
        <f ca="1">IF(LEFT(IFERROR(VLOOKUP(LOOKUP(2,1/SEARCH(B364,Товары!A:A),Товары!A:A),Товары!A:B,2,0),""),6)=MID(AA364,1,6),1,0)</f>
        <v>0</v>
      </c>
      <c r="AH364" s="97">
        <f ca="1">SUMIF(Группа!A:A,C364,Группа!C:C)</f>
        <v>1</v>
      </c>
      <c r="AI364" s="97">
        <f ca="1">SUMIF(Группа!B:B,AB364,Группа!C:C)</f>
        <v>1</v>
      </c>
      <c r="AJ364" s="97">
        <f ca="1">SUMIF(Формы!A:A,D364,Формы!B:B)</f>
        <v>1</v>
      </c>
      <c r="AK364" s="97">
        <f ca="1">SUMIF(Материал!A:A,K364,Материал!B:B)</f>
        <v>1</v>
      </c>
      <c r="AL364" s="97">
        <f ca="1">SUMIF(Размеры!A:A,S364,Размеры!E:E)</f>
        <v>1</v>
      </c>
      <c r="AM364" s="97">
        <f ca="1">SUMIF(Сезон!A:A,F364,Сезон!B:B)</f>
        <v>1</v>
      </c>
      <c r="AN364" s="97">
        <f ca="1">SUMIF(Состав!A:A,J364,Состав!B:B)</f>
        <v>0</v>
      </c>
      <c r="AO364" s="97">
        <f ca="1">VLOOKUP(I364,ЦветПолный!A:C,3,0)</f>
        <v>1</v>
      </c>
      <c r="AP364" s="97">
        <f>SUMIF(Цвет!A:A,Z364,Цвет!B:B)</f>
        <v>1</v>
      </c>
      <c r="AQ364" s="97">
        <f ca="1">_xlfn.XLOOKUP(L364,Пол!A:A,Пол!B:B,0,0)</f>
        <v>1</v>
      </c>
      <c r="AR364" s="97">
        <f ca="1">SUMIF(Бренд!A:A,G364,Бренд!B:B)</f>
        <v>1</v>
      </c>
      <c r="AS364" s="97">
        <f ca="1">SUMIF(Страна!A:A,M364,Страна!B:B)</f>
        <v>1</v>
      </c>
      <c r="AT364" s="64" t="e">
        <f ca="1">IF(VLOOKUP(W364,Товары!A:B,2,FALSE)=A364,"Есть в 1С","ERR")</f>
        <v>#N/A</v>
      </c>
      <c r="AU364" s="65" t="e">
        <f ca="1">IF(VLOOKUP(A364,Товары!B:B,1,FALSE)=A364,"Есть в 1С","ERR")</f>
        <v>#N/A</v>
      </c>
      <c r="AV364" s="96" t="e">
        <f ca="1">VLOOKUP(W364,Товары!A:B,2,FALSE)</f>
        <v>#N/A</v>
      </c>
      <c r="AW364" s="94" t="e">
        <f ca="1">VLOOKUP(W364,Товары!A:B,1,FALSE)</f>
        <v>#N/A</v>
      </c>
    </row>
    <row r="365" spans="1:49" x14ac:dyDescent="0.25">
      <c r="A365" s="110" t="str">
        <f t="shared" ca="1" si="30"/>
        <v>95-003-63</v>
      </c>
      <c r="B365" s="107" t="str">
        <f ca="1">_xlfn.LET(_xlpm.CAPS,0,_xlpm.Style,TRIM(_xlfn.XLOOKUP($A365,Строчный!$A:$A,Строчный!B:B,"ERR",0)),IF(_xlpm.CAPS=0,_xlpm.Style,LOWER(_xlpm.Style)))</f>
        <v>3035</v>
      </c>
      <c r="C365" s="81" t="str">
        <f ca="1">TRIM(PROPER(_xlfn.XLOOKUP($A365,Строчный!$A:$A,Строчный!C:C,"ERR",0)))</f>
        <v>Кепки</v>
      </c>
      <c r="D365" s="81" t="str">
        <f ca="1">_xlfn.LET(_xlpm.DATA,TRIM(_xlfn.XLOOKUP($A365,Строчный!$A:$A,Строчный!D:D,"ERR",0)),UPPER(MID(_xlpm.DATA,1,1))&amp;LOWER(MID(_xlpm.DATA,2,LEN(_xlpm.DATA)-1)))</f>
        <v>Кепка восьмиклинка</v>
      </c>
      <c r="E365" s="81" t="str">
        <f ca="1">PROPER(TRIM(_xlfn.XLOOKUP($A365,Строчный!$A:$A,Строчный!E:E,"ERR",0)))</f>
        <v>Fredrikson</v>
      </c>
      <c r="F365" s="81" t="str">
        <f ca="1">LOWER(TRIM(_xlfn.XLOOKUP($A365,Строчный!$A:$A,Строчный!F:F,"ERR",0)))</f>
        <v>всесезон</v>
      </c>
      <c r="G365" s="81" t="str">
        <f ca="1">UPPER(TRIM(_xlfn.XLOOKUP($A365,Строчный!$A:$A,Строчный!G:G,"ERR",0)))</f>
        <v>FREDRIKSON</v>
      </c>
      <c r="H365" s="81" t="str">
        <f ca="1">LOWER(TRIM(_xlfn.XLOOKUP($A365,Строчный!$A:$A,Строчный!H:H,"ERR",0)))</f>
        <v>637/70</v>
      </c>
      <c r="I365" s="81" t="str">
        <f ca="1">LOWER(TRIM(_xlfn.XLOOKUP($A365,Строчный!$A:$A,Строчный!I:I,"ERR",0)))</f>
        <v>темно-серый / темно-синий</v>
      </c>
      <c r="J365" s="81" t="str">
        <f ca="1">SUBSTITUTE(LOWER(TRIM(_xlfn.XLOOKUP($A365,Строчный!$A:$A,Строчный!J:J,"ERR",0))),"подклад","Подклад")</f>
        <v>80% шерсть - 20% полиамид / Подклад: 100% вискоза</v>
      </c>
      <c r="K365" s="81" t="str">
        <f ca="1">LOWER(TRIM(_xlfn.XLOOKUP($A365,Строчный!$A:$A,Строчный!K:K,"ERR",0)))</f>
        <v>шерстяные</v>
      </c>
      <c r="L365" s="81" t="str">
        <f ca="1">PROPER(TRIM(_xlfn.XLOOKUP($A365,Строчный!$A:$A,Строчный!L:L,"ERR",0)))</f>
        <v>Унисекс</v>
      </c>
      <c r="M365" s="113" t="str">
        <f ca="1">PROPER(TRIM(_xlfn.XLOOKUP($A365,Строчный!$A:$A,Строчный!M:M,"ERR",0)))</f>
        <v>Россия</v>
      </c>
      <c r="N365" s="81" t="str">
        <f ca="1">UPPER(TRIM(_xlfn.XLOOKUP($A365,Строчный!$A:$A,Строчный!O:O,"ERR",0)))</f>
        <v/>
      </c>
      <c r="O365" s="102" t="str">
        <f ca="1">PROPER(TRIM(_xlfn.XLOOKUP($A365,Строчный!$A:$A,Строчный!P:P,"ERR",0)))</f>
        <v/>
      </c>
      <c r="P365" s="81" t="str">
        <f ca="1">PROPER(TRIM(_xlfn.XLOOKUP($A365,Строчный!$A:$A,Строчный!R:R,"ERR",0)))</f>
        <v/>
      </c>
      <c r="Q365" s="90">
        <f ca="1">VALUE(_xlfn.XLOOKUP($A365,Строчный!$A:$A,Строчный!N:N,"ERR",0))</f>
        <v>975.8</v>
      </c>
      <c r="R365" s="89" t="str">
        <f ca="1">_xlfn.XLOOKUP($G365,Фабрика!A:A,Фабрика!B:B,"ERR",0)</f>
        <v>ООО "ФРЭДРИКСОН" Россия 192029, С-Петербург, пр. Обуховской обороны, д.86, лит М</v>
      </c>
      <c r="S365" s="80" t="str">
        <f ca="1">_xlfn.XLOOKUP(RIGHT(AA365,2),Размеры!D:D,Размеры!A:A,"ERR",0)</f>
        <v>57</v>
      </c>
      <c r="T365" s="80">
        <f ca="1">VALUE(_xlfn.XLOOKUP($AA365,Строчный!$S:$S,Строчный!U:U,"ERR",0))</f>
        <v>3</v>
      </c>
      <c r="U365" s="14" t="s">
        <v>265</v>
      </c>
      <c r="V365" s="101" t="str">
        <f t="shared" ca="1" si="31"/>
        <v>Кепка FREDRIKSON арт. 3035 (темно-серый / темно-синий)</v>
      </c>
      <c r="W365" s="100" t="str">
        <f t="shared" ca="1" si="32"/>
        <v>Кепка FREDRIKSON арт. 3035 (темно-серый / темно-синий) {637/70}</v>
      </c>
      <c r="X365" s="18" t="str">
        <f t="shared" ca="1" si="33"/>
        <v>серый / темно-синий</v>
      </c>
      <c r="Y365" s="18" t="str">
        <f t="shared" ca="1" si="34"/>
        <v>серый / темно-синий</v>
      </c>
      <c r="Z365" s="117" t="s">
        <v>28</v>
      </c>
      <c r="AA365" s="73" t="str">
        <f ca="1"/>
        <v>95-003-63-57</v>
      </c>
      <c r="AB365" s="75" t="str">
        <f ca="1">VLOOKUP(C365,Группа!A:B,2,FALSE)</f>
        <v>Кепка</v>
      </c>
      <c r="AC365" s="97" t="str">
        <f ca="1">IFERROR(VLOOKUP(S365,Размеры!A:C,3,FALSE),"")</f>
        <v>57 M</v>
      </c>
      <c r="AD365" s="97" t="str">
        <f ca="1">VLOOKUP(I365,ЦветПолный!A:B,2,FALSE)</f>
        <v>63</v>
      </c>
      <c r="AE365" s="97" t="str">
        <f ca="1">IFERROR(VLOOKUP(S365,Размеры!A:D,4,FALSE),"")</f>
        <v>57</v>
      </c>
      <c r="AF365" s="97">
        <f ca="1">IF(LEFT(IFERROR(VLOOKUP(LOOKUP(2,1/SEARCH(B365,Товары!A:A),Товары!A:A),Товары!A:B,2,0),""),6)=MID(AA365,1,6),1,0)</f>
        <v>0</v>
      </c>
      <c r="AH365" s="97">
        <f ca="1">SUMIF(Группа!A:A,C365,Группа!C:C)</f>
        <v>1</v>
      </c>
      <c r="AI365" s="97">
        <f ca="1">SUMIF(Группа!B:B,AB365,Группа!C:C)</f>
        <v>1</v>
      </c>
      <c r="AJ365" s="97">
        <f ca="1">SUMIF(Формы!A:A,D365,Формы!B:B)</f>
        <v>1</v>
      </c>
      <c r="AK365" s="97">
        <f ca="1">SUMIF(Материал!A:A,K365,Материал!B:B)</f>
        <v>1</v>
      </c>
      <c r="AL365" s="97">
        <f ca="1">SUMIF(Размеры!A:A,S365,Размеры!E:E)</f>
        <v>1</v>
      </c>
      <c r="AM365" s="97">
        <f ca="1">SUMIF(Сезон!A:A,F365,Сезон!B:B)</f>
        <v>1</v>
      </c>
      <c r="AN365" s="97">
        <f ca="1">SUMIF(Состав!A:A,J365,Состав!B:B)</f>
        <v>0</v>
      </c>
      <c r="AO365" s="97">
        <f ca="1">VLOOKUP(I365,ЦветПолный!A:C,3,0)</f>
        <v>1</v>
      </c>
      <c r="AP365" s="97">
        <f>SUMIF(Цвет!A:A,Z365,Цвет!B:B)</f>
        <v>1</v>
      </c>
      <c r="AQ365" s="97">
        <f ca="1">_xlfn.XLOOKUP(L365,Пол!A:A,Пол!B:B,0,0)</f>
        <v>1</v>
      </c>
      <c r="AR365" s="97">
        <f ca="1">SUMIF(Бренд!A:A,G365,Бренд!B:B)</f>
        <v>1</v>
      </c>
      <c r="AS365" s="97">
        <f ca="1">SUMIF(Страна!A:A,M365,Страна!B:B)</f>
        <v>1</v>
      </c>
      <c r="AT365" s="64" t="e">
        <f ca="1">IF(VLOOKUP(W365,Товары!A:B,2,FALSE)=A365,"Есть в 1С","ERR")</f>
        <v>#N/A</v>
      </c>
      <c r="AU365" s="65" t="e">
        <f ca="1">IF(VLOOKUP(A365,Товары!B:B,1,FALSE)=A365,"Есть в 1С","ERR")</f>
        <v>#N/A</v>
      </c>
      <c r="AV365" s="96" t="e">
        <f ca="1">VLOOKUP(W365,Товары!A:B,2,FALSE)</f>
        <v>#N/A</v>
      </c>
      <c r="AW365" s="94" t="e">
        <f ca="1">VLOOKUP(W365,Товары!A:B,1,FALSE)</f>
        <v>#N/A</v>
      </c>
    </row>
    <row r="366" spans="1:49" x14ac:dyDescent="0.25">
      <c r="A366" s="110" t="str">
        <f t="shared" ca="1" si="30"/>
        <v>95-003-63</v>
      </c>
      <c r="B366" s="107" t="str">
        <f ca="1">_xlfn.LET(_xlpm.CAPS,0,_xlpm.Style,TRIM(_xlfn.XLOOKUP($A366,Строчный!$A:$A,Строчный!B:B,"ERR",0)),IF(_xlpm.CAPS=0,_xlpm.Style,LOWER(_xlpm.Style)))</f>
        <v>3035</v>
      </c>
      <c r="C366" s="81" t="str">
        <f ca="1">TRIM(PROPER(_xlfn.XLOOKUP($A366,Строчный!$A:$A,Строчный!C:C,"ERR",0)))</f>
        <v>Кепки</v>
      </c>
      <c r="D366" s="81" t="str">
        <f ca="1">_xlfn.LET(_xlpm.DATA,TRIM(_xlfn.XLOOKUP($A366,Строчный!$A:$A,Строчный!D:D,"ERR",0)),UPPER(MID(_xlpm.DATA,1,1))&amp;LOWER(MID(_xlpm.DATA,2,LEN(_xlpm.DATA)-1)))</f>
        <v>Кепка восьмиклинка</v>
      </c>
      <c r="E366" s="81" t="str">
        <f ca="1">PROPER(TRIM(_xlfn.XLOOKUP($A366,Строчный!$A:$A,Строчный!E:E,"ERR",0)))</f>
        <v>Fredrikson</v>
      </c>
      <c r="F366" s="81" t="str">
        <f ca="1">LOWER(TRIM(_xlfn.XLOOKUP($A366,Строчный!$A:$A,Строчный!F:F,"ERR",0)))</f>
        <v>всесезон</v>
      </c>
      <c r="G366" s="81" t="str">
        <f ca="1">UPPER(TRIM(_xlfn.XLOOKUP($A366,Строчный!$A:$A,Строчный!G:G,"ERR",0)))</f>
        <v>FREDRIKSON</v>
      </c>
      <c r="H366" s="81" t="str">
        <f ca="1">LOWER(TRIM(_xlfn.XLOOKUP($A366,Строчный!$A:$A,Строчный!H:H,"ERR",0)))</f>
        <v>637/70</v>
      </c>
      <c r="I366" s="81" t="str">
        <f ca="1">LOWER(TRIM(_xlfn.XLOOKUP($A366,Строчный!$A:$A,Строчный!I:I,"ERR",0)))</f>
        <v>темно-серый / темно-синий</v>
      </c>
      <c r="J366" s="81" t="str">
        <f ca="1">SUBSTITUTE(LOWER(TRIM(_xlfn.XLOOKUP($A366,Строчный!$A:$A,Строчный!J:J,"ERR",0))),"подклад","Подклад")</f>
        <v>80% шерсть - 20% полиамид / Подклад: 100% вискоза</v>
      </c>
      <c r="K366" s="81" t="str">
        <f ca="1">LOWER(TRIM(_xlfn.XLOOKUP($A366,Строчный!$A:$A,Строчный!K:K,"ERR",0)))</f>
        <v>шерстяные</v>
      </c>
      <c r="L366" s="81" t="str">
        <f ca="1">PROPER(TRIM(_xlfn.XLOOKUP($A366,Строчный!$A:$A,Строчный!L:L,"ERR",0)))</f>
        <v>Унисекс</v>
      </c>
      <c r="M366" s="113" t="str">
        <f ca="1">PROPER(TRIM(_xlfn.XLOOKUP($A366,Строчный!$A:$A,Строчный!M:M,"ERR",0)))</f>
        <v>Россия</v>
      </c>
      <c r="N366" s="81" t="str">
        <f ca="1">UPPER(TRIM(_xlfn.XLOOKUP($A366,Строчный!$A:$A,Строчный!O:O,"ERR",0)))</f>
        <v/>
      </c>
      <c r="O366" s="102" t="str">
        <f ca="1">PROPER(TRIM(_xlfn.XLOOKUP($A366,Строчный!$A:$A,Строчный!P:P,"ERR",0)))</f>
        <v/>
      </c>
      <c r="P366" s="81" t="str">
        <f ca="1">PROPER(TRIM(_xlfn.XLOOKUP($A366,Строчный!$A:$A,Строчный!R:R,"ERR",0)))</f>
        <v/>
      </c>
      <c r="Q366" s="90">
        <f ca="1">VALUE(_xlfn.XLOOKUP($A366,Строчный!$A:$A,Строчный!N:N,"ERR",0))</f>
        <v>975.8</v>
      </c>
      <c r="R366" s="89" t="str">
        <f ca="1">_xlfn.XLOOKUP($G366,Фабрика!A:A,Фабрика!B:B,"ERR",0)</f>
        <v>ООО "ФРЭДРИКСОН" Россия 192029, С-Петербург, пр. Обуховской обороны, д.86, лит М</v>
      </c>
      <c r="S366" s="80" t="str">
        <f ca="1">_xlfn.XLOOKUP(RIGHT(AA366,2),Размеры!D:D,Размеры!A:A,"ERR",0)</f>
        <v>56</v>
      </c>
      <c r="T366" s="80">
        <f ca="1">VALUE(_xlfn.XLOOKUP($AA366,Строчный!$S:$S,Строчный!U:U,"ERR",0))</f>
        <v>2</v>
      </c>
      <c r="U366" s="14" t="s">
        <v>265</v>
      </c>
      <c r="V366" s="101" t="str">
        <f t="shared" ca="1" si="31"/>
        <v>Кепка FREDRIKSON арт. 3035 (темно-серый / темно-синий)</v>
      </c>
      <c r="W366" s="100" t="str">
        <f t="shared" ca="1" si="32"/>
        <v>Кепка FREDRIKSON арт. 3035 (темно-серый / темно-синий) {637/70}</v>
      </c>
      <c r="X366" s="18" t="str">
        <f t="shared" ca="1" si="33"/>
        <v>серый / темно-синий</v>
      </c>
      <c r="Y366" s="18" t="str">
        <f t="shared" ca="1" si="34"/>
        <v>серый / темно-синий</v>
      </c>
      <c r="Z366" s="117" t="s">
        <v>28</v>
      </c>
      <c r="AA366" s="73" t="str">
        <f ca="1"/>
        <v>95-003-63-56</v>
      </c>
      <c r="AB366" s="75" t="str">
        <f ca="1">VLOOKUP(C366,Группа!A:B,2,FALSE)</f>
        <v>Кепка</v>
      </c>
      <c r="AC366" s="97" t="str">
        <f ca="1">IFERROR(VLOOKUP(S366,Размеры!A:C,3,FALSE),"")</f>
        <v>56 S/M</v>
      </c>
      <c r="AD366" s="97" t="str">
        <f ca="1">VLOOKUP(I366,ЦветПолный!A:B,2,FALSE)</f>
        <v>63</v>
      </c>
      <c r="AE366" s="97" t="str">
        <f ca="1">IFERROR(VLOOKUP(S366,Размеры!A:D,4,FALSE),"")</f>
        <v>56</v>
      </c>
      <c r="AF366" s="97">
        <f ca="1">IF(LEFT(IFERROR(VLOOKUP(LOOKUP(2,1/SEARCH(B366,Товары!A:A),Товары!A:A),Товары!A:B,2,0),""),6)=MID(AA366,1,6),1,0)</f>
        <v>0</v>
      </c>
      <c r="AH366" s="97">
        <f ca="1">SUMIF(Группа!A:A,C366,Группа!C:C)</f>
        <v>1</v>
      </c>
      <c r="AI366" s="97">
        <f ca="1">SUMIF(Группа!B:B,AB366,Группа!C:C)</f>
        <v>1</v>
      </c>
      <c r="AJ366" s="97">
        <f ca="1">SUMIF(Формы!A:A,D366,Формы!B:B)</f>
        <v>1</v>
      </c>
      <c r="AK366" s="97">
        <f ca="1">SUMIF(Материал!A:A,K366,Материал!B:B)</f>
        <v>1</v>
      </c>
      <c r="AL366" s="97">
        <f ca="1">SUMIF(Размеры!A:A,S366,Размеры!E:E)</f>
        <v>1</v>
      </c>
      <c r="AM366" s="97">
        <f ca="1">SUMIF(Сезон!A:A,F366,Сезон!B:B)</f>
        <v>1</v>
      </c>
      <c r="AN366" s="97">
        <f ca="1">SUMIF(Состав!A:A,J366,Состав!B:B)</f>
        <v>0</v>
      </c>
      <c r="AO366" s="97">
        <f ca="1">VLOOKUP(I366,ЦветПолный!A:C,3,0)</f>
        <v>1</v>
      </c>
      <c r="AP366" s="97">
        <f>SUMIF(Цвет!A:A,Z366,Цвет!B:B)</f>
        <v>1</v>
      </c>
      <c r="AQ366" s="97">
        <f ca="1">_xlfn.XLOOKUP(L366,Пол!A:A,Пол!B:B,0,0)</f>
        <v>1</v>
      </c>
      <c r="AR366" s="97">
        <f ca="1">SUMIF(Бренд!A:A,G366,Бренд!B:B)</f>
        <v>1</v>
      </c>
      <c r="AS366" s="97">
        <f ca="1">SUMIF(Страна!A:A,M366,Страна!B:B)</f>
        <v>1</v>
      </c>
      <c r="AT366" s="64" t="e">
        <f ca="1">IF(VLOOKUP(W366,Товары!A:B,2,FALSE)=A366,"Есть в 1С","ERR")</f>
        <v>#N/A</v>
      </c>
      <c r="AU366" s="65" t="e">
        <f ca="1">IF(VLOOKUP(A366,Товары!B:B,1,FALSE)=A366,"Есть в 1С","ERR")</f>
        <v>#N/A</v>
      </c>
      <c r="AV366" s="96" t="e">
        <f ca="1">VLOOKUP(W366,Товары!A:B,2,FALSE)</f>
        <v>#N/A</v>
      </c>
      <c r="AW366" s="94" t="e">
        <f ca="1">VLOOKUP(W366,Товары!A:B,1,FALSE)</f>
        <v>#N/A</v>
      </c>
    </row>
    <row r="367" spans="1:49" x14ac:dyDescent="0.25">
      <c r="A367" s="110" t="str">
        <f t="shared" ca="1" si="30"/>
        <v>95-003-47</v>
      </c>
      <c r="B367" s="107" t="str">
        <f ca="1">_xlfn.LET(_xlpm.CAPS,0,_xlpm.Style,TRIM(_xlfn.XLOOKUP($A367,Строчный!$A:$A,Строчный!B:B,"ERR",0)),IF(_xlpm.CAPS=0,_xlpm.Style,LOWER(_xlpm.Style)))</f>
        <v>3035</v>
      </c>
      <c r="C367" s="81" t="str">
        <f ca="1">TRIM(PROPER(_xlfn.XLOOKUP($A367,Строчный!$A:$A,Строчный!C:C,"ERR",0)))</f>
        <v>Кепки</v>
      </c>
      <c r="D367" s="81" t="str">
        <f ca="1">_xlfn.LET(_xlpm.DATA,TRIM(_xlfn.XLOOKUP($A367,Строчный!$A:$A,Строчный!D:D,"ERR",0)),UPPER(MID(_xlpm.DATA,1,1))&amp;LOWER(MID(_xlpm.DATA,2,LEN(_xlpm.DATA)-1)))</f>
        <v>Кепка восьмиклинка</v>
      </c>
      <c r="E367" s="81" t="str">
        <f ca="1">PROPER(TRIM(_xlfn.XLOOKUP($A367,Строчный!$A:$A,Строчный!E:E,"ERR",0)))</f>
        <v>Fredrikson</v>
      </c>
      <c r="F367" s="81" t="str">
        <f ca="1">LOWER(TRIM(_xlfn.XLOOKUP($A367,Строчный!$A:$A,Строчный!F:F,"ERR",0)))</f>
        <v>всесезон</v>
      </c>
      <c r="G367" s="81" t="str">
        <f ca="1">UPPER(TRIM(_xlfn.XLOOKUP($A367,Строчный!$A:$A,Строчный!G:G,"ERR",0)))</f>
        <v>FREDRIKSON</v>
      </c>
      <c r="H367" s="81" t="str">
        <f ca="1">LOWER(TRIM(_xlfn.XLOOKUP($A367,Строчный!$A:$A,Строчный!H:H,"ERR",0)))</f>
        <v>641/76</v>
      </c>
      <c r="I367" s="81" t="str">
        <f ca="1">LOWER(TRIM(_xlfn.XLOOKUP($A367,Строчный!$A:$A,Строчный!I:I,"ERR",0)))</f>
        <v>серый / черный</v>
      </c>
      <c r="J367" s="81" t="str">
        <f ca="1">SUBSTITUTE(LOWER(TRIM(_xlfn.XLOOKUP($A367,Строчный!$A:$A,Строчный!J:J,"ERR",0))),"подклад","Подклад")</f>
        <v>80% шерсть - 20% полиамид / Подклад: 100% вискоза</v>
      </c>
      <c r="K367" s="81" t="str">
        <f ca="1">LOWER(TRIM(_xlfn.XLOOKUP($A367,Строчный!$A:$A,Строчный!K:K,"ERR",0)))</f>
        <v>шерстяные</v>
      </c>
      <c r="L367" s="81" t="str">
        <f ca="1">PROPER(TRIM(_xlfn.XLOOKUP($A367,Строчный!$A:$A,Строчный!L:L,"ERR",0)))</f>
        <v>Унисекс</v>
      </c>
      <c r="M367" s="113" t="str">
        <f ca="1">PROPER(TRIM(_xlfn.XLOOKUP($A367,Строчный!$A:$A,Строчный!M:M,"ERR",0)))</f>
        <v>Россия</v>
      </c>
      <c r="N367" s="81" t="str">
        <f ca="1">UPPER(TRIM(_xlfn.XLOOKUP($A367,Строчный!$A:$A,Строчный!O:O,"ERR",0)))</f>
        <v/>
      </c>
      <c r="O367" s="102" t="str">
        <f ca="1">PROPER(TRIM(_xlfn.XLOOKUP($A367,Строчный!$A:$A,Строчный!P:P,"ERR",0)))</f>
        <v/>
      </c>
      <c r="P367" s="81" t="str">
        <f ca="1">PROPER(TRIM(_xlfn.XLOOKUP($A367,Строчный!$A:$A,Строчный!R:R,"ERR",0)))</f>
        <v/>
      </c>
      <c r="Q367" s="90">
        <f ca="1">VALUE(_xlfn.XLOOKUP($A367,Строчный!$A:$A,Строчный!N:N,"ERR",0))</f>
        <v>975.8</v>
      </c>
      <c r="R367" s="89" t="str">
        <f ca="1">_xlfn.XLOOKUP($G367,Фабрика!A:A,Фабрика!B:B,"ERR",0)</f>
        <v>ООО "ФРЭДРИКСОН" Россия 192029, С-Петербург, пр. Обуховской обороны, д.86, лит М</v>
      </c>
      <c r="S367" s="80" t="str">
        <f ca="1">_xlfn.XLOOKUP(RIGHT(AA367,2),Размеры!D:D,Размеры!A:A,"ERR",0)</f>
        <v>62</v>
      </c>
      <c r="T367" s="80">
        <f ca="1">VALUE(_xlfn.XLOOKUP($AA367,Строчный!$S:$S,Строчный!U:U,"ERR",0))</f>
        <v>1</v>
      </c>
      <c r="U367" s="14" t="s">
        <v>265</v>
      </c>
      <c r="V367" s="101" t="str">
        <f t="shared" ca="1" si="31"/>
        <v>Кепка FREDRIKSON арт. 3035 (серый / черный)</v>
      </c>
      <c r="W367" s="100" t="str">
        <f t="shared" ca="1" si="32"/>
        <v>Кепка FREDRIKSON арт. 3035 (серый / черный) {641/76}</v>
      </c>
      <c r="X367" s="18" t="str">
        <f t="shared" ca="1" si="33"/>
        <v>серый</v>
      </c>
      <c r="Y367" s="18" t="str">
        <f t="shared" ca="1" si="34"/>
        <v>черный</v>
      </c>
      <c r="Z367" s="117" t="s">
        <v>28</v>
      </c>
      <c r="AA367" s="73" t="str">
        <f ca="1"/>
        <v>95-003-47-62</v>
      </c>
      <c r="AB367" s="75" t="str">
        <f ca="1">VLOOKUP(C367,Группа!A:B,2,FALSE)</f>
        <v>Кепка</v>
      </c>
      <c r="AC367" s="97" t="str">
        <f ca="1">IFERROR(VLOOKUP(S367,Размеры!A:C,3,FALSE),"")</f>
        <v>62 XL/XXL</v>
      </c>
      <c r="AD367" s="97" t="str">
        <f ca="1">VLOOKUP(I367,ЦветПолный!A:B,2,FALSE)</f>
        <v>47</v>
      </c>
      <c r="AE367" s="97" t="str">
        <f ca="1">IFERROR(VLOOKUP(S367,Размеры!A:D,4,FALSE),"")</f>
        <v>62</v>
      </c>
      <c r="AF367" s="97">
        <f ca="1">IF(LEFT(IFERROR(VLOOKUP(LOOKUP(2,1/SEARCH(B367,Товары!A:A),Товары!A:A),Товары!A:B,2,0),""),6)=MID(AA367,1,6),1,0)</f>
        <v>0</v>
      </c>
      <c r="AH367" s="97">
        <f ca="1">SUMIF(Группа!A:A,C367,Группа!C:C)</f>
        <v>1</v>
      </c>
      <c r="AI367" s="97">
        <f ca="1">SUMIF(Группа!B:B,AB367,Группа!C:C)</f>
        <v>1</v>
      </c>
      <c r="AJ367" s="97">
        <f ca="1">SUMIF(Формы!A:A,D367,Формы!B:B)</f>
        <v>1</v>
      </c>
      <c r="AK367" s="97">
        <f ca="1">SUMIF(Материал!A:A,K367,Материал!B:B)</f>
        <v>1</v>
      </c>
      <c r="AL367" s="97">
        <f ca="1">SUMIF(Размеры!A:A,S367,Размеры!E:E)</f>
        <v>1</v>
      </c>
      <c r="AM367" s="97">
        <f ca="1">SUMIF(Сезон!A:A,F367,Сезон!B:B)</f>
        <v>1</v>
      </c>
      <c r="AN367" s="97">
        <f ca="1">SUMIF(Состав!A:A,J367,Состав!B:B)</f>
        <v>0</v>
      </c>
      <c r="AO367" s="97">
        <f ca="1">VLOOKUP(I367,ЦветПолный!A:C,3,0)</f>
        <v>1</v>
      </c>
      <c r="AP367" s="97">
        <f>SUMIF(Цвет!A:A,Z367,Цвет!B:B)</f>
        <v>1</v>
      </c>
      <c r="AQ367" s="97">
        <f ca="1">_xlfn.XLOOKUP(L367,Пол!A:A,Пол!B:B,0,0)</f>
        <v>1</v>
      </c>
      <c r="AR367" s="97">
        <f ca="1">SUMIF(Бренд!A:A,G367,Бренд!B:B)</f>
        <v>1</v>
      </c>
      <c r="AS367" s="97">
        <f ca="1">SUMIF(Страна!A:A,M367,Страна!B:B)</f>
        <v>1</v>
      </c>
      <c r="AT367" s="64" t="e">
        <f ca="1">IF(VLOOKUP(W367,Товары!A:B,2,FALSE)=A367,"Есть в 1С","ERR")</f>
        <v>#N/A</v>
      </c>
      <c r="AU367" s="65" t="e">
        <f ca="1">IF(VLOOKUP(A367,Товары!B:B,1,FALSE)=A367,"Есть в 1С","ERR")</f>
        <v>#N/A</v>
      </c>
      <c r="AV367" s="96" t="e">
        <f ca="1">VLOOKUP(W367,Товары!A:B,2,FALSE)</f>
        <v>#N/A</v>
      </c>
      <c r="AW367" s="94" t="e">
        <f ca="1">VLOOKUP(W367,Товары!A:B,1,FALSE)</f>
        <v>#N/A</v>
      </c>
    </row>
    <row r="368" spans="1:49" x14ac:dyDescent="0.25">
      <c r="A368" s="110" t="str">
        <f t="shared" ca="1" si="30"/>
        <v>95-003-47</v>
      </c>
      <c r="B368" s="107" t="str">
        <f ca="1">_xlfn.LET(_xlpm.CAPS,0,_xlpm.Style,TRIM(_xlfn.XLOOKUP($A368,Строчный!$A:$A,Строчный!B:B,"ERR",0)),IF(_xlpm.CAPS=0,_xlpm.Style,LOWER(_xlpm.Style)))</f>
        <v>3035</v>
      </c>
      <c r="C368" s="81" t="str">
        <f ca="1">TRIM(PROPER(_xlfn.XLOOKUP($A368,Строчный!$A:$A,Строчный!C:C,"ERR",0)))</f>
        <v>Кепки</v>
      </c>
      <c r="D368" s="81" t="str">
        <f ca="1">_xlfn.LET(_xlpm.DATA,TRIM(_xlfn.XLOOKUP($A368,Строчный!$A:$A,Строчный!D:D,"ERR",0)),UPPER(MID(_xlpm.DATA,1,1))&amp;LOWER(MID(_xlpm.DATA,2,LEN(_xlpm.DATA)-1)))</f>
        <v>Кепка восьмиклинка</v>
      </c>
      <c r="E368" s="81" t="str">
        <f ca="1">PROPER(TRIM(_xlfn.XLOOKUP($A368,Строчный!$A:$A,Строчный!E:E,"ERR",0)))</f>
        <v>Fredrikson</v>
      </c>
      <c r="F368" s="81" t="str">
        <f ca="1">LOWER(TRIM(_xlfn.XLOOKUP($A368,Строчный!$A:$A,Строчный!F:F,"ERR",0)))</f>
        <v>всесезон</v>
      </c>
      <c r="G368" s="81" t="str">
        <f ca="1">UPPER(TRIM(_xlfn.XLOOKUP($A368,Строчный!$A:$A,Строчный!G:G,"ERR",0)))</f>
        <v>FREDRIKSON</v>
      </c>
      <c r="H368" s="81" t="str">
        <f ca="1">LOWER(TRIM(_xlfn.XLOOKUP($A368,Строчный!$A:$A,Строчный!H:H,"ERR",0)))</f>
        <v>641/76</v>
      </c>
      <c r="I368" s="81" t="str">
        <f ca="1">LOWER(TRIM(_xlfn.XLOOKUP($A368,Строчный!$A:$A,Строчный!I:I,"ERR",0)))</f>
        <v>серый / черный</v>
      </c>
      <c r="J368" s="81" t="str">
        <f ca="1">SUBSTITUTE(LOWER(TRIM(_xlfn.XLOOKUP($A368,Строчный!$A:$A,Строчный!J:J,"ERR",0))),"подклад","Подклад")</f>
        <v>80% шерсть - 20% полиамид / Подклад: 100% вискоза</v>
      </c>
      <c r="K368" s="81" t="str">
        <f ca="1">LOWER(TRIM(_xlfn.XLOOKUP($A368,Строчный!$A:$A,Строчный!K:K,"ERR",0)))</f>
        <v>шерстяные</v>
      </c>
      <c r="L368" s="81" t="str">
        <f ca="1">PROPER(TRIM(_xlfn.XLOOKUP($A368,Строчный!$A:$A,Строчный!L:L,"ERR",0)))</f>
        <v>Унисекс</v>
      </c>
      <c r="M368" s="113" t="str">
        <f ca="1">PROPER(TRIM(_xlfn.XLOOKUP($A368,Строчный!$A:$A,Строчный!M:M,"ERR",0)))</f>
        <v>Россия</v>
      </c>
      <c r="N368" s="81" t="str">
        <f ca="1">UPPER(TRIM(_xlfn.XLOOKUP($A368,Строчный!$A:$A,Строчный!O:O,"ERR",0)))</f>
        <v/>
      </c>
      <c r="O368" s="102" t="str">
        <f ca="1">PROPER(TRIM(_xlfn.XLOOKUP($A368,Строчный!$A:$A,Строчный!P:P,"ERR",0)))</f>
        <v/>
      </c>
      <c r="P368" s="81" t="str">
        <f ca="1">PROPER(TRIM(_xlfn.XLOOKUP($A368,Строчный!$A:$A,Строчный!R:R,"ERR",0)))</f>
        <v/>
      </c>
      <c r="Q368" s="90">
        <f ca="1">VALUE(_xlfn.XLOOKUP($A368,Строчный!$A:$A,Строчный!N:N,"ERR",0))</f>
        <v>975.8</v>
      </c>
      <c r="R368" s="89" t="str">
        <f ca="1">_xlfn.XLOOKUP($G368,Фабрика!A:A,Фабрика!B:B,"ERR",0)</f>
        <v>ООО "ФРЭДРИКСОН" Россия 192029, С-Петербург, пр. Обуховской обороны, д.86, лит М</v>
      </c>
      <c r="S368" s="80" t="str">
        <f ca="1">_xlfn.XLOOKUP(RIGHT(AA368,2),Размеры!D:D,Размеры!A:A,"ERR",0)</f>
        <v>61</v>
      </c>
      <c r="T368" s="80">
        <f ca="1">VALUE(_xlfn.XLOOKUP($AA368,Строчный!$S:$S,Строчный!U:U,"ERR",0))</f>
        <v>2</v>
      </c>
      <c r="U368" s="14" t="s">
        <v>265</v>
      </c>
      <c r="V368" s="101" t="str">
        <f t="shared" ca="1" si="31"/>
        <v>Кепка FREDRIKSON арт. 3035 (серый / черный)</v>
      </c>
      <c r="W368" s="100" t="str">
        <f t="shared" ca="1" si="32"/>
        <v>Кепка FREDRIKSON арт. 3035 (серый / черный) {641/76}</v>
      </c>
      <c r="X368" s="18" t="str">
        <f t="shared" ca="1" si="33"/>
        <v>серый</v>
      </c>
      <c r="Y368" s="18" t="str">
        <f t="shared" ca="1" si="34"/>
        <v>черный</v>
      </c>
      <c r="Z368" s="117" t="s">
        <v>28</v>
      </c>
      <c r="AA368" s="73" t="str">
        <f ca="1"/>
        <v>95-003-47-61</v>
      </c>
      <c r="AB368" s="75" t="str">
        <f ca="1">VLOOKUP(C368,Группа!A:B,2,FALSE)</f>
        <v>Кепка</v>
      </c>
      <c r="AC368" s="97" t="str">
        <f ca="1">IFERROR(VLOOKUP(S368,Размеры!A:C,3,FALSE),"")</f>
        <v>61 XL</v>
      </c>
      <c r="AD368" s="97" t="str">
        <f ca="1">VLOOKUP(I368,ЦветПолный!A:B,2,FALSE)</f>
        <v>47</v>
      </c>
      <c r="AE368" s="97" t="str">
        <f ca="1">IFERROR(VLOOKUP(S368,Размеры!A:D,4,FALSE),"")</f>
        <v>61</v>
      </c>
      <c r="AF368" s="97">
        <f ca="1">IF(LEFT(IFERROR(VLOOKUP(LOOKUP(2,1/SEARCH(B368,Товары!A:A),Товары!A:A),Товары!A:B,2,0),""),6)=MID(AA368,1,6),1,0)</f>
        <v>0</v>
      </c>
      <c r="AH368" s="97">
        <f ca="1">SUMIF(Группа!A:A,C368,Группа!C:C)</f>
        <v>1</v>
      </c>
      <c r="AI368" s="97">
        <f ca="1">SUMIF(Группа!B:B,AB368,Группа!C:C)</f>
        <v>1</v>
      </c>
      <c r="AJ368" s="97">
        <f ca="1">SUMIF(Формы!A:A,D368,Формы!B:B)</f>
        <v>1</v>
      </c>
      <c r="AK368" s="97">
        <f ca="1">SUMIF(Материал!A:A,K368,Материал!B:B)</f>
        <v>1</v>
      </c>
      <c r="AL368" s="97">
        <f ca="1">SUMIF(Размеры!A:A,S368,Размеры!E:E)</f>
        <v>1</v>
      </c>
      <c r="AM368" s="97">
        <f ca="1">SUMIF(Сезон!A:A,F368,Сезон!B:B)</f>
        <v>1</v>
      </c>
      <c r="AN368" s="97">
        <f ca="1">SUMIF(Состав!A:A,J368,Состав!B:B)</f>
        <v>0</v>
      </c>
      <c r="AO368" s="97">
        <f ca="1">VLOOKUP(I368,ЦветПолный!A:C,3,0)</f>
        <v>1</v>
      </c>
      <c r="AP368" s="97">
        <f>SUMIF(Цвет!A:A,Z368,Цвет!B:B)</f>
        <v>1</v>
      </c>
      <c r="AQ368" s="97">
        <f ca="1">_xlfn.XLOOKUP(L368,Пол!A:A,Пол!B:B,0,0)</f>
        <v>1</v>
      </c>
      <c r="AR368" s="97">
        <f ca="1">SUMIF(Бренд!A:A,G368,Бренд!B:B)</f>
        <v>1</v>
      </c>
      <c r="AS368" s="97">
        <f ca="1">SUMIF(Страна!A:A,M368,Страна!B:B)</f>
        <v>1</v>
      </c>
      <c r="AT368" s="64" t="e">
        <f ca="1">IF(VLOOKUP(W368,Товары!A:B,2,FALSE)=A368,"Есть в 1С","ERR")</f>
        <v>#N/A</v>
      </c>
      <c r="AU368" s="65" t="e">
        <f ca="1">IF(VLOOKUP(A368,Товары!B:B,1,FALSE)=A368,"Есть в 1С","ERR")</f>
        <v>#N/A</v>
      </c>
      <c r="AV368" s="96" t="e">
        <f ca="1">VLOOKUP(W368,Товары!A:B,2,FALSE)</f>
        <v>#N/A</v>
      </c>
      <c r="AW368" s="94" t="e">
        <f ca="1">VLOOKUP(W368,Товары!A:B,1,FALSE)</f>
        <v>#N/A</v>
      </c>
    </row>
    <row r="369" spans="1:49" x14ac:dyDescent="0.25">
      <c r="A369" s="110" t="str">
        <f t="shared" ca="1" si="30"/>
        <v>95-003-47</v>
      </c>
      <c r="B369" s="107" t="str">
        <f ca="1">_xlfn.LET(_xlpm.CAPS,0,_xlpm.Style,TRIM(_xlfn.XLOOKUP($A369,Строчный!$A:$A,Строчный!B:B,"ERR",0)),IF(_xlpm.CAPS=0,_xlpm.Style,LOWER(_xlpm.Style)))</f>
        <v>3035</v>
      </c>
      <c r="C369" s="81" t="str">
        <f ca="1">TRIM(PROPER(_xlfn.XLOOKUP($A369,Строчный!$A:$A,Строчный!C:C,"ERR",0)))</f>
        <v>Кепки</v>
      </c>
      <c r="D369" s="81" t="str">
        <f ca="1">_xlfn.LET(_xlpm.DATA,TRIM(_xlfn.XLOOKUP($A369,Строчный!$A:$A,Строчный!D:D,"ERR",0)),UPPER(MID(_xlpm.DATA,1,1))&amp;LOWER(MID(_xlpm.DATA,2,LEN(_xlpm.DATA)-1)))</f>
        <v>Кепка восьмиклинка</v>
      </c>
      <c r="E369" s="81" t="str">
        <f ca="1">PROPER(TRIM(_xlfn.XLOOKUP($A369,Строчный!$A:$A,Строчный!E:E,"ERR",0)))</f>
        <v>Fredrikson</v>
      </c>
      <c r="F369" s="81" t="str">
        <f ca="1">LOWER(TRIM(_xlfn.XLOOKUP($A369,Строчный!$A:$A,Строчный!F:F,"ERR",0)))</f>
        <v>всесезон</v>
      </c>
      <c r="G369" s="81" t="str">
        <f ca="1">UPPER(TRIM(_xlfn.XLOOKUP($A369,Строчный!$A:$A,Строчный!G:G,"ERR",0)))</f>
        <v>FREDRIKSON</v>
      </c>
      <c r="H369" s="81" t="str">
        <f ca="1">LOWER(TRIM(_xlfn.XLOOKUP($A369,Строчный!$A:$A,Строчный!H:H,"ERR",0)))</f>
        <v>641/76</v>
      </c>
      <c r="I369" s="81" t="str">
        <f ca="1">LOWER(TRIM(_xlfn.XLOOKUP($A369,Строчный!$A:$A,Строчный!I:I,"ERR",0)))</f>
        <v>серый / черный</v>
      </c>
      <c r="J369" s="81" t="str">
        <f ca="1">SUBSTITUTE(LOWER(TRIM(_xlfn.XLOOKUP($A369,Строчный!$A:$A,Строчный!J:J,"ERR",0))),"подклад","Подклад")</f>
        <v>80% шерсть - 20% полиамид / Подклад: 100% вискоза</v>
      </c>
      <c r="K369" s="81" t="str">
        <f ca="1">LOWER(TRIM(_xlfn.XLOOKUP($A369,Строчный!$A:$A,Строчный!K:K,"ERR",0)))</f>
        <v>шерстяные</v>
      </c>
      <c r="L369" s="81" t="str">
        <f ca="1">PROPER(TRIM(_xlfn.XLOOKUP($A369,Строчный!$A:$A,Строчный!L:L,"ERR",0)))</f>
        <v>Унисекс</v>
      </c>
      <c r="M369" s="113" t="str">
        <f ca="1">PROPER(TRIM(_xlfn.XLOOKUP($A369,Строчный!$A:$A,Строчный!M:M,"ERR",0)))</f>
        <v>Россия</v>
      </c>
      <c r="N369" s="81" t="str">
        <f ca="1">UPPER(TRIM(_xlfn.XLOOKUP($A369,Строчный!$A:$A,Строчный!O:O,"ERR",0)))</f>
        <v/>
      </c>
      <c r="O369" s="102" t="str">
        <f ca="1">PROPER(TRIM(_xlfn.XLOOKUP($A369,Строчный!$A:$A,Строчный!P:P,"ERR",0)))</f>
        <v/>
      </c>
      <c r="P369" s="81" t="str">
        <f ca="1">PROPER(TRIM(_xlfn.XLOOKUP($A369,Строчный!$A:$A,Строчный!R:R,"ERR",0)))</f>
        <v/>
      </c>
      <c r="Q369" s="90">
        <f ca="1">VALUE(_xlfn.XLOOKUP($A369,Строчный!$A:$A,Строчный!N:N,"ERR",0))</f>
        <v>975.8</v>
      </c>
      <c r="R369" s="89" t="str">
        <f ca="1">_xlfn.XLOOKUP($G369,Фабрика!A:A,Фабрика!B:B,"ERR",0)</f>
        <v>ООО "ФРЭДРИКСОН" Россия 192029, С-Петербург, пр. Обуховской обороны, д.86, лит М</v>
      </c>
      <c r="S369" s="80" t="str">
        <f ca="1">_xlfn.XLOOKUP(RIGHT(AA369,2),Размеры!D:D,Размеры!A:A,"ERR",0)</f>
        <v>60</v>
      </c>
      <c r="T369" s="80">
        <f ca="1">VALUE(_xlfn.XLOOKUP($AA369,Строчный!$S:$S,Строчный!U:U,"ERR",0))</f>
        <v>3</v>
      </c>
      <c r="U369" s="14" t="s">
        <v>265</v>
      </c>
      <c r="V369" s="101" t="str">
        <f t="shared" ca="1" si="31"/>
        <v>Кепка FREDRIKSON арт. 3035 (серый / черный)</v>
      </c>
      <c r="W369" s="100" t="str">
        <f t="shared" ca="1" si="32"/>
        <v>Кепка FREDRIKSON арт. 3035 (серый / черный) {641/76}</v>
      </c>
      <c r="X369" s="18" t="str">
        <f t="shared" ca="1" si="33"/>
        <v>серый</v>
      </c>
      <c r="Y369" s="18" t="str">
        <f t="shared" ca="1" si="34"/>
        <v>черный</v>
      </c>
      <c r="Z369" s="117" t="s">
        <v>28</v>
      </c>
      <c r="AA369" s="73" t="str">
        <f ca="1"/>
        <v>95-003-47-60</v>
      </c>
      <c r="AB369" s="75" t="str">
        <f ca="1">VLOOKUP(C369,Группа!A:B,2,FALSE)</f>
        <v>Кепка</v>
      </c>
      <c r="AC369" s="97" t="str">
        <f ca="1">IFERROR(VLOOKUP(S369,Размеры!A:C,3,FALSE),"")</f>
        <v>60 L/XL</v>
      </c>
      <c r="AD369" s="97" t="str">
        <f ca="1">VLOOKUP(I369,ЦветПолный!A:B,2,FALSE)</f>
        <v>47</v>
      </c>
      <c r="AE369" s="97" t="str">
        <f ca="1">IFERROR(VLOOKUP(S369,Размеры!A:D,4,FALSE),"")</f>
        <v>60</v>
      </c>
      <c r="AF369" s="97">
        <f ca="1">IF(LEFT(IFERROR(VLOOKUP(LOOKUP(2,1/SEARCH(B369,Товары!A:A),Товары!A:A),Товары!A:B,2,0),""),6)=MID(AA369,1,6),1,0)</f>
        <v>0</v>
      </c>
      <c r="AH369" s="97">
        <f ca="1">SUMIF(Группа!A:A,C369,Группа!C:C)</f>
        <v>1</v>
      </c>
      <c r="AI369" s="97">
        <f ca="1">SUMIF(Группа!B:B,AB369,Группа!C:C)</f>
        <v>1</v>
      </c>
      <c r="AJ369" s="97">
        <f ca="1">SUMIF(Формы!A:A,D369,Формы!B:B)</f>
        <v>1</v>
      </c>
      <c r="AK369" s="97">
        <f ca="1">SUMIF(Материал!A:A,K369,Материал!B:B)</f>
        <v>1</v>
      </c>
      <c r="AL369" s="97">
        <f ca="1">SUMIF(Размеры!A:A,S369,Размеры!E:E)</f>
        <v>1</v>
      </c>
      <c r="AM369" s="97">
        <f ca="1">SUMIF(Сезон!A:A,F369,Сезон!B:B)</f>
        <v>1</v>
      </c>
      <c r="AN369" s="97">
        <f ca="1">SUMIF(Состав!A:A,J369,Состав!B:B)</f>
        <v>0</v>
      </c>
      <c r="AO369" s="97">
        <f ca="1">VLOOKUP(I369,ЦветПолный!A:C,3,0)</f>
        <v>1</v>
      </c>
      <c r="AP369" s="97">
        <f>SUMIF(Цвет!A:A,Z369,Цвет!B:B)</f>
        <v>1</v>
      </c>
      <c r="AQ369" s="97">
        <f ca="1">_xlfn.XLOOKUP(L369,Пол!A:A,Пол!B:B,0,0)</f>
        <v>1</v>
      </c>
      <c r="AR369" s="97">
        <f ca="1">SUMIF(Бренд!A:A,G369,Бренд!B:B)</f>
        <v>1</v>
      </c>
      <c r="AS369" s="97">
        <f ca="1">SUMIF(Страна!A:A,M369,Страна!B:B)</f>
        <v>1</v>
      </c>
      <c r="AT369" s="64" t="e">
        <f ca="1">IF(VLOOKUP(W369,Товары!A:B,2,FALSE)=A369,"Есть в 1С","ERR")</f>
        <v>#N/A</v>
      </c>
      <c r="AU369" s="65" t="e">
        <f ca="1">IF(VLOOKUP(A369,Товары!B:B,1,FALSE)=A369,"Есть в 1С","ERR")</f>
        <v>#N/A</v>
      </c>
      <c r="AV369" s="96" t="e">
        <f ca="1">VLOOKUP(W369,Товары!A:B,2,FALSE)</f>
        <v>#N/A</v>
      </c>
      <c r="AW369" s="94" t="e">
        <f ca="1">VLOOKUP(W369,Товары!A:B,1,FALSE)</f>
        <v>#N/A</v>
      </c>
    </row>
    <row r="370" spans="1:49" x14ac:dyDescent="0.25">
      <c r="A370" s="110" t="str">
        <f t="shared" ca="1" si="30"/>
        <v>95-003-47</v>
      </c>
      <c r="B370" s="107" t="str">
        <f ca="1">_xlfn.LET(_xlpm.CAPS,0,_xlpm.Style,TRIM(_xlfn.XLOOKUP($A370,Строчный!$A:$A,Строчный!B:B,"ERR",0)),IF(_xlpm.CAPS=0,_xlpm.Style,LOWER(_xlpm.Style)))</f>
        <v>3035</v>
      </c>
      <c r="C370" s="81" t="str">
        <f ca="1">TRIM(PROPER(_xlfn.XLOOKUP($A370,Строчный!$A:$A,Строчный!C:C,"ERR",0)))</f>
        <v>Кепки</v>
      </c>
      <c r="D370" s="81" t="str">
        <f ca="1">_xlfn.LET(_xlpm.DATA,TRIM(_xlfn.XLOOKUP($A370,Строчный!$A:$A,Строчный!D:D,"ERR",0)),UPPER(MID(_xlpm.DATA,1,1))&amp;LOWER(MID(_xlpm.DATA,2,LEN(_xlpm.DATA)-1)))</f>
        <v>Кепка восьмиклинка</v>
      </c>
      <c r="E370" s="81" t="str">
        <f ca="1">PROPER(TRIM(_xlfn.XLOOKUP($A370,Строчный!$A:$A,Строчный!E:E,"ERR",0)))</f>
        <v>Fredrikson</v>
      </c>
      <c r="F370" s="81" t="str">
        <f ca="1">LOWER(TRIM(_xlfn.XLOOKUP($A370,Строчный!$A:$A,Строчный!F:F,"ERR",0)))</f>
        <v>всесезон</v>
      </c>
      <c r="G370" s="81" t="str">
        <f ca="1">UPPER(TRIM(_xlfn.XLOOKUP($A370,Строчный!$A:$A,Строчный!G:G,"ERR",0)))</f>
        <v>FREDRIKSON</v>
      </c>
      <c r="H370" s="81" t="str">
        <f ca="1">LOWER(TRIM(_xlfn.XLOOKUP($A370,Строчный!$A:$A,Строчный!H:H,"ERR",0)))</f>
        <v>641/76</v>
      </c>
      <c r="I370" s="81" t="str">
        <f ca="1">LOWER(TRIM(_xlfn.XLOOKUP($A370,Строчный!$A:$A,Строчный!I:I,"ERR",0)))</f>
        <v>серый / черный</v>
      </c>
      <c r="J370" s="81" t="str">
        <f ca="1">SUBSTITUTE(LOWER(TRIM(_xlfn.XLOOKUP($A370,Строчный!$A:$A,Строчный!J:J,"ERR",0))),"подклад","Подклад")</f>
        <v>80% шерсть - 20% полиамид / Подклад: 100% вискоза</v>
      </c>
      <c r="K370" s="81" t="str">
        <f ca="1">LOWER(TRIM(_xlfn.XLOOKUP($A370,Строчный!$A:$A,Строчный!K:K,"ERR",0)))</f>
        <v>шерстяные</v>
      </c>
      <c r="L370" s="81" t="str">
        <f ca="1">PROPER(TRIM(_xlfn.XLOOKUP($A370,Строчный!$A:$A,Строчный!L:L,"ERR",0)))</f>
        <v>Унисекс</v>
      </c>
      <c r="M370" s="113" t="str">
        <f ca="1">PROPER(TRIM(_xlfn.XLOOKUP($A370,Строчный!$A:$A,Строчный!M:M,"ERR",0)))</f>
        <v>Россия</v>
      </c>
      <c r="N370" s="81" t="str">
        <f ca="1">UPPER(TRIM(_xlfn.XLOOKUP($A370,Строчный!$A:$A,Строчный!O:O,"ERR",0)))</f>
        <v/>
      </c>
      <c r="O370" s="102" t="str">
        <f ca="1">PROPER(TRIM(_xlfn.XLOOKUP($A370,Строчный!$A:$A,Строчный!P:P,"ERR",0)))</f>
        <v/>
      </c>
      <c r="P370" s="81" t="str">
        <f ca="1">PROPER(TRIM(_xlfn.XLOOKUP($A370,Строчный!$A:$A,Строчный!R:R,"ERR",0)))</f>
        <v/>
      </c>
      <c r="Q370" s="90">
        <f ca="1">VALUE(_xlfn.XLOOKUP($A370,Строчный!$A:$A,Строчный!N:N,"ERR",0))</f>
        <v>975.8</v>
      </c>
      <c r="R370" s="89" t="str">
        <f ca="1">_xlfn.XLOOKUP($G370,Фабрика!A:A,Фабрика!B:B,"ERR",0)</f>
        <v>ООО "ФРЭДРИКСОН" Россия 192029, С-Петербург, пр. Обуховской обороны, д.86, лит М</v>
      </c>
      <c r="S370" s="80" t="str">
        <f ca="1">_xlfn.XLOOKUP(RIGHT(AA370,2),Размеры!D:D,Размеры!A:A,"ERR",0)</f>
        <v>59</v>
      </c>
      <c r="T370" s="80">
        <f ca="1">VALUE(_xlfn.XLOOKUP($AA370,Строчный!$S:$S,Строчный!U:U,"ERR",0))</f>
        <v>4</v>
      </c>
      <c r="U370" s="14" t="s">
        <v>265</v>
      </c>
      <c r="V370" s="101" t="str">
        <f t="shared" ca="1" si="31"/>
        <v>Кепка FREDRIKSON арт. 3035 (серый / черный)</v>
      </c>
      <c r="W370" s="100" t="str">
        <f t="shared" ca="1" si="32"/>
        <v>Кепка FREDRIKSON арт. 3035 (серый / черный) {641/76}</v>
      </c>
      <c r="X370" s="18" t="str">
        <f t="shared" ca="1" si="33"/>
        <v>серый</v>
      </c>
      <c r="Y370" s="18" t="str">
        <f t="shared" ca="1" si="34"/>
        <v>черный</v>
      </c>
      <c r="Z370" s="117" t="s">
        <v>28</v>
      </c>
      <c r="AA370" s="73" t="str">
        <f ca="1"/>
        <v>95-003-47-59</v>
      </c>
      <c r="AB370" s="75" t="str">
        <f ca="1">VLOOKUP(C370,Группа!A:B,2,FALSE)</f>
        <v>Кепка</v>
      </c>
      <c r="AC370" s="97" t="str">
        <f ca="1">IFERROR(VLOOKUP(S370,Размеры!A:C,3,FALSE),"")</f>
        <v>59 L</v>
      </c>
      <c r="AD370" s="97" t="str">
        <f ca="1">VLOOKUP(I370,ЦветПолный!A:B,2,FALSE)</f>
        <v>47</v>
      </c>
      <c r="AE370" s="97" t="str">
        <f ca="1">IFERROR(VLOOKUP(S370,Размеры!A:D,4,FALSE),"")</f>
        <v>59</v>
      </c>
      <c r="AF370" s="97">
        <f ca="1">IF(LEFT(IFERROR(VLOOKUP(LOOKUP(2,1/SEARCH(B370,Товары!A:A),Товары!A:A),Товары!A:B,2,0),""),6)=MID(AA370,1,6),1,0)</f>
        <v>0</v>
      </c>
      <c r="AH370" s="97">
        <f ca="1">SUMIF(Группа!A:A,C370,Группа!C:C)</f>
        <v>1</v>
      </c>
      <c r="AI370" s="97">
        <f ca="1">SUMIF(Группа!B:B,AB370,Группа!C:C)</f>
        <v>1</v>
      </c>
      <c r="AJ370" s="97">
        <f ca="1">SUMIF(Формы!A:A,D370,Формы!B:B)</f>
        <v>1</v>
      </c>
      <c r="AK370" s="97">
        <f ca="1">SUMIF(Материал!A:A,K370,Материал!B:B)</f>
        <v>1</v>
      </c>
      <c r="AL370" s="97">
        <f ca="1">SUMIF(Размеры!A:A,S370,Размеры!E:E)</f>
        <v>1</v>
      </c>
      <c r="AM370" s="97">
        <f ca="1">SUMIF(Сезон!A:A,F370,Сезон!B:B)</f>
        <v>1</v>
      </c>
      <c r="AN370" s="97">
        <f ca="1">SUMIF(Состав!A:A,J370,Состав!B:B)</f>
        <v>0</v>
      </c>
      <c r="AO370" s="97">
        <f ca="1">VLOOKUP(I370,ЦветПолный!A:C,3,0)</f>
        <v>1</v>
      </c>
      <c r="AP370" s="97">
        <f>SUMIF(Цвет!A:A,Z370,Цвет!B:B)</f>
        <v>1</v>
      </c>
      <c r="AQ370" s="97">
        <f ca="1">_xlfn.XLOOKUP(L370,Пол!A:A,Пол!B:B,0,0)</f>
        <v>1</v>
      </c>
      <c r="AR370" s="97">
        <f ca="1">SUMIF(Бренд!A:A,G370,Бренд!B:B)</f>
        <v>1</v>
      </c>
      <c r="AS370" s="97">
        <f ca="1">SUMIF(Страна!A:A,M370,Страна!B:B)</f>
        <v>1</v>
      </c>
      <c r="AT370" s="64" t="e">
        <f ca="1">IF(VLOOKUP(W370,Товары!A:B,2,FALSE)=A370,"Есть в 1С","ERR")</f>
        <v>#N/A</v>
      </c>
      <c r="AU370" s="65" t="e">
        <f ca="1">IF(VLOOKUP(A370,Товары!B:B,1,FALSE)=A370,"Есть в 1С","ERR")</f>
        <v>#N/A</v>
      </c>
      <c r="AV370" s="96" t="e">
        <f ca="1">VLOOKUP(W370,Товары!A:B,2,FALSE)</f>
        <v>#N/A</v>
      </c>
      <c r="AW370" s="94" t="e">
        <f ca="1">VLOOKUP(W370,Товары!A:B,1,FALSE)</f>
        <v>#N/A</v>
      </c>
    </row>
    <row r="371" spans="1:49" x14ac:dyDescent="0.25">
      <c r="A371" s="110" t="str">
        <f t="shared" ca="1" si="30"/>
        <v>95-003-47</v>
      </c>
      <c r="B371" s="107" t="str">
        <f ca="1">_xlfn.LET(_xlpm.CAPS,0,_xlpm.Style,TRIM(_xlfn.XLOOKUP($A371,Строчный!$A:$A,Строчный!B:B,"ERR",0)),IF(_xlpm.CAPS=0,_xlpm.Style,LOWER(_xlpm.Style)))</f>
        <v>3035</v>
      </c>
      <c r="C371" s="81" t="str">
        <f ca="1">TRIM(PROPER(_xlfn.XLOOKUP($A371,Строчный!$A:$A,Строчный!C:C,"ERR",0)))</f>
        <v>Кепки</v>
      </c>
      <c r="D371" s="81" t="str">
        <f ca="1">_xlfn.LET(_xlpm.DATA,TRIM(_xlfn.XLOOKUP($A371,Строчный!$A:$A,Строчный!D:D,"ERR",0)),UPPER(MID(_xlpm.DATA,1,1))&amp;LOWER(MID(_xlpm.DATA,2,LEN(_xlpm.DATA)-1)))</f>
        <v>Кепка восьмиклинка</v>
      </c>
      <c r="E371" s="81" t="str">
        <f ca="1">PROPER(TRIM(_xlfn.XLOOKUP($A371,Строчный!$A:$A,Строчный!E:E,"ERR",0)))</f>
        <v>Fredrikson</v>
      </c>
      <c r="F371" s="81" t="str">
        <f ca="1">LOWER(TRIM(_xlfn.XLOOKUP($A371,Строчный!$A:$A,Строчный!F:F,"ERR",0)))</f>
        <v>всесезон</v>
      </c>
      <c r="G371" s="81" t="str">
        <f ca="1">UPPER(TRIM(_xlfn.XLOOKUP($A371,Строчный!$A:$A,Строчный!G:G,"ERR",0)))</f>
        <v>FREDRIKSON</v>
      </c>
      <c r="H371" s="81" t="str">
        <f ca="1">LOWER(TRIM(_xlfn.XLOOKUP($A371,Строчный!$A:$A,Строчный!H:H,"ERR",0)))</f>
        <v>641/76</v>
      </c>
      <c r="I371" s="81" t="str">
        <f ca="1">LOWER(TRIM(_xlfn.XLOOKUP($A371,Строчный!$A:$A,Строчный!I:I,"ERR",0)))</f>
        <v>серый / черный</v>
      </c>
      <c r="J371" s="81" t="str">
        <f ca="1">SUBSTITUTE(LOWER(TRIM(_xlfn.XLOOKUP($A371,Строчный!$A:$A,Строчный!J:J,"ERR",0))),"подклад","Подклад")</f>
        <v>80% шерсть - 20% полиамид / Подклад: 100% вискоза</v>
      </c>
      <c r="K371" s="81" t="str">
        <f ca="1">LOWER(TRIM(_xlfn.XLOOKUP($A371,Строчный!$A:$A,Строчный!K:K,"ERR",0)))</f>
        <v>шерстяные</v>
      </c>
      <c r="L371" s="81" t="str">
        <f ca="1">PROPER(TRIM(_xlfn.XLOOKUP($A371,Строчный!$A:$A,Строчный!L:L,"ERR",0)))</f>
        <v>Унисекс</v>
      </c>
      <c r="M371" s="113" t="str">
        <f ca="1">PROPER(TRIM(_xlfn.XLOOKUP($A371,Строчный!$A:$A,Строчный!M:M,"ERR",0)))</f>
        <v>Россия</v>
      </c>
      <c r="N371" s="81" t="str">
        <f ca="1">UPPER(TRIM(_xlfn.XLOOKUP($A371,Строчный!$A:$A,Строчный!O:O,"ERR",0)))</f>
        <v/>
      </c>
      <c r="O371" s="102" t="str">
        <f ca="1">PROPER(TRIM(_xlfn.XLOOKUP($A371,Строчный!$A:$A,Строчный!P:P,"ERR",0)))</f>
        <v/>
      </c>
      <c r="P371" s="81" t="str">
        <f ca="1">PROPER(TRIM(_xlfn.XLOOKUP($A371,Строчный!$A:$A,Строчный!R:R,"ERR",0)))</f>
        <v/>
      </c>
      <c r="Q371" s="90">
        <f ca="1">VALUE(_xlfn.XLOOKUP($A371,Строчный!$A:$A,Строчный!N:N,"ERR",0))</f>
        <v>975.8</v>
      </c>
      <c r="R371" s="89" t="str">
        <f ca="1">_xlfn.XLOOKUP($G371,Фабрика!A:A,Фабрика!B:B,"ERR",0)</f>
        <v>ООО "ФРЭДРИКСОН" Россия 192029, С-Петербург, пр. Обуховской обороны, д.86, лит М</v>
      </c>
      <c r="S371" s="80" t="str">
        <f ca="1">_xlfn.XLOOKUP(RIGHT(AA371,2),Размеры!D:D,Размеры!A:A,"ERR",0)</f>
        <v>58</v>
      </c>
      <c r="T371" s="80">
        <f ca="1">VALUE(_xlfn.XLOOKUP($AA371,Строчный!$S:$S,Строчный!U:U,"ERR",0))</f>
        <v>3</v>
      </c>
      <c r="U371" s="14" t="s">
        <v>265</v>
      </c>
      <c r="V371" s="101" t="str">
        <f t="shared" ca="1" si="31"/>
        <v>Кепка FREDRIKSON арт. 3035 (серый / черный)</v>
      </c>
      <c r="W371" s="100" t="str">
        <f t="shared" ca="1" si="32"/>
        <v>Кепка FREDRIKSON арт. 3035 (серый / черный) {641/76}</v>
      </c>
      <c r="X371" s="18" t="str">
        <f t="shared" ca="1" si="33"/>
        <v>серый</v>
      </c>
      <c r="Y371" s="18" t="str">
        <f t="shared" ca="1" si="34"/>
        <v>черный</v>
      </c>
      <c r="Z371" s="117" t="s">
        <v>28</v>
      </c>
      <c r="AA371" s="73" t="str">
        <f ca="1"/>
        <v>95-003-47-58</v>
      </c>
      <c r="AB371" s="75" t="str">
        <f ca="1">VLOOKUP(C371,Группа!A:B,2,FALSE)</f>
        <v>Кепка</v>
      </c>
      <c r="AC371" s="97" t="str">
        <f ca="1">IFERROR(VLOOKUP(S371,Размеры!A:C,3,FALSE),"")</f>
        <v>58 M/L</v>
      </c>
      <c r="AD371" s="97" t="str">
        <f ca="1">VLOOKUP(I371,ЦветПолный!A:B,2,FALSE)</f>
        <v>47</v>
      </c>
      <c r="AE371" s="97" t="str">
        <f ca="1">IFERROR(VLOOKUP(S371,Размеры!A:D,4,FALSE),"")</f>
        <v>58</v>
      </c>
      <c r="AF371" s="97">
        <f ca="1">IF(LEFT(IFERROR(VLOOKUP(LOOKUP(2,1/SEARCH(B371,Товары!A:A),Товары!A:A),Товары!A:B,2,0),""),6)=MID(AA371,1,6),1,0)</f>
        <v>0</v>
      </c>
      <c r="AH371" s="97">
        <f ca="1">SUMIF(Группа!A:A,C371,Группа!C:C)</f>
        <v>1</v>
      </c>
      <c r="AI371" s="97">
        <f ca="1">SUMIF(Группа!B:B,AB371,Группа!C:C)</f>
        <v>1</v>
      </c>
      <c r="AJ371" s="97">
        <f ca="1">SUMIF(Формы!A:A,D371,Формы!B:B)</f>
        <v>1</v>
      </c>
      <c r="AK371" s="97">
        <f ca="1">SUMIF(Материал!A:A,K371,Материал!B:B)</f>
        <v>1</v>
      </c>
      <c r="AL371" s="97">
        <f ca="1">SUMIF(Размеры!A:A,S371,Размеры!E:E)</f>
        <v>1</v>
      </c>
      <c r="AM371" s="97">
        <f ca="1">SUMIF(Сезон!A:A,F371,Сезон!B:B)</f>
        <v>1</v>
      </c>
      <c r="AN371" s="97">
        <f ca="1">SUMIF(Состав!A:A,J371,Состав!B:B)</f>
        <v>0</v>
      </c>
      <c r="AO371" s="97">
        <f ca="1">VLOOKUP(I371,ЦветПолный!A:C,3,0)</f>
        <v>1</v>
      </c>
      <c r="AP371" s="97">
        <f>SUMIF(Цвет!A:A,Z371,Цвет!B:B)</f>
        <v>1</v>
      </c>
      <c r="AQ371" s="97">
        <f ca="1">_xlfn.XLOOKUP(L371,Пол!A:A,Пол!B:B,0,0)</f>
        <v>1</v>
      </c>
      <c r="AR371" s="97">
        <f ca="1">SUMIF(Бренд!A:A,G371,Бренд!B:B)</f>
        <v>1</v>
      </c>
      <c r="AS371" s="97">
        <f ca="1">SUMIF(Страна!A:A,M371,Страна!B:B)</f>
        <v>1</v>
      </c>
      <c r="AT371" s="64" t="e">
        <f ca="1">IF(VLOOKUP(W371,Товары!A:B,2,FALSE)=A371,"Есть в 1С","ERR")</f>
        <v>#N/A</v>
      </c>
      <c r="AU371" s="65" t="e">
        <f ca="1">IF(VLOOKUP(A371,Товары!B:B,1,FALSE)=A371,"Есть в 1С","ERR")</f>
        <v>#N/A</v>
      </c>
      <c r="AV371" s="96" t="e">
        <f ca="1">VLOOKUP(W371,Товары!A:B,2,FALSE)</f>
        <v>#N/A</v>
      </c>
      <c r="AW371" s="94" t="e">
        <f ca="1">VLOOKUP(W371,Товары!A:B,1,FALSE)</f>
        <v>#N/A</v>
      </c>
    </row>
    <row r="372" spans="1:49" x14ac:dyDescent="0.25">
      <c r="A372" s="110" t="str">
        <f t="shared" ca="1" si="30"/>
        <v>95-003-47</v>
      </c>
      <c r="B372" s="107" t="str">
        <f ca="1">_xlfn.LET(_xlpm.CAPS,0,_xlpm.Style,TRIM(_xlfn.XLOOKUP($A372,Строчный!$A:$A,Строчный!B:B,"ERR",0)),IF(_xlpm.CAPS=0,_xlpm.Style,LOWER(_xlpm.Style)))</f>
        <v>3035</v>
      </c>
      <c r="C372" s="81" t="str">
        <f ca="1">TRIM(PROPER(_xlfn.XLOOKUP($A372,Строчный!$A:$A,Строчный!C:C,"ERR",0)))</f>
        <v>Кепки</v>
      </c>
      <c r="D372" s="81" t="str">
        <f ca="1">_xlfn.LET(_xlpm.DATA,TRIM(_xlfn.XLOOKUP($A372,Строчный!$A:$A,Строчный!D:D,"ERR",0)),UPPER(MID(_xlpm.DATA,1,1))&amp;LOWER(MID(_xlpm.DATA,2,LEN(_xlpm.DATA)-1)))</f>
        <v>Кепка восьмиклинка</v>
      </c>
      <c r="E372" s="81" t="str">
        <f ca="1">PROPER(TRIM(_xlfn.XLOOKUP($A372,Строчный!$A:$A,Строчный!E:E,"ERR",0)))</f>
        <v>Fredrikson</v>
      </c>
      <c r="F372" s="81" t="str">
        <f ca="1">LOWER(TRIM(_xlfn.XLOOKUP($A372,Строчный!$A:$A,Строчный!F:F,"ERR",0)))</f>
        <v>всесезон</v>
      </c>
      <c r="G372" s="81" t="str">
        <f ca="1">UPPER(TRIM(_xlfn.XLOOKUP($A372,Строчный!$A:$A,Строчный!G:G,"ERR",0)))</f>
        <v>FREDRIKSON</v>
      </c>
      <c r="H372" s="81" t="str">
        <f ca="1">LOWER(TRIM(_xlfn.XLOOKUP($A372,Строчный!$A:$A,Строчный!H:H,"ERR",0)))</f>
        <v>641/76</v>
      </c>
      <c r="I372" s="81" t="str">
        <f ca="1">LOWER(TRIM(_xlfn.XLOOKUP($A372,Строчный!$A:$A,Строчный!I:I,"ERR",0)))</f>
        <v>серый / черный</v>
      </c>
      <c r="J372" s="81" t="str">
        <f ca="1">SUBSTITUTE(LOWER(TRIM(_xlfn.XLOOKUP($A372,Строчный!$A:$A,Строчный!J:J,"ERR",0))),"подклад","Подклад")</f>
        <v>80% шерсть - 20% полиамид / Подклад: 100% вискоза</v>
      </c>
      <c r="K372" s="81" t="str">
        <f ca="1">LOWER(TRIM(_xlfn.XLOOKUP($A372,Строчный!$A:$A,Строчный!K:K,"ERR",0)))</f>
        <v>шерстяные</v>
      </c>
      <c r="L372" s="81" t="str">
        <f ca="1">PROPER(TRIM(_xlfn.XLOOKUP($A372,Строчный!$A:$A,Строчный!L:L,"ERR",0)))</f>
        <v>Унисекс</v>
      </c>
      <c r="M372" s="113" t="str">
        <f ca="1">PROPER(TRIM(_xlfn.XLOOKUP($A372,Строчный!$A:$A,Строчный!M:M,"ERR",0)))</f>
        <v>Россия</v>
      </c>
      <c r="N372" s="81" t="str">
        <f ca="1">UPPER(TRIM(_xlfn.XLOOKUP($A372,Строчный!$A:$A,Строчный!O:O,"ERR",0)))</f>
        <v/>
      </c>
      <c r="O372" s="102" t="str">
        <f ca="1">PROPER(TRIM(_xlfn.XLOOKUP($A372,Строчный!$A:$A,Строчный!P:P,"ERR",0)))</f>
        <v/>
      </c>
      <c r="P372" s="81" t="str">
        <f ca="1">PROPER(TRIM(_xlfn.XLOOKUP($A372,Строчный!$A:$A,Строчный!R:R,"ERR",0)))</f>
        <v/>
      </c>
      <c r="Q372" s="90">
        <f ca="1">VALUE(_xlfn.XLOOKUP($A372,Строчный!$A:$A,Строчный!N:N,"ERR",0))</f>
        <v>975.8</v>
      </c>
      <c r="R372" s="89" t="str">
        <f ca="1">_xlfn.XLOOKUP($G372,Фабрика!A:A,Фабрика!B:B,"ERR",0)</f>
        <v>ООО "ФРЭДРИКСОН" Россия 192029, С-Петербург, пр. Обуховской обороны, д.86, лит М</v>
      </c>
      <c r="S372" s="80" t="str">
        <f ca="1">_xlfn.XLOOKUP(RIGHT(AA372,2),Размеры!D:D,Размеры!A:A,"ERR",0)</f>
        <v>57</v>
      </c>
      <c r="T372" s="80">
        <f ca="1">VALUE(_xlfn.XLOOKUP($AA372,Строчный!$S:$S,Строчный!U:U,"ERR",0))</f>
        <v>2</v>
      </c>
      <c r="U372" s="14" t="s">
        <v>265</v>
      </c>
      <c r="V372" s="101" t="str">
        <f t="shared" ca="1" si="31"/>
        <v>Кепка FREDRIKSON арт. 3035 (серый / черный)</v>
      </c>
      <c r="W372" s="100" t="str">
        <f t="shared" ca="1" si="32"/>
        <v>Кепка FREDRIKSON арт. 3035 (серый / черный) {641/76}</v>
      </c>
      <c r="X372" s="18" t="str">
        <f t="shared" ca="1" si="33"/>
        <v>серый</v>
      </c>
      <c r="Y372" s="18" t="str">
        <f t="shared" ca="1" si="34"/>
        <v>черный</v>
      </c>
      <c r="Z372" s="117" t="s">
        <v>28</v>
      </c>
      <c r="AA372" s="73" t="str">
        <f ca="1"/>
        <v>95-003-47-57</v>
      </c>
      <c r="AB372" s="75" t="str">
        <f ca="1">VLOOKUP(C372,Группа!A:B,2,FALSE)</f>
        <v>Кепка</v>
      </c>
      <c r="AC372" s="97" t="str">
        <f ca="1">IFERROR(VLOOKUP(S372,Размеры!A:C,3,FALSE),"")</f>
        <v>57 M</v>
      </c>
      <c r="AD372" s="97" t="str">
        <f ca="1">VLOOKUP(I372,ЦветПолный!A:B,2,FALSE)</f>
        <v>47</v>
      </c>
      <c r="AE372" s="97" t="str">
        <f ca="1">IFERROR(VLOOKUP(S372,Размеры!A:D,4,FALSE),"")</f>
        <v>57</v>
      </c>
      <c r="AF372" s="97">
        <f ca="1">IF(LEFT(IFERROR(VLOOKUP(LOOKUP(2,1/SEARCH(B372,Товары!A:A),Товары!A:A),Товары!A:B,2,0),""),6)=MID(AA372,1,6),1,0)</f>
        <v>0</v>
      </c>
      <c r="AH372" s="97">
        <f ca="1">SUMIF(Группа!A:A,C372,Группа!C:C)</f>
        <v>1</v>
      </c>
      <c r="AI372" s="97">
        <f ca="1">SUMIF(Группа!B:B,AB372,Группа!C:C)</f>
        <v>1</v>
      </c>
      <c r="AJ372" s="97">
        <f ca="1">SUMIF(Формы!A:A,D372,Формы!B:B)</f>
        <v>1</v>
      </c>
      <c r="AK372" s="97">
        <f ca="1">SUMIF(Материал!A:A,K372,Материал!B:B)</f>
        <v>1</v>
      </c>
      <c r="AL372" s="97">
        <f ca="1">SUMIF(Размеры!A:A,S372,Размеры!E:E)</f>
        <v>1</v>
      </c>
      <c r="AM372" s="97">
        <f ca="1">SUMIF(Сезон!A:A,F372,Сезон!B:B)</f>
        <v>1</v>
      </c>
      <c r="AN372" s="97">
        <f ca="1">SUMIF(Состав!A:A,J372,Состав!B:B)</f>
        <v>0</v>
      </c>
      <c r="AO372" s="97">
        <f ca="1">VLOOKUP(I372,ЦветПолный!A:C,3,0)</f>
        <v>1</v>
      </c>
      <c r="AP372" s="97">
        <f>SUMIF(Цвет!A:A,Z372,Цвет!B:B)</f>
        <v>1</v>
      </c>
      <c r="AQ372" s="97">
        <f ca="1">_xlfn.XLOOKUP(L372,Пол!A:A,Пол!B:B,0,0)</f>
        <v>1</v>
      </c>
      <c r="AR372" s="97">
        <f ca="1">SUMIF(Бренд!A:A,G372,Бренд!B:B)</f>
        <v>1</v>
      </c>
      <c r="AS372" s="97">
        <f ca="1">SUMIF(Страна!A:A,M372,Страна!B:B)</f>
        <v>1</v>
      </c>
      <c r="AT372" s="64" t="e">
        <f ca="1">IF(VLOOKUP(W372,Товары!A:B,2,FALSE)=A372,"Есть в 1С","ERR")</f>
        <v>#N/A</v>
      </c>
      <c r="AU372" s="65" t="e">
        <f ca="1">IF(VLOOKUP(A372,Товары!B:B,1,FALSE)=A372,"Есть в 1С","ERR")</f>
        <v>#N/A</v>
      </c>
      <c r="AV372" s="96" t="e">
        <f ca="1">VLOOKUP(W372,Товары!A:B,2,FALSE)</f>
        <v>#N/A</v>
      </c>
      <c r="AW372" s="94" t="e">
        <f ca="1">VLOOKUP(W372,Товары!A:B,1,FALSE)</f>
        <v>#N/A</v>
      </c>
    </row>
    <row r="373" spans="1:49" x14ac:dyDescent="0.25">
      <c r="A373" s="110" t="str">
        <f t="shared" ca="1" si="30"/>
        <v>95-003-47</v>
      </c>
      <c r="B373" s="107" t="str">
        <f ca="1">_xlfn.LET(_xlpm.CAPS,0,_xlpm.Style,TRIM(_xlfn.XLOOKUP($A373,Строчный!$A:$A,Строчный!B:B,"ERR",0)),IF(_xlpm.CAPS=0,_xlpm.Style,LOWER(_xlpm.Style)))</f>
        <v>3035</v>
      </c>
      <c r="C373" s="81" t="str">
        <f ca="1">TRIM(PROPER(_xlfn.XLOOKUP($A373,Строчный!$A:$A,Строчный!C:C,"ERR",0)))</f>
        <v>Кепки</v>
      </c>
      <c r="D373" s="81" t="str">
        <f ca="1">_xlfn.LET(_xlpm.DATA,TRIM(_xlfn.XLOOKUP($A373,Строчный!$A:$A,Строчный!D:D,"ERR",0)),UPPER(MID(_xlpm.DATA,1,1))&amp;LOWER(MID(_xlpm.DATA,2,LEN(_xlpm.DATA)-1)))</f>
        <v>Кепка восьмиклинка</v>
      </c>
      <c r="E373" s="81" t="str">
        <f ca="1">PROPER(TRIM(_xlfn.XLOOKUP($A373,Строчный!$A:$A,Строчный!E:E,"ERR",0)))</f>
        <v>Fredrikson</v>
      </c>
      <c r="F373" s="81" t="str">
        <f ca="1">LOWER(TRIM(_xlfn.XLOOKUP($A373,Строчный!$A:$A,Строчный!F:F,"ERR",0)))</f>
        <v>всесезон</v>
      </c>
      <c r="G373" s="81" t="str">
        <f ca="1">UPPER(TRIM(_xlfn.XLOOKUP($A373,Строчный!$A:$A,Строчный!G:G,"ERR",0)))</f>
        <v>FREDRIKSON</v>
      </c>
      <c r="H373" s="81" t="str">
        <f ca="1">LOWER(TRIM(_xlfn.XLOOKUP($A373,Строчный!$A:$A,Строчный!H:H,"ERR",0)))</f>
        <v>641/76</v>
      </c>
      <c r="I373" s="81" t="str">
        <f ca="1">LOWER(TRIM(_xlfn.XLOOKUP($A373,Строчный!$A:$A,Строчный!I:I,"ERR",0)))</f>
        <v>серый / черный</v>
      </c>
      <c r="J373" s="81" t="str">
        <f ca="1">SUBSTITUTE(LOWER(TRIM(_xlfn.XLOOKUP($A373,Строчный!$A:$A,Строчный!J:J,"ERR",0))),"подклад","Подклад")</f>
        <v>80% шерсть - 20% полиамид / Подклад: 100% вискоза</v>
      </c>
      <c r="K373" s="81" t="str">
        <f ca="1">LOWER(TRIM(_xlfn.XLOOKUP($A373,Строчный!$A:$A,Строчный!K:K,"ERR",0)))</f>
        <v>шерстяные</v>
      </c>
      <c r="L373" s="81" t="str">
        <f ca="1">PROPER(TRIM(_xlfn.XLOOKUP($A373,Строчный!$A:$A,Строчный!L:L,"ERR",0)))</f>
        <v>Унисекс</v>
      </c>
      <c r="M373" s="113" t="str">
        <f ca="1">PROPER(TRIM(_xlfn.XLOOKUP($A373,Строчный!$A:$A,Строчный!M:M,"ERR",0)))</f>
        <v>Россия</v>
      </c>
      <c r="N373" s="81" t="str">
        <f ca="1">UPPER(TRIM(_xlfn.XLOOKUP($A373,Строчный!$A:$A,Строчный!O:O,"ERR",0)))</f>
        <v/>
      </c>
      <c r="O373" s="102" t="str">
        <f ca="1">PROPER(TRIM(_xlfn.XLOOKUP($A373,Строчный!$A:$A,Строчный!P:P,"ERR",0)))</f>
        <v/>
      </c>
      <c r="P373" s="81" t="str">
        <f ca="1">PROPER(TRIM(_xlfn.XLOOKUP($A373,Строчный!$A:$A,Строчный!R:R,"ERR",0)))</f>
        <v/>
      </c>
      <c r="Q373" s="90">
        <f ca="1">VALUE(_xlfn.XLOOKUP($A373,Строчный!$A:$A,Строчный!N:N,"ERR",0))</f>
        <v>975.8</v>
      </c>
      <c r="R373" s="89" t="str">
        <f ca="1">_xlfn.XLOOKUP($G373,Фабрика!A:A,Фабрика!B:B,"ERR",0)</f>
        <v>ООО "ФРЭДРИКСОН" Россия 192029, С-Петербург, пр. Обуховской обороны, д.86, лит М</v>
      </c>
      <c r="S373" s="80" t="str">
        <f ca="1">_xlfn.XLOOKUP(RIGHT(AA373,2),Размеры!D:D,Размеры!A:A,"ERR",0)</f>
        <v>56</v>
      </c>
      <c r="T373" s="80">
        <f ca="1">VALUE(_xlfn.XLOOKUP($AA373,Строчный!$S:$S,Строчный!U:U,"ERR",0))</f>
        <v>1</v>
      </c>
      <c r="U373" s="14" t="s">
        <v>265</v>
      </c>
      <c r="V373" s="101" t="str">
        <f t="shared" ca="1" si="31"/>
        <v>Кепка FREDRIKSON арт. 3035 (серый / черный)</v>
      </c>
      <c r="W373" s="100" t="str">
        <f t="shared" ca="1" si="32"/>
        <v>Кепка FREDRIKSON арт. 3035 (серый / черный) {641/76}</v>
      </c>
      <c r="X373" s="18" t="str">
        <f t="shared" ca="1" si="33"/>
        <v>серый</v>
      </c>
      <c r="Y373" s="18" t="str">
        <f t="shared" ca="1" si="34"/>
        <v>черный</v>
      </c>
      <c r="Z373" s="117" t="s">
        <v>28</v>
      </c>
      <c r="AA373" s="73" t="str">
        <f ca="1"/>
        <v>95-003-47-56</v>
      </c>
      <c r="AB373" s="75" t="str">
        <f ca="1">VLOOKUP(C373,Группа!A:B,2,FALSE)</f>
        <v>Кепка</v>
      </c>
      <c r="AC373" s="97" t="str">
        <f ca="1">IFERROR(VLOOKUP(S373,Размеры!A:C,3,FALSE),"")</f>
        <v>56 S/M</v>
      </c>
      <c r="AD373" s="97" t="str">
        <f ca="1">VLOOKUP(I373,ЦветПолный!A:B,2,FALSE)</f>
        <v>47</v>
      </c>
      <c r="AE373" s="97" t="str">
        <f ca="1">IFERROR(VLOOKUP(S373,Размеры!A:D,4,FALSE),"")</f>
        <v>56</v>
      </c>
      <c r="AF373" s="97">
        <f ca="1">IF(LEFT(IFERROR(VLOOKUP(LOOKUP(2,1/SEARCH(B373,Товары!A:A),Товары!A:A),Товары!A:B,2,0),""),6)=MID(AA373,1,6),1,0)</f>
        <v>0</v>
      </c>
      <c r="AH373" s="97">
        <f ca="1">SUMIF(Группа!A:A,C373,Группа!C:C)</f>
        <v>1</v>
      </c>
      <c r="AI373" s="97">
        <f ca="1">SUMIF(Группа!B:B,AB373,Группа!C:C)</f>
        <v>1</v>
      </c>
      <c r="AJ373" s="97">
        <f ca="1">SUMIF(Формы!A:A,D373,Формы!B:B)</f>
        <v>1</v>
      </c>
      <c r="AK373" s="97">
        <f ca="1">SUMIF(Материал!A:A,K373,Материал!B:B)</f>
        <v>1</v>
      </c>
      <c r="AL373" s="97">
        <f ca="1">SUMIF(Размеры!A:A,S373,Размеры!E:E)</f>
        <v>1</v>
      </c>
      <c r="AM373" s="97">
        <f ca="1">SUMIF(Сезон!A:A,F373,Сезон!B:B)</f>
        <v>1</v>
      </c>
      <c r="AN373" s="97">
        <f ca="1">SUMIF(Состав!A:A,J373,Состав!B:B)</f>
        <v>0</v>
      </c>
      <c r="AO373" s="97">
        <f ca="1">VLOOKUP(I373,ЦветПолный!A:C,3,0)</f>
        <v>1</v>
      </c>
      <c r="AP373" s="97">
        <f>SUMIF(Цвет!A:A,Z373,Цвет!B:B)</f>
        <v>1</v>
      </c>
      <c r="AQ373" s="97">
        <f ca="1">_xlfn.XLOOKUP(L373,Пол!A:A,Пол!B:B,0,0)</f>
        <v>1</v>
      </c>
      <c r="AR373" s="97">
        <f ca="1">SUMIF(Бренд!A:A,G373,Бренд!B:B)</f>
        <v>1</v>
      </c>
      <c r="AS373" s="97">
        <f ca="1">SUMIF(Страна!A:A,M373,Страна!B:B)</f>
        <v>1</v>
      </c>
      <c r="AT373" s="64" t="e">
        <f ca="1">IF(VLOOKUP(W373,Товары!A:B,2,FALSE)=A373,"Есть в 1С","ERR")</f>
        <v>#N/A</v>
      </c>
      <c r="AU373" s="65" t="e">
        <f ca="1">IF(VLOOKUP(A373,Товары!B:B,1,FALSE)=A373,"Есть в 1С","ERR")</f>
        <v>#N/A</v>
      </c>
      <c r="AV373" s="96" t="e">
        <f ca="1">VLOOKUP(W373,Товары!A:B,2,FALSE)</f>
        <v>#N/A</v>
      </c>
      <c r="AW373" s="94" t="e">
        <f ca="1">VLOOKUP(W373,Товары!A:B,1,FALSE)</f>
        <v>#N/A</v>
      </c>
    </row>
    <row r="374" spans="1:49" x14ac:dyDescent="0.25">
      <c r="A374" s="110" t="str">
        <f t="shared" ca="1" si="30"/>
        <v>95-003-10</v>
      </c>
      <c r="B374" s="107" t="str">
        <f ca="1">_xlfn.LET(_xlpm.CAPS,0,_xlpm.Style,TRIM(_xlfn.XLOOKUP($A374,Строчный!$A:$A,Строчный!B:B,"ERR",0)),IF(_xlpm.CAPS=0,_xlpm.Style,LOWER(_xlpm.Style)))</f>
        <v>3035</v>
      </c>
      <c r="C374" s="81" t="str">
        <f ca="1">TRIM(PROPER(_xlfn.XLOOKUP($A374,Строчный!$A:$A,Строчный!C:C,"ERR",0)))</f>
        <v>Кепки</v>
      </c>
      <c r="D374" s="81" t="str">
        <f ca="1">_xlfn.LET(_xlpm.DATA,TRIM(_xlfn.XLOOKUP($A374,Строчный!$A:$A,Строчный!D:D,"ERR",0)),UPPER(MID(_xlpm.DATA,1,1))&amp;LOWER(MID(_xlpm.DATA,2,LEN(_xlpm.DATA)-1)))</f>
        <v>Кепка восьмиклинка</v>
      </c>
      <c r="E374" s="81" t="str">
        <f ca="1">PROPER(TRIM(_xlfn.XLOOKUP($A374,Строчный!$A:$A,Строчный!E:E,"ERR",0)))</f>
        <v>Fredrikson</v>
      </c>
      <c r="F374" s="81" t="str">
        <f ca="1">LOWER(TRIM(_xlfn.XLOOKUP($A374,Строчный!$A:$A,Строчный!F:F,"ERR",0)))</f>
        <v>всесезон</v>
      </c>
      <c r="G374" s="81" t="str">
        <f ca="1">UPPER(TRIM(_xlfn.XLOOKUP($A374,Строчный!$A:$A,Строчный!G:G,"ERR",0)))</f>
        <v>FREDRIKSON</v>
      </c>
      <c r="H374" s="81" t="str">
        <f ca="1">LOWER(TRIM(_xlfn.XLOOKUP($A374,Строчный!$A:$A,Строчный!H:H,"ERR",0)))</f>
        <v>644/74</v>
      </c>
      <c r="I374" s="81" t="str">
        <f ca="1">LOWER(TRIM(_xlfn.XLOOKUP($A374,Строчный!$A:$A,Строчный!I:I,"ERR",0)))</f>
        <v>черный / серый</v>
      </c>
      <c r="J374" s="81" t="str">
        <f ca="1">SUBSTITUTE(LOWER(TRIM(_xlfn.XLOOKUP($A374,Строчный!$A:$A,Строчный!J:J,"ERR",0))),"подклад","Подклад")</f>
        <v>80% шерсть - 20% полиамид / Подклад: 100% вискоза</v>
      </c>
      <c r="K374" s="81" t="str">
        <f ca="1">LOWER(TRIM(_xlfn.XLOOKUP($A374,Строчный!$A:$A,Строчный!K:K,"ERR",0)))</f>
        <v>шерстяные</v>
      </c>
      <c r="L374" s="81" t="str">
        <f ca="1">PROPER(TRIM(_xlfn.XLOOKUP($A374,Строчный!$A:$A,Строчный!L:L,"ERR",0)))</f>
        <v>Унисекс</v>
      </c>
      <c r="M374" s="113" t="str">
        <f ca="1">PROPER(TRIM(_xlfn.XLOOKUP($A374,Строчный!$A:$A,Строчный!M:M,"ERR",0)))</f>
        <v>Россия</v>
      </c>
      <c r="N374" s="81" t="str">
        <f ca="1">UPPER(TRIM(_xlfn.XLOOKUP($A374,Строчный!$A:$A,Строчный!O:O,"ERR",0)))</f>
        <v/>
      </c>
      <c r="O374" s="102" t="str">
        <f ca="1">PROPER(TRIM(_xlfn.XLOOKUP($A374,Строчный!$A:$A,Строчный!P:P,"ERR",0)))</f>
        <v/>
      </c>
      <c r="P374" s="81" t="str">
        <f ca="1">PROPER(TRIM(_xlfn.XLOOKUP($A374,Строчный!$A:$A,Строчный!R:R,"ERR",0)))</f>
        <v/>
      </c>
      <c r="Q374" s="90">
        <f ca="1">VALUE(_xlfn.XLOOKUP($A374,Строчный!$A:$A,Строчный!N:N,"ERR",0))</f>
        <v>975.8</v>
      </c>
      <c r="R374" s="89" t="str">
        <f ca="1">_xlfn.XLOOKUP($G374,Фабрика!A:A,Фабрика!B:B,"ERR",0)</f>
        <v>ООО "ФРЭДРИКСОН" Россия 192029, С-Петербург, пр. Обуховской обороны, д.86, лит М</v>
      </c>
      <c r="S374" s="80" t="str">
        <f ca="1">_xlfn.XLOOKUP(RIGHT(AA374,2),Размеры!D:D,Размеры!A:A,"ERR",0)</f>
        <v>61</v>
      </c>
      <c r="T374" s="80">
        <f ca="1">VALUE(_xlfn.XLOOKUP($AA374,Строчный!$S:$S,Строчный!U:U,"ERR",0))</f>
        <v>2</v>
      </c>
      <c r="U374" s="14" t="s">
        <v>265</v>
      </c>
      <c r="V374" s="101" t="str">
        <f t="shared" ca="1" si="31"/>
        <v>Кепка FREDRIKSON арт. 3035 (черный / серый)</v>
      </c>
      <c r="W374" s="100" t="str">
        <f t="shared" ca="1" si="32"/>
        <v>Кепка FREDRIKSON арт. 3035 (черный / серый) {644/74}</v>
      </c>
      <c r="X374" s="18" t="str">
        <f t="shared" ca="1" si="33"/>
        <v>черный</v>
      </c>
      <c r="Y374" s="18" t="str">
        <f t="shared" ca="1" si="34"/>
        <v>серый</v>
      </c>
      <c r="Z374" s="117" t="s">
        <v>28</v>
      </c>
      <c r="AA374" s="73" t="str">
        <f ca="1"/>
        <v>95-003-10-61</v>
      </c>
      <c r="AB374" s="75" t="str">
        <f ca="1">VLOOKUP(C374,Группа!A:B,2,FALSE)</f>
        <v>Кепка</v>
      </c>
      <c r="AC374" s="97" t="str">
        <f ca="1">IFERROR(VLOOKUP(S374,Размеры!A:C,3,FALSE),"")</f>
        <v>61 XL</v>
      </c>
      <c r="AD374" s="97" t="str">
        <f ca="1">VLOOKUP(I374,ЦветПолный!A:B,2,FALSE)</f>
        <v>10</v>
      </c>
      <c r="AE374" s="97" t="str">
        <f ca="1">IFERROR(VLOOKUP(S374,Размеры!A:D,4,FALSE),"")</f>
        <v>61</v>
      </c>
      <c r="AF374" s="97">
        <f ca="1">IF(LEFT(IFERROR(VLOOKUP(LOOKUP(2,1/SEARCH(B374,Товары!A:A),Товары!A:A),Товары!A:B,2,0),""),6)=MID(AA374,1,6),1,0)</f>
        <v>0</v>
      </c>
      <c r="AH374" s="97">
        <f ca="1">SUMIF(Группа!A:A,C374,Группа!C:C)</f>
        <v>1</v>
      </c>
      <c r="AI374" s="97">
        <f ca="1">SUMIF(Группа!B:B,AB374,Группа!C:C)</f>
        <v>1</v>
      </c>
      <c r="AJ374" s="97">
        <f ca="1">SUMIF(Формы!A:A,D374,Формы!B:B)</f>
        <v>1</v>
      </c>
      <c r="AK374" s="97">
        <f ca="1">SUMIF(Материал!A:A,K374,Материал!B:B)</f>
        <v>1</v>
      </c>
      <c r="AL374" s="97">
        <f ca="1">SUMIF(Размеры!A:A,S374,Размеры!E:E)</f>
        <v>1</v>
      </c>
      <c r="AM374" s="97">
        <f ca="1">SUMIF(Сезон!A:A,F374,Сезон!B:B)</f>
        <v>1</v>
      </c>
      <c r="AN374" s="97">
        <f ca="1">SUMIF(Состав!A:A,J374,Состав!B:B)</f>
        <v>0</v>
      </c>
      <c r="AO374" s="97">
        <f ca="1">VLOOKUP(I374,ЦветПолный!A:C,3,0)</f>
        <v>1</v>
      </c>
      <c r="AP374" s="97">
        <f>SUMIF(Цвет!A:A,Z374,Цвет!B:B)</f>
        <v>1</v>
      </c>
      <c r="AQ374" s="97">
        <f ca="1">_xlfn.XLOOKUP(L374,Пол!A:A,Пол!B:B,0,0)</f>
        <v>1</v>
      </c>
      <c r="AR374" s="97">
        <f ca="1">SUMIF(Бренд!A:A,G374,Бренд!B:B)</f>
        <v>1</v>
      </c>
      <c r="AS374" s="97">
        <f ca="1">SUMIF(Страна!A:A,M374,Страна!B:B)</f>
        <v>1</v>
      </c>
      <c r="AT374" s="64" t="e">
        <f ca="1">IF(VLOOKUP(W374,Товары!A:B,2,FALSE)=A374,"Есть в 1С","ERR")</f>
        <v>#N/A</v>
      </c>
      <c r="AU374" s="65" t="e">
        <f ca="1">IF(VLOOKUP(A374,Товары!B:B,1,FALSE)=A374,"Есть в 1С","ERR")</f>
        <v>#N/A</v>
      </c>
      <c r="AV374" s="96" t="e">
        <f ca="1">VLOOKUP(W374,Товары!A:B,2,FALSE)</f>
        <v>#N/A</v>
      </c>
      <c r="AW374" s="94" t="e">
        <f ca="1">VLOOKUP(W374,Товары!A:B,1,FALSE)</f>
        <v>#N/A</v>
      </c>
    </row>
    <row r="375" spans="1:49" x14ac:dyDescent="0.25">
      <c r="A375" s="110" t="str">
        <f t="shared" ca="1" si="30"/>
        <v>95-003-10</v>
      </c>
      <c r="B375" s="107" t="str">
        <f ca="1">_xlfn.LET(_xlpm.CAPS,0,_xlpm.Style,TRIM(_xlfn.XLOOKUP($A375,Строчный!$A:$A,Строчный!B:B,"ERR",0)),IF(_xlpm.CAPS=0,_xlpm.Style,LOWER(_xlpm.Style)))</f>
        <v>3035</v>
      </c>
      <c r="C375" s="81" t="str">
        <f ca="1">TRIM(PROPER(_xlfn.XLOOKUP($A375,Строчный!$A:$A,Строчный!C:C,"ERR",0)))</f>
        <v>Кепки</v>
      </c>
      <c r="D375" s="81" t="str">
        <f ca="1">_xlfn.LET(_xlpm.DATA,TRIM(_xlfn.XLOOKUP($A375,Строчный!$A:$A,Строчный!D:D,"ERR",0)),UPPER(MID(_xlpm.DATA,1,1))&amp;LOWER(MID(_xlpm.DATA,2,LEN(_xlpm.DATA)-1)))</f>
        <v>Кепка восьмиклинка</v>
      </c>
      <c r="E375" s="81" t="str">
        <f ca="1">PROPER(TRIM(_xlfn.XLOOKUP($A375,Строчный!$A:$A,Строчный!E:E,"ERR",0)))</f>
        <v>Fredrikson</v>
      </c>
      <c r="F375" s="81" t="str">
        <f ca="1">LOWER(TRIM(_xlfn.XLOOKUP($A375,Строчный!$A:$A,Строчный!F:F,"ERR",0)))</f>
        <v>всесезон</v>
      </c>
      <c r="G375" s="81" t="str">
        <f ca="1">UPPER(TRIM(_xlfn.XLOOKUP($A375,Строчный!$A:$A,Строчный!G:G,"ERR",0)))</f>
        <v>FREDRIKSON</v>
      </c>
      <c r="H375" s="81" t="str">
        <f ca="1">LOWER(TRIM(_xlfn.XLOOKUP($A375,Строчный!$A:$A,Строчный!H:H,"ERR",0)))</f>
        <v>644/74</v>
      </c>
      <c r="I375" s="81" t="str">
        <f ca="1">LOWER(TRIM(_xlfn.XLOOKUP($A375,Строчный!$A:$A,Строчный!I:I,"ERR",0)))</f>
        <v>черный / серый</v>
      </c>
      <c r="J375" s="81" t="str">
        <f ca="1">SUBSTITUTE(LOWER(TRIM(_xlfn.XLOOKUP($A375,Строчный!$A:$A,Строчный!J:J,"ERR",0))),"подклад","Подклад")</f>
        <v>80% шерсть - 20% полиамид / Подклад: 100% вискоза</v>
      </c>
      <c r="K375" s="81" t="str">
        <f ca="1">LOWER(TRIM(_xlfn.XLOOKUP($A375,Строчный!$A:$A,Строчный!K:K,"ERR",0)))</f>
        <v>шерстяные</v>
      </c>
      <c r="L375" s="81" t="str">
        <f ca="1">PROPER(TRIM(_xlfn.XLOOKUP($A375,Строчный!$A:$A,Строчный!L:L,"ERR",0)))</f>
        <v>Унисекс</v>
      </c>
      <c r="M375" s="113" t="str">
        <f ca="1">PROPER(TRIM(_xlfn.XLOOKUP($A375,Строчный!$A:$A,Строчный!M:M,"ERR",0)))</f>
        <v>Россия</v>
      </c>
      <c r="N375" s="81" t="str">
        <f ca="1">UPPER(TRIM(_xlfn.XLOOKUP($A375,Строчный!$A:$A,Строчный!O:O,"ERR",0)))</f>
        <v/>
      </c>
      <c r="O375" s="102" t="str">
        <f ca="1">PROPER(TRIM(_xlfn.XLOOKUP($A375,Строчный!$A:$A,Строчный!P:P,"ERR",0)))</f>
        <v/>
      </c>
      <c r="P375" s="81" t="str">
        <f ca="1">PROPER(TRIM(_xlfn.XLOOKUP($A375,Строчный!$A:$A,Строчный!R:R,"ERR",0)))</f>
        <v/>
      </c>
      <c r="Q375" s="90">
        <f ca="1">VALUE(_xlfn.XLOOKUP($A375,Строчный!$A:$A,Строчный!N:N,"ERR",0))</f>
        <v>975.8</v>
      </c>
      <c r="R375" s="89" t="str">
        <f ca="1">_xlfn.XLOOKUP($G375,Фабрика!A:A,Фабрика!B:B,"ERR",0)</f>
        <v>ООО "ФРЭДРИКСОН" Россия 192029, С-Петербург, пр. Обуховской обороны, д.86, лит М</v>
      </c>
      <c r="S375" s="80" t="str">
        <f ca="1">_xlfn.XLOOKUP(RIGHT(AA375,2),Размеры!D:D,Размеры!A:A,"ERR",0)</f>
        <v>60</v>
      </c>
      <c r="T375" s="80">
        <f ca="1">VALUE(_xlfn.XLOOKUP($AA375,Строчный!$S:$S,Строчный!U:U,"ERR",0))</f>
        <v>3</v>
      </c>
      <c r="U375" s="14" t="s">
        <v>265</v>
      </c>
      <c r="V375" s="101" t="str">
        <f t="shared" ca="1" si="31"/>
        <v>Кепка FREDRIKSON арт. 3035 (черный / серый)</v>
      </c>
      <c r="W375" s="100" t="str">
        <f t="shared" ca="1" si="32"/>
        <v>Кепка FREDRIKSON арт. 3035 (черный / серый) {644/74}</v>
      </c>
      <c r="X375" s="18" t="str">
        <f t="shared" ca="1" si="33"/>
        <v>черный</v>
      </c>
      <c r="Y375" s="18" t="str">
        <f t="shared" ca="1" si="34"/>
        <v>серый</v>
      </c>
      <c r="Z375" s="117" t="s">
        <v>28</v>
      </c>
      <c r="AA375" s="73" t="str">
        <f ca="1"/>
        <v>95-003-10-60</v>
      </c>
      <c r="AB375" s="75" t="str">
        <f ca="1">VLOOKUP(C375,Группа!A:B,2,FALSE)</f>
        <v>Кепка</v>
      </c>
      <c r="AC375" s="97" t="str">
        <f ca="1">IFERROR(VLOOKUP(S375,Размеры!A:C,3,FALSE),"")</f>
        <v>60 L/XL</v>
      </c>
      <c r="AD375" s="97" t="str">
        <f ca="1">VLOOKUP(I375,ЦветПолный!A:B,2,FALSE)</f>
        <v>10</v>
      </c>
      <c r="AE375" s="97" t="str">
        <f ca="1">IFERROR(VLOOKUP(S375,Размеры!A:D,4,FALSE),"")</f>
        <v>60</v>
      </c>
      <c r="AF375" s="97">
        <f ca="1">IF(LEFT(IFERROR(VLOOKUP(LOOKUP(2,1/SEARCH(B375,Товары!A:A),Товары!A:A),Товары!A:B,2,0),""),6)=MID(AA375,1,6),1,0)</f>
        <v>0</v>
      </c>
      <c r="AH375" s="97">
        <f ca="1">SUMIF(Группа!A:A,C375,Группа!C:C)</f>
        <v>1</v>
      </c>
      <c r="AI375" s="97">
        <f ca="1">SUMIF(Группа!B:B,AB375,Группа!C:C)</f>
        <v>1</v>
      </c>
      <c r="AJ375" s="97">
        <f ca="1">SUMIF(Формы!A:A,D375,Формы!B:B)</f>
        <v>1</v>
      </c>
      <c r="AK375" s="97">
        <f ca="1">SUMIF(Материал!A:A,K375,Материал!B:B)</f>
        <v>1</v>
      </c>
      <c r="AL375" s="97">
        <f ca="1">SUMIF(Размеры!A:A,S375,Размеры!E:E)</f>
        <v>1</v>
      </c>
      <c r="AM375" s="97">
        <f ca="1">SUMIF(Сезон!A:A,F375,Сезон!B:B)</f>
        <v>1</v>
      </c>
      <c r="AN375" s="97">
        <f ca="1">SUMIF(Состав!A:A,J375,Состав!B:B)</f>
        <v>0</v>
      </c>
      <c r="AO375" s="97">
        <f ca="1">VLOOKUP(I375,ЦветПолный!A:C,3,0)</f>
        <v>1</v>
      </c>
      <c r="AP375" s="97">
        <f>SUMIF(Цвет!A:A,Z375,Цвет!B:B)</f>
        <v>1</v>
      </c>
      <c r="AQ375" s="97">
        <f ca="1">_xlfn.XLOOKUP(L375,Пол!A:A,Пол!B:B,0,0)</f>
        <v>1</v>
      </c>
      <c r="AR375" s="97">
        <f ca="1">SUMIF(Бренд!A:A,G375,Бренд!B:B)</f>
        <v>1</v>
      </c>
      <c r="AS375" s="97">
        <f ca="1">SUMIF(Страна!A:A,M375,Страна!B:B)</f>
        <v>1</v>
      </c>
      <c r="AT375" s="64" t="e">
        <f ca="1">IF(VLOOKUP(W375,Товары!A:B,2,FALSE)=A375,"Есть в 1С","ERR")</f>
        <v>#N/A</v>
      </c>
      <c r="AU375" s="65" t="e">
        <f ca="1">IF(VLOOKUP(A375,Товары!B:B,1,FALSE)=A375,"Есть в 1С","ERR")</f>
        <v>#N/A</v>
      </c>
      <c r="AV375" s="96" t="e">
        <f ca="1">VLOOKUP(W375,Товары!A:B,2,FALSE)</f>
        <v>#N/A</v>
      </c>
      <c r="AW375" s="94" t="e">
        <f ca="1">VLOOKUP(W375,Товары!A:B,1,FALSE)</f>
        <v>#N/A</v>
      </c>
    </row>
    <row r="376" spans="1:49" x14ac:dyDescent="0.25">
      <c r="A376" s="110" t="str">
        <f t="shared" ca="1" si="30"/>
        <v>95-003-10</v>
      </c>
      <c r="B376" s="107" t="str">
        <f ca="1">_xlfn.LET(_xlpm.CAPS,0,_xlpm.Style,TRIM(_xlfn.XLOOKUP($A376,Строчный!$A:$A,Строчный!B:B,"ERR",0)),IF(_xlpm.CAPS=0,_xlpm.Style,LOWER(_xlpm.Style)))</f>
        <v>3035</v>
      </c>
      <c r="C376" s="81" t="str">
        <f ca="1">TRIM(PROPER(_xlfn.XLOOKUP($A376,Строчный!$A:$A,Строчный!C:C,"ERR",0)))</f>
        <v>Кепки</v>
      </c>
      <c r="D376" s="81" t="str">
        <f ca="1">_xlfn.LET(_xlpm.DATA,TRIM(_xlfn.XLOOKUP($A376,Строчный!$A:$A,Строчный!D:D,"ERR",0)),UPPER(MID(_xlpm.DATA,1,1))&amp;LOWER(MID(_xlpm.DATA,2,LEN(_xlpm.DATA)-1)))</f>
        <v>Кепка восьмиклинка</v>
      </c>
      <c r="E376" s="81" t="str">
        <f ca="1">PROPER(TRIM(_xlfn.XLOOKUP($A376,Строчный!$A:$A,Строчный!E:E,"ERR",0)))</f>
        <v>Fredrikson</v>
      </c>
      <c r="F376" s="81" t="str">
        <f ca="1">LOWER(TRIM(_xlfn.XLOOKUP($A376,Строчный!$A:$A,Строчный!F:F,"ERR",0)))</f>
        <v>всесезон</v>
      </c>
      <c r="G376" s="81" t="str">
        <f ca="1">UPPER(TRIM(_xlfn.XLOOKUP($A376,Строчный!$A:$A,Строчный!G:G,"ERR",0)))</f>
        <v>FREDRIKSON</v>
      </c>
      <c r="H376" s="81" t="str">
        <f ca="1">LOWER(TRIM(_xlfn.XLOOKUP($A376,Строчный!$A:$A,Строчный!H:H,"ERR",0)))</f>
        <v>644/74</v>
      </c>
      <c r="I376" s="81" t="str">
        <f ca="1">LOWER(TRIM(_xlfn.XLOOKUP($A376,Строчный!$A:$A,Строчный!I:I,"ERR",0)))</f>
        <v>черный / серый</v>
      </c>
      <c r="J376" s="81" t="str">
        <f ca="1">SUBSTITUTE(LOWER(TRIM(_xlfn.XLOOKUP($A376,Строчный!$A:$A,Строчный!J:J,"ERR",0))),"подклад","Подклад")</f>
        <v>80% шерсть - 20% полиамид / Подклад: 100% вискоза</v>
      </c>
      <c r="K376" s="81" t="str">
        <f ca="1">LOWER(TRIM(_xlfn.XLOOKUP($A376,Строчный!$A:$A,Строчный!K:K,"ERR",0)))</f>
        <v>шерстяные</v>
      </c>
      <c r="L376" s="81" t="str">
        <f ca="1">PROPER(TRIM(_xlfn.XLOOKUP($A376,Строчный!$A:$A,Строчный!L:L,"ERR",0)))</f>
        <v>Унисекс</v>
      </c>
      <c r="M376" s="113" t="str">
        <f ca="1">PROPER(TRIM(_xlfn.XLOOKUP($A376,Строчный!$A:$A,Строчный!M:M,"ERR",0)))</f>
        <v>Россия</v>
      </c>
      <c r="N376" s="81" t="str">
        <f ca="1">UPPER(TRIM(_xlfn.XLOOKUP($A376,Строчный!$A:$A,Строчный!O:O,"ERR",0)))</f>
        <v/>
      </c>
      <c r="O376" s="102" t="str">
        <f ca="1">PROPER(TRIM(_xlfn.XLOOKUP($A376,Строчный!$A:$A,Строчный!P:P,"ERR",0)))</f>
        <v/>
      </c>
      <c r="P376" s="81" t="str">
        <f ca="1">PROPER(TRIM(_xlfn.XLOOKUP($A376,Строчный!$A:$A,Строчный!R:R,"ERR",0)))</f>
        <v/>
      </c>
      <c r="Q376" s="90">
        <f ca="1">VALUE(_xlfn.XLOOKUP($A376,Строчный!$A:$A,Строчный!N:N,"ERR",0))</f>
        <v>975.8</v>
      </c>
      <c r="R376" s="89" t="str">
        <f ca="1">_xlfn.XLOOKUP($G376,Фабрика!A:A,Фабрика!B:B,"ERR",0)</f>
        <v>ООО "ФРЭДРИКСОН" Россия 192029, С-Петербург, пр. Обуховской обороны, д.86, лит М</v>
      </c>
      <c r="S376" s="80" t="str">
        <f ca="1">_xlfn.XLOOKUP(RIGHT(AA376,2),Размеры!D:D,Размеры!A:A,"ERR",0)</f>
        <v>59</v>
      </c>
      <c r="T376" s="80">
        <f ca="1">VALUE(_xlfn.XLOOKUP($AA376,Строчный!$S:$S,Строчный!U:U,"ERR",0))</f>
        <v>5</v>
      </c>
      <c r="U376" s="14" t="s">
        <v>265</v>
      </c>
      <c r="V376" s="101" t="str">
        <f t="shared" ca="1" si="31"/>
        <v>Кепка FREDRIKSON арт. 3035 (черный / серый)</v>
      </c>
      <c r="W376" s="100" t="str">
        <f t="shared" ca="1" si="32"/>
        <v>Кепка FREDRIKSON арт. 3035 (черный / серый) {644/74}</v>
      </c>
      <c r="X376" s="18" t="str">
        <f t="shared" ca="1" si="33"/>
        <v>черный</v>
      </c>
      <c r="Y376" s="18" t="str">
        <f t="shared" ca="1" si="34"/>
        <v>серый</v>
      </c>
      <c r="Z376" s="117" t="s">
        <v>28</v>
      </c>
      <c r="AA376" s="73" t="str">
        <f ca="1"/>
        <v>95-003-10-59</v>
      </c>
      <c r="AB376" s="75" t="str">
        <f ca="1">VLOOKUP(C376,Группа!A:B,2,FALSE)</f>
        <v>Кепка</v>
      </c>
      <c r="AC376" s="97" t="str">
        <f ca="1">IFERROR(VLOOKUP(S376,Размеры!A:C,3,FALSE),"")</f>
        <v>59 L</v>
      </c>
      <c r="AD376" s="97" t="str">
        <f ca="1">VLOOKUP(I376,ЦветПолный!A:B,2,FALSE)</f>
        <v>10</v>
      </c>
      <c r="AE376" s="97" t="str">
        <f ca="1">IFERROR(VLOOKUP(S376,Размеры!A:D,4,FALSE),"")</f>
        <v>59</v>
      </c>
      <c r="AF376" s="97">
        <f ca="1">IF(LEFT(IFERROR(VLOOKUP(LOOKUP(2,1/SEARCH(B376,Товары!A:A),Товары!A:A),Товары!A:B,2,0),""),6)=MID(AA376,1,6),1,0)</f>
        <v>0</v>
      </c>
      <c r="AH376" s="97">
        <f ca="1">SUMIF(Группа!A:A,C376,Группа!C:C)</f>
        <v>1</v>
      </c>
      <c r="AI376" s="97">
        <f ca="1">SUMIF(Группа!B:B,AB376,Группа!C:C)</f>
        <v>1</v>
      </c>
      <c r="AJ376" s="97">
        <f ca="1">SUMIF(Формы!A:A,D376,Формы!B:B)</f>
        <v>1</v>
      </c>
      <c r="AK376" s="97">
        <f ca="1">SUMIF(Материал!A:A,K376,Материал!B:B)</f>
        <v>1</v>
      </c>
      <c r="AL376" s="97">
        <f ca="1">SUMIF(Размеры!A:A,S376,Размеры!E:E)</f>
        <v>1</v>
      </c>
      <c r="AM376" s="97">
        <f ca="1">SUMIF(Сезон!A:A,F376,Сезон!B:B)</f>
        <v>1</v>
      </c>
      <c r="AN376" s="97">
        <f ca="1">SUMIF(Состав!A:A,J376,Состав!B:B)</f>
        <v>0</v>
      </c>
      <c r="AO376" s="97">
        <f ca="1">VLOOKUP(I376,ЦветПолный!A:C,3,0)</f>
        <v>1</v>
      </c>
      <c r="AP376" s="97">
        <f>SUMIF(Цвет!A:A,Z376,Цвет!B:B)</f>
        <v>1</v>
      </c>
      <c r="AQ376" s="97">
        <f ca="1">_xlfn.XLOOKUP(L376,Пол!A:A,Пол!B:B,0,0)</f>
        <v>1</v>
      </c>
      <c r="AR376" s="97">
        <f ca="1">SUMIF(Бренд!A:A,G376,Бренд!B:B)</f>
        <v>1</v>
      </c>
      <c r="AS376" s="97">
        <f ca="1">SUMIF(Страна!A:A,M376,Страна!B:B)</f>
        <v>1</v>
      </c>
      <c r="AT376" s="64" t="e">
        <f ca="1">IF(VLOOKUP(W376,Товары!A:B,2,FALSE)=A376,"Есть в 1С","ERR")</f>
        <v>#N/A</v>
      </c>
      <c r="AU376" s="65" t="e">
        <f ca="1">IF(VLOOKUP(A376,Товары!B:B,1,FALSE)=A376,"Есть в 1С","ERR")</f>
        <v>#N/A</v>
      </c>
      <c r="AV376" s="96" t="e">
        <f ca="1">VLOOKUP(W376,Товары!A:B,2,FALSE)</f>
        <v>#N/A</v>
      </c>
      <c r="AW376" s="94" t="e">
        <f ca="1">VLOOKUP(W376,Товары!A:B,1,FALSE)</f>
        <v>#N/A</v>
      </c>
    </row>
    <row r="377" spans="1:49" x14ac:dyDescent="0.25">
      <c r="A377" s="110" t="str">
        <f t="shared" ca="1" si="30"/>
        <v>95-003-10</v>
      </c>
      <c r="B377" s="107" t="str">
        <f ca="1">_xlfn.LET(_xlpm.CAPS,0,_xlpm.Style,TRIM(_xlfn.XLOOKUP($A377,Строчный!$A:$A,Строчный!B:B,"ERR",0)),IF(_xlpm.CAPS=0,_xlpm.Style,LOWER(_xlpm.Style)))</f>
        <v>3035</v>
      </c>
      <c r="C377" s="81" t="str">
        <f ca="1">TRIM(PROPER(_xlfn.XLOOKUP($A377,Строчный!$A:$A,Строчный!C:C,"ERR",0)))</f>
        <v>Кепки</v>
      </c>
      <c r="D377" s="81" t="str">
        <f ca="1">_xlfn.LET(_xlpm.DATA,TRIM(_xlfn.XLOOKUP($A377,Строчный!$A:$A,Строчный!D:D,"ERR",0)),UPPER(MID(_xlpm.DATA,1,1))&amp;LOWER(MID(_xlpm.DATA,2,LEN(_xlpm.DATA)-1)))</f>
        <v>Кепка восьмиклинка</v>
      </c>
      <c r="E377" s="81" t="str">
        <f ca="1">PROPER(TRIM(_xlfn.XLOOKUP($A377,Строчный!$A:$A,Строчный!E:E,"ERR",0)))</f>
        <v>Fredrikson</v>
      </c>
      <c r="F377" s="81" t="str">
        <f ca="1">LOWER(TRIM(_xlfn.XLOOKUP($A377,Строчный!$A:$A,Строчный!F:F,"ERR",0)))</f>
        <v>всесезон</v>
      </c>
      <c r="G377" s="81" t="str">
        <f ca="1">UPPER(TRIM(_xlfn.XLOOKUP($A377,Строчный!$A:$A,Строчный!G:G,"ERR",0)))</f>
        <v>FREDRIKSON</v>
      </c>
      <c r="H377" s="81" t="str">
        <f ca="1">LOWER(TRIM(_xlfn.XLOOKUP($A377,Строчный!$A:$A,Строчный!H:H,"ERR",0)))</f>
        <v>644/74</v>
      </c>
      <c r="I377" s="81" t="str">
        <f ca="1">LOWER(TRIM(_xlfn.XLOOKUP($A377,Строчный!$A:$A,Строчный!I:I,"ERR",0)))</f>
        <v>черный / серый</v>
      </c>
      <c r="J377" s="81" t="str">
        <f ca="1">SUBSTITUTE(LOWER(TRIM(_xlfn.XLOOKUP($A377,Строчный!$A:$A,Строчный!J:J,"ERR",0))),"подклад","Подклад")</f>
        <v>80% шерсть - 20% полиамид / Подклад: 100% вискоза</v>
      </c>
      <c r="K377" s="81" t="str">
        <f ca="1">LOWER(TRIM(_xlfn.XLOOKUP($A377,Строчный!$A:$A,Строчный!K:K,"ERR",0)))</f>
        <v>шерстяные</v>
      </c>
      <c r="L377" s="81" t="str">
        <f ca="1">PROPER(TRIM(_xlfn.XLOOKUP($A377,Строчный!$A:$A,Строчный!L:L,"ERR",0)))</f>
        <v>Унисекс</v>
      </c>
      <c r="M377" s="113" t="str">
        <f ca="1">PROPER(TRIM(_xlfn.XLOOKUP($A377,Строчный!$A:$A,Строчный!M:M,"ERR",0)))</f>
        <v>Россия</v>
      </c>
      <c r="N377" s="81" t="str">
        <f ca="1">UPPER(TRIM(_xlfn.XLOOKUP($A377,Строчный!$A:$A,Строчный!O:O,"ERR",0)))</f>
        <v/>
      </c>
      <c r="O377" s="102" t="str">
        <f ca="1">PROPER(TRIM(_xlfn.XLOOKUP($A377,Строчный!$A:$A,Строчный!P:P,"ERR",0)))</f>
        <v/>
      </c>
      <c r="P377" s="81" t="str">
        <f ca="1">PROPER(TRIM(_xlfn.XLOOKUP($A377,Строчный!$A:$A,Строчный!R:R,"ERR",0)))</f>
        <v/>
      </c>
      <c r="Q377" s="90">
        <f ca="1">VALUE(_xlfn.XLOOKUP($A377,Строчный!$A:$A,Строчный!N:N,"ERR",0))</f>
        <v>975.8</v>
      </c>
      <c r="R377" s="89" t="str">
        <f ca="1">_xlfn.XLOOKUP($G377,Фабрика!A:A,Фабрика!B:B,"ERR",0)</f>
        <v>ООО "ФРЭДРИКСОН" Россия 192029, С-Петербург, пр. Обуховской обороны, д.86, лит М</v>
      </c>
      <c r="S377" s="80" t="str">
        <f ca="1">_xlfn.XLOOKUP(RIGHT(AA377,2),Размеры!D:D,Размеры!A:A,"ERR",0)</f>
        <v>58</v>
      </c>
      <c r="T377" s="80">
        <f ca="1">VALUE(_xlfn.XLOOKUP($AA377,Строчный!$S:$S,Строчный!U:U,"ERR",0))</f>
        <v>5</v>
      </c>
      <c r="U377" s="14" t="s">
        <v>265</v>
      </c>
      <c r="V377" s="101" t="str">
        <f t="shared" ca="1" si="31"/>
        <v>Кепка FREDRIKSON арт. 3035 (черный / серый)</v>
      </c>
      <c r="W377" s="100" t="str">
        <f t="shared" ca="1" si="32"/>
        <v>Кепка FREDRIKSON арт. 3035 (черный / серый) {644/74}</v>
      </c>
      <c r="X377" s="18" t="str">
        <f t="shared" ca="1" si="33"/>
        <v>черный</v>
      </c>
      <c r="Y377" s="18" t="str">
        <f t="shared" ca="1" si="34"/>
        <v>серый</v>
      </c>
      <c r="Z377" s="117" t="s">
        <v>28</v>
      </c>
      <c r="AA377" s="73" t="str">
        <f ca="1"/>
        <v>95-003-10-58</v>
      </c>
      <c r="AB377" s="75" t="str">
        <f ca="1">VLOOKUP(C377,Группа!A:B,2,FALSE)</f>
        <v>Кепка</v>
      </c>
      <c r="AC377" s="97" t="str">
        <f ca="1">IFERROR(VLOOKUP(S377,Размеры!A:C,3,FALSE),"")</f>
        <v>58 M/L</v>
      </c>
      <c r="AD377" s="97" t="str">
        <f ca="1">VLOOKUP(I377,ЦветПолный!A:B,2,FALSE)</f>
        <v>10</v>
      </c>
      <c r="AE377" s="97" t="str">
        <f ca="1">IFERROR(VLOOKUP(S377,Размеры!A:D,4,FALSE),"")</f>
        <v>58</v>
      </c>
      <c r="AF377" s="97">
        <f ca="1">IF(LEFT(IFERROR(VLOOKUP(LOOKUP(2,1/SEARCH(B377,Товары!A:A),Товары!A:A),Товары!A:B,2,0),""),6)=MID(AA377,1,6),1,0)</f>
        <v>0</v>
      </c>
      <c r="AH377" s="97">
        <f ca="1">SUMIF(Группа!A:A,C377,Группа!C:C)</f>
        <v>1</v>
      </c>
      <c r="AI377" s="97">
        <f ca="1">SUMIF(Группа!B:B,AB377,Группа!C:C)</f>
        <v>1</v>
      </c>
      <c r="AJ377" s="97">
        <f ca="1">SUMIF(Формы!A:A,D377,Формы!B:B)</f>
        <v>1</v>
      </c>
      <c r="AK377" s="97">
        <f ca="1">SUMIF(Материал!A:A,K377,Материал!B:B)</f>
        <v>1</v>
      </c>
      <c r="AL377" s="97">
        <f ca="1">SUMIF(Размеры!A:A,S377,Размеры!E:E)</f>
        <v>1</v>
      </c>
      <c r="AM377" s="97">
        <f ca="1">SUMIF(Сезон!A:A,F377,Сезон!B:B)</f>
        <v>1</v>
      </c>
      <c r="AN377" s="97">
        <f ca="1">SUMIF(Состав!A:A,J377,Состав!B:B)</f>
        <v>0</v>
      </c>
      <c r="AO377" s="97">
        <f ca="1">VLOOKUP(I377,ЦветПолный!A:C,3,0)</f>
        <v>1</v>
      </c>
      <c r="AP377" s="97">
        <f>SUMIF(Цвет!A:A,Z377,Цвет!B:B)</f>
        <v>1</v>
      </c>
      <c r="AQ377" s="97">
        <f ca="1">_xlfn.XLOOKUP(L377,Пол!A:A,Пол!B:B,0,0)</f>
        <v>1</v>
      </c>
      <c r="AR377" s="97">
        <f ca="1">SUMIF(Бренд!A:A,G377,Бренд!B:B)</f>
        <v>1</v>
      </c>
      <c r="AS377" s="97">
        <f ca="1">SUMIF(Страна!A:A,M377,Страна!B:B)</f>
        <v>1</v>
      </c>
      <c r="AT377" s="64" t="e">
        <f ca="1">IF(VLOOKUP(W377,Товары!A:B,2,FALSE)=A377,"Есть в 1С","ERR")</f>
        <v>#N/A</v>
      </c>
      <c r="AU377" s="65" t="e">
        <f ca="1">IF(VLOOKUP(A377,Товары!B:B,1,FALSE)=A377,"Есть в 1С","ERR")</f>
        <v>#N/A</v>
      </c>
      <c r="AV377" s="96" t="e">
        <f ca="1">VLOOKUP(W377,Товары!A:B,2,FALSE)</f>
        <v>#N/A</v>
      </c>
      <c r="AW377" s="94" t="e">
        <f ca="1">VLOOKUP(W377,Товары!A:B,1,FALSE)</f>
        <v>#N/A</v>
      </c>
    </row>
    <row r="378" spans="1:49" x14ac:dyDescent="0.25">
      <c r="A378" s="110" t="str">
        <f t="shared" ca="1" si="30"/>
        <v>95-003-10</v>
      </c>
      <c r="B378" s="107" t="str">
        <f ca="1">_xlfn.LET(_xlpm.CAPS,0,_xlpm.Style,TRIM(_xlfn.XLOOKUP($A378,Строчный!$A:$A,Строчный!B:B,"ERR",0)),IF(_xlpm.CAPS=0,_xlpm.Style,LOWER(_xlpm.Style)))</f>
        <v>3035</v>
      </c>
      <c r="C378" s="81" t="str">
        <f ca="1">TRIM(PROPER(_xlfn.XLOOKUP($A378,Строчный!$A:$A,Строчный!C:C,"ERR",0)))</f>
        <v>Кепки</v>
      </c>
      <c r="D378" s="81" t="str">
        <f ca="1">_xlfn.LET(_xlpm.DATA,TRIM(_xlfn.XLOOKUP($A378,Строчный!$A:$A,Строчный!D:D,"ERR",0)),UPPER(MID(_xlpm.DATA,1,1))&amp;LOWER(MID(_xlpm.DATA,2,LEN(_xlpm.DATA)-1)))</f>
        <v>Кепка восьмиклинка</v>
      </c>
      <c r="E378" s="81" t="str">
        <f ca="1">PROPER(TRIM(_xlfn.XLOOKUP($A378,Строчный!$A:$A,Строчный!E:E,"ERR",0)))</f>
        <v>Fredrikson</v>
      </c>
      <c r="F378" s="81" t="str">
        <f ca="1">LOWER(TRIM(_xlfn.XLOOKUP($A378,Строчный!$A:$A,Строчный!F:F,"ERR",0)))</f>
        <v>всесезон</v>
      </c>
      <c r="G378" s="81" t="str">
        <f ca="1">UPPER(TRIM(_xlfn.XLOOKUP($A378,Строчный!$A:$A,Строчный!G:G,"ERR",0)))</f>
        <v>FREDRIKSON</v>
      </c>
      <c r="H378" s="81" t="str">
        <f ca="1">LOWER(TRIM(_xlfn.XLOOKUP($A378,Строчный!$A:$A,Строчный!H:H,"ERR",0)))</f>
        <v>644/74</v>
      </c>
      <c r="I378" s="81" t="str">
        <f ca="1">LOWER(TRIM(_xlfn.XLOOKUP($A378,Строчный!$A:$A,Строчный!I:I,"ERR",0)))</f>
        <v>черный / серый</v>
      </c>
      <c r="J378" s="81" t="str">
        <f ca="1">SUBSTITUTE(LOWER(TRIM(_xlfn.XLOOKUP($A378,Строчный!$A:$A,Строчный!J:J,"ERR",0))),"подклад","Подклад")</f>
        <v>80% шерсть - 20% полиамид / Подклад: 100% вискоза</v>
      </c>
      <c r="K378" s="81" t="str">
        <f ca="1">LOWER(TRIM(_xlfn.XLOOKUP($A378,Строчный!$A:$A,Строчный!K:K,"ERR",0)))</f>
        <v>шерстяные</v>
      </c>
      <c r="L378" s="81" t="str">
        <f ca="1">PROPER(TRIM(_xlfn.XLOOKUP($A378,Строчный!$A:$A,Строчный!L:L,"ERR",0)))</f>
        <v>Унисекс</v>
      </c>
      <c r="M378" s="113" t="str">
        <f ca="1">PROPER(TRIM(_xlfn.XLOOKUP($A378,Строчный!$A:$A,Строчный!M:M,"ERR",0)))</f>
        <v>Россия</v>
      </c>
      <c r="N378" s="81" t="str">
        <f ca="1">UPPER(TRIM(_xlfn.XLOOKUP($A378,Строчный!$A:$A,Строчный!O:O,"ERR",0)))</f>
        <v/>
      </c>
      <c r="O378" s="102" t="str">
        <f ca="1">PROPER(TRIM(_xlfn.XLOOKUP($A378,Строчный!$A:$A,Строчный!P:P,"ERR",0)))</f>
        <v/>
      </c>
      <c r="P378" s="81" t="str">
        <f ca="1">PROPER(TRIM(_xlfn.XLOOKUP($A378,Строчный!$A:$A,Строчный!R:R,"ERR",0)))</f>
        <v/>
      </c>
      <c r="Q378" s="90">
        <f ca="1">VALUE(_xlfn.XLOOKUP($A378,Строчный!$A:$A,Строчный!N:N,"ERR",0))</f>
        <v>975.8</v>
      </c>
      <c r="R378" s="89" t="str">
        <f ca="1">_xlfn.XLOOKUP($G378,Фабрика!A:A,Фабрика!B:B,"ERR",0)</f>
        <v>ООО "ФРЭДРИКСОН" Россия 192029, С-Петербург, пр. Обуховской обороны, д.86, лит М</v>
      </c>
      <c r="S378" s="80" t="str">
        <f ca="1">_xlfn.XLOOKUP(RIGHT(AA378,2),Размеры!D:D,Размеры!A:A,"ERR",0)</f>
        <v>57</v>
      </c>
      <c r="T378" s="80">
        <f ca="1">VALUE(_xlfn.XLOOKUP($AA378,Строчный!$S:$S,Строчный!U:U,"ERR",0))</f>
        <v>3</v>
      </c>
      <c r="U378" s="14" t="s">
        <v>265</v>
      </c>
      <c r="V378" s="101" t="str">
        <f t="shared" ca="1" si="31"/>
        <v>Кепка FREDRIKSON арт. 3035 (черный / серый)</v>
      </c>
      <c r="W378" s="100" t="str">
        <f t="shared" ca="1" si="32"/>
        <v>Кепка FREDRIKSON арт. 3035 (черный / серый) {644/74}</v>
      </c>
      <c r="X378" s="18" t="str">
        <f t="shared" ca="1" si="33"/>
        <v>черный</v>
      </c>
      <c r="Y378" s="18" t="str">
        <f t="shared" ca="1" si="34"/>
        <v>серый</v>
      </c>
      <c r="Z378" s="117" t="s">
        <v>28</v>
      </c>
      <c r="AA378" s="73" t="str">
        <f ca="1"/>
        <v>95-003-10-57</v>
      </c>
      <c r="AB378" s="75" t="str">
        <f ca="1">VLOOKUP(C378,Группа!A:B,2,FALSE)</f>
        <v>Кепка</v>
      </c>
      <c r="AC378" s="97" t="str">
        <f ca="1">IFERROR(VLOOKUP(S378,Размеры!A:C,3,FALSE),"")</f>
        <v>57 M</v>
      </c>
      <c r="AD378" s="97" t="str">
        <f ca="1">VLOOKUP(I378,ЦветПолный!A:B,2,FALSE)</f>
        <v>10</v>
      </c>
      <c r="AE378" s="97" t="str">
        <f ca="1">IFERROR(VLOOKUP(S378,Размеры!A:D,4,FALSE),"")</f>
        <v>57</v>
      </c>
      <c r="AF378" s="97">
        <f ca="1">IF(LEFT(IFERROR(VLOOKUP(LOOKUP(2,1/SEARCH(B378,Товары!A:A),Товары!A:A),Товары!A:B,2,0),""),6)=MID(AA378,1,6),1,0)</f>
        <v>0</v>
      </c>
      <c r="AH378" s="97">
        <f ca="1">SUMIF(Группа!A:A,C378,Группа!C:C)</f>
        <v>1</v>
      </c>
      <c r="AI378" s="97">
        <f ca="1">SUMIF(Группа!B:B,AB378,Группа!C:C)</f>
        <v>1</v>
      </c>
      <c r="AJ378" s="97">
        <f ca="1">SUMIF(Формы!A:A,D378,Формы!B:B)</f>
        <v>1</v>
      </c>
      <c r="AK378" s="97">
        <f ca="1">SUMIF(Материал!A:A,K378,Материал!B:B)</f>
        <v>1</v>
      </c>
      <c r="AL378" s="97">
        <f ca="1">SUMIF(Размеры!A:A,S378,Размеры!E:E)</f>
        <v>1</v>
      </c>
      <c r="AM378" s="97">
        <f ca="1">SUMIF(Сезон!A:A,F378,Сезон!B:B)</f>
        <v>1</v>
      </c>
      <c r="AN378" s="97">
        <f ca="1">SUMIF(Состав!A:A,J378,Состав!B:B)</f>
        <v>0</v>
      </c>
      <c r="AO378" s="97">
        <f ca="1">VLOOKUP(I378,ЦветПолный!A:C,3,0)</f>
        <v>1</v>
      </c>
      <c r="AP378" s="97">
        <f>SUMIF(Цвет!A:A,Z378,Цвет!B:B)</f>
        <v>1</v>
      </c>
      <c r="AQ378" s="97">
        <f ca="1">_xlfn.XLOOKUP(L378,Пол!A:A,Пол!B:B,0,0)</f>
        <v>1</v>
      </c>
      <c r="AR378" s="97">
        <f ca="1">SUMIF(Бренд!A:A,G378,Бренд!B:B)</f>
        <v>1</v>
      </c>
      <c r="AS378" s="97">
        <f ca="1">SUMIF(Страна!A:A,M378,Страна!B:B)</f>
        <v>1</v>
      </c>
      <c r="AT378" s="64" t="e">
        <f ca="1">IF(VLOOKUP(W378,Товары!A:B,2,FALSE)=A378,"Есть в 1С","ERR")</f>
        <v>#N/A</v>
      </c>
      <c r="AU378" s="65" t="e">
        <f ca="1">IF(VLOOKUP(A378,Товары!B:B,1,FALSE)=A378,"Есть в 1С","ERR")</f>
        <v>#N/A</v>
      </c>
      <c r="AV378" s="96" t="e">
        <f ca="1">VLOOKUP(W378,Товары!A:B,2,FALSE)</f>
        <v>#N/A</v>
      </c>
      <c r="AW378" s="94" t="e">
        <f ca="1">VLOOKUP(W378,Товары!A:B,1,FALSE)</f>
        <v>#N/A</v>
      </c>
    </row>
    <row r="379" spans="1:49" x14ac:dyDescent="0.25">
      <c r="A379" s="110" t="str">
        <f t="shared" ca="1" si="30"/>
        <v>95-003-10</v>
      </c>
      <c r="B379" s="107" t="str">
        <f ca="1">_xlfn.LET(_xlpm.CAPS,0,_xlpm.Style,TRIM(_xlfn.XLOOKUP($A379,Строчный!$A:$A,Строчный!B:B,"ERR",0)),IF(_xlpm.CAPS=0,_xlpm.Style,LOWER(_xlpm.Style)))</f>
        <v>3035</v>
      </c>
      <c r="C379" s="81" t="str">
        <f ca="1">TRIM(PROPER(_xlfn.XLOOKUP($A379,Строчный!$A:$A,Строчный!C:C,"ERR",0)))</f>
        <v>Кепки</v>
      </c>
      <c r="D379" s="81" t="str">
        <f ca="1">_xlfn.LET(_xlpm.DATA,TRIM(_xlfn.XLOOKUP($A379,Строчный!$A:$A,Строчный!D:D,"ERR",0)),UPPER(MID(_xlpm.DATA,1,1))&amp;LOWER(MID(_xlpm.DATA,2,LEN(_xlpm.DATA)-1)))</f>
        <v>Кепка восьмиклинка</v>
      </c>
      <c r="E379" s="81" t="str">
        <f ca="1">PROPER(TRIM(_xlfn.XLOOKUP($A379,Строчный!$A:$A,Строчный!E:E,"ERR",0)))</f>
        <v>Fredrikson</v>
      </c>
      <c r="F379" s="81" t="str">
        <f ca="1">LOWER(TRIM(_xlfn.XLOOKUP($A379,Строчный!$A:$A,Строчный!F:F,"ERR",0)))</f>
        <v>всесезон</v>
      </c>
      <c r="G379" s="81" t="str">
        <f ca="1">UPPER(TRIM(_xlfn.XLOOKUP($A379,Строчный!$A:$A,Строчный!G:G,"ERR",0)))</f>
        <v>FREDRIKSON</v>
      </c>
      <c r="H379" s="81" t="str">
        <f ca="1">LOWER(TRIM(_xlfn.XLOOKUP($A379,Строчный!$A:$A,Строчный!H:H,"ERR",0)))</f>
        <v>644/74</v>
      </c>
      <c r="I379" s="81" t="str">
        <f ca="1">LOWER(TRIM(_xlfn.XLOOKUP($A379,Строчный!$A:$A,Строчный!I:I,"ERR",0)))</f>
        <v>черный / серый</v>
      </c>
      <c r="J379" s="81" t="str">
        <f ca="1">SUBSTITUTE(LOWER(TRIM(_xlfn.XLOOKUP($A379,Строчный!$A:$A,Строчный!J:J,"ERR",0))),"подклад","Подклад")</f>
        <v>80% шерсть - 20% полиамид / Подклад: 100% вискоза</v>
      </c>
      <c r="K379" s="81" t="str">
        <f ca="1">LOWER(TRIM(_xlfn.XLOOKUP($A379,Строчный!$A:$A,Строчный!K:K,"ERR",0)))</f>
        <v>шерстяные</v>
      </c>
      <c r="L379" s="81" t="str">
        <f ca="1">PROPER(TRIM(_xlfn.XLOOKUP($A379,Строчный!$A:$A,Строчный!L:L,"ERR",0)))</f>
        <v>Унисекс</v>
      </c>
      <c r="M379" s="113" t="str">
        <f ca="1">PROPER(TRIM(_xlfn.XLOOKUP($A379,Строчный!$A:$A,Строчный!M:M,"ERR",0)))</f>
        <v>Россия</v>
      </c>
      <c r="N379" s="81" t="str">
        <f ca="1">UPPER(TRIM(_xlfn.XLOOKUP($A379,Строчный!$A:$A,Строчный!O:O,"ERR",0)))</f>
        <v/>
      </c>
      <c r="O379" s="102" t="str">
        <f ca="1">PROPER(TRIM(_xlfn.XLOOKUP($A379,Строчный!$A:$A,Строчный!P:P,"ERR",0)))</f>
        <v/>
      </c>
      <c r="P379" s="81" t="str">
        <f ca="1">PROPER(TRIM(_xlfn.XLOOKUP($A379,Строчный!$A:$A,Строчный!R:R,"ERR",0)))</f>
        <v/>
      </c>
      <c r="Q379" s="90">
        <f ca="1">VALUE(_xlfn.XLOOKUP($A379,Строчный!$A:$A,Строчный!N:N,"ERR",0))</f>
        <v>975.8</v>
      </c>
      <c r="R379" s="89" t="str">
        <f ca="1">_xlfn.XLOOKUP($G379,Фабрика!A:A,Фабрика!B:B,"ERR",0)</f>
        <v>ООО "ФРЭДРИКСОН" Россия 192029, С-Петербург, пр. Обуховской обороны, д.86, лит М</v>
      </c>
      <c r="S379" s="80" t="str">
        <f ca="1">_xlfn.XLOOKUP(RIGHT(AA379,2),Размеры!D:D,Размеры!A:A,"ERR",0)</f>
        <v>56</v>
      </c>
      <c r="T379" s="80">
        <f ca="1">VALUE(_xlfn.XLOOKUP($AA379,Строчный!$S:$S,Строчный!U:U,"ERR",0))</f>
        <v>1</v>
      </c>
      <c r="U379" s="14" t="s">
        <v>265</v>
      </c>
      <c r="V379" s="101" t="str">
        <f t="shared" ca="1" si="31"/>
        <v>Кепка FREDRIKSON арт. 3035 (черный / серый)</v>
      </c>
      <c r="W379" s="100" t="str">
        <f t="shared" ca="1" si="32"/>
        <v>Кепка FREDRIKSON арт. 3035 (черный / серый) {644/74}</v>
      </c>
      <c r="X379" s="18" t="str">
        <f t="shared" ca="1" si="33"/>
        <v>черный</v>
      </c>
      <c r="Y379" s="18" t="str">
        <f t="shared" ca="1" si="34"/>
        <v>серый</v>
      </c>
      <c r="Z379" s="117" t="s">
        <v>28</v>
      </c>
      <c r="AA379" s="73" t="str">
        <f ca="1"/>
        <v>95-003-10-56</v>
      </c>
      <c r="AB379" s="75" t="str">
        <f ca="1">VLOOKUP(C379,Группа!A:B,2,FALSE)</f>
        <v>Кепка</v>
      </c>
      <c r="AC379" s="97" t="str">
        <f ca="1">IFERROR(VLOOKUP(S379,Размеры!A:C,3,FALSE),"")</f>
        <v>56 S/M</v>
      </c>
      <c r="AD379" s="97" t="str">
        <f ca="1">VLOOKUP(I379,ЦветПолный!A:B,2,FALSE)</f>
        <v>10</v>
      </c>
      <c r="AE379" s="97" t="str">
        <f ca="1">IFERROR(VLOOKUP(S379,Размеры!A:D,4,FALSE),"")</f>
        <v>56</v>
      </c>
      <c r="AF379" s="97">
        <f ca="1">IF(LEFT(IFERROR(VLOOKUP(LOOKUP(2,1/SEARCH(B379,Товары!A:A),Товары!A:A),Товары!A:B,2,0),""),6)=MID(AA379,1,6),1,0)</f>
        <v>0</v>
      </c>
      <c r="AH379" s="97">
        <f ca="1">SUMIF(Группа!A:A,C379,Группа!C:C)</f>
        <v>1</v>
      </c>
      <c r="AI379" s="97">
        <f ca="1">SUMIF(Группа!B:B,AB379,Группа!C:C)</f>
        <v>1</v>
      </c>
      <c r="AJ379" s="97">
        <f ca="1">SUMIF(Формы!A:A,D379,Формы!B:B)</f>
        <v>1</v>
      </c>
      <c r="AK379" s="97">
        <f ca="1">SUMIF(Материал!A:A,K379,Материал!B:B)</f>
        <v>1</v>
      </c>
      <c r="AL379" s="97">
        <f ca="1">SUMIF(Размеры!A:A,S379,Размеры!E:E)</f>
        <v>1</v>
      </c>
      <c r="AM379" s="97">
        <f ca="1">SUMIF(Сезон!A:A,F379,Сезон!B:B)</f>
        <v>1</v>
      </c>
      <c r="AN379" s="97">
        <f ca="1">SUMIF(Состав!A:A,J379,Состав!B:B)</f>
        <v>0</v>
      </c>
      <c r="AO379" s="97">
        <f ca="1">VLOOKUP(I379,ЦветПолный!A:C,3,0)</f>
        <v>1</v>
      </c>
      <c r="AP379" s="97">
        <f>SUMIF(Цвет!A:A,Z379,Цвет!B:B)</f>
        <v>1</v>
      </c>
      <c r="AQ379" s="97">
        <f ca="1">_xlfn.XLOOKUP(L379,Пол!A:A,Пол!B:B,0,0)</f>
        <v>1</v>
      </c>
      <c r="AR379" s="97">
        <f ca="1">SUMIF(Бренд!A:A,G379,Бренд!B:B)</f>
        <v>1</v>
      </c>
      <c r="AS379" s="97">
        <f ca="1">SUMIF(Страна!A:A,M379,Страна!B:B)</f>
        <v>1</v>
      </c>
      <c r="AT379" s="64" t="e">
        <f ca="1">IF(VLOOKUP(W379,Товары!A:B,2,FALSE)=A379,"Есть в 1С","ERR")</f>
        <v>#N/A</v>
      </c>
      <c r="AU379" s="65" t="e">
        <f ca="1">IF(VLOOKUP(A379,Товары!B:B,1,FALSE)=A379,"Есть в 1С","ERR")</f>
        <v>#N/A</v>
      </c>
      <c r="AV379" s="96" t="e">
        <f ca="1">VLOOKUP(W379,Товары!A:B,2,FALSE)</f>
        <v>#N/A</v>
      </c>
      <c r="AW379" s="94" t="e">
        <f ca="1">VLOOKUP(W379,Товары!A:B,1,FALSE)</f>
        <v>#N/A</v>
      </c>
    </row>
    <row r="380" spans="1:49" x14ac:dyDescent="0.25">
      <c r="A380" s="110" t="str">
        <f t="shared" ca="1" si="30"/>
        <v>95-002-89</v>
      </c>
      <c r="B380" s="107" t="str">
        <f ca="1">_xlfn.LET(_xlpm.CAPS,0,_xlpm.Style,TRIM(_xlfn.XLOOKUP($A380,Строчный!$A:$A,Строчный!B:B,"ERR",0)),IF(_xlpm.CAPS=0,_xlpm.Style,LOWER(_xlpm.Style)))</f>
        <v>3030</v>
      </c>
      <c r="C380" s="81" t="str">
        <f ca="1">TRIM(PROPER(_xlfn.XLOOKUP($A380,Строчный!$A:$A,Строчный!C:C,"ERR",0)))</f>
        <v>Кепки</v>
      </c>
      <c r="D380" s="81" t="str">
        <f ca="1">_xlfn.LET(_xlpm.DATA,TRIM(_xlfn.XLOOKUP($A380,Строчный!$A:$A,Строчный!D:D,"ERR",0)),UPPER(MID(_xlpm.DATA,1,1))&amp;LOWER(MID(_xlpm.DATA,2,LEN(_xlpm.DATA)-1)))</f>
        <v>Кепка восьмиклинка</v>
      </c>
      <c r="E380" s="81" t="str">
        <f ca="1">PROPER(TRIM(_xlfn.XLOOKUP($A380,Строчный!$A:$A,Строчный!E:E,"ERR",0)))</f>
        <v>Fredrikson</v>
      </c>
      <c r="F380" s="81" t="str">
        <f ca="1">LOWER(TRIM(_xlfn.XLOOKUP($A380,Строчный!$A:$A,Строчный!F:F,"ERR",0)))</f>
        <v>всесезон</v>
      </c>
      <c r="G380" s="81" t="str">
        <f ca="1">UPPER(TRIM(_xlfn.XLOOKUP($A380,Строчный!$A:$A,Строчный!G:G,"ERR",0)))</f>
        <v>FREDRIKSON</v>
      </c>
      <c r="H380" s="81" t="str">
        <f ca="1">LOWER(TRIM(_xlfn.XLOOKUP($A380,Строчный!$A:$A,Строчный!H:H,"ERR",0)))</f>
        <v>630/23</v>
      </c>
      <c r="I380" s="81" t="str">
        <f ca="1">LOWER(TRIM(_xlfn.XLOOKUP($A380,Строчный!$A:$A,Строчный!I:I,"ERR",0)))</f>
        <v>голубой / серый</v>
      </c>
      <c r="J380" s="81" t="str">
        <f ca="1">SUBSTITUTE(LOWER(TRIM(_xlfn.XLOOKUP($A380,Строчный!$A:$A,Строчный!J:J,"ERR",0))),"подклад","Подклад")</f>
        <v>80% шерсть - 20% полиамид / Подклад: 100% вискоза</v>
      </c>
      <c r="K380" s="81" t="str">
        <f ca="1">LOWER(TRIM(_xlfn.XLOOKUP($A380,Строчный!$A:$A,Строчный!K:K,"ERR",0)))</f>
        <v>шерстяные</v>
      </c>
      <c r="L380" s="81" t="str">
        <f ca="1">PROPER(TRIM(_xlfn.XLOOKUP($A380,Строчный!$A:$A,Строчный!L:L,"ERR",0)))</f>
        <v>Унисекс</v>
      </c>
      <c r="M380" s="113" t="str">
        <f ca="1">PROPER(TRIM(_xlfn.XLOOKUP($A380,Строчный!$A:$A,Строчный!M:M,"ERR",0)))</f>
        <v>Россия</v>
      </c>
      <c r="N380" s="81" t="str">
        <f ca="1">UPPER(TRIM(_xlfn.XLOOKUP($A380,Строчный!$A:$A,Строчный!O:O,"ERR",0)))</f>
        <v/>
      </c>
      <c r="O380" s="102" t="str">
        <f ca="1">PROPER(TRIM(_xlfn.XLOOKUP($A380,Строчный!$A:$A,Строчный!P:P,"ERR",0)))</f>
        <v/>
      </c>
      <c r="P380" s="81" t="str">
        <f ca="1">PROPER(TRIM(_xlfn.XLOOKUP($A380,Строчный!$A:$A,Строчный!R:R,"ERR",0)))</f>
        <v/>
      </c>
      <c r="Q380" s="90">
        <f ca="1">VALUE(_xlfn.XLOOKUP($A380,Строчный!$A:$A,Строчный!N:N,"ERR",0))</f>
        <v>975.8</v>
      </c>
      <c r="R380" s="89" t="str">
        <f ca="1">_xlfn.XLOOKUP($G380,Фабрика!A:A,Фабрика!B:B,"ERR",0)</f>
        <v>ООО "ФРЭДРИКСОН" Россия 192029, С-Петербург, пр. Обуховской обороны, д.86, лит М</v>
      </c>
      <c r="S380" s="80" t="str">
        <f ca="1">_xlfn.XLOOKUP(RIGHT(AA380,2),Размеры!D:D,Размеры!A:A,"ERR",0)</f>
        <v>62</v>
      </c>
      <c r="T380" s="80">
        <f ca="1">VALUE(_xlfn.XLOOKUP($AA380,Строчный!$S:$S,Строчный!U:U,"ERR",0))</f>
        <v>1</v>
      </c>
      <c r="U380" s="14" t="s">
        <v>265</v>
      </c>
      <c r="V380" s="101" t="str">
        <f t="shared" ca="1" si="31"/>
        <v>Кепка FREDRIKSON арт. 3030 (голубой / серый)</v>
      </c>
      <c r="W380" s="100" t="str">
        <f t="shared" ca="1" si="32"/>
        <v>Кепка FREDRIKSON арт. 3030 (голубой / серый) {630/23}</v>
      </c>
      <c r="X380" s="18" t="str">
        <f t="shared" ca="1" si="33"/>
        <v>голубой</v>
      </c>
      <c r="Y380" s="18" t="str">
        <f t="shared" ca="1" si="34"/>
        <v>серый</v>
      </c>
      <c r="Z380" s="117" t="s">
        <v>28</v>
      </c>
      <c r="AA380" s="73" t="str">
        <f ca="1"/>
        <v>95-002-89-62</v>
      </c>
      <c r="AB380" s="75" t="str">
        <f ca="1">VLOOKUP(C380,Группа!A:B,2,FALSE)</f>
        <v>Кепка</v>
      </c>
      <c r="AC380" s="97" t="str">
        <f ca="1">IFERROR(VLOOKUP(S380,Размеры!A:C,3,FALSE),"")</f>
        <v>62 XL/XXL</v>
      </c>
      <c r="AD380" s="97" t="str">
        <f ca="1">VLOOKUP(I380,ЦветПолный!A:B,2,FALSE)</f>
        <v>89</v>
      </c>
      <c r="AE380" s="97" t="str">
        <f ca="1">IFERROR(VLOOKUP(S380,Размеры!A:D,4,FALSE),"")</f>
        <v>62</v>
      </c>
      <c r="AF380" s="97">
        <f ca="1">IF(LEFT(IFERROR(VLOOKUP(LOOKUP(2,1/SEARCH(B380,Товары!A:A),Товары!A:A),Товары!A:B,2,0),""),6)=MID(AA380,1,6),1,0)</f>
        <v>0</v>
      </c>
      <c r="AH380" s="97">
        <f ca="1">SUMIF(Группа!A:A,C380,Группа!C:C)</f>
        <v>1</v>
      </c>
      <c r="AI380" s="97">
        <f ca="1">SUMIF(Группа!B:B,AB380,Группа!C:C)</f>
        <v>1</v>
      </c>
      <c r="AJ380" s="97">
        <f ca="1">SUMIF(Формы!A:A,D380,Формы!B:B)</f>
        <v>1</v>
      </c>
      <c r="AK380" s="97">
        <f ca="1">SUMIF(Материал!A:A,K380,Материал!B:B)</f>
        <v>1</v>
      </c>
      <c r="AL380" s="97">
        <f ca="1">SUMIF(Размеры!A:A,S380,Размеры!E:E)</f>
        <v>1</v>
      </c>
      <c r="AM380" s="97">
        <f ca="1">SUMIF(Сезон!A:A,F380,Сезон!B:B)</f>
        <v>1</v>
      </c>
      <c r="AN380" s="97">
        <f ca="1">SUMIF(Состав!A:A,J380,Состав!B:B)</f>
        <v>0</v>
      </c>
      <c r="AO380" s="97">
        <f ca="1">VLOOKUP(I380,ЦветПолный!A:C,3,0)</f>
        <v>1</v>
      </c>
      <c r="AP380" s="97">
        <f>SUMIF(Цвет!A:A,Z380,Цвет!B:B)</f>
        <v>1</v>
      </c>
      <c r="AQ380" s="97">
        <f ca="1">_xlfn.XLOOKUP(L380,Пол!A:A,Пол!B:B,0,0)</f>
        <v>1</v>
      </c>
      <c r="AR380" s="97">
        <f ca="1">SUMIF(Бренд!A:A,G380,Бренд!B:B)</f>
        <v>1</v>
      </c>
      <c r="AS380" s="97">
        <f ca="1">SUMIF(Страна!A:A,M380,Страна!B:B)</f>
        <v>1</v>
      </c>
      <c r="AT380" s="64" t="e">
        <f ca="1">IF(VLOOKUP(W380,Товары!A:B,2,FALSE)=A380,"Есть в 1С","ERR")</f>
        <v>#N/A</v>
      </c>
      <c r="AU380" s="65" t="e">
        <f ca="1">IF(VLOOKUP(A380,Товары!B:B,1,FALSE)=A380,"Есть в 1С","ERR")</f>
        <v>#N/A</v>
      </c>
      <c r="AV380" s="96" t="e">
        <f ca="1">VLOOKUP(W380,Товары!A:B,2,FALSE)</f>
        <v>#N/A</v>
      </c>
      <c r="AW380" s="94" t="e">
        <f ca="1">VLOOKUP(W380,Товары!A:B,1,FALSE)</f>
        <v>#N/A</v>
      </c>
    </row>
    <row r="381" spans="1:49" x14ac:dyDescent="0.25">
      <c r="A381" s="110" t="str">
        <f t="shared" ca="1" si="30"/>
        <v>95-002-89</v>
      </c>
      <c r="B381" s="107" t="str">
        <f ca="1">_xlfn.LET(_xlpm.CAPS,0,_xlpm.Style,TRIM(_xlfn.XLOOKUP($A381,Строчный!$A:$A,Строчный!B:B,"ERR",0)),IF(_xlpm.CAPS=0,_xlpm.Style,LOWER(_xlpm.Style)))</f>
        <v>3030</v>
      </c>
      <c r="C381" s="81" t="str">
        <f ca="1">TRIM(PROPER(_xlfn.XLOOKUP($A381,Строчный!$A:$A,Строчный!C:C,"ERR",0)))</f>
        <v>Кепки</v>
      </c>
      <c r="D381" s="81" t="str">
        <f ca="1">_xlfn.LET(_xlpm.DATA,TRIM(_xlfn.XLOOKUP($A381,Строчный!$A:$A,Строчный!D:D,"ERR",0)),UPPER(MID(_xlpm.DATA,1,1))&amp;LOWER(MID(_xlpm.DATA,2,LEN(_xlpm.DATA)-1)))</f>
        <v>Кепка восьмиклинка</v>
      </c>
      <c r="E381" s="81" t="str">
        <f ca="1">PROPER(TRIM(_xlfn.XLOOKUP($A381,Строчный!$A:$A,Строчный!E:E,"ERR",0)))</f>
        <v>Fredrikson</v>
      </c>
      <c r="F381" s="81" t="str">
        <f ca="1">LOWER(TRIM(_xlfn.XLOOKUP($A381,Строчный!$A:$A,Строчный!F:F,"ERR",0)))</f>
        <v>всесезон</v>
      </c>
      <c r="G381" s="81" t="str">
        <f ca="1">UPPER(TRIM(_xlfn.XLOOKUP($A381,Строчный!$A:$A,Строчный!G:G,"ERR",0)))</f>
        <v>FREDRIKSON</v>
      </c>
      <c r="H381" s="81" t="str">
        <f ca="1">LOWER(TRIM(_xlfn.XLOOKUP($A381,Строчный!$A:$A,Строчный!H:H,"ERR",0)))</f>
        <v>630/23</v>
      </c>
      <c r="I381" s="81" t="str">
        <f ca="1">LOWER(TRIM(_xlfn.XLOOKUP($A381,Строчный!$A:$A,Строчный!I:I,"ERR",0)))</f>
        <v>голубой / серый</v>
      </c>
      <c r="J381" s="81" t="str">
        <f ca="1">SUBSTITUTE(LOWER(TRIM(_xlfn.XLOOKUP($A381,Строчный!$A:$A,Строчный!J:J,"ERR",0))),"подклад","Подклад")</f>
        <v>80% шерсть - 20% полиамид / Подклад: 100% вискоза</v>
      </c>
      <c r="K381" s="81" t="str">
        <f ca="1">LOWER(TRIM(_xlfn.XLOOKUP($A381,Строчный!$A:$A,Строчный!K:K,"ERR",0)))</f>
        <v>шерстяные</v>
      </c>
      <c r="L381" s="81" t="str">
        <f ca="1">PROPER(TRIM(_xlfn.XLOOKUP($A381,Строчный!$A:$A,Строчный!L:L,"ERR",0)))</f>
        <v>Унисекс</v>
      </c>
      <c r="M381" s="113" t="str">
        <f ca="1">PROPER(TRIM(_xlfn.XLOOKUP($A381,Строчный!$A:$A,Строчный!M:M,"ERR",0)))</f>
        <v>Россия</v>
      </c>
      <c r="N381" s="81" t="str">
        <f ca="1">UPPER(TRIM(_xlfn.XLOOKUP($A381,Строчный!$A:$A,Строчный!O:O,"ERR",0)))</f>
        <v/>
      </c>
      <c r="O381" s="102" t="str">
        <f ca="1">PROPER(TRIM(_xlfn.XLOOKUP($A381,Строчный!$A:$A,Строчный!P:P,"ERR",0)))</f>
        <v/>
      </c>
      <c r="P381" s="81" t="str">
        <f ca="1">PROPER(TRIM(_xlfn.XLOOKUP($A381,Строчный!$A:$A,Строчный!R:R,"ERR",0)))</f>
        <v/>
      </c>
      <c r="Q381" s="90">
        <f ca="1">VALUE(_xlfn.XLOOKUP($A381,Строчный!$A:$A,Строчный!N:N,"ERR",0))</f>
        <v>975.8</v>
      </c>
      <c r="R381" s="89" t="str">
        <f ca="1">_xlfn.XLOOKUP($G381,Фабрика!A:A,Фабрика!B:B,"ERR",0)</f>
        <v>ООО "ФРЭДРИКСОН" Россия 192029, С-Петербург, пр. Обуховской обороны, д.86, лит М</v>
      </c>
      <c r="S381" s="80" t="str">
        <f ca="1">_xlfn.XLOOKUP(RIGHT(AA381,2),Размеры!D:D,Размеры!A:A,"ERR",0)</f>
        <v>61</v>
      </c>
      <c r="T381" s="80">
        <f ca="1">VALUE(_xlfn.XLOOKUP($AA381,Строчный!$S:$S,Строчный!U:U,"ERR",0))</f>
        <v>2</v>
      </c>
      <c r="U381" s="14" t="s">
        <v>265</v>
      </c>
      <c r="V381" s="101" t="str">
        <f t="shared" ca="1" si="31"/>
        <v>Кепка FREDRIKSON арт. 3030 (голубой / серый)</v>
      </c>
      <c r="W381" s="100" t="str">
        <f t="shared" ca="1" si="32"/>
        <v>Кепка FREDRIKSON арт. 3030 (голубой / серый) {630/23}</v>
      </c>
      <c r="X381" s="18" t="str">
        <f t="shared" ca="1" si="33"/>
        <v>голубой</v>
      </c>
      <c r="Y381" s="18" t="str">
        <f t="shared" ca="1" si="34"/>
        <v>серый</v>
      </c>
      <c r="Z381" s="117" t="s">
        <v>28</v>
      </c>
      <c r="AA381" s="73" t="str">
        <f ca="1"/>
        <v>95-002-89-61</v>
      </c>
      <c r="AB381" s="75" t="str">
        <f ca="1">VLOOKUP(C381,Группа!A:B,2,FALSE)</f>
        <v>Кепка</v>
      </c>
      <c r="AC381" s="97" t="str">
        <f ca="1">IFERROR(VLOOKUP(S381,Размеры!A:C,3,FALSE),"")</f>
        <v>61 XL</v>
      </c>
      <c r="AD381" s="97" t="str">
        <f ca="1">VLOOKUP(I381,ЦветПолный!A:B,2,FALSE)</f>
        <v>89</v>
      </c>
      <c r="AE381" s="97" t="str">
        <f ca="1">IFERROR(VLOOKUP(S381,Размеры!A:D,4,FALSE),"")</f>
        <v>61</v>
      </c>
      <c r="AF381" s="97">
        <f ca="1">IF(LEFT(IFERROR(VLOOKUP(LOOKUP(2,1/SEARCH(B381,Товары!A:A),Товары!A:A),Товары!A:B,2,0),""),6)=MID(AA381,1,6),1,0)</f>
        <v>0</v>
      </c>
      <c r="AH381" s="97">
        <f ca="1">SUMIF(Группа!A:A,C381,Группа!C:C)</f>
        <v>1</v>
      </c>
      <c r="AI381" s="97">
        <f ca="1">SUMIF(Группа!B:B,AB381,Группа!C:C)</f>
        <v>1</v>
      </c>
      <c r="AJ381" s="97">
        <f ca="1">SUMIF(Формы!A:A,D381,Формы!B:B)</f>
        <v>1</v>
      </c>
      <c r="AK381" s="97">
        <f ca="1">SUMIF(Материал!A:A,K381,Материал!B:B)</f>
        <v>1</v>
      </c>
      <c r="AL381" s="97">
        <f ca="1">SUMIF(Размеры!A:A,S381,Размеры!E:E)</f>
        <v>1</v>
      </c>
      <c r="AM381" s="97">
        <f ca="1">SUMIF(Сезон!A:A,F381,Сезон!B:B)</f>
        <v>1</v>
      </c>
      <c r="AN381" s="97">
        <f ca="1">SUMIF(Состав!A:A,J381,Состав!B:B)</f>
        <v>0</v>
      </c>
      <c r="AO381" s="97">
        <f ca="1">VLOOKUP(I381,ЦветПолный!A:C,3,0)</f>
        <v>1</v>
      </c>
      <c r="AP381" s="97">
        <f>SUMIF(Цвет!A:A,Z381,Цвет!B:B)</f>
        <v>1</v>
      </c>
      <c r="AQ381" s="97">
        <f ca="1">_xlfn.XLOOKUP(L381,Пол!A:A,Пол!B:B,0,0)</f>
        <v>1</v>
      </c>
      <c r="AR381" s="97">
        <f ca="1">SUMIF(Бренд!A:A,G381,Бренд!B:B)</f>
        <v>1</v>
      </c>
      <c r="AS381" s="97">
        <f ca="1">SUMIF(Страна!A:A,M381,Страна!B:B)</f>
        <v>1</v>
      </c>
      <c r="AT381" s="64" t="e">
        <f ca="1">IF(VLOOKUP(W381,Товары!A:B,2,FALSE)=A381,"Есть в 1С","ERR")</f>
        <v>#N/A</v>
      </c>
      <c r="AU381" s="65" t="e">
        <f ca="1">IF(VLOOKUP(A381,Товары!B:B,1,FALSE)=A381,"Есть в 1С","ERR")</f>
        <v>#N/A</v>
      </c>
      <c r="AV381" s="96" t="e">
        <f ca="1">VLOOKUP(W381,Товары!A:B,2,FALSE)</f>
        <v>#N/A</v>
      </c>
      <c r="AW381" s="94" t="e">
        <f ca="1">VLOOKUP(W381,Товары!A:B,1,FALSE)</f>
        <v>#N/A</v>
      </c>
    </row>
    <row r="382" spans="1:49" x14ac:dyDescent="0.25">
      <c r="A382" s="110" t="str">
        <f t="shared" ca="1" si="30"/>
        <v>95-002-89</v>
      </c>
      <c r="B382" s="107" t="str">
        <f ca="1">_xlfn.LET(_xlpm.CAPS,0,_xlpm.Style,TRIM(_xlfn.XLOOKUP($A382,Строчный!$A:$A,Строчный!B:B,"ERR",0)),IF(_xlpm.CAPS=0,_xlpm.Style,LOWER(_xlpm.Style)))</f>
        <v>3030</v>
      </c>
      <c r="C382" s="81" t="str">
        <f ca="1">TRIM(PROPER(_xlfn.XLOOKUP($A382,Строчный!$A:$A,Строчный!C:C,"ERR",0)))</f>
        <v>Кепки</v>
      </c>
      <c r="D382" s="81" t="str">
        <f ca="1">_xlfn.LET(_xlpm.DATA,TRIM(_xlfn.XLOOKUP($A382,Строчный!$A:$A,Строчный!D:D,"ERR",0)),UPPER(MID(_xlpm.DATA,1,1))&amp;LOWER(MID(_xlpm.DATA,2,LEN(_xlpm.DATA)-1)))</f>
        <v>Кепка восьмиклинка</v>
      </c>
      <c r="E382" s="81" t="str">
        <f ca="1">PROPER(TRIM(_xlfn.XLOOKUP($A382,Строчный!$A:$A,Строчный!E:E,"ERR",0)))</f>
        <v>Fredrikson</v>
      </c>
      <c r="F382" s="81" t="str">
        <f ca="1">LOWER(TRIM(_xlfn.XLOOKUP($A382,Строчный!$A:$A,Строчный!F:F,"ERR",0)))</f>
        <v>всесезон</v>
      </c>
      <c r="G382" s="81" t="str">
        <f ca="1">UPPER(TRIM(_xlfn.XLOOKUP($A382,Строчный!$A:$A,Строчный!G:G,"ERR",0)))</f>
        <v>FREDRIKSON</v>
      </c>
      <c r="H382" s="81" t="str">
        <f ca="1">LOWER(TRIM(_xlfn.XLOOKUP($A382,Строчный!$A:$A,Строчный!H:H,"ERR",0)))</f>
        <v>630/23</v>
      </c>
      <c r="I382" s="81" t="str">
        <f ca="1">LOWER(TRIM(_xlfn.XLOOKUP($A382,Строчный!$A:$A,Строчный!I:I,"ERR",0)))</f>
        <v>голубой / серый</v>
      </c>
      <c r="J382" s="81" t="str">
        <f ca="1">SUBSTITUTE(LOWER(TRIM(_xlfn.XLOOKUP($A382,Строчный!$A:$A,Строчный!J:J,"ERR",0))),"подклад","Подклад")</f>
        <v>80% шерсть - 20% полиамид / Подклад: 100% вискоза</v>
      </c>
      <c r="K382" s="81" t="str">
        <f ca="1">LOWER(TRIM(_xlfn.XLOOKUP($A382,Строчный!$A:$A,Строчный!K:K,"ERR",0)))</f>
        <v>шерстяные</v>
      </c>
      <c r="L382" s="81" t="str">
        <f ca="1">PROPER(TRIM(_xlfn.XLOOKUP($A382,Строчный!$A:$A,Строчный!L:L,"ERR",0)))</f>
        <v>Унисекс</v>
      </c>
      <c r="M382" s="113" t="str">
        <f ca="1">PROPER(TRIM(_xlfn.XLOOKUP($A382,Строчный!$A:$A,Строчный!M:M,"ERR",0)))</f>
        <v>Россия</v>
      </c>
      <c r="N382" s="81" t="str">
        <f ca="1">UPPER(TRIM(_xlfn.XLOOKUP($A382,Строчный!$A:$A,Строчный!O:O,"ERR",0)))</f>
        <v/>
      </c>
      <c r="O382" s="102" t="str">
        <f ca="1">PROPER(TRIM(_xlfn.XLOOKUP($A382,Строчный!$A:$A,Строчный!P:P,"ERR",0)))</f>
        <v/>
      </c>
      <c r="P382" s="81" t="str">
        <f ca="1">PROPER(TRIM(_xlfn.XLOOKUP($A382,Строчный!$A:$A,Строчный!R:R,"ERR",0)))</f>
        <v/>
      </c>
      <c r="Q382" s="90">
        <f ca="1">VALUE(_xlfn.XLOOKUP($A382,Строчный!$A:$A,Строчный!N:N,"ERR",0))</f>
        <v>975.8</v>
      </c>
      <c r="R382" s="89" t="str">
        <f ca="1">_xlfn.XLOOKUP($G382,Фабрика!A:A,Фабрика!B:B,"ERR",0)</f>
        <v>ООО "ФРЭДРИКСОН" Россия 192029, С-Петербург, пр. Обуховской обороны, д.86, лит М</v>
      </c>
      <c r="S382" s="80" t="str">
        <f ca="1">_xlfn.XLOOKUP(RIGHT(AA382,2),Размеры!D:D,Размеры!A:A,"ERR",0)</f>
        <v>60</v>
      </c>
      <c r="T382" s="80">
        <f ca="1">VALUE(_xlfn.XLOOKUP($AA382,Строчный!$S:$S,Строчный!U:U,"ERR",0))</f>
        <v>5</v>
      </c>
      <c r="U382" s="14" t="s">
        <v>265</v>
      </c>
      <c r="V382" s="101" t="str">
        <f t="shared" ca="1" si="31"/>
        <v>Кепка FREDRIKSON арт. 3030 (голубой / серый)</v>
      </c>
      <c r="W382" s="100" t="str">
        <f t="shared" ca="1" si="32"/>
        <v>Кепка FREDRIKSON арт. 3030 (голубой / серый) {630/23}</v>
      </c>
      <c r="X382" s="18" t="str">
        <f t="shared" ca="1" si="33"/>
        <v>голубой</v>
      </c>
      <c r="Y382" s="18" t="str">
        <f t="shared" ca="1" si="34"/>
        <v>серый</v>
      </c>
      <c r="Z382" s="117" t="s">
        <v>28</v>
      </c>
      <c r="AA382" s="73" t="str">
        <f ca="1"/>
        <v>95-002-89-60</v>
      </c>
      <c r="AB382" s="75" t="str">
        <f ca="1">VLOOKUP(C382,Группа!A:B,2,FALSE)</f>
        <v>Кепка</v>
      </c>
      <c r="AC382" s="97" t="str">
        <f ca="1">IFERROR(VLOOKUP(S382,Размеры!A:C,3,FALSE),"")</f>
        <v>60 L/XL</v>
      </c>
      <c r="AD382" s="97" t="str">
        <f ca="1">VLOOKUP(I382,ЦветПолный!A:B,2,FALSE)</f>
        <v>89</v>
      </c>
      <c r="AE382" s="97" t="str">
        <f ca="1">IFERROR(VLOOKUP(S382,Размеры!A:D,4,FALSE),"")</f>
        <v>60</v>
      </c>
      <c r="AF382" s="97">
        <f ca="1">IF(LEFT(IFERROR(VLOOKUP(LOOKUP(2,1/SEARCH(B382,Товары!A:A),Товары!A:A),Товары!A:B,2,0),""),6)=MID(AA382,1,6),1,0)</f>
        <v>0</v>
      </c>
      <c r="AH382" s="97">
        <f ca="1">SUMIF(Группа!A:A,C382,Группа!C:C)</f>
        <v>1</v>
      </c>
      <c r="AI382" s="97">
        <f ca="1">SUMIF(Группа!B:B,AB382,Группа!C:C)</f>
        <v>1</v>
      </c>
      <c r="AJ382" s="97">
        <f ca="1">SUMIF(Формы!A:A,D382,Формы!B:B)</f>
        <v>1</v>
      </c>
      <c r="AK382" s="97">
        <f ca="1">SUMIF(Материал!A:A,K382,Материал!B:B)</f>
        <v>1</v>
      </c>
      <c r="AL382" s="97">
        <f ca="1">SUMIF(Размеры!A:A,S382,Размеры!E:E)</f>
        <v>1</v>
      </c>
      <c r="AM382" s="97">
        <f ca="1">SUMIF(Сезон!A:A,F382,Сезон!B:B)</f>
        <v>1</v>
      </c>
      <c r="AN382" s="97">
        <f ca="1">SUMIF(Состав!A:A,J382,Состав!B:B)</f>
        <v>0</v>
      </c>
      <c r="AO382" s="97">
        <f ca="1">VLOOKUP(I382,ЦветПолный!A:C,3,0)</f>
        <v>1</v>
      </c>
      <c r="AP382" s="97">
        <f>SUMIF(Цвет!A:A,Z382,Цвет!B:B)</f>
        <v>1</v>
      </c>
      <c r="AQ382" s="97">
        <f ca="1">_xlfn.XLOOKUP(L382,Пол!A:A,Пол!B:B,0,0)</f>
        <v>1</v>
      </c>
      <c r="AR382" s="97">
        <f ca="1">SUMIF(Бренд!A:A,G382,Бренд!B:B)</f>
        <v>1</v>
      </c>
      <c r="AS382" s="97">
        <f ca="1">SUMIF(Страна!A:A,M382,Страна!B:B)</f>
        <v>1</v>
      </c>
      <c r="AT382" s="64" t="e">
        <f ca="1">IF(VLOOKUP(W382,Товары!A:B,2,FALSE)=A382,"Есть в 1С","ERR")</f>
        <v>#N/A</v>
      </c>
      <c r="AU382" s="65" t="e">
        <f ca="1">IF(VLOOKUP(A382,Товары!B:B,1,FALSE)=A382,"Есть в 1С","ERR")</f>
        <v>#N/A</v>
      </c>
      <c r="AV382" s="96" t="e">
        <f ca="1">VLOOKUP(W382,Товары!A:B,2,FALSE)</f>
        <v>#N/A</v>
      </c>
      <c r="AW382" s="94" t="e">
        <f ca="1">VLOOKUP(W382,Товары!A:B,1,FALSE)</f>
        <v>#N/A</v>
      </c>
    </row>
    <row r="383" spans="1:49" x14ac:dyDescent="0.25">
      <c r="A383" s="110" t="str">
        <f t="shared" ca="1" si="30"/>
        <v>95-002-89</v>
      </c>
      <c r="B383" s="107" t="str">
        <f ca="1">_xlfn.LET(_xlpm.CAPS,0,_xlpm.Style,TRIM(_xlfn.XLOOKUP($A383,Строчный!$A:$A,Строчный!B:B,"ERR",0)),IF(_xlpm.CAPS=0,_xlpm.Style,LOWER(_xlpm.Style)))</f>
        <v>3030</v>
      </c>
      <c r="C383" s="81" t="str">
        <f ca="1">TRIM(PROPER(_xlfn.XLOOKUP($A383,Строчный!$A:$A,Строчный!C:C,"ERR",0)))</f>
        <v>Кепки</v>
      </c>
      <c r="D383" s="81" t="str">
        <f ca="1">_xlfn.LET(_xlpm.DATA,TRIM(_xlfn.XLOOKUP($A383,Строчный!$A:$A,Строчный!D:D,"ERR",0)),UPPER(MID(_xlpm.DATA,1,1))&amp;LOWER(MID(_xlpm.DATA,2,LEN(_xlpm.DATA)-1)))</f>
        <v>Кепка восьмиклинка</v>
      </c>
      <c r="E383" s="81" t="str">
        <f ca="1">PROPER(TRIM(_xlfn.XLOOKUP($A383,Строчный!$A:$A,Строчный!E:E,"ERR",0)))</f>
        <v>Fredrikson</v>
      </c>
      <c r="F383" s="81" t="str">
        <f ca="1">LOWER(TRIM(_xlfn.XLOOKUP($A383,Строчный!$A:$A,Строчный!F:F,"ERR",0)))</f>
        <v>всесезон</v>
      </c>
      <c r="G383" s="81" t="str">
        <f ca="1">UPPER(TRIM(_xlfn.XLOOKUP($A383,Строчный!$A:$A,Строчный!G:G,"ERR",0)))</f>
        <v>FREDRIKSON</v>
      </c>
      <c r="H383" s="81" t="str">
        <f ca="1">LOWER(TRIM(_xlfn.XLOOKUP($A383,Строчный!$A:$A,Строчный!H:H,"ERR",0)))</f>
        <v>630/23</v>
      </c>
      <c r="I383" s="81" t="str">
        <f ca="1">LOWER(TRIM(_xlfn.XLOOKUP($A383,Строчный!$A:$A,Строчный!I:I,"ERR",0)))</f>
        <v>голубой / серый</v>
      </c>
      <c r="J383" s="81" t="str">
        <f ca="1">SUBSTITUTE(LOWER(TRIM(_xlfn.XLOOKUP($A383,Строчный!$A:$A,Строчный!J:J,"ERR",0))),"подклад","Подклад")</f>
        <v>80% шерсть - 20% полиамид / Подклад: 100% вискоза</v>
      </c>
      <c r="K383" s="81" t="str">
        <f ca="1">LOWER(TRIM(_xlfn.XLOOKUP($A383,Строчный!$A:$A,Строчный!K:K,"ERR",0)))</f>
        <v>шерстяные</v>
      </c>
      <c r="L383" s="81" t="str">
        <f ca="1">PROPER(TRIM(_xlfn.XLOOKUP($A383,Строчный!$A:$A,Строчный!L:L,"ERR",0)))</f>
        <v>Унисекс</v>
      </c>
      <c r="M383" s="113" t="str">
        <f ca="1">PROPER(TRIM(_xlfn.XLOOKUP($A383,Строчный!$A:$A,Строчный!M:M,"ERR",0)))</f>
        <v>Россия</v>
      </c>
      <c r="N383" s="81" t="str">
        <f ca="1">UPPER(TRIM(_xlfn.XLOOKUP($A383,Строчный!$A:$A,Строчный!O:O,"ERR",0)))</f>
        <v/>
      </c>
      <c r="O383" s="102" t="str">
        <f ca="1">PROPER(TRIM(_xlfn.XLOOKUP($A383,Строчный!$A:$A,Строчный!P:P,"ERR",0)))</f>
        <v/>
      </c>
      <c r="P383" s="81" t="str">
        <f ca="1">PROPER(TRIM(_xlfn.XLOOKUP($A383,Строчный!$A:$A,Строчный!R:R,"ERR",0)))</f>
        <v/>
      </c>
      <c r="Q383" s="90">
        <f ca="1">VALUE(_xlfn.XLOOKUP($A383,Строчный!$A:$A,Строчный!N:N,"ERR",0))</f>
        <v>975.8</v>
      </c>
      <c r="R383" s="89" t="str">
        <f ca="1">_xlfn.XLOOKUP($G383,Фабрика!A:A,Фабрика!B:B,"ERR",0)</f>
        <v>ООО "ФРЭДРИКСОН" Россия 192029, С-Петербург, пр. Обуховской обороны, д.86, лит М</v>
      </c>
      <c r="S383" s="80" t="str">
        <f ca="1">_xlfn.XLOOKUP(RIGHT(AA383,2),Размеры!D:D,Размеры!A:A,"ERR",0)</f>
        <v>59</v>
      </c>
      <c r="T383" s="80">
        <f ca="1">VALUE(_xlfn.XLOOKUP($AA383,Строчный!$S:$S,Строчный!U:U,"ERR",0))</f>
        <v>5</v>
      </c>
      <c r="U383" s="14" t="s">
        <v>265</v>
      </c>
      <c r="V383" s="101" t="str">
        <f t="shared" ca="1" si="31"/>
        <v>Кепка FREDRIKSON арт. 3030 (голубой / серый)</v>
      </c>
      <c r="W383" s="100" t="str">
        <f t="shared" ca="1" si="32"/>
        <v>Кепка FREDRIKSON арт. 3030 (голубой / серый) {630/23}</v>
      </c>
      <c r="X383" s="18" t="str">
        <f t="shared" ca="1" si="33"/>
        <v>голубой</v>
      </c>
      <c r="Y383" s="18" t="str">
        <f t="shared" ca="1" si="34"/>
        <v>серый</v>
      </c>
      <c r="Z383" s="117" t="s">
        <v>28</v>
      </c>
      <c r="AA383" s="73" t="str">
        <f ca="1"/>
        <v>95-002-89-59</v>
      </c>
      <c r="AB383" s="75" t="str">
        <f ca="1">VLOOKUP(C383,Группа!A:B,2,FALSE)</f>
        <v>Кепка</v>
      </c>
      <c r="AC383" s="97" t="str">
        <f ca="1">IFERROR(VLOOKUP(S383,Размеры!A:C,3,FALSE),"")</f>
        <v>59 L</v>
      </c>
      <c r="AD383" s="97" t="str">
        <f ca="1">VLOOKUP(I383,ЦветПолный!A:B,2,FALSE)</f>
        <v>89</v>
      </c>
      <c r="AE383" s="97" t="str">
        <f ca="1">IFERROR(VLOOKUP(S383,Размеры!A:D,4,FALSE),"")</f>
        <v>59</v>
      </c>
      <c r="AF383" s="97">
        <f ca="1">IF(LEFT(IFERROR(VLOOKUP(LOOKUP(2,1/SEARCH(B383,Товары!A:A),Товары!A:A),Товары!A:B,2,0),""),6)=MID(AA383,1,6),1,0)</f>
        <v>0</v>
      </c>
      <c r="AH383" s="97">
        <f ca="1">SUMIF(Группа!A:A,C383,Группа!C:C)</f>
        <v>1</v>
      </c>
      <c r="AI383" s="97">
        <f ca="1">SUMIF(Группа!B:B,AB383,Группа!C:C)</f>
        <v>1</v>
      </c>
      <c r="AJ383" s="97">
        <f ca="1">SUMIF(Формы!A:A,D383,Формы!B:B)</f>
        <v>1</v>
      </c>
      <c r="AK383" s="97">
        <f ca="1">SUMIF(Материал!A:A,K383,Материал!B:B)</f>
        <v>1</v>
      </c>
      <c r="AL383" s="97">
        <f ca="1">SUMIF(Размеры!A:A,S383,Размеры!E:E)</f>
        <v>1</v>
      </c>
      <c r="AM383" s="97">
        <f ca="1">SUMIF(Сезон!A:A,F383,Сезон!B:B)</f>
        <v>1</v>
      </c>
      <c r="AN383" s="97">
        <f ca="1">SUMIF(Состав!A:A,J383,Состав!B:B)</f>
        <v>0</v>
      </c>
      <c r="AO383" s="97">
        <f ca="1">VLOOKUP(I383,ЦветПолный!A:C,3,0)</f>
        <v>1</v>
      </c>
      <c r="AP383" s="97">
        <f>SUMIF(Цвет!A:A,Z383,Цвет!B:B)</f>
        <v>1</v>
      </c>
      <c r="AQ383" s="97">
        <f ca="1">_xlfn.XLOOKUP(L383,Пол!A:A,Пол!B:B,0,0)</f>
        <v>1</v>
      </c>
      <c r="AR383" s="97">
        <f ca="1">SUMIF(Бренд!A:A,G383,Бренд!B:B)</f>
        <v>1</v>
      </c>
      <c r="AS383" s="97">
        <f ca="1">SUMIF(Страна!A:A,M383,Страна!B:B)</f>
        <v>1</v>
      </c>
      <c r="AT383" s="64" t="e">
        <f ca="1">IF(VLOOKUP(W383,Товары!A:B,2,FALSE)=A383,"Есть в 1С","ERR")</f>
        <v>#N/A</v>
      </c>
      <c r="AU383" s="65" t="e">
        <f ca="1">IF(VLOOKUP(A383,Товары!B:B,1,FALSE)=A383,"Есть в 1С","ERR")</f>
        <v>#N/A</v>
      </c>
      <c r="AV383" s="96" t="e">
        <f ca="1">VLOOKUP(W383,Товары!A:B,2,FALSE)</f>
        <v>#N/A</v>
      </c>
      <c r="AW383" s="94" t="e">
        <f ca="1">VLOOKUP(W383,Товары!A:B,1,FALSE)</f>
        <v>#N/A</v>
      </c>
    </row>
    <row r="384" spans="1:49" x14ac:dyDescent="0.25">
      <c r="A384" s="110" t="str">
        <f t="shared" ca="1" si="30"/>
        <v>95-002-89</v>
      </c>
      <c r="B384" s="107" t="str">
        <f ca="1">_xlfn.LET(_xlpm.CAPS,0,_xlpm.Style,TRIM(_xlfn.XLOOKUP($A384,Строчный!$A:$A,Строчный!B:B,"ERR",0)),IF(_xlpm.CAPS=0,_xlpm.Style,LOWER(_xlpm.Style)))</f>
        <v>3030</v>
      </c>
      <c r="C384" s="81" t="str">
        <f ca="1">TRIM(PROPER(_xlfn.XLOOKUP($A384,Строчный!$A:$A,Строчный!C:C,"ERR",0)))</f>
        <v>Кепки</v>
      </c>
      <c r="D384" s="81" t="str">
        <f ca="1">_xlfn.LET(_xlpm.DATA,TRIM(_xlfn.XLOOKUP($A384,Строчный!$A:$A,Строчный!D:D,"ERR",0)),UPPER(MID(_xlpm.DATA,1,1))&amp;LOWER(MID(_xlpm.DATA,2,LEN(_xlpm.DATA)-1)))</f>
        <v>Кепка восьмиклинка</v>
      </c>
      <c r="E384" s="81" t="str">
        <f ca="1">PROPER(TRIM(_xlfn.XLOOKUP($A384,Строчный!$A:$A,Строчный!E:E,"ERR",0)))</f>
        <v>Fredrikson</v>
      </c>
      <c r="F384" s="81" t="str">
        <f ca="1">LOWER(TRIM(_xlfn.XLOOKUP($A384,Строчный!$A:$A,Строчный!F:F,"ERR",0)))</f>
        <v>всесезон</v>
      </c>
      <c r="G384" s="81" t="str">
        <f ca="1">UPPER(TRIM(_xlfn.XLOOKUP($A384,Строчный!$A:$A,Строчный!G:G,"ERR",0)))</f>
        <v>FREDRIKSON</v>
      </c>
      <c r="H384" s="81" t="str">
        <f ca="1">LOWER(TRIM(_xlfn.XLOOKUP($A384,Строчный!$A:$A,Строчный!H:H,"ERR",0)))</f>
        <v>630/23</v>
      </c>
      <c r="I384" s="81" t="str">
        <f ca="1">LOWER(TRIM(_xlfn.XLOOKUP($A384,Строчный!$A:$A,Строчный!I:I,"ERR",0)))</f>
        <v>голубой / серый</v>
      </c>
      <c r="J384" s="81" t="str">
        <f ca="1">SUBSTITUTE(LOWER(TRIM(_xlfn.XLOOKUP($A384,Строчный!$A:$A,Строчный!J:J,"ERR",0))),"подклад","Подклад")</f>
        <v>80% шерсть - 20% полиамид / Подклад: 100% вискоза</v>
      </c>
      <c r="K384" s="81" t="str">
        <f ca="1">LOWER(TRIM(_xlfn.XLOOKUP($A384,Строчный!$A:$A,Строчный!K:K,"ERR",0)))</f>
        <v>шерстяные</v>
      </c>
      <c r="L384" s="81" t="str">
        <f ca="1">PROPER(TRIM(_xlfn.XLOOKUP($A384,Строчный!$A:$A,Строчный!L:L,"ERR",0)))</f>
        <v>Унисекс</v>
      </c>
      <c r="M384" s="113" t="str">
        <f ca="1">PROPER(TRIM(_xlfn.XLOOKUP($A384,Строчный!$A:$A,Строчный!M:M,"ERR",0)))</f>
        <v>Россия</v>
      </c>
      <c r="N384" s="81" t="str">
        <f ca="1">UPPER(TRIM(_xlfn.XLOOKUP($A384,Строчный!$A:$A,Строчный!O:O,"ERR",0)))</f>
        <v/>
      </c>
      <c r="O384" s="102" t="str">
        <f ca="1">PROPER(TRIM(_xlfn.XLOOKUP($A384,Строчный!$A:$A,Строчный!P:P,"ERR",0)))</f>
        <v/>
      </c>
      <c r="P384" s="81" t="str">
        <f ca="1">PROPER(TRIM(_xlfn.XLOOKUP($A384,Строчный!$A:$A,Строчный!R:R,"ERR",0)))</f>
        <v/>
      </c>
      <c r="Q384" s="90">
        <f ca="1">VALUE(_xlfn.XLOOKUP($A384,Строчный!$A:$A,Строчный!N:N,"ERR",0))</f>
        <v>975.8</v>
      </c>
      <c r="R384" s="89" t="str">
        <f ca="1">_xlfn.XLOOKUP($G384,Фабрика!A:A,Фабрика!B:B,"ERR",0)</f>
        <v>ООО "ФРЭДРИКСОН" Россия 192029, С-Петербург, пр. Обуховской обороны, д.86, лит М</v>
      </c>
      <c r="S384" s="80" t="str">
        <f ca="1">_xlfn.XLOOKUP(RIGHT(AA384,2),Размеры!D:D,Размеры!A:A,"ERR",0)</f>
        <v>57</v>
      </c>
      <c r="T384" s="80">
        <f ca="1">VALUE(_xlfn.XLOOKUP($AA384,Строчный!$S:$S,Строчный!U:U,"ERR",0))</f>
        <v>2</v>
      </c>
      <c r="U384" s="14" t="s">
        <v>265</v>
      </c>
      <c r="V384" s="101" t="str">
        <f t="shared" ca="1" si="31"/>
        <v>Кепка FREDRIKSON арт. 3030 (голубой / серый)</v>
      </c>
      <c r="W384" s="100" t="str">
        <f t="shared" ca="1" si="32"/>
        <v>Кепка FREDRIKSON арт. 3030 (голубой / серый) {630/23}</v>
      </c>
      <c r="X384" s="18" t="str">
        <f t="shared" ca="1" si="33"/>
        <v>голубой</v>
      </c>
      <c r="Y384" s="18" t="str">
        <f t="shared" ca="1" si="34"/>
        <v>серый</v>
      </c>
      <c r="Z384" s="117" t="s">
        <v>28</v>
      </c>
      <c r="AA384" s="73" t="str">
        <f ca="1"/>
        <v>95-002-89-57</v>
      </c>
      <c r="AB384" s="75" t="str">
        <f ca="1">VLOOKUP(C384,Группа!A:B,2,FALSE)</f>
        <v>Кепка</v>
      </c>
      <c r="AC384" s="97" t="str">
        <f ca="1">IFERROR(VLOOKUP(S384,Размеры!A:C,3,FALSE),"")</f>
        <v>57 M</v>
      </c>
      <c r="AD384" s="97" t="str">
        <f ca="1">VLOOKUP(I384,ЦветПолный!A:B,2,FALSE)</f>
        <v>89</v>
      </c>
      <c r="AE384" s="97" t="str">
        <f ca="1">IFERROR(VLOOKUP(S384,Размеры!A:D,4,FALSE),"")</f>
        <v>57</v>
      </c>
      <c r="AF384" s="97">
        <f ca="1">IF(LEFT(IFERROR(VLOOKUP(LOOKUP(2,1/SEARCH(B384,Товары!A:A),Товары!A:A),Товары!A:B,2,0),""),6)=MID(AA384,1,6),1,0)</f>
        <v>0</v>
      </c>
      <c r="AH384" s="97">
        <f ca="1">SUMIF(Группа!A:A,C384,Группа!C:C)</f>
        <v>1</v>
      </c>
      <c r="AI384" s="97">
        <f ca="1">SUMIF(Группа!B:B,AB384,Группа!C:C)</f>
        <v>1</v>
      </c>
      <c r="AJ384" s="97">
        <f ca="1">SUMIF(Формы!A:A,D384,Формы!B:B)</f>
        <v>1</v>
      </c>
      <c r="AK384" s="97">
        <f ca="1">SUMIF(Материал!A:A,K384,Материал!B:B)</f>
        <v>1</v>
      </c>
      <c r="AL384" s="97">
        <f ca="1">SUMIF(Размеры!A:A,S384,Размеры!E:E)</f>
        <v>1</v>
      </c>
      <c r="AM384" s="97">
        <f ca="1">SUMIF(Сезон!A:A,F384,Сезон!B:B)</f>
        <v>1</v>
      </c>
      <c r="AN384" s="97">
        <f ca="1">SUMIF(Состав!A:A,J384,Состав!B:B)</f>
        <v>0</v>
      </c>
      <c r="AO384" s="97">
        <f ca="1">VLOOKUP(I384,ЦветПолный!A:C,3,0)</f>
        <v>1</v>
      </c>
      <c r="AP384" s="97">
        <f>SUMIF(Цвет!A:A,Z384,Цвет!B:B)</f>
        <v>1</v>
      </c>
      <c r="AQ384" s="97">
        <f ca="1">_xlfn.XLOOKUP(L384,Пол!A:A,Пол!B:B,0,0)</f>
        <v>1</v>
      </c>
      <c r="AR384" s="97">
        <f ca="1">SUMIF(Бренд!A:A,G384,Бренд!B:B)</f>
        <v>1</v>
      </c>
      <c r="AS384" s="97">
        <f ca="1">SUMIF(Страна!A:A,M384,Страна!B:B)</f>
        <v>1</v>
      </c>
      <c r="AT384" s="64" t="e">
        <f ca="1">IF(VLOOKUP(W384,Товары!A:B,2,FALSE)=A384,"Есть в 1С","ERR")</f>
        <v>#N/A</v>
      </c>
      <c r="AU384" s="65" t="e">
        <f ca="1">IF(VLOOKUP(A384,Товары!B:B,1,FALSE)=A384,"Есть в 1С","ERR")</f>
        <v>#N/A</v>
      </c>
      <c r="AV384" s="96" t="e">
        <f ca="1">VLOOKUP(W384,Товары!A:B,2,FALSE)</f>
        <v>#N/A</v>
      </c>
      <c r="AW384" s="94" t="e">
        <f ca="1">VLOOKUP(W384,Товары!A:B,1,FALSE)</f>
        <v>#N/A</v>
      </c>
    </row>
    <row r="385" spans="1:49" x14ac:dyDescent="0.25">
      <c r="A385" s="110" t="str">
        <f t="shared" ca="1" si="30"/>
        <v>95-002-64</v>
      </c>
      <c r="B385" s="107" t="str">
        <f ca="1">_xlfn.LET(_xlpm.CAPS,0,_xlpm.Style,TRIM(_xlfn.XLOOKUP($A385,Строчный!$A:$A,Строчный!B:B,"ERR",0)),IF(_xlpm.CAPS=0,_xlpm.Style,LOWER(_xlpm.Style)))</f>
        <v>3030</v>
      </c>
      <c r="C385" s="81" t="str">
        <f ca="1">TRIM(PROPER(_xlfn.XLOOKUP($A385,Строчный!$A:$A,Строчный!C:C,"ERR",0)))</f>
        <v>Кепки</v>
      </c>
      <c r="D385" s="81" t="str">
        <f ca="1">_xlfn.LET(_xlpm.DATA,TRIM(_xlfn.XLOOKUP($A385,Строчный!$A:$A,Строчный!D:D,"ERR",0)),UPPER(MID(_xlpm.DATA,1,1))&amp;LOWER(MID(_xlpm.DATA,2,LEN(_xlpm.DATA)-1)))</f>
        <v>Кепка восьмиклинка</v>
      </c>
      <c r="E385" s="81" t="str">
        <f ca="1">PROPER(TRIM(_xlfn.XLOOKUP($A385,Строчный!$A:$A,Строчный!E:E,"ERR",0)))</f>
        <v>Fredrikson</v>
      </c>
      <c r="F385" s="81" t="str">
        <f ca="1">LOWER(TRIM(_xlfn.XLOOKUP($A385,Строчный!$A:$A,Строчный!F:F,"ERR",0)))</f>
        <v>всесезон</v>
      </c>
      <c r="G385" s="81" t="str">
        <f ca="1">UPPER(TRIM(_xlfn.XLOOKUP($A385,Строчный!$A:$A,Строчный!G:G,"ERR",0)))</f>
        <v>FREDRIKSON</v>
      </c>
      <c r="H385" s="81" t="str">
        <f ca="1">LOWER(TRIM(_xlfn.XLOOKUP($A385,Строчный!$A:$A,Строчный!H:H,"ERR",0)))</f>
        <v>632/23</v>
      </c>
      <c r="I385" s="81" t="str">
        <f ca="1">LOWER(TRIM(_xlfn.XLOOKUP($A385,Строчный!$A:$A,Строчный!I:I,"ERR",0)))</f>
        <v>синий / темно-серый</v>
      </c>
      <c r="J385" s="81" t="str">
        <f ca="1">SUBSTITUTE(LOWER(TRIM(_xlfn.XLOOKUP($A385,Строчный!$A:$A,Строчный!J:J,"ERR",0))),"подклад","Подклад")</f>
        <v>80% шерсть - 20% полиамид / Подклад: 100% вискоза</v>
      </c>
      <c r="K385" s="81" t="str">
        <f ca="1">LOWER(TRIM(_xlfn.XLOOKUP($A385,Строчный!$A:$A,Строчный!K:K,"ERR",0)))</f>
        <v>шерстяные</v>
      </c>
      <c r="L385" s="81" t="str">
        <f ca="1">PROPER(TRIM(_xlfn.XLOOKUP($A385,Строчный!$A:$A,Строчный!L:L,"ERR",0)))</f>
        <v>Унисекс</v>
      </c>
      <c r="M385" s="113" t="str">
        <f ca="1">PROPER(TRIM(_xlfn.XLOOKUP($A385,Строчный!$A:$A,Строчный!M:M,"ERR",0)))</f>
        <v>Россия</v>
      </c>
      <c r="N385" s="81" t="str">
        <f ca="1">UPPER(TRIM(_xlfn.XLOOKUP($A385,Строчный!$A:$A,Строчный!O:O,"ERR",0)))</f>
        <v/>
      </c>
      <c r="O385" s="102" t="str">
        <f ca="1">PROPER(TRIM(_xlfn.XLOOKUP($A385,Строчный!$A:$A,Строчный!P:P,"ERR",0)))</f>
        <v/>
      </c>
      <c r="P385" s="81" t="str">
        <f ca="1">PROPER(TRIM(_xlfn.XLOOKUP($A385,Строчный!$A:$A,Строчный!R:R,"ERR",0)))</f>
        <v/>
      </c>
      <c r="Q385" s="90">
        <f ca="1">VALUE(_xlfn.XLOOKUP($A385,Строчный!$A:$A,Строчный!N:N,"ERR",0))</f>
        <v>975.8</v>
      </c>
      <c r="R385" s="89" t="str">
        <f ca="1">_xlfn.XLOOKUP($G385,Фабрика!A:A,Фабрика!B:B,"ERR",0)</f>
        <v>ООО "ФРЭДРИКСОН" Россия 192029, С-Петербург, пр. Обуховской обороны, д.86, лит М</v>
      </c>
      <c r="S385" s="80" t="str">
        <f ca="1">_xlfn.XLOOKUP(RIGHT(AA385,2),Размеры!D:D,Размеры!A:A,"ERR",0)</f>
        <v>62</v>
      </c>
      <c r="T385" s="80">
        <f ca="1">VALUE(_xlfn.XLOOKUP($AA385,Строчный!$S:$S,Строчный!U:U,"ERR",0))</f>
        <v>2</v>
      </c>
      <c r="U385" s="14" t="s">
        <v>265</v>
      </c>
      <c r="V385" s="101" t="str">
        <f t="shared" ca="1" si="31"/>
        <v>Кепка FREDRIKSON арт. 3030 (синий / темно-серый)</v>
      </c>
      <c r="W385" s="100" t="str">
        <f t="shared" ca="1" si="32"/>
        <v>Кепка FREDRIKSON арт. 3030 (синий / темно-серый) {632/23}</v>
      </c>
      <c r="X385" s="18" t="str">
        <f t="shared" ca="1" si="33"/>
        <v>серый</v>
      </c>
      <c r="Y385" s="18" t="str">
        <f t="shared" ca="1" si="34"/>
        <v>серый</v>
      </c>
      <c r="Z385" s="117" t="s">
        <v>28</v>
      </c>
      <c r="AA385" s="73" t="str">
        <f ca="1"/>
        <v>95-002-64-62</v>
      </c>
      <c r="AB385" s="75" t="str">
        <f ca="1">VLOOKUP(C385,Группа!A:B,2,FALSE)</f>
        <v>Кепка</v>
      </c>
      <c r="AC385" s="97" t="str">
        <f ca="1">IFERROR(VLOOKUP(S385,Размеры!A:C,3,FALSE),"")</f>
        <v>62 XL/XXL</v>
      </c>
      <c r="AD385" s="97" t="str">
        <f ca="1">VLOOKUP(I385,ЦветПолный!A:B,2,FALSE)</f>
        <v>64</v>
      </c>
      <c r="AE385" s="97" t="str">
        <f ca="1">IFERROR(VLOOKUP(S385,Размеры!A:D,4,FALSE),"")</f>
        <v>62</v>
      </c>
      <c r="AF385" s="97">
        <f ca="1">IF(LEFT(IFERROR(VLOOKUP(LOOKUP(2,1/SEARCH(B385,Товары!A:A),Товары!A:A),Товары!A:B,2,0),""),6)=MID(AA385,1,6),1,0)</f>
        <v>0</v>
      </c>
      <c r="AH385" s="97">
        <f ca="1">SUMIF(Группа!A:A,C385,Группа!C:C)</f>
        <v>1</v>
      </c>
      <c r="AI385" s="97">
        <f ca="1">SUMIF(Группа!B:B,AB385,Группа!C:C)</f>
        <v>1</v>
      </c>
      <c r="AJ385" s="97">
        <f ca="1">SUMIF(Формы!A:A,D385,Формы!B:B)</f>
        <v>1</v>
      </c>
      <c r="AK385" s="97">
        <f ca="1">SUMIF(Материал!A:A,K385,Материал!B:B)</f>
        <v>1</v>
      </c>
      <c r="AL385" s="97">
        <f ca="1">SUMIF(Размеры!A:A,S385,Размеры!E:E)</f>
        <v>1</v>
      </c>
      <c r="AM385" s="97">
        <f ca="1">SUMIF(Сезон!A:A,F385,Сезон!B:B)</f>
        <v>1</v>
      </c>
      <c r="AN385" s="97">
        <f ca="1">SUMIF(Состав!A:A,J385,Состав!B:B)</f>
        <v>0</v>
      </c>
      <c r="AO385" s="97">
        <f ca="1">VLOOKUP(I385,ЦветПолный!A:C,3,0)</f>
        <v>1</v>
      </c>
      <c r="AP385" s="97">
        <f>SUMIF(Цвет!A:A,Z385,Цвет!B:B)</f>
        <v>1</v>
      </c>
      <c r="AQ385" s="97">
        <f ca="1">_xlfn.XLOOKUP(L385,Пол!A:A,Пол!B:B,0,0)</f>
        <v>1</v>
      </c>
      <c r="AR385" s="97">
        <f ca="1">SUMIF(Бренд!A:A,G385,Бренд!B:B)</f>
        <v>1</v>
      </c>
      <c r="AS385" s="97">
        <f ca="1">SUMIF(Страна!A:A,M385,Страна!B:B)</f>
        <v>1</v>
      </c>
      <c r="AT385" s="64" t="e">
        <f ca="1">IF(VLOOKUP(W385,Товары!A:B,2,FALSE)=A385,"Есть в 1С","ERR")</f>
        <v>#N/A</v>
      </c>
      <c r="AU385" s="65" t="e">
        <f ca="1">IF(VLOOKUP(A385,Товары!B:B,1,FALSE)=A385,"Есть в 1С","ERR")</f>
        <v>#N/A</v>
      </c>
      <c r="AV385" s="96" t="e">
        <f ca="1">VLOOKUP(W385,Товары!A:B,2,FALSE)</f>
        <v>#N/A</v>
      </c>
      <c r="AW385" s="94" t="e">
        <f ca="1">VLOOKUP(W385,Товары!A:B,1,FALSE)</f>
        <v>#N/A</v>
      </c>
    </row>
    <row r="386" spans="1:49" x14ac:dyDescent="0.25">
      <c r="A386" s="110" t="str">
        <f t="shared" ca="1" si="30"/>
        <v>95-002-64</v>
      </c>
      <c r="B386" s="107" t="str">
        <f ca="1">_xlfn.LET(_xlpm.CAPS,0,_xlpm.Style,TRIM(_xlfn.XLOOKUP($A386,Строчный!$A:$A,Строчный!B:B,"ERR",0)),IF(_xlpm.CAPS=0,_xlpm.Style,LOWER(_xlpm.Style)))</f>
        <v>3030</v>
      </c>
      <c r="C386" s="81" t="str">
        <f ca="1">TRIM(PROPER(_xlfn.XLOOKUP($A386,Строчный!$A:$A,Строчный!C:C,"ERR",0)))</f>
        <v>Кепки</v>
      </c>
      <c r="D386" s="81" t="str">
        <f ca="1">_xlfn.LET(_xlpm.DATA,TRIM(_xlfn.XLOOKUP($A386,Строчный!$A:$A,Строчный!D:D,"ERR",0)),UPPER(MID(_xlpm.DATA,1,1))&amp;LOWER(MID(_xlpm.DATA,2,LEN(_xlpm.DATA)-1)))</f>
        <v>Кепка восьмиклинка</v>
      </c>
      <c r="E386" s="81" t="str">
        <f ca="1">PROPER(TRIM(_xlfn.XLOOKUP($A386,Строчный!$A:$A,Строчный!E:E,"ERR",0)))</f>
        <v>Fredrikson</v>
      </c>
      <c r="F386" s="81" t="str">
        <f ca="1">LOWER(TRIM(_xlfn.XLOOKUP($A386,Строчный!$A:$A,Строчный!F:F,"ERR",0)))</f>
        <v>всесезон</v>
      </c>
      <c r="G386" s="81" t="str">
        <f ca="1">UPPER(TRIM(_xlfn.XLOOKUP($A386,Строчный!$A:$A,Строчный!G:G,"ERR",0)))</f>
        <v>FREDRIKSON</v>
      </c>
      <c r="H386" s="81" t="str">
        <f ca="1">LOWER(TRIM(_xlfn.XLOOKUP($A386,Строчный!$A:$A,Строчный!H:H,"ERR",0)))</f>
        <v>632/23</v>
      </c>
      <c r="I386" s="81" t="str">
        <f ca="1">LOWER(TRIM(_xlfn.XLOOKUP($A386,Строчный!$A:$A,Строчный!I:I,"ERR",0)))</f>
        <v>синий / темно-серый</v>
      </c>
      <c r="J386" s="81" t="str">
        <f ca="1">SUBSTITUTE(LOWER(TRIM(_xlfn.XLOOKUP($A386,Строчный!$A:$A,Строчный!J:J,"ERR",0))),"подклад","Подклад")</f>
        <v>80% шерсть - 20% полиамид / Подклад: 100% вискоза</v>
      </c>
      <c r="K386" s="81" t="str">
        <f ca="1">LOWER(TRIM(_xlfn.XLOOKUP($A386,Строчный!$A:$A,Строчный!K:K,"ERR",0)))</f>
        <v>шерстяные</v>
      </c>
      <c r="L386" s="81" t="str">
        <f ca="1">PROPER(TRIM(_xlfn.XLOOKUP($A386,Строчный!$A:$A,Строчный!L:L,"ERR",0)))</f>
        <v>Унисекс</v>
      </c>
      <c r="M386" s="113" t="str">
        <f ca="1">PROPER(TRIM(_xlfn.XLOOKUP($A386,Строчный!$A:$A,Строчный!M:M,"ERR",0)))</f>
        <v>Россия</v>
      </c>
      <c r="N386" s="81" t="str">
        <f ca="1">UPPER(TRIM(_xlfn.XLOOKUP($A386,Строчный!$A:$A,Строчный!O:O,"ERR",0)))</f>
        <v/>
      </c>
      <c r="O386" s="102" t="str">
        <f ca="1">PROPER(TRIM(_xlfn.XLOOKUP($A386,Строчный!$A:$A,Строчный!P:P,"ERR",0)))</f>
        <v/>
      </c>
      <c r="P386" s="81" t="str">
        <f ca="1">PROPER(TRIM(_xlfn.XLOOKUP($A386,Строчный!$A:$A,Строчный!R:R,"ERR",0)))</f>
        <v/>
      </c>
      <c r="Q386" s="90">
        <f ca="1">VALUE(_xlfn.XLOOKUP($A386,Строчный!$A:$A,Строчный!N:N,"ERR",0))</f>
        <v>975.8</v>
      </c>
      <c r="R386" s="89" t="str">
        <f ca="1">_xlfn.XLOOKUP($G386,Фабрика!A:A,Фабрика!B:B,"ERR",0)</f>
        <v>ООО "ФРЭДРИКСОН" Россия 192029, С-Петербург, пр. Обуховской обороны, д.86, лит М</v>
      </c>
      <c r="S386" s="80" t="str">
        <f ca="1">_xlfn.XLOOKUP(RIGHT(AA386,2),Размеры!D:D,Размеры!A:A,"ERR",0)</f>
        <v>61</v>
      </c>
      <c r="T386" s="80">
        <f ca="1">VALUE(_xlfn.XLOOKUP($AA386,Строчный!$S:$S,Строчный!U:U,"ERR",0))</f>
        <v>2</v>
      </c>
      <c r="U386" s="14" t="s">
        <v>265</v>
      </c>
      <c r="V386" s="101" t="str">
        <f t="shared" ca="1" si="31"/>
        <v>Кепка FREDRIKSON арт. 3030 (синий / темно-серый)</v>
      </c>
      <c r="W386" s="100" t="str">
        <f t="shared" ca="1" si="32"/>
        <v>Кепка FREDRIKSON арт. 3030 (синий / темно-серый) {632/23}</v>
      </c>
      <c r="X386" s="18" t="str">
        <f t="shared" ca="1" si="33"/>
        <v>серый</v>
      </c>
      <c r="Y386" s="18" t="str">
        <f t="shared" ca="1" si="34"/>
        <v>серый</v>
      </c>
      <c r="Z386" s="117" t="s">
        <v>28</v>
      </c>
      <c r="AA386" s="73" t="str">
        <f ca="1"/>
        <v>95-002-64-61</v>
      </c>
      <c r="AB386" s="75" t="str">
        <f ca="1">VLOOKUP(C386,Группа!A:B,2,FALSE)</f>
        <v>Кепка</v>
      </c>
      <c r="AC386" s="97" t="str">
        <f ca="1">IFERROR(VLOOKUP(S386,Размеры!A:C,3,FALSE),"")</f>
        <v>61 XL</v>
      </c>
      <c r="AD386" s="97" t="str">
        <f ca="1">VLOOKUP(I386,ЦветПолный!A:B,2,FALSE)</f>
        <v>64</v>
      </c>
      <c r="AE386" s="97" t="str">
        <f ca="1">IFERROR(VLOOKUP(S386,Размеры!A:D,4,FALSE),"")</f>
        <v>61</v>
      </c>
      <c r="AF386" s="97">
        <f ca="1">IF(LEFT(IFERROR(VLOOKUP(LOOKUP(2,1/SEARCH(B386,Товары!A:A),Товары!A:A),Товары!A:B,2,0),""),6)=MID(AA386,1,6),1,0)</f>
        <v>0</v>
      </c>
      <c r="AH386" s="97">
        <f ca="1">SUMIF(Группа!A:A,C386,Группа!C:C)</f>
        <v>1</v>
      </c>
      <c r="AI386" s="97">
        <f ca="1">SUMIF(Группа!B:B,AB386,Группа!C:C)</f>
        <v>1</v>
      </c>
      <c r="AJ386" s="97">
        <f ca="1">SUMIF(Формы!A:A,D386,Формы!B:B)</f>
        <v>1</v>
      </c>
      <c r="AK386" s="97">
        <f ca="1">SUMIF(Материал!A:A,K386,Материал!B:B)</f>
        <v>1</v>
      </c>
      <c r="AL386" s="97">
        <f ca="1">SUMIF(Размеры!A:A,S386,Размеры!E:E)</f>
        <v>1</v>
      </c>
      <c r="AM386" s="97">
        <f ca="1">SUMIF(Сезон!A:A,F386,Сезон!B:B)</f>
        <v>1</v>
      </c>
      <c r="AN386" s="97">
        <f ca="1">SUMIF(Состав!A:A,J386,Состав!B:B)</f>
        <v>0</v>
      </c>
      <c r="AO386" s="97">
        <f ca="1">VLOOKUP(I386,ЦветПолный!A:C,3,0)</f>
        <v>1</v>
      </c>
      <c r="AP386" s="97">
        <f>SUMIF(Цвет!A:A,Z386,Цвет!B:B)</f>
        <v>1</v>
      </c>
      <c r="AQ386" s="97">
        <f ca="1">_xlfn.XLOOKUP(L386,Пол!A:A,Пол!B:B,0,0)</f>
        <v>1</v>
      </c>
      <c r="AR386" s="97">
        <f ca="1">SUMIF(Бренд!A:A,G386,Бренд!B:B)</f>
        <v>1</v>
      </c>
      <c r="AS386" s="97">
        <f ca="1">SUMIF(Страна!A:A,M386,Страна!B:B)</f>
        <v>1</v>
      </c>
      <c r="AT386" s="64" t="e">
        <f ca="1">IF(VLOOKUP(W386,Товары!A:B,2,FALSE)=A386,"Есть в 1С","ERR")</f>
        <v>#N/A</v>
      </c>
      <c r="AU386" s="65" t="e">
        <f ca="1">IF(VLOOKUP(A386,Товары!B:B,1,FALSE)=A386,"Есть в 1С","ERR")</f>
        <v>#N/A</v>
      </c>
      <c r="AV386" s="96" t="e">
        <f ca="1">VLOOKUP(W386,Товары!A:B,2,FALSE)</f>
        <v>#N/A</v>
      </c>
      <c r="AW386" s="94" t="e">
        <f ca="1">VLOOKUP(W386,Товары!A:B,1,FALSE)</f>
        <v>#N/A</v>
      </c>
    </row>
    <row r="387" spans="1:49" x14ac:dyDescent="0.25">
      <c r="A387" s="110" t="str">
        <f t="shared" ca="1" si="30"/>
        <v>95-002-64</v>
      </c>
      <c r="B387" s="107" t="str">
        <f ca="1">_xlfn.LET(_xlpm.CAPS,0,_xlpm.Style,TRIM(_xlfn.XLOOKUP($A387,Строчный!$A:$A,Строчный!B:B,"ERR",0)),IF(_xlpm.CAPS=0,_xlpm.Style,LOWER(_xlpm.Style)))</f>
        <v>3030</v>
      </c>
      <c r="C387" s="81" t="str">
        <f ca="1">TRIM(PROPER(_xlfn.XLOOKUP($A387,Строчный!$A:$A,Строчный!C:C,"ERR",0)))</f>
        <v>Кепки</v>
      </c>
      <c r="D387" s="81" t="str">
        <f ca="1">_xlfn.LET(_xlpm.DATA,TRIM(_xlfn.XLOOKUP($A387,Строчный!$A:$A,Строчный!D:D,"ERR",0)),UPPER(MID(_xlpm.DATA,1,1))&amp;LOWER(MID(_xlpm.DATA,2,LEN(_xlpm.DATA)-1)))</f>
        <v>Кепка восьмиклинка</v>
      </c>
      <c r="E387" s="81" t="str">
        <f ca="1">PROPER(TRIM(_xlfn.XLOOKUP($A387,Строчный!$A:$A,Строчный!E:E,"ERR",0)))</f>
        <v>Fredrikson</v>
      </c>
      <c r="F387" s="81" t="str">
        <f ca="1">LOWER(TRIM(_xlfn.XLOOKUP($A387,Строчный!$A:$A,Строчный!F:F,"ERR",0)))</f>
        <v>всесезон</v>
      </c>
      <c r="G387" s="81" t="str">
        <f ca="1">UPPER(TRIM(_xlfn.XLOOKUP($A387,Строчный!$A:$A,Строчный!G:G,"ERR",0)))</f>
        <v>FREDRIKSON</v>
      </c>
      <c r="H387" s="81" t="str">
        <f ca="1">LOWER(TRIM(_xlfn.XLOOKUP($A387,Строчный!$A:$A,Строчный!H:H,"ERR",0)))</f>
        <v>632/23</v>
      </c>
      <c r="I387" s="81" t="str">
        <f ca="1">LOWER(TRIM(_xlfn.XLOOKUP($A387,Строчный!$A:$A,Строчный!I:I,"ERR",0)))</f>
        <v>синий / темно-серый</v>
      </c>
      <c r="J387" s="81" t="str">
        <f ca="1">SUBSTITUTE(LOWER(TRIM(_xlfn.XLOOKUP($A387,Строчный!$A:$A,Строчный!J:J,"ERR",0))),"подклад","Подклад")</f>
        <v>80% шерсть - 20% полиамид / Подклад: 100% вискоза</v>
      </c>
      <c r="K387" s="81" t="str">
        <f ca="1">LOWER(TRIM(_xlfn.XLOOKUP($A387,Строчный!$A:$A,Строчный!K:K,"ERR",0)))</f>
        <v>шерстяные</v>
      </c>
      <c r="L387" s="81" t="str">
        <f ca="1">PROPER(TRIM(_xlfn.XLOOKUP($A387,Строчный!$A:$A,Строчный!L:L,"ERR",0)))</f>
        <v>Унисекс</v>
      </c>
      <c r="M387" s="113" t="str">
        <f ca="1">PROPER(TRIM(_xlfn.XLOOKUP($A387,Строчный!$A:$A,Строчный!M:M,"ERR",0)))</f>
        <v>Россия</v>
      </c>
      <c r="N387" s="81" t="str">
        <f ca="1">UPPER(TRIM(_xlfn.XLOOKUP($A387,Строчный!$A:$A,Строчный!O:O,"ERR",0)))</f>
        <v/>
      </c>
      <c r="O387" s="102" t="str">
        <f ca="1">PROPER(TRIM(_xlfn.XLOOKUP($A387,Строчный!$A:$A,Строчный!P:P,"ERR",0)))</f>
        <v/>
      </c>
      <c r="P387" s="81" t="str">
        <f ca="1">PROPER(TRIM(_xlfn.XLOOKUP($A387,Строчный!$A:$A,Строчный!R:R,"ERR",0)))</f>
        <v/>
      </c>
      <c r="Q387" s="90">
        <f ca="1">VALUE(_xlfn.XLOOKUP($A387,Строчный!$A:$A,Строчный!N:N,"ERR",0))</f>
        <v>975.8</v>
      </c>
      <c r="R387" s="89" t="str">
        <f ca="1">_xlfn.XLOOKUP($G387,Фабрика!A:A,Фабрика!B:B,"ERR",0)</f>
        <v>ООО "ФРЭДРИКСОН" Россия 192029, С-Петербург, пр. Обуховской обороны, д.86, лит М</v>
      </c>
      <c r="S387" s="80" t="str">
        <f ca="1">_xlfn.XLOOKUP(RIGHT(AA387,2),Размеры!D:D,Размеры!A:A,"ERR",0)</f>
        <v>60</v>
      </c>
      <c r="T387" s="80">
        <f ca="1">VALUE(_xlfn.XLOOKUP($AA387,Строчный!$S:$S,Строчный!U:U,"ERR",0))</f>
        <v>2</v>
      </c>
      <c r="U387" s="14" t="s">
        <v>265</v>
      </c>
      <c r="V387" s="101" t="str">
        <f t="shared" ca="1" si="31"/>
        <v>Кепка FREDRIKSON арт. 3030 (синий / темно-серый)</v>
      </c>
      <c r="W387" s="100" t="str">
        <f t="shared" ca="1" si="32"/>
        <v>Кепка FREDRIKSON арт. 3030 (синий / темно-серый) {632/23}</v>
      </c>
      <c r="X387" s="18" t="str">
        <f t="shared" ca="1" si="33"/>
        <v>серый</v>
      </c>
      <c r="Y387" s="18" t="str">
        <f t="shared" ca="1" si="34"/>
        <v>серый</v>
      </c>
      <c r="Z387" s="117" t="s">
        <v>28</v>
      </c>
      <c r="AA387" s="73" t="str">
        <f ca="1"/>
        <v>95-002-64-60</v>
      </c>
      <c r="AB387" s="75" t="str">
        <f ca="1">VLOOKUP(C387,Группа!A:B,2,FALSE)</f>
        <v>Кепка</v>
      </c>
      <c r="AC387" s="97" t="str">
        <f ca="1">IFERROR(VLOOKUP(S387,Размеры!A:C,3,FALSE),"")</f>
        <v>60 L/XL</v>
      </c>
      <c r="AD387" s="97" t="str">
        <f ca="1">VLOOKUP(I387,ЦветПолный!A:B,2,FALSE)</f>
        <v>64</v>
      </c>
      <c r="AE387" s="97" t="str">
        <f ca="1">IFERROR(VLOOKUP(S387,Размеры!A:D,4,FALSE),"")</f>
        <v>60</v>
      </c>
      <c r="AF387" s="97">
        <f ca="1">IF(LEFT(IFERROR(VLOOKUP(LOOKUP(2,1/SEARCH(B387,Товары!A:A),Товары!A:A),Товары!A:B,2,0),""),6)=MID(AA387,1,6),1,0)</f>
        <v>0</v>
      </c>
      <c r="AH387" s="97">
        <f ca="1">SUMIF(Группа!A:A,C387,Группа!C:C)</f>
        <v>1</v>
      </c>
      <c r="AI387" s="97">
        <f ca="1">SUMIF(Группа!B:B,AB387,Группа!C:C)</f>
        <v>1</v>
      </c>
      <c r="AJ387" s="97">
        <f ca="1">SUMIF(Формы!A:A,D387,Формы!B:B)</f>
        <v>1</v>
      </c>
      <c r="AK387" s="97">
        <f ca="1">SUMIF(Материал!A:A,K387,Материал!B:B)</f>
        <v>1</v>
      </c>
      <c r="AL387" s="97">
        <f ca="1">SUMIF(Размеры!A:A,S387,Размеры!E:E)</f>
        <v>1</v>
      </c>
      <c r="AM387" s="97">
        <f ca="1">SUMIF(Сезон!A:A,F387,Сезон!B:B)</f>
        <v>1</v>
      </c>
      <c r="AN387" s="97">
        <f ca="1">SUMIF(Состав!A:A,J387,Состав!B:B)</f>
        <v>0</v>
      </c>
      <c r="AO387" s="97">
        <f ca="1">VLOOKUP(I387,ЦветПолный!A:C,3,0)</f>
        <v>1</v>
      </c>
      <c r="AP387" s="97">
        <f>SUMIF(Цвет!A:A,Z387,Цвет!B:B)</f>
        <v>1</v>
      </c>
      <c r="AQ387" s="97">
        <f ca="1">_xlfn.XLOOKUP(L387,Пол!A:A,Пол!B:B,0,0)</f>
        <v>1</v>
      </c>
      <c r="AR387" s="97">
        <f ca="1">SUMIF(Бренд!A:A,G387,Бренд!B:B)</f>
        <v>1</v>
      </c>
      <c r="AS387" s="97">
        <f ca="1">SUMIF(Страна!A:A,M387,Страна!B:B)</f>
        <v>1</v>
      </c>
      <c r="AT387" s="64" t="e">
        <f ca="1">IF(VLOOKUP(W387,Товары!A:B,2,FALSE)=A387,"Есть в 1С","ERR")</f>
        <v>#N/A</v>
      </c>
      <c r="AU387" s="65" t="e">
        <f ca="1">IF(VLOOKUP(A387,Товары!B:B,1,FALSE)=A387,"Есть в 1С","ERR")</f>
        <v>#N/A</v>
      </c>
      <c r="AV387" s="96" t="e">
        <f ca="1">VLOOKUP(W387,Товары!A:B,2,FALSE)</f>
        <v>#N/A</v>
      </c>
      <c r="AW387" s="94" t="e">
        <f ca="1">VLOOKUP(W387,Товары!A:B,1,FALSE)</f>
        <v>#N/A</v>
      </c>
    </row>
    <row r="388" spans="1:49" x14ac:dyDescent="0.25">
      <c r="A388" s="110" t="str">
        <f t="shared" ca="1" si="30"/>
        <v>95-002-64</v>
      </c>
      <c r="B388" s="107" t="str">
        <f ca="1">_xlfn.LET(_xlpm.CAPS,0,_xlpm.Style,TRIM(_xlfn.XLOOKUP($A388,Строчный!$A:$A,Строчный!B:B,"ERR",0)),IF(_xlpm.CAPS=0,_xlpm.Style,LOWER(_xlpm.Style)))</f>
        <v>3030</v>
      </c>
      <c r="C388" s="81" t="str">
        <f ca="1">TRIM(PROPER(_xlfn.XLOOKUP($A388,Строчный!$A:$A,Строчный!C:C,"ERR",0)))</f>
        <v>Кепки</v>
      </c>
      <c r="D388" s="81" t="str">
        <f ca="1">_xlfn.LET(_xlpm.DATA,TRIM(_xlfn.XLOOKUP($A388,Строчный!$A:$A,Строчный!D:D,"ERR",0)),UPPER(MID(_xlpm.DATA,1,1))&amp;LOWER(MID(_xlpm.DATA,2,LEN(_xlpm.DATA)-1)))</f>
        <v>Кепка восьмиклинка</v>
      </c>
      <c r="E388" s="81" t="str">
        <f ca="1">PROPER(TRIM(_xlfn.XLOOKUP($A388,Строчный!$A:$A,Строчный!E:E,"ERR",0)))</f>
        <v>Fredrikson</v>
      </c>
      <c r="F388" s="81" t="str">
        <f ca="1">LOWER(TRIM(_xlfn.XLOOKUP($A388,Строчный!$A:$A,Строчный!F:F,"ERR",0)))</f>
        <v>всесезон</v>
      </c>
      <c r="G388" s="81" t="str">
        <f ca="1">UPPER(TRIM(_xlfn.XLOOKUP($A388,Строчный!$A:$A,Строчный!G:G,"ERR",0)))</f>
        <v>FREDRIKSON</v>
      </c>
      <c r="H388" s="81" t="str">
        <f ca="1">LOWER(TRIM(_xlfn.XLOOKUP($A388,Строчный!$A:$A,Строчный!H:H,"ERR",0)))</f>
        <v>632/23</v>
      </c>
      <c r="I388" s="81" t="str">
        <f ca="1">LOWER(TRIM(_xlfn.XLOOKUP($A388,Строчный!$A:$A,Строчный!I:I,"ERR",0)))</f>
        <v>синий / темно-серый</v>
      </c>
      <c r="J388" s="81" t="str">
        <f ca="1">SUBSTITUTE(LOWER(TRIM(_xlfn.XLOOKUP($A388,Строчный!$A:$A,Строчный!J:J,"ERR",0))),"подклад","Подклад")</f>
        <v>80% шерсть - 20% полиамид / Подклад: 100% вискоза</v>
      </c>
      <c r="K388" s="81" t="str">
        <f ca="1">LOWER(TRIM(_xlfn.XLOOKUP($A388,Строчный!$A:$A,Строчный!K:K,"ERR",0)))</f>
        <v>шерстяные</v>
      </c>
      <c r="L388" s="81" t="str">
        <f ca="1">PROPER(TRIM(_xlfn.XLOOKUP($A388,Строчный!$A:$A,Строчный!L:L,"ERR",0)))</f>
        <v>Унисекс</v>
      </c>
      <c r="M388" s="113" t="str">
        <f ca="1">PROPER(TRIM(_xlfn.XLOOKUP($A388,Строчный!$A:$A,Строчный!M:M,"ERR",0)))</f>
        <v>Россия</v>
      </c>
      <c r="N388" s="81" t="str">
        <f ca="1">UPPER(TRIM(_xlfn.XLOOKUP($A388,Строчный!$A:$A,Строчный!O:O,"ERR",0)))</f>
        <v/>
      </c>
      <c r="O388" s="102" t="str">
        <f ca="1">PROPER(TRIM(_xlfn.XLOOKUP($A388,Строчный!$A:$A,Строчный!P:P,"ERR",0)))</f>
        <v/>
      </c>
      <c r="P388" s="81" t="str">
        <f ca="1">PROPER(TRIM(_xlfn.XLOOKUP($A388,Строчный!$A:$A,Строчный!R:R,"ERR",0)))</f>
        <v/>
      </c>
      <c r="Q388" s="90">
        <f ca="1">VALUE(_xlfn.XLOOKUP($A388,Строчный!$A:$A,Строчный!N:N,"ERR",0))</f>
        <v>975.8</v>
      </c>
      <c r="R388" s="89" t="str">
        <f ca="1">_xlfn.XLOOKUP($G388,Фабрика!A:A,Фабрика!B:B,"ERR",0)</f>
        <v>ООО "ФРЭДРИКСОН" Россия 192029, С-Петербург, пр. Обуховской обороны, д.86, лит М</v>
      </c>
      <c r="S388" s="80" t="str">
        <f ca="1">_xlfn.XLOOKUP(RIGHT(AA388,2),Размеры!D:D,Размеры!A:A,"ERR",0)</f>
        <v>59</v>
      </c>
      <c r="T388" s="80">
        <f ca="1">VALUE(_xlfn.XLOOKUP($AA388,Строчный!$S:$S,Строчный!U:U,"ERR",0))</f>
        <v>2</v>
      </c>
      <c r="U388" s="14" t="s">
        <v>265</v>
      </c>
      <c r="V388" s="101" t="str">
        <f t="shared" ca="1" si="31"/>
        <v>Кепка FREDRIKSON арт. 3030 (синий / темно-серый)</v>
      </c>
      <c r="W388" s="100" t="str">
        <f t="shared" ca="1" si="32"/>
        <v>Кепка FREDRIKSON арт. 3030 (синий / темно-серый) {632/23}</v>
      </c>
      <c r="X388" s="18" t="str">
        <f t="shared" ca="1" si="33"/>
        <v>серый</v>
      </c>
      <c r="Y388" s="18" t="str">
        <f t="shared" ca="1" si="34"/>
        <v>серый</v>
      </c>
      <c r="Z388" s="117" t="s">
        <v>28</v>
      </c>
      <c r="AA388" s="73" t="str">
        <f ca="1"/>
        <v>95-002-64-59</v>
      </c>
      <c r="AB388" s="75" t="str">
        <f ca="1">VLOOKUP(C388,Группа!A:B,2,FALSE)</f>
        <v>Кепка</v>
      </c>
      <c r="AC388" s="97" t="str">
        <f ca="1">IFERROR(VLOOKUP(S388,Размеры!A:C,3,FALSE),"")</f>
        <v>59 L</v>
      </c>
      <c r="AD388" s="97" t="str">
        <f ca="1">VLOOKUP(I388,ЦветПолный!A:B,2,FALSE)</f>
        <v>64</v>
      </c>
      <c r="AE388" s="97" t="str">
        <f ca="1">IFERROR(VLOOKUP(S388,Размеры!A:D,4,FALSE),"")</f>
        <v>59</v>
      </c>
      <c r="AF388" s="97">
        <f ca="1">IF(LEFT(IFERROR(VLOOKUP(LOOKUP(2,1/SEARCH(B388,Товары!A:A),Товары!A:A),Товары!A:B,2,0),""),6)=MID(AA388,1,6),1,0)</f>
        <v>0</v>
      </c>
      <c r="AH388" s="97">
        <f ca="1">SUMIF(Группа!A:A,C388,Группа!C:C)</f>
        <v>1</v>
      </c>
      <c r="AI388" s="97">
        <f ca="1">SUMIF(Группа!B:B,AB388,Группа!C:C)</f>
        <v>1</v>
      </c>
      <c r="AJ388" s="97">
        <f ca="1">SUMIF(Формы!A:A,D388,Формы!B:B)</f>
        <v>1</v>
      </c>
      <c r="AK388" s="97">
        <f ca="1">SUMIF(Материал!A:A,K388,Материал!B:B)</f>
        <v>1</v>
      </c>
      <c r="AL388" s="97">
        <f ca="1">SUMIF(Размеры!A:A,S388,Размеры!E:E)</f>
        <v>1</v>
      </c>
      <c r="AM388" s="97">
        <f ca="1">SUMIF(Сезон!A:A,F388,Сезон!B:B)</f>
        <v>1</v>
      </c>
      <c r="AN388" s="97">
        <f ca="1">SUMIF(Состав!A:A,J388,Состав!B:B)</f>
        <v>0</v>
      </c>
      <c r="AO388" s="97">
        <f ca="1">VLOOKUP(I388,ЦветПолный!A:C,3,0)</f>
        <v>1</v>
      </c>
      <c r="AP388" s="97">
        <f>SUMIF(Цвет!A:A,Z388,Цвет!B:B)</f>
        <v>1</v>
      </c>
      <c r="AQ388" s="97">
        <f ca="1">_xlfn.XLOOKUP(L388,Пол!A:A,Пол!B:B,0,0)</f>
        <v>1</v>
      </c>
      <c r="AR388" s="97">
        <f ca="1">SUMIF(Бренд!A:A,G388,Бренд!B:B)</f>
        <v>1</v>
      </c>
      <c r="AS388" s="97">
        <f ca="1">SUMIF(Страна!A:A,M388,Страна!B:B)</f>
        <v>1</v>
      </c>
      <c r="AT388" s="64" t="e">
        <f ca="1">IF(VLOOKUP(W388,Товары!A:B,2,FALSE)=A388,"Есть в 1С","ERR")</f>
        <v>#N/A</v>
      </c>
      <c r="AU388" s="65" t="e">
        <f ca="1">IF(VLOOKUP(A388,Товары!B:B,1,FALSE)=A388,"Есть в 1С","ERR")</f>
        <v>#N/A</v>
      </c>
      <c r="AV388" s="96" t="e">
        <f ca="1">VLOOKUP(W388,Товары!A:B,2,FALSE)</f>
        <v>#N/A</v>
      </c>
      <c r="AW388" s="94" t="e">
        <f ca="1">VLOOKUP(W388,Товары!A:B,1,FALSE)</f>
        <v>#N/A</v>
      </c>
    </row>
    <row r="389" spans="1:49" x14ac:dyDescent="0.25">
      <c r="A389" s="110" t="str">
        <f t="shared" ca="1" si="30"/>
        <v>95-002-64</v>
      </c>
      <c r="B389" s="107" t="str">
        <f ca="1">_xlfn.LET(_xlpm.CAPS,0,_xlpm.Style,TRIM(_xlfn.XLOOKUP($A389,Строчный!$A:$A,Строчный!B:B,"ERR",0)),IF(_xlpm.CAPS=0,_xlpm.Style,LOWER(_xlpm.Style)))</f>
        <v>3030</v>
      </c>
      <c r="C389" s="81" t="str">
        <f ca="1">TRIM(PROPER(_xlfn.XLOOKUP($A389,Строчный!$A:$A,Строчный!C:C,"ERR",0)))</f>
        <v>Кепки</v>
      </c>
      <c r="D389" s="81" t="str">
        <f ca="1">_xlfn.LET(_xlpm.DATA,TRIM(_xlfn.XLOOKUP($A389,Строчный!$A:$A,Строчный!D:D,"ERR",0)),UPPER(MID(_xlpm.DATA,1,1))&amp;LOWER(MID(_xlpm.DATA,2,LEN(_xlpm.DATA)-1)))</f>
        <v>Кепка восьмиклинка</v>
      </c>
      <c r="E389" s="81" t="str">
        <f ca="1">PROPER(TRIM(_xlfn.XLOOKUP($A389,Строчный!$A:$A,Строчный!E:E,"ERR",0)))</f>
        <v>Fredrikson</v>
      </c>
      <c r="F389" s="81" t="str">
        <f ca="1">LOWER(TRIM(_xlfn.XLOOKUP($A389,Строчный!$A:$A,Строчный!F:F,"ERR",0)))</f>
        <v>всесезон</v>
      </c>
      <c r="G389" s="81" t="str">
        <f ca="1">UPPER(TRIM(_xlfn.XLOOKUP($A389,Строчный!$A:$A,Строчный!G:G,"ERR",0)))</f>
        <v>FREDRIKSON</v>
      </c>
      <c r="H389" s="81" t="str">
        <f ca="1">LOWER(TRIM(_xlfn.XLOOKUP($A389,Строчный!$A:$A,Строчный!H:H,"ERR",0)))</f>
        <v>632/23</v>
      </c>
      <c r="I389" s="81" t="str">
        <f ca="1">LOWER(TRIM(_xlfn.XLOOKUP($A389,Строчный!$A:$A,Строчный!I:I,"ERR",0)))</f>
        <v>синий / темно-серый</v>
      </c>
      <c r="J389" s="81" t="str">
        <f ca="1">SUBSTITUTE(LOWER(TRIM(_xlfn.XLOOKUP($A389,Строчный!$A:$A,Строчный!J:J,"ERR",0))),"подклад","Подклад")</f>
        <v>80% шерсть - 20% полиамид / Подклад: 100% вискоза</v>
      </c>
      <c r="K389" s="81" t="str">
        <f ca="1">LOWER(TRIM(_xlfn.XLOOKUP($A389,Строчный!$A:$A,Строчный!K:K,"ERR",0)))</f>
        <v>шерстяные</v>
      </c>
      <c r="L389" s="81" t="str">
        <f ca="1">PROPER(TRIM(_xlfn.XLOOKUP($A389,Строчный!$A:$A,Строчный!L:L,"ERR",0)))</f>
        <v>Унисекс</v>
      </c>
      <c r="M389" s="113" t="str">
        <f ca="1">PROPER(TRIM(_xlfn.XLOOKUP($A389,Строчный!$A:$A,Строчный!M:M,"ERR",0)))</f>
        <v>Россия</v>
      </c>
      <c r="N389" s="81" t="str">
        <f ca="1">UPPER(TRIM(_xlfn.XLOOKUP($A389,Строчный!$A:$A,Строчный!O:O,"ERR",0)))</f>
        <v/>
      </c>
      <c r="O389" s="102" t="str">
        <f ca="1">PROPER(TRIM(_xlfn.XLOOKUP($A389,Строчный!$A:$A,Строчный!P:P,"ERR",0)))</f>
        <v/>
      </c>
      <c r="P389" s="81" t="str">
        <f ca="1">PROPER(TRIM(_xlfn.XLOOKUP($A389,Строчный!$A:$A,Строчный!R:R,"ERR",0)))</f>
        <v/>
      </c>
      <c r="Q389" s="90">
        <f ca="1">VALUE(_xlfn.XLOOKUP($A389,Строчный!$A:$A,Строчный!N:N,"ERR",0))</f>
        <v>975.8</v>
      </c>
      <c r="R389" s="89" t="str">
        <f ca="1">_xlfn.XLOOKUP($G389,Фабрика!A:A,Фабрика!B:B,"ERR",0)</f>
        <v>ООО "ФРЭДРИКСОН" Россия 192029, С-Петербург, пр. Обуховской обороны, д.86, лит М</v>
      </c>
      <c r="S389" s="80" t="str">
        <f ca="1">_xlfn.XLOOKUP(RIGHT(AA389,2),Размеры!D:D,Размеры!A:A,"ERR",0)</f>
        <v>58</v>
      </c>
      <c r="T389" s="80">
        <f ca="1">VALUE(_xlfn.XLOOKUP($AA389,Строчный!$S:$S,Строчный!U:U,"ERR",0))</f>
        <v>2</v>
      </c>
      <c r="U389" s="14" t="s">
        <v>265</v>
      </c>
      <c r="V389" s="101" t="str">
        <f t="shared" ca="1" si="31"/>
        <v>Кепка FREDRIKSON арт. 3030 (синий / темно-серый)</v>
      </c>
      <c r="W389" s="100" t="str">
        <f t="shared" ca="1" si="32"/>
        <v>Кепка FREDRIKSON арт. 3030 (синий / темно-серый) {632/23}</v>
      </c>
      <c r="X389" s="18" t="str">
        <f t="shared" ca="1" si="33"/>
        <v>серый</v>
      </c>
      <c r="Y389" s="18" t="str">
        <f t="shared" ca="1" si="34"/>
        <v>серый</v>
      </c>
      <c r="Z389" s="117" t="s">
        <v>28</v>
      </c>
      <c r="AA389" s="73" t="str">
        <f ca="1"/>
        <v>95-002-64-58</v>
      </c>
      <c r="AB389" s="75" t="str">
        <f ca="1">VLOOKUP(C389,Группа!A:B,2,FALSE)</f>
        <v>Кепка</v>
      </c>
      <c r="AC389" s="97" t="str">
        <f ca="1">IFERROR(VLOOKUP(S389,Размеры!A:C,3,FALSE),"")</f>
        <v>58 M/L</v>
      </c>
      <c r="AD389" s="97" t="str">
        <f ca="1">VLOOKUP(I389,ЦветПолный!A:B,2,FALSE)</f>
        <v>64</v>
      </c>
      <c r="AE389" s="97" t="str">
        <f ca="1">IFERROR(VLOOKUP(S389,Размеры!A:D,4,FALSE),"")</f>
        <v>58</v>
      </c>
      <c r="AF389" s="97">
        <f ca="1">IF(LEFT(IFERROR(VLOOKUP(LOOKUP(2,1/SEARCH(B389,Товары!A:A),Товары!A:A),Товары!A:B,2,0),""),6)=MID(AA389,1,6),1,0)</f>
        <v>0</v>
      </c>
      <c r="AH389" s="97">
        <f ca="1">SUMIF(Группа!A:A,C389,Группа!C:C)</f>
        <v>1</v>
      </c>
      <c r="AI389" s="97">
        <f ca="1">SUMIF(Группа!B:B,AB389,Группа!C:C)</f>
        <v>1</v>
      </c>
      <c r="AJ389" s="97">
        <f ca="1">SUMIF(Формы!A:A,D389,Формы!B:B)</f>
        <v>1</v>
      </c>
      <c r="AK389" s="97">
        <f ca="1">SUMIF(Материал!A:A,K389,Материал!B:B)</f>
        <v>1</v>
      </c>
      <c r="AL389" s="97">
        <f ca="1">SUMIF(Размеры!A:A,S389,Размеры!E:E)</f>
        <v>1</v>
      </c>
      <c r="AM389" s="97">
        <f ca="1">SUMIF(Сезон!A:A,F389,Сезон!B:B)</f>
        <v>1</v>
      </c>
      <c r="AN389" s="97">
        <f ca="1">SUMIF(Состав!A:A,J389,Состав!B:B)</f>
        <v>0</v>
      </c>
      <c r="AO389" s="97">
        <f ca="1">VLOOKUP(I389,ЦветПолный!A:C,3,0)</f>
        <v>1</v>
      </c>
      <c r="AP389" s="97">
        <f>SUMIF(Цвет!A:A,Z389,Цвет!B:B)</f>
        <v>1</v>
      </c>
      <c r="AQ389" s="97">
        <f ca="1">_xlfn.XLOOKUP(L389,Пол!A:A,Пол!B:B,0,0)</f>
        <v>1</v>
      </c>
      <c r="AR389" s="97">
        <f ca="1">SUMIF(Бренд!A:A,G389,Бренд!B:B)</f>
        <v>1</v>
      </c>
      <c r="AS389" s="97">
        <f ca="1">SUMIF(Страна!A:A,M389,Страна!B:B)</f>
        <v>1</v>
      </c>
      <c r="AT389" s="64" t="e">
        <f ca="1">IF(VLOOKUP(W389,Товары!A:B,2,FALSE)=A389,"Есть в 1С","ERR")</f>
        <v>#N/A</v>
      </c>
      <c r="AU389" s="65" t="e">
        <f ca="1">IF(VLOOKUP(A389,Товары!B:B,1,FALSE)=A389,"Есть в 1С","ERR")</f>
        <v>#N/A</v>
      </c>
      <c r="AV389" s="96" t="e">
        <f ca="1">VLOOKUP(W389,Товары!A:B,2,FALSE)</f>
        <v>#N/A</v>
      </c>
      <c r="AW389" s="94" t="e">
        <f ca="1">VLOOKUP(W389,Товары!A:B,1,FALSE)</f>
        <v>#N/A</v>
      </c>
    </row>
    <row r="390" spans="1:49" x14ac:dyDescent="0.25">
      <c r="A390" s="110" t="str">
        <f t="shared" ca="1" si="30"/>
        <v>95-002-64</v>
      </c>
      <c r="B390" s="107" t="str">
        <f ca="1">_xlfn.LET(_xlpm.CAPS,0,_xlpm.Style,TRIM(_xlfn.XLOOKUP($A390,Строчный!$A:$A,Строчный!B:B,"ERR",0)),IF(_xlpm.CAPS=0,_xlpm.Style,LOWER(_xlpm.Style)))</f>
        <v>3030</v>
      </c>
      <c r="C390" s="81" t="str">
        <f ca="1">TRIM(PROPER(_xlfn.XLOOKUP($A390,Строчный!$A:$A,Строчный!C:C,"ERR",0)))</f>
        <v>Кепки</v>
      </c>
      <c r="D390" s="81" t="str">
        <f ca="1">_xlfn.LET(_xlpm.DATA,TRIM(_xlfn.XLOOKUP($A390,Строчный!$A:$A,Строчный!D:D,"ERR",0)),UPPER(MID(_xlpm.DATA,1,1))&amp;LOWER(MID(_xlpm.DATA,2,LEN(_xlpm.DATA)-1)))</f>
        <v>Кепка восьмиклинка</v>
      </c>
      <c r="E390" s="81" t="str">
        <f ca="1">PROPER(TRIM(_xlfn.XLOOKUP($A390,Строчный!$A:$A,Строчный!E:E,"ERR",0)))</f>
        <v>Fredrikson</v>
      </c>
      <c r="F390" s="81" t="str">
        <f ca="1">LOWER(TRIM(_xlfn.XLOOKUP($A390,Строчный!$A:$A,Строчный!F:F,"ERR",0)))</f>
        <v>всесезон</v>
      </c>
      <c r="G390" s="81" t="str">
        <f ca="1">UPPER(TRIM(_xlfn.XLOOKUP($A390,Строчный!$A:$A,Строчный!G:G,"ERR",0)))</f>
        <v>FREDRIKSON</v>
      </c>
      <c r="H390" s="81" t="str">
        <f ca="1">LOWER(TRIM(_xlfn.XLOOKUP($A390,Строчный!$A:$A,Строчный!H:H,"ERR",0)))</f>
        <v>632/23</v>
      </c>
      <c r="I390" s="81" t="str">
        <f ca="1">LOWER(TRIM(_xlfn.XLOOKUP($A390,Строчный!$A:$A,Строчный!I:I,"ERR",0)))</f>
        <v>синий / темно-серый</v>
      </c>
      <c r="J390" s="81" t="str">
        <f ca="1">SUBSTITUTE(LOWER(TRIM(_xlfn.XLOOKUP($A390,Строчный!$A:$A,Строчный!J:J,"ERR",0))),"подклад","Подклад")</f>
        <v>80% шерсть - 20% полиамид / Подклад: 100% вискоза</v>
      </c>
      <c r="K390" s="81" t="str">
        <f ca="1">LOWER(TRIM(_xlfn.XLOOKUP($A390,Строчный!$A:$A,Строчный!K:K,"ERR",0)))</f>
        <v>шерстяные</v>
      </c>
      <c r="L390" s="81" t="str">
        <f ca="1">PROPER(TRIM(_xlfn.XLOOKUP($A390,Строчный!$A:$A,Строчный!L:L,"ERR",0)))</f>
        <v>Унисекс</v>
      </c>
      <c r="M390" s="113" t="str">
        <f ca="1">PROPER(TRIM(_xlfn.XLOOKUP($A390,Строчный!$A:$A,Строчный!M:M,"ERR",0)))</f>
        <v>Россия</v>
      </c>
      <c r="N390" s="81" t="str">
        <f ca="1">UPPER(TRIM(_xlfn.XLOOKUP($A390,Строчный!$A:$A,Строчный!O:O,"ERR",0)))</f>
        <v/>
      </c>
      <c r="O390" s="102" t="str">
        <f ca="1">PROPER(TRIM(_xlfn.XLOOKUP($A390,Строчный!$A:$A,Строчный!P:P,"ERR",0)))</f>
        <v/>
      </c>
      <c r="P390" s="81" t="str">
        <f ca="1">PROPER(TRIM(_xlfn.XLOOKUP($A390,Строчный!$A:$A,Строчный!R:R,"ERR",0)))</f>
        <v/>
      </c>
      <c r="Q390" s="90">
        <f ca="1">VALUE(_xlfn.XLOOKUP($A390,Строчный!$A:$A,Строчный!N:N,"ERR",0))</f>
        <v>975.8</v>
      </c>
      <c r="R390" s="89" t="str">
        <f ca="1">_xlfn.XLOOKUP($G390,Фабрика!A:A,Фабрика!B:B,"ERR",0)</f>
        <v>ООО "ФРЭДРИКСОН" Россия 192029, С-Петербург, пр. Обуховской обороны, д.86, лит М</v>
      </c>
      <c r="S390" s="80" t="str">
        <f ca="1">_xlfn.XLOOKUP(RIGHT(AA390,2),Размеры!D:D,Размеры!A:A,"ERR",0)</f>
        <v>57</v>
      </c>
      <c r="T390" s="80">
        <f ca="1">VALUE(_xlfn.XLOOKUP($AA390,Строчный!$S:$S,Строчный!U:U,"ERR",0))</f>
        <v>2</v>
      </c>
      <c r="U390" s="14" t="s">
        <v>265</v>
      </c>
      <c r="V390" s="101" t="str">
        <f t="shared" ca="1" si="31"/>
        <v>Кепка FREDRIKSON арт. 3030 (синий / темно-серый)</v>
      </c>
      <c r="W390" s="100" t="str">
        <f t="shared" ca="1" si="32"/>
        <v>Кепка FREDRIKSON арт. 3030 (синий / темно-серый) {632/23}</v>
      </c>
      <c r="X390" s="18" t="str">
        <f t="shared" ca="1" si="33"/>
        <v>серый</v>
      </c>
      <c r="Y390" s="18" t="str">
        <f t="shared" ca="1" si="34"/>
        <v>серый</v>
      </c>
      <c r="Z390" s="117" t="s">
        <v>28</v>
      </c>
      <c r="AA390" s="73" t="str">
        <f ca="1"/>
        <v>95-002-64-57</v>
      </c>
      <c r="AB390" s="75" t="str">
        <f ca="1">VLOOKUP(C390,Группа!A:B,2,FALSE)</f>
        <v>Кепка</v>
      </c>
      <c r="AC390" s="97" t="str">
        <f ca="1">IFERROR(VLOOKUP(S390,Размеры!A:C,3,FALSE),"")</f>
        <v>57 M</v>
      </c>
      <c r="AD390" s="97" t="str">
        <f ca="1">VLOOKUP(I390,ЦветПолный!A:B,2,FALSE)</f>
        <v>64</v>
      </c>
      <c r="AE390" s="97" t="str">
        <f ca="1">IFERROR(VLOOKUP(S390,Размеры!A:D,4,FALSE),"")</f>
        <v>57</v>
      </c>
      <c r="AF390" s="97">
        <f ca="1">IF(LEFT(IFERROR(VLOOKUP(LOOKUP(2,1/SEARCH(B390,Товары!A:A),Товары!A:A),Товары!A:B,2,0),""),6)=MID(AA390,1,6),1,0)</f>
        <v>0</v>
      </c>
      <c r="AH390" s="97">
        <f ca="1">SUMIF(Группа!A:A,C390,Группа!C:C)</f>
        <v>1</v>
      </c>
      <c r="AI390" s="97">
        <f ca="1">SUMIF(Группа!B:B,AB390,Группа!C:C)</f>
        <v>1</v>
      </c>
      <c r="AJ390" s="97">
        <f ca="1">SUMIF(Формы!A:A,D390,Формы!B:B)</f>
        <v>1</v>
      </c>
      <c r="AK390" s="97">
        <f ca="1">SUMIF(Материал!A:A,K390,Материал!B:B)</f>
        <v>1</v>
      </c>
      <c r="AL390" s="97">
        <f ca="1">SUMIF(Размеры!A:A,S390,Размеры!E:E)</f>
        <v>1</v>
      </c>
      <c r="AM390" s="97">
        <f ca="1">SUMIF(Сезон!A:A,F390,Сезон!B:B)</f>
        <v>1</v>
      </c>
      <c r="AN390" s="97">
        <f ca="1">SUMIF(Состав!A:A,J390,Состав!B:B)</f>
        <v>0</v>
      </c>
      <c r="AO390" s="97">
        <f ca="1">VLOOKUP(I390,ЦветПолный!A:C,3,0)</f>
        <v>1</v>
      </c>
      <c r="AP390" s="97">
        <f>SUMIF(Цвет!A:A,Z390,Цвет!B:B)</f>
        <v>1</v>
      </c>
      <c r="AQ390" s="97">
        <f ca="1">_xlfn.XLOOKUP(L390,Пол!A:A,Пол!B:B,0,0)</f>
        <v>1</v>
      </c>
      <c r="AR390" s="97">
        <f ca="1">SUMIF(Бренд!A:A,G390,Бренд!B:B)</f>
        <v>1</v>
      </c>
      <c r="AS390" s="97">
        <f ca="1">SUMIF(Страна!A:A,M390,Страна!B:B)</f>
        <v>1</v>
      </c>
      <c r="AT390" s="64" t="e">
        <f ca="1">IF(VLOOKUP(W390,Товары!A:B,2,FALSE)=A390,"Есть в 1С","ERR")</f>
        <v>#N/A</v>
      </c>
      <c r="AU390" s="65" t="e">
        <f ca="1">IF(VLOOKUP(A390,Товары!B:B,1,FALSE)=A390,"Есть в 1С","ERR")</f>
        <v>#N/A</v>
      </c>
      <c r="AV390" s="96" t="e">
        <f ca="1">VLOOKUP(W390,Товары!A:B,2,FALSE)</f>
        <v>#N/A</v>
      </c>
      <c r="AW390" s="94" t="e">
        <f ca="1">VLOOKUP(W390,Товары!A:B,1,FALSE)</f>
        <v>#N/A</v>
      </c>
    </row>
    <row r="391" spans="1:49" x14ac:dyDescent="0.25">
      <c r="A391" s="110" t="str">
        <f t="shared" ca="1" si="30"/>
        <v>95-002-47</v>
      </c>
      <c r="B391" s="107" t="str">
        <f ca="1">_xlfn.LET(_xlpm.CAPS,0,_xlpm.Style,TRIM(_xlfn.XLOOKUP($A391,Строчный!$A:$A,Строчный!B:B,"ERR",0)),IF(_xlpm.CAPS=0,_xlpm.Style,LOWER(_xlpm.Style)))</f>
        <v>3030</v>
      </c>
      <c r="C391" s="81" t="str">
        <f ca="1">TRIM(PROPER(_xlfn.XLOOKUP($A391,Строчный!$A:$A,Строчный!C:C,"ERR",0)))</f>
        <v>Кепки</v>
      </c>
      <c r="D391" s="81" t="str">
        <f ca="1">_xlfn.LET(_xlpm.DATA,TRIM(_xlfn.XLOOKUP($A391,Строчный!$A:$A,Строчный!D:D,"ERR",0)),UPPER(MID(_xlpm.DATA,1,1))&amp;LOWER(MID(_xlpm.DATA,2,LEN(_xlpm.DATA)-1)))</f>
        <v>Кепка восьмиклинка</v>
      </c>
      <c r="E391" s="81" t="str">
        <f ca="1">PROPER(TRIM(_xlfn.XLOOKUP($A391,Строчный!$A:$A,Строчный!E:E,"ERR",0)))</f>
        <v>Fredrikson</v>
      </c>
      <c r="F391" s="81" t="str">
        <f ca="1">LOWER(TRIM(_xlfn.XLOOKUP($A391,Строчный!$A:$A,Строчный!F:F,"ERR",0)))</f>
        <v>всесезон</v>
      </c>
      <c r="G391" s="81" t="str">
        <f ca="1">UPPER(TRIM(_xlfn.XLOOKUP($A391,Строчный!$A:$A,Строчный!G:G,"ERR",0)))</f>
        <v>FREDRIKSON</v>
      </c>
      <c r="H391" s="81" t="str">
        <f ca="1">LOWER(TRIM(_xlfn.XLOOKUP($A391,Строчный!$A:$A,Строчный!H:H,"ERR",0)))</f>
        <v>641/76</v>
      </c>
      <c r="I391" s="81" t="str">
        <f ca="1">LOWER(TRIM(_xlfn.XLOOKUP($A391,Строчный!$A:$A,Строчный!I:I,"ERR",0)))</f>
        <v>серый / черный</v>
      </c>
      <c r="J391" s="81" t="str">
        <f ca="1">SUBSTITUTE(LOWER(TRIM(_xlfn.XLOOKUP($A391,Строчный!$A:$A,Строчный!J:J,"ERR",0))),"подклад","Подклад")</f>
        <v>80% шерсть - 20% полиамид / Подклад: 100% вискоза</v>
      </c>
      <c r="K391" s="81" t="str">
        <f ca="1">LOWER(TRIM(_xlfn.XLOOKUP($A391,Строчный!$A:$A,Строчный!K:K,"ERR",0)))</f>
        <v>шерстяные</v>
      </c>
      <c r="L391" s="81" t="str">
        <f ca="1">PROPER(TRIM(_xlfn.XLOOKUP($A391,Строчный!$A:$A,Строчный!L:L,"ERR",0)))</f>
        <v>Унисекс</v>
      </c>
      <c r="M391" s="113" t="str">
        <f ca="1">PROPER(TRIM(_xlfn.XLOOKUP($A391,Строчный!$A:$A,Строчный!M:M,"ERR",0)))</f>
        <v>Россия</v>
      </c>
      <c r="N391" s="81" t="str">
        <f ca="1">UPPER(TRIM(_xlfn.XLOOKUP($A391,Строчный!$A:$A,Строчный!O:O,"ERR",0)))</f>
        <v/>
      </c>
      <c r="O391" s="102" t="str">
        <f ca="1">PROPER(TRIM(_xlfn.XLOOKUP($A391,Строчный!$A:$A,Строчный!P:P,"ERR",0)))</f>
        <v/>
      </c>
      <c r="P391" s="81" t="str">
        <f ca="1">PROPER(TRIM(_xlfn.XLOOKUP($A391,Строчный!$A:$A,Строчный!R:R,"ERR",0)))</f>
        <v/>
      </c>
      <c r="Q391" s="90">
        <f ca="1">VALUE(_xlfn.XLOOKUP($A391,Строчный!$A:$A,Строчный!N:N,"ERR",0))</f>
        <v>975.8</v>
      </c>
      <c r="R391" s="89" t="str">
        <f ca="1">_xlfn.XLOOKUP($G391,Фабрика!A:A,Фабрика!B:B,"ERR",0)</f>
        <v>ООО "ФРЭДРИКСОН" Россия 192029, С-Петербург, пр. Обуховской обороны, д.86, лит М</v>
      </c>
      <c r="S391" s="80" t="str">
        <f ca="1">_xlfn.XLOOKUP(RIGHT(AA391,2),Размеры!D:D,Размеры!A:A,"ERR",0)</f>
        <v>62</v>
      </c>
      <c r="T391" s="80">
        <f ca="1">VALUE(_xlfn.XLOOKUP($AA391,Строчный!$S:$S,Строчный!U:U,"ERR",0))</f>
        <v>2</v>
      </c>
      <c r="U391" s="14" t="s">
        <v>265</v>
      </c>
      <c r="V391" s="101" t="str">
        <f t="shared" ca="1" si="31"/>
        <v>Кепка FREDRIKSON арт. 3030 (серый / черный)</v>
      </c>
      <c r="W391" s="100" t="str">
        <f t="shared" ca="1" si="32"/>
        <v>Кепка FREDRIKSON арт. 3030 (серый / черный) {641/76}</v>
      </c>
      <c r="X391" s="18" t="str">
        <f t="shared" ca="1" si="33"/>
        <v>серый</v>
      </c>
      <c r="Y391" s="18" t="str">
        <f t="shared" ca="1" si="34"/>
        <v>черный</v>
      </c>
      <c r="Z391" s="117" t="s">
        <v>28</v>
      </c>
      <c r="AA391" s="73" t="str">
        <f ca="1"/>
        <v>95-002-47-62</v>
      </c>
      <c r="AB391" s="75" t="str">
        <f ca="1">VLOOKUP(C391,Группа!A:B,2,FALSE)</f>
        <v>Кепка</v>
      </c>
      <c r="AC391" s="97" t="str">
        <f ca="1">IFERROR(VLOOKUP(S391,Размеры!A:C,3,FALSE),"")</f>
        <v>62 XL/XXL</v>
      </c>
      <c r="AD391" s="97" t="str">
        <f ca="1">VLOOKUP(I391,ЦветПолный!A:B,2,FALSE)</f>
        <v>47</v>
      </c>
      <c r="AE391" s="97" t="str">
        <f ca="1">IFERROR(VLOOKUP(S391,Размеры!A:D,4,FALSE),"")</f>
        <v>62</v>
      </c>
      <c r="AF391" s="97">
        <f ca="1">IF(LEFT(IFERROR(VLOOKUP(LOOKUP(2,1/SEARCH(B391,Товары!A:A),Товары!A:A),Товары!A:B,2,0),""),6)=MID(AA391,1,6),1,0)</f>
        <v>0</v>
      </c>
      <c r="AH391" s="97">
        <f ca="1">SUMIF(Группа!A:A,C391,Группа!C:C)</f>
        <v>1</v>
      </c>
      <c r="AI391" s="97">
        <f ca="1">SUMIF(Группа!B:B,AB391,Группа!C:C)</f>
        <v>1</v>
      </c>
      <c r="AJ391" s="97">
        <f ca="1">SUMIF(Формы!A:A,D391,Формы!B:B)</f>
        <v>1</v>
      </c>
      <c r="AK391" s="97">
        <f ca="1">SUMIF(Материал!A:A,K391,Материал!B:B)</f>
        <v>1</v>
      </c>
      <c r="AL391" s="97">
        <f ca="1">SUMIF(Размеры!A:A,S391,Размеры!E:E)</f>
        <v>1</v>
      </c>
      <c r="AM391" s="97">
        <f ca="1">SUMIF(Сезон!A:A,F391,Сезон!B:B)</f>
        <v>1</v>
      </c>
      <c r="AN391" s="97">
        <f ca="1">SUMIF(Состав!A:A,J391,Состав!B:B)</f>
        <v>0</v>
      </c>
      <c r="AO391" s="97">
        <f ca="1">VLOOKUP(I391,ЦветПолный!A:C,3,0)</f>
        <v>1</v>
      </c>
      <c r="AP391" s="97">
        <f>SUMIF(Цвет!A:A,Z391,Цвет!B:B)</f>
        <v>1</v>
      </c>
      <c r="AQ391" s="97">
        <f ca="1">_xlfn.XLOOKUP(L391,Пол!A:A,Пол!B:B,0,0)</f>
        <v>1</v>
      </c>
      <c r="AR391" s="97">
        <f ca="1">SUMIF(Бренд!A:A,G391,Бренд!B:B)</f>
        <v>1</v>
      </c>
      <c r="AS391" s="97">
        <f ca="1">SUMIF(Страна!A:A,M391,Страна!B:B)</f>
        <v>1</v>
      </c>
      <c r="AT391" s="64" t="e">
        <f ca="1">IF(VLOOKUP(W391,Товары!A:B,2,FALSE)=A391,"Есть в 1С","ERR")</f>
        <v>#N/A</v>
      </c>
      <c r="AU391" s="65" t="e">
        <f ca="1">IF(VLOOKUP(A391,Товары!B:B,1,FALSE)=A391,"Есть в 1С","ERR")</f>
        <v>#N/A</v>
      </c>
      <c r="AV391" s="96" t="e">
        <f ca="1">VLOOKUP(W391,Товары!A:B,2,FALSE)</f>
        <v>#N/A</v>
      </c>
      <c r="AW391" s="94" t="e">
        <f ca="1">VLOOKUP(W391,Товары!A:B,1,FALSE)</f>
        <v>#N/A</v>
      </c>
    </row>
    <row r="392" spans="1:49" x14ac:dyDescent="0.25">
      <c r="A392" s="110" t="str">
        <f t="shared" ca="1" si="30"/>
        <v>95-002-47</v>
      </c>
      <c r="B392" s="107" t="str">
        <f ca="1">_xlfn.LET(_xlpm.CAPS,0,_xlpm.Style,TRIM(_xlfn.XLOOKUP($A392,Строчный!$A:$A,Строчный!B:B,"ERR",0)),IF(_xlpm.CAPS=0,_xlpm.Style,LOWER(_xlpm.Style)))</f>
        <v>3030</v>
      </c>
      <c r="C392" s="81" t="str">
        <f ca="1">TRIM(PROPER(_xlfn.XLOOKUP($A392,Строчный!$A:$A,Строчный!C:C,"ERR",0)))</f>
        <v>Кепки</v>
      </c>
      <c r="D392" s="81" t="str">
        <f ca="1">_xlfn.LET(_xlpm.DATA,TRIM(_xlfn.XLOOKUP($A392,Строчный!$A:$A,Строчный!D:D,"ERR",0)),UPPER(MID(_xlpm.DATA,1,1))&amp;LOWER(MID(_xlpm.DATA,2,LEN(_xlpm.DATA)-1)))</f>
        <v>Кепка восьмиклинка</v>
      </c>
      <c r="E392" s="81" t="str">
        <f ca="1">PROPER(TRIM(_xlfn.XLOOKUP($A392,Строчный!$A:$A,Строчный!E:E,"ERR",0)))</f>
        <v>Fredrikson</v>
      </c>
      <c r="F392" s="81" t="str">
        <f ca="1">LOWER(TRIM(_xlfn.XLOOKUP($A392,Строчный!$A:$A,Строчный!F:F,"ERR",0)))</f>
        <v>всесезон</v>
      </c>
      <c r="G392" s="81" t="str">
        <f ca="1">UPPER(TRIM(_xlfn.XLOOKUP($A392,Строчный!$A:$A,Строчный!G:G,"ERR",0)))</f>
        <v>FREDRIKSON</v>
      </c>
      <c r="H392" s="81" t="str">
        <f ca="1">LOWER(TRIM(_xlfn.XLOOKUP($A392,Строчный!$A:$A,Строчный!H:H,"ERR",0)))</f>
        <v>641/76</v>
      </c>
      <c r="I392" s="81" t="str">
        <f ca="1">LOWER(TRIM(_xlfn.XLOOKUP($A392,Строчный!$A:$A,Строчный!I:I,"ERR",0)))</f>
        <v>серый / черный</v>
      </c>
      <c r="J392" s="81" t="str">
        <f ca="1">SUBSTITUTE(LOWER(TRIM(_xlfn.XLOOKUP($A392,Строчный!$A:$A,Строчный!J:J,"ERR",0))),"подклад","Подклад")</f>
        <v>80% шерсть - 20% полиамид / Подклад: 100% вискоза</v>
      </c>
      <c r="K392" s="81" t="str">
        <f ca="1">LOWER(TRIM(_xlfn.XLOOKUP($A392,Строчный!$A:$A,Строчный!K:K,"ERR",0)))</f>
        <v>шерстяные</v>
      </c>
      <c r="L392" s="81" t="str">
        <f ca="1">PROPER(TRIM(_xlfn.XLOOKUP($A392,Строчный!$A:$A,Строчный!L:L,"ERR",0)))</f>
        <v>Унисекс</v>
      </c>
      <c r="M392" s="113" t="str">
        <f ca="1">PROPER(TRIM(_xlfn.XLOOKUP($A392,Строчный!$A:$A,Строчный!M:M,"ERR",0)))</f>
        <v>Россия</v>
      </c>
      <c r="N392" s="81" t="str">
        <f ca="1">UPPER(TRIM(_xlfn.XLOOKUP($A392,Строчный!$A:$A,Строчный!O:O,"ERR",0)))</f>
        <v/>
      </c>
      <c r="O392" s="102" t="str">
        <f ca="1">PROPER(TRIM(_xlfn.XLOOKUP($A392,Строчный!$A:$A,Строчный!P:P,"ERR",0)))</f>
        <v/>
      </c>
      <c r="P392" s="81" t="str">
        <f ca="1">PROPER(TRIM(_xlfn.XLOOKUP($A392,Строчный!$A:$A,Строчный!R:R,"ERR",0)))</f>
        <v/>
      </c>
      <c r="Q392" s="90">
        <f ca="1">VALUE(_xlfn.XLOOKUP($A392,Строчный!$A:$A,Строчный!N:N,"ERR",0))</f>
        <v>975.8</v>
      </c>
      <c r="R392" s="89" t="str">
        <f ca="1">_xlfn.XLOOKUP($G392,Фабрика!A:A,Фабрика!B:B,"ERR",0)</f>
        <v>ООО "ФРЭДРИКСОН" Россия 192029, С-Петербург, пр. Обуховской обороны, д.86, лит М</v>
      </c>
      <c r="S392" s="80" t="str">
        <f ca="1">_xlfn.XLOOKUP(RIGHT(AA392,2),Размеры!D:D,Размеры!A:A,"ERR",0)</f>
        <v>61</v>
      </c>
      <c r="T392" s="80">
        <f ca="1">VALUE(_xlfn.XLOOKUP($AA392,Строчный!$S:$S,Строчный!U:U,"ERR",0))</f>
        <v>3</v>
      </c>
      <c r="U392" s="14" t="s">
        <v>265</v>
      </c>
      <c r="V392" s="101" t="str">
        <f t="shared" ca="1" si="31"/>
        <v>Кепка FREDRIKSON арт. 3030 (серый / черный)</v>
      </c>
      <c r="W392" s="100" t="str">
        <f t="shared" ca="1" si="32"/>
        <v>Кепка FREDRIKSON арт. 3030 (серый / черный) {641/76}</v>
      </c>
      <c r="X392" s="18" t="str">
        <f t="shared" ca="1" si="33"/>
        <v>серый</v>
      </c>
      <c r="Y392" s="18" t="str">
        <f t="shared" ca="1" si="34"/>
        <v>черный</v>
      </c>
      <c r="Z392" s="117" t="s">
        <v>28</v>
      </c>
      <c r="AA392" s="73" t="str">
        <f ca="1"/>
        <v>95-002-47-61</v>
      </c>
      <c r="AB392" s="75" t="str">
        <f ca="1">VLOOKUP(C392,Группа!A:B,2,FALSE)</f>
        <v>Кепка</v>
      </c>
      <c r="AC392" s="97" t="str">
        <f ca="1">IFERROR(VLOOKUP(S392,Размеры!A:C,3,FALSE),"")</f>
        <v>61 XL</v>
      </c>
      <c r="AD392" s="97" t="str">
        <f ca="1">VLOOKUP(I392,ЦветПолный!A:B,2,FALSE)</f>
        <v>47</v>
      </c>
      <c r="AE392" s="97" t="str">
        <f ca="1">IFERROR(VLOOKUP(S392,Размеры!A:D,4,FALSE),"")</f>
        <v>61</v>
      </c>
      <c r="AF392" s="97">
        <f ca="1">IF(LEFT(IFERROR(VLOOKUP(LOOKUP(2,1/SEARCH(B392,Товары!A:A),Товары!A:A),Товары!A:B,2,0),""),6)=MID(AA392,1,6),1,0)</f>
        <v>0</v>
      </c>
      <c r="AH392" s="97">
        <f ca="1">SUMIF(Группа!A:A,C392,Группа!C:C)</f>
        <v>1</v>
      </c>
      <c r="AI392" s="97">
        <f ca="1">SUMIF(Группа!B:B,AB392,Группа!C:C)</f>
        <v>1</v>
      </c>
      <c r="AJ392" s="97">
        <f ca="1">SUMIF(Формы!A:A,D392,Формы!B:B)</f>
        <v>1</v>
      </c>
      <c r="AK392" s="97">
        <f ca="1">SUMIF(Материал!A:A,K392,Материал!B:B)</f>
        <v>1</v>
      </c>
      <c r="AL392" s="97">
        <f ca="1">SUMIF(Размеры!A:A,S392,Размеры!E:E)</f>
        <v>1</v>
      </c>
      <c r="AM392" s="97">
        <f ca="1">SUMIF(Сезон!A:A,F392,Сезон!B:B)</f>
        <v>1</v>
      </c>
      <c r="AN392" s="97">
        <f ca="1">SUMIF(Состав!A:A,J392,Состав!B:B)</f>
        <v>0</v>
      </c>
      <c r="AO392" s="97">
        <f ca="1">VLOOKUP(I392,ЦветПолный!A:C,3,0)</f>
        <v>1</v>
      </c>
      <c r="AP392" s="97">
        <f>SUMIF(Цвет!A:A,Z392,Цвет!B:B)</f>
        <v>1</v>
      </c>
      <c r="AQ392" s="97">
        <f ca="1">_xlfn.XLOOKUP(L392,Пол!A:A,Пол!B:B,0,0)</f>
        <v>1</v>
      </c>
      <c r="AR392" s="97">
        <f ca="1">SUMIF(Бренд!A:A,G392,Бренд!B:B)</f>
        <v>1</v>
      </c>
      <c r="AS392" s="97">
        <f ca="1">SUMIF(Страна!A:A,M392,Страна!B:B)</f>
        <v>1</v>
      </c>
      <c r="AT392" s="64" t="e">
        <f ca="1">IF(VLOOKUP(W392,Товары!A:B,2,FALSE)=A392,"Есть в 1С","ERR")</f>
        <v>#N/A</v>
      </c>
      <c r="AU392" s="65" t="e">
        <f ca="1">IF(VLOOKUP(A392,Товары!B:B,1,FALSE)=A392,"Есть в 1С","ERR")</f>
        <v>#N/A</v>
      </c>
      <c r="AV392" s="96" t="e">
        <f ca="1">VLOOKUP(W392,Товары!A:B,2,FALSE)</f>
        <v>#N/A</v>
      </c>
      <c r="AW392" s="94" t="e">
        <f ca="1">VLOOKUP(W392,Товары!A:B,1,FALSE)</f>
        <v>#N/A</v>
      </c>
    </row>
    <row r="393" spans="1:49" x14ac:dyDescent="0.25">
      <c r="A393" s="110" t="str">
        <f t="shared" ca="1" si="30"/>
        <v>95-002-47</v>
      </c>
      <c r="B393" s="107" t="str">
        <f ca="1">_xlfn.LET(_xlpm.CAPS,0,_xlpm.Style,TRIM(_xlfn.XLOOKUP($A393,Строчный!$A:$A,Строчный!B:B,"ERR",0)),IF(_xlpm.CAPS=0,_xlpm.Style,LOWER(_xlpm.Style)))</f>
        <v>3030</v>
      </c>
      <c r="C393" s="81" t="str">
        <f ca="1">TRIM(PROPER(_xlfn.XLOOKUP($A393,Строчный!$A:$A,Строчный!C:C,"ERR",0)))</f>
        <v>Кепки</v>
      </c>
      <c r="D393" s="81" t="str">
        <f ca="1">_xlfn.LET(_xlpm.DATA,TRIM(_xlfn.XLOOKUP($A393,Строчный!$A:$A,Строчный!D:D,"ERR",0)),UPPER(MID(_xlpm.DATA,1,1))&amp;LOWER(MID(_xlpm.DATA,2,LEN(_xlpm.DATA)-1)))</f>
        <v>Кепка восьмиклинка</v>
      </c>
      <c r="E393" s="81" t="str">
        <f ca="1">PROPER(TRIM(_xlfn.XLOOKUP($A393,Строчный!$A:$A,Строчный!E:E,"ERR",0)))</f>
        <v>Fredrikson</v>
      </c>
      <c r="F393" s="81" t="str">
        <f ca="1">LOWER(TRIM(_xlfn.XLOOKUP($A393,Строчный!$A:$A,Строчный!F:F,"ERR",0)))</f>
        <v>всесезон</v>
      </c>
      <c r="G393" s="81" t="str">
        <f ca="1">UPPER(TRIM(_xlfn.XLOOKUP($A393,Строчный!$A:$A,Строчный!G:G,"ERR",0)))</f>
        <v>FREDRIKSON</v>
      </c>
      <c r="H393" s="81" t="str">
        <f ca="1">LOWER(TRIM(_xlfn.XLOOKUP($A393,Строчный!$A:$A,Строчный!H:H,"ERR",0)))</f>
        <v>641/76</v>
      </c>
      <c r="I393" s="81" t="str">
        <f ca="1">LOWER(TRIM(_xlfn.XLOOKUP($A393,Строчный!$A:$A,Строчный!I:I,"ERR",0)))</f>
        <v>серый / черный</v>
      </c>
      <c r="J393" s="81" t="str">
        <f ca="1">SUBSTITUTE(LOWER(TRIM(_xlfn.XLOOKUP($A393,Строчный!$A:$A,Строчный!J:J,"ERR",0))),"подклад","Подклад")</f>
        <v>80% шерсть - 20% полиамид / Подклад: 100% вискоза</v>
      </c>
      <c r="K393" s="81" t="str">
        <f ca="1">LOWER(TRIM(_xlfn.XLOOKUP($A393,Строчный!$A:$A,Строчный!K:K,"ERR",0)))</f>
        <v>шерстяные</v>
      </c>
      <c r="L393" s="81" t="str">
        <f ca="1">PROPER(TRIM(_xlfn.XLOOKUP($A393,Строчный!$A:$A,Строчный!L:L,"ERR",0)))</f>
        <v>Унисекс</v>
      </c>
      <c r="M393" s="113" t="str">
        <f ca="1">PROPER(TRIM(_xlfn.XLOOKUP($A393,Строчный!$A:$A,Строчный!M:M,"ERR",0)))</f>
        <v>Россия</v>
      </c>
      <c r="N393" s="81" t="str">
        <f ca="1">UPPER(TRIM(_xlfn.XLOOKUP($A393,Строчный!$A:$A,Строчный!O:O,"ERR",0)))</f>
        <v/>
      </c>
      <c r="O393" s="102" t="str">
        <f ca="1">PROPER(TRIM(_xlfn.XLOOKUP($A393,Строчный!$A:$A,Строчный!P:P,"ERR",0)))</f>
        <v/>
      </c>
      <c r="P393" s="81" t="str">
        <f ca="1">PROPER(TRIM(_xlfn.XLOOKUP($A393,Строчный!$A:$A,Строчный!R:R,"ERR",0)))</f>
        <v/>
      </c>
      <c r="Q393" s="90">
        <f ca="1">VALUE(_xlfn.XLOOKUP($A393,Строчный!$A:$A,Строчный!N:N,"ERR",0))</f>
        <v>975.8</v>
      </c>
      <c r="R393" s="89" t="str">
        <f ca="1">_xlfn.XLOOKUP($G393,Фабрика!A:A,Фабрика!B:B,"ERR",0)</f>
        <v>ООО "ФРЭДРИКСОН" Россия 192029, С-Петербург, пр. Обуховской обороны, д.86, лит М</v>
      </c>
      <c r="S393" s="80" t="str">
        <f ca="1">_xlfn.XLOOKUP(RIGHT(AA393,2),Размеры!D:D,Размеры!A:A,"ERR",0)</f>
        <v>60</v>
      </c>
      <c r="T393" s="80">
        <f ca="1">VALUE(_xlfn.XLOOKUP($AA393,Строчный!$S:$S,Строчный!U:U,"ERR",0))</f>
        <v>4</v>
      </c>
      <c r="U393" s="14" t="s">
        <v>265</v>
      </c>
      <c r="V393" s="101" t="str">
        <f t="shared" ca="1" si="31"/>
        <v>Кепка FREDRIKSON арт. 3030 (серый / черный)</v>
      </c>
      <c r="W393" s="100" t="str">
        <f t="shared" ca="1" si="32"/>
        <v>Кепка FREDRIKSON арт. 3030 (серый / черный) {641/76}</v>
      </c>
      <c r="X393" s="18" t="str">
        <f t="shared" ca="1" si="33"/>
        <v>серый</v>
      </c>
      <c r="Y393" s="18" t="str">
        <f t="shared" ca="1" si="34"/>
        <v>черный</v>
      </c>
      <c r="Z393" s="117" t="s">
        <v>28</v>
      </c>
      <c r="AA393" s="73" t="str">
        <f ca="1"/>
        <v>95-002-47-60</v>
      </c>
      <c r="AB393" s="75" t="str">
        <f ca="1">VLOOKUP(C393,Группа!A:B,2,FALSE)</f>
        <v>Кепка</v>
      </c>
      <c r="AC393" s="97" t="str">
        <f ca="1">IFERROR(VLOOKUP(S393,Размеры!A:C,3,FALSE),"")</f>
        <v>60 L/XL</v>
      </c>
      <c r="AD393" s="97" t="str">
        <f ca="1">VLOOKUP(I393,ЦветПолный!A:B,2,FALSE)</f>
        <v>47</v>
      </c>
      <c r="AE393" s="97" t="str">
        <f ca="1">IFERROR(VLOOKUP(S393,Размеры!A:D,4,FALSE),"")</f>
        <v>60</v>
      </c>
      <c r="AF393" s="97">
        <f ca="1">IF(LEFT(IFERROR(VLOOKUP(LOOKUP(2,1/SEARCH(B393,Товары!A:A),Товары!A:A),Товары!A:B,2,0),""),6)=MID(AA393,1,6),1,0)</f>
        <v>0</v>
      </c>
      <c r="AH393" s="97">
        <f ca="1">SUMIF(Группа!A:A,C393,Группа!C:C)</f>
        <v>1</v>
      </c>
      <c r="AI393" s="97">
        <f ca="1">SUMIF(Группа!B:B,AB393,Группа!C:C)</f>
        <v>1</v>
      </c>
      <c r="AJ393" s="97">
        <f ca="1">SUMIF(Формы!A:A,D393,Формы!B:B)</f>
        <v>1</v>
      </c>
      <c r="AK393" s="97">
        <f ca="1">SUMIF(Материал!A:A,K393,Материал!B:B)</f>
        <v>1</v>
      </c>
      <c r="AL393" s="97">
        <f ca="1">SUMIF(Размеры!A:A,S393,Размеры!E:E)</f>
        <v>1</v>
      </c>
      <c r="AM393" s="97">
        <f ca="1">SUMIF(Сезон!A:A,F393,Сезон!B:B)</f>
        <v>1</v>
      </c>
      <c r="AN393" s="97">
        <f ca="1">SUMIF(Состав!A:A,J393,Состав!B:B)</f>
        <v>0</v>
      </c>
      <c r="AO393" s="97">
        <f ca="1">VLOOKUP(I393,ЦветПолный!A:C,3,0)</f>
        <v>1</v>
      </c>
      <c r="AP393" s="97">
        <f>SUMIF(Цвет!A:A,Z393,Цвет!B:B)</f>
        <v>1</v>
      </c>
      <c r="AQ393" s="97">
        <f ca="1">_xlfn.XLOOKUP(L393,Пол!A:A,Пол!B:B,0,0)</f>
        <v>1</v>
      </c>
      <c r="AR393" s="97">
        <f ca="1">SUMIF(Бренд!A:A,G393,Бренд!B:B)</f>
        <v>1</v>
      </c>
      <c r="AS393" s="97">
        <f ca="1">SUMIF(Страна!A:A,M393,Страна!B:B)</f>
        <v>1</v>
      </c>
      <c r="AT393" s="64" t="e">
        <f ca="1">IF(VLOOKUP(W393,Товары!A:B,2,FALSE)=A393,"Есть в 1С","ERR")</f>
        <v>#N/A</v>
      </c>
      <c r="AU393" s="65" t="e">
        <f ca="1">IF(VLOOKUP(A393,Товары!B:B,1,FALSE)=A393,"Есть в 1С","ERR")</f>
        <v>#N/A</v>
      </c>
      <c r="AV393" s="96" t="e">
        <f ca="1">VLOOKUP(W393,Товары!A:B,2,FALSE)</f>
        <v>#N/A</v>
      </c>
      <c r="AW393" s="94" t="e">
        <f ca="1">VLOOKUP(W393,Товары!A:B,1,FALSE)</f>
        <v>#N/A</v>
      </c>
    </row>
    <row r="394" spans="1:49" x14ac:dyDescent="0.25">
      <c r="A394" s="110" t="str">
        <f t="shared" ca="1" si="30"/>
        <v>95-002-47</v>
      </c>
      <c r="B394" s="107" t="str">
        <f ca="1">_xlfn.LET(_xlpm.CAPS,0,_xlpm.Style,TRIM(_xlfn.XLOOKUP($A394,Строчный!$A:$A,Строчный!B:B,"ERR",0)),IF(_xlpm.CAPS=0,_xlpm.Style,LOWER(_xlpm.Style)))</f>
        <v>3030</v>
      </c>
      <c r="C394" s="81" t="str">
        <f ca="1">TRIM(PROPER(_xlfn.XLOOKUP($A394,Строчный!$A:$A,Строчный!C:C,"ERR",0)))</f>
        <v>Кепки</v>
      </c>
      <c r="D394" s="81" t="str">
        <f ca="1">_xlfn.LET(_xlpm.DATA,TRIM(_xlfn.XLOOKUP($A394,Строчный!$A:$A,Строчный!D:D,"ERR",0)),UPPER(MID(_xlpm.DATA,1,1))&amp;LOWER(MID(_xlpm.DATA,2,LEN(_xlpm.DATA)-1)))</f>
        <v>Кепка восьмиклинка</v>
      </c>
      <c r="E394" s="81" t="str">
        <f ca="1">PROPER(TRIM(_xlfn.XLOOKUP($A394,Строчный!$A:$A,Строчный!E:E,"ERR",0)))</f>
        <v>Fredrikson</v>
      </c>
      <c r="F394" s="81" t="str">
        <f ca="1">LOWER(TRIM(_xlfn.XLOOKUP($A394,Строчный!$A:$A,Строчный!F:F,"ERR",0)))</f>
        <v>всесезон</v>
      </c>
      <c r="G394" s="81" t="str">
        <f ca="1">UPPER(TRIM(_xlfn.XLOOKUP($A394,Строчный!$A:$A,Строчный!G:G,"ERR",0)))</f>
        <v>FREDRIKSON</v>
      </c>
      <c r="H394" s="81" t="str">
        <f ca="1">LOWER(TRIM(_xlfn.XLOOKUP($A394,Строчный!$A:$A,Строчный!H:H,"ERR",0)))</f>
        <v>641/76</v>
      </c>
      <c r="I394" s="81" t="str">
        <f ca="1">LOWER(TRIM(_xlfn.XLOOKUP($A394,Строчный!$A:$A,Строчный!I:I,"ERR",0)))</f>
        <v>серый / черный</v>
      </c>
      <c r="J394" s="81" t="str">
        <f ca="1">SUBSTITUTE(LOWER(TRIM(_xlfn.XLOOKUP($A394,Строчный!$A:$A,Строчный!J:J,"ERR",0))),"подклад","Подклад")</f>
        <v>80% шерсть - 20% полиамид / Подклад: 100% вискоза</v>
      </c>
      <c r="K394" s="81" t="str">
        <f ca="1">LOWER(TRIM(_xlfn.XLOOKUP($A394,Строчный!$A:$A,Строчный!K:K,"ERR",0)))</f>
        <v>шерстяные</v>
      </c>
      <c r="L394" s="81" t="str">
        <f ca="1">PROPER(TRIM(_xlfn.XLOOKUP($A394,Строчный!$A:$A,Строчный!L:L,"ERR",0)))</f>
        <v>Унисекс</v>
      </c>
      <c r="M394" s="113" t="str">
        <f ca="1">PROPER(TRIM(_xlfn.XLOOKUP($A394,Строчный!$A:$A,Строчный!M:M,"ERR",0)))</f>
        <v>Россия</v>
      </c>
      <c r="N394" s="81" t="str">
        <f ca="1">UPPER(TRIM(_xlfn.XLOOKUP($A394,Строчный!$A:$A,Строчный!O:O,"ERR",0)))</f>
        <v/>
      </c>
      <c r="O394" s="102" t="str">
        <f ca="1">PROPER(TRIM(_xlfn.XLOOKUP($A394,Строчный!$A:$A,Строчный!P:P,"ERR",0)))</f>
        <v/>
      </c>
      <c r="P394" s="81" t="str">
        <f ca="1">PROPER(TRIM(_xlfn.XLOOKUP($A394,Строчный!$A:$A,Строчный!R:R,"ERR",0)))</f>
        <v/>
      </c>
      <c r="Q394" s="90">
        <f ca="1">VALUE(_xlfn.XLOOKUP($A394,Строчный!$A:$A,Строчный!N:N,"ERR",0))</f>
        <v>975.8</v>
      </c>
      <c r="R394" s="89" t="str">
        <f ca="1">_xlfn.XLOOKUP($G394,Фабрика!A:A,Фабрика!B:B,"ERR",0)</f>
        <v>ООО "ФРЭДРИКСОН" Россия 192029, С-Петербург, пр. Обуховской обороны, д.86, лит М</v>
      </c>
      <c r="S394" s="80" t="str">
        <f ca="1">_xlfn.XLOOKUP(RIGHT(AA394,2),Размеры!D:D,Размеры!A:A,"ERR",0)</f>
        <v>59</v>
      </c>
      <c r="T394" s="80">
        <f ca="1">VALUE(_xlfn.XLOOKUP($AA394,Строчный!$S:$S,Строчный!U:U,"ERR",0))</f>
        <v>6</v>
      </c>
      <c r="U394" s="14" t="s">
        <v>265</v>
      </c>
      <c r="V394" s="101" t="str">
        <f t="shared" ca="1" si="31"/>
        <v>Кепка FREDRIKSON арт. 3030 (серый / черный)</v>
      </c>
      <c r="W394" s="100" t="str">
        <f t="shared" ca="1" si="32"/>
        <v>Кепка FREDRIKSON арт. 3030 (серый / черный) {641/76}</v>
      </c>
      <c r="X394" s="18" t="str">
        <f t="shared" ca="1" si="33"/>
        <v>серый</v>
      </c>
      <c r="Y394" s="18" t="str">
        <f t="shared" ca="1" si="34"/>
        <v>черный</v>
      </c>
      <c r="Z394" s="117" t="s">
        <v>28</v>
      </c>
      <c r="AA394" s="73" t="str">
        <f ca="1"/>
        <v>95-002-47-59</v>
      </c>
      <c r="AB394" s="75" t="str">
        <f ca="1">VLOOKUP(C394,Группа!A:B,2,FALSE)</f>
        <v>Кепка</v>
      </c>
      <c r="AC394" s="97" t="str">
        <f ca="1">IFERROR(VLOOKUP(S394,Размеры!A:C,3,FALSE),"")</f>
        <v>59 L</v>
      </c>
      <c r="AD394" s="97" t="str">
        <f ca="1">VLOOKUP(I394,ЦветПолный!A:B,2,FALSE)</f>
        <v>47</v>
      </c>
      <c r="AE394" s="97" t="str">
        <f ca="1">IFERROR(VLOOKUP(S394,Размеры!A:D,4,FALSE),"")</f>
        <v>59</v>
      </c>
      <c r="AF394" s="97">
        <f ca="1">IF(LEFT(IFERROR(VLOOKUP(LOOKUP(2,1/SEARCH(B394,Товары!A:A),Товары!A:A),Товары!A:B,2,0),""),6)=MID(AA394,1,6),1,0)</f>
        <v>0</v>
      </c>
      <c r="AH394" s="97">
        <f ca="1">SUMIF(Группа!A:A,C394,Группа!C:C)</f>
        <v>1</v>
      </c>
      <c r="AI394" s="97">
        <f ca="1">SUMIF(Группа!B:B,AB394,Группа!C:C)</f>
        <v>1</v>
      </c>
      <c r="AJ394" s="97">
        <f ca="1">SUMIF(Формы!A:A,D394,Формы!B:B)</f>
        <v>1</v>
      </c>
      <c r="AK394" s="97">
        <f ca="1">SUMIF(Материал!A:A,K394,Материал!B:B)</f>
        <v>1</v>
      </c>
      <c r="AL394" s="97">
        <f ca="1">SUMIF(Размеры!A:A,S394,Размеры!E:E)</f>
        <v>1</v>
      </c>
      <c r="AM394" s="97">
        <f ca="1">SUMIF(Сезон!A:A,F394,Сезон!B:B)</f>
        <v>1</v>
      </c>
      <c r="AN394" s="97">
        <f ca="1">SUMIF(Состав!A:A,J394,Состав!B:B)</f>
        <v>0</v>
      </c>
      <c r="AO394" s="97">
        <f ca="1">VLOOKUP(I394,ЦветПолный!A:C,3,0)</f>
        <v>1</v>
      </c>
      <c r="AP394" s="97">
        <f>SUMIF(Цвет!A:A,Z394,Цвет!B:B)</f>
        <v>1</v>
      </c>
      <c r="AQ394" s="97">
        <f ca="1">_xlfn.XLOOKUP(L394,Пол!A:A,Пол!B:B,0,0)</f>
        <v>1</v>
      </c>
      <c r="AR394" s="97">
        <f ca="1">SUMIF(Бренд!A:A,G394,Бренд!B:B)</f>
        <v>1</v>
      </c>
      <c r="AS394" s="97">
        <f ca="1">SUMIF(Страна!A:A,M394,Страна!B:B)</f>
        <v>1</v>
      </c>
      <c r="AT394" s="64" t="e">
        <f ca="1">IF(VLOOKUP(W394,Товары!A:B,2,FALSE)=A394,"Есть в 1С","ERR")</f>
        <v>#N/A</v>
      </c>
      <c r="AU394" s="65" t="e">
        <f ca="1">IF(VLOOKUP(A394,Товары!B:B,1,FALSE)=A394,"Есть в 1С","ERR")</f>
        <v>#N/A</v>
      </c>
      <c r="AV394" s="96" t="e">
        <f ca="1">VLOOKUP(W394,Товары!A:B,2,FALSE)</f>
        <v>#N/A</v>
      </c>
      <c r="AW394" s="94" t="e">
        <f ca="1">VLOOKUP(W394,Товары!A:B,1,FALSE)</f>
        <v>#N/A</v>
      </c>
    </row>
    <row r="395" spans="1:49" x14ac:dyDescent="0.25">
      <c r="A395" s="110" t="str">
        <f t="shared" ca="1" si="30"/>
        <v>95-002-47</v>
      </c>
      <c r="B395" s="107" t="str">
        <f ca="1">_xlfn.LET(_xlpm.CAPS,0,_xlpm.Style,TRIM(_xlfn.XLOOKUP($A395,Строчный!$A:$A,Строчный!B:B,"ERR",0)),IF(_xlpm.CAPS=0,_xlpm.Style,LOWER(_xlpm.Style)))</f>
        <v>3030</v>
      </c>
      <c r="C395" s="81" t="str">
        <f ca="1">TRIM(PROPER(_xlfn.XLOOKUP($A395,Строчный!$A:$A,Строчный!C:C,"ERR",0)))</f>
        <v>Кепки</v>
      </c>
      <c r="D395" s="81" t="str">
        <f ca="1">_xlfn.LET(_xlpm.DATA,TRIM(_xlfn.XLOOKUP($A395,Строчный!$A:$A,Строчный!D:D,"ERR",0)),UPPER(MID(_xlpm.DATA,1,1))&amp;LOWER(MID(_xlpm.DATA,2,LEN(_xlpm.DATA)-1)))</f>
        <v>Кепка восьмиклинка</v>
      </c>
      <c r="E395" s="81" t="str">
        <f ca="1">PROPER(TRIM(_xlfn.XLOOKUP($A395,Строчный!$A:$A,Строчный!E:E,"ERR",0)))</f>
        <v>Fredrikson</v>
      </c>
      <c r="F395" s="81" t="str">
        <f ca="1">LOWER(TRIM(_xlfn.XLOOKUP($A395,Строчный!$A:$A,Строчный!F:F,"ERR",0)))</f>
        <v>всесезон</v>
      </c>
      <c r="G395" s="81" t="str">
        <f ca="1">UPPER(TRIM(_xlfn.XLOOKUP($A395,Строчный!$A:$A,Строчный!G:G,"ERR",0)))</f>
        <v>FREDRIKSON</v>
      </c>
      <c r="H395" s="81" t="str">
        <f ca="1">LOWER(TRIM(_xlfn.XLOOKUP($A395,Строчный!$A:$A,Строчный!H:H,"ERR",0)))</f>
        <v>641/76</v>
      </c>
      <c r="I395" s="81" t="str">
        <f ca="1">LOWER(TRIM(_xlfn.XLOOKUP($A395,Строчный!$A:$A,Строчный!I:I,"ERR",0)))</f>
        <v>серый / черный</v>
      </c>
      <c r="J395" s="81" t="str">
        <f ca="1">SUBSTITUTE(LOWER(TRIM(_xlfn.XLOOKUP($A395,Строчный!$A:$A,Строчный!J:J,"ERR",0))),"подклад","Подклад")</f>
        <v>80% шерсть - 20% полиамид / Подклад: 100% вискоза</v>
      </c>
      <c r="K395" s="81" t="str">
        <f ca="1">LOWER(TRIM(_xlfn.XLOOKUP($A395,Строчный!$A:$A,Строчный!K:K,"ERR",0)))</f>
        <v>шерстяные</v>
      </c>
      <c r="L395" s="81" t="str">
        <f ca="1">PROPER(TRIM(_xlfn.XLOOKUP($A395,Строчный!$A:$A,Строчный!L:L,"ERR",0)))</f>
        <v>Унисекс</v>
      </c>
      <c r="M395" s="113" t="str">
        <f ca="1">PROPER(TRIM(_xlfn.XLOOKUP($A395,Строчный!$A:$A,Строчный!M:M,"ERR",0)))</f>
        <v>Россия</v>
      </c>
      <c r="N395" s="81" t="str">
        <f ca="1">UPPER(TRIM(_xlfn.XLOOKUP($A395,Строчный!$A:$A,Строчный!O:O,"ERR",0)))</f>
        <v/>
      </c>
      <c r="O395" s="102" t="str">
        <f ca="1">PROPER(TRIM(_xlfn.XLOOKUP($A395,Строчный!$A:$A,Строчный!P:P,"ERR",0)))</f>
        <v/>
      </c>
      <c r="P395" s="81" t="str">
        <f ca="1">PROPER(TRIM(_xlfn.XLOOKUP($A395,Строчный!$A:$A,Строчный!R:R,"ERR",0)))</f>
        <v/>
      </c>
      <c r="Q395" s="90">
        <f ca="1">VALUE(_xlfn.XLOOKUP($A395,Строчный!$A:$A,Строчный!N:N,"ERR",0))</f>
        <v>975.8</v>
      </c>
      <c r="R395" s="89" t="str">
        <f ca="1">_xlfn.XLOOKUP($G395,Фабрика!A:A,Фабрика!B:B,"ERR",0)</f>
        <v>ООО "ФРЭДРИКСОН" Россия 192029, С-Петербург, пр. Обуховской обороны, д.86, лит М</v>
      </c>
      <c r="S395" s="80" t="str">
        <f ca="1">_xlfn.XLOOKUP(RIGHT(AA395,2),Размеры!D:D,Размеры!A:A,"ERR",0)</f>
        <v>58</v>
      </c>
      <c r="T395" s="80">
        <f ca="1">VALUE(_xlfn.XLOOKUP($AA395,Строчный!$S:$S,Строчный!U:U,"ERR",0))</f>
        <v>4</v>
      </c>
      <c r="U395" s="14" t="s">
        <v>265</v>
      </c>
      <c r="V395" s="101" t="str">
        <f t="shared" ca="1" si="31"/>
        <v>Кепка FREDRIKSON арт. 3030 (серый / черный)</v>
      </c>
      <c r="W395" s="100" t="str">
        <f t="shared" ca="1" si="32"/>
        <v>Кепка FREDRIKSON арт. 3030 (серый / черный) {641/76}</v>
      </c>
      <c r="X395" s="18" t="str">
        <f t="shared" ca="1" si="33"/>
        <v>серый</v>
      </c>
      <c r="Y395" s="18" t="str">
        <f t="shared" ca="1" si="34"/>
        <v>черный</v>
      </c>
      <c r="Z395" s="117" t="s">
        <v>28</v>
      </c>
      <c r="AA395" s="73" t="str">
        <f ca="1"/>
        <v>95-002-47-58</v>
      </c>
      <c r="AB395" s="75" t="str">
        <f ca="1">VLOOKUP(C395,Группа!A:B,2,FALSE)</f>
        <v>Кепка</v>
      </c>
      <c r="AC395" s="97" t="str">
        <f ca="1">IFERROR(VLOOKUP(S395,Размеры!A:C,3,FALSE),"")</f>
        <v>58 M/L</v>
      </c>
      <c r="AD395" s="97" t="str">
        <f ca="1">VLOOKUP(I395,ЦветПолный!A:B,2,FALSE)</f>
        <v>47</v>
      </c>
      <c r="AE395" s="97" t="str">
        <f ca="1">IFERROR(VLOOKUP(S395,Размеры!A:D,4,FALSE),"")</f>
        <v>58</v>
      </c>
      <c r="AF395" s="97">
        <f ca="1">IF(LEFT(IFERROR(VLOOKUP(LOOKUP(2,1/SEARCH(B395,Товары!A:A),Товары!A:A),Товары!A:B,2,0),""),6)=MID(AA395,1,6),1,0)</f>
        <v>0</v>
      </c>
      <c r="AH395" s="97">
        <f ca="1">SUMIF(Группа!A:A,C395,Группа!C:C)</f>
        <v>1</v>
      </c>
      <c r="AI395" s="97">
        <f ca="1">SUMIF(Группа!B:B,AB395,Группа!C:C)</f>
        <v>1</v>
      </c>
      <c r="AJ395" s="97">
        <f ca="1">SUMIF(Формы!A:A,D395,Формы!B:B)</f>
        <v>1</v>
      </c>
      <c r="AK395" s="97">
        <f ca="1">SUMIF(Материал!A:A,K395,Материал!B:B)</f>
        <v>1</v>
      </c>
      <c r="AL395" s="97">
        <f ca="1">SUMIF(Размеры!A:A,S395,Размеры!E:E)</f>
        <v>1</v>
      </c>
      <c r="AM395" s="97">
        <f ca="1">SUMIF(Сезон!A:A,F395,Сезон!B:B)</f>
        <v>1</v>
      </c>
      <c r="AN395" s="97">
        <f ca="1">SUMIF(Состав!A:A,J395,Состав!B:B)</f>
        <v>0</v>
      </c>
      <c r="AO395" s="97">
        <f ca="1">VLOOKUP(I395,ЦветПолный!A:C,3,0)</f>
        <v>1</v>
      </c>
      <c r="AP395" s="97">
        <f>SUMIF(Цвет!A:A,Z395,Цвет!B:B)</f>
        <v>1</v>
      </c>
      <c r="AQ395" s="97">
        <f ca="1">_xlfn.XLOOKUP(L395,Пол!A:A,Пол!B:B,0,0)</f>
        <v>1</v>
      </c>
      <c r="AR395" s="97">
        <f ca="1">SUMIF(Бренд!A:A,G395,Бренд!B:B)</f>
        <v>1</v>
      </c>
      <c r="AS395" s="97">
        <f ca="1">SUMIF(Страна!A:A,M395,Страна!B:B)</f>
        <v>1</v>
      </c>
      <c r="AT395" s="64" t="e">
        <f ca="1">IF(VLOOKUP(W395,Товары!A:B,2,FALSE)=A395,"Есть в 1С","ERR")</f>
        <v>#N/A</v>
      </c>
      <c r="AU395" s="65" t="e">
        <f ca="1">IF(VLOOKUP(A395,Товары!B:B,1,FALSE)=A395,"Есть в 1С","ERR")</f>
        <v>#N/A</v>
      </c>
      <c r="AV395" s="96" t="e">
        <f ca="1">VLOOKUP(W395,Товары!A:B,2,FALSE)</f>
        <v>#N/A</v>
      </c>
      <c r="AW395" s="94" t="e">
        <f ca="1">VLOOKUP(W395,Товары!A:B,1,FALSE)</f>
        <v>#N/A</v>
      </c>
    </row>
    <row r="396" spans="1:49" x14ac:dyDescent="0.25">
      <c r="A396" s="110" t="str">
        <f t="shared" ca="1" si="30"/>
        <v>95-002-47</v>
      </c>
      <c r="B396" s="107" t="str">
        <f ca="1">_xlfn.LET(_xlpm.CAPS,0,_xlpm.Style,TRIM(_xlfn.XLOOKUP($A396,Строчный!$A:$A,Строчный!B:B,"ERR",0)),IF(_xlpm.CAPS=0,_xlpm.Style,LOWER(_xlpm.Style)))</f>
        <v>3030</v>
      </c>
      <c r="C396" s="81" t="str">
        <f ca="1">TRIM(PROPER(_xlfn.XLOOKUP($A396,Строчный!$A:$A,Строчный!C:C,"ERR",0)))</f>
        <v>Кепки</v>
      </c>
      <c r="D396" s="81" t="str">
        <f ca="1">_xlfn.LET(_xlpm.DATA,TRIM(_xlfn.XLOOKUP($A396,Строчный!$A:$A,Строчный!D:D,"ERR",0)),UPPER(MID(_xlpm.DATA,1,1))&amp;LOWER(MID(_xlpm.DATA,2,LEN(_xlpm.DATA)-1)))</f>
        <v>Кепка восьмиклинка</v>
      </c>
      <c r="E396" s="81" t="str">
        <f ca="1">PROPER(TRIM(_xlfn.XLOOKUP($A396,Строчный!$A:$A,Строчный!E:E,"ERR",0)))</f>
        <v>Fredrikson</v>
      </c>
      <c r="F396" s="81" t="str">
        <f ca="1">LOWER(TRIM(_xlfn.XLOOKUP($A396,Строчный!$A:$A,Строчный!F:F,"ERR",0)))</f>
        <v>всесезон</v>
      </c>
      <c r="G396" s="81" t="str">
        <f ca="1">UPPER(TRIM(_xlfn.XLOOKUP($A396,Строчный!$A:$A,Строчный!G:G,"ERR",0)))</f>
        <v>FREDRIKSON</v>
      </c>
      <c r="H396" s="81" t="str">
        <f ca="1">LOWER(TRIM(_xlfn.XLOOKUP($A396,Строчный!$A:$A,Строчный!H:H,"ERR",0)))</f>
        <v>641/76</v>
      </c>
      <c r="I396" s="81" t="str">
        <f ca="1">LOWER(TRIM(_xlfn.XLOOKUP($A396,Строчный!$A:$A,Строчный!I:I,"ERR",0)))</f>
        <v>серый / черный</v>
      </c>
      <c r="J396" s="81" t="str">
        <f ca="1">SUBSTITUTE(LOWER(TRIM(_xlfn.XLOOKUP($A396,Строчный!$A:$A,Строчный!J:J,"ERR",0))),"подклад","Подклад")</f>
        <v>80% шерсть - 20% полиамид / Подклад: 100% вискоза</v>
      </c>
      <c r="K396" s="81" t="str">
        <f ca="1">LOWER(TRIM(_xlfn.XLOOKUP($A396,Строчный!$A:$A,Строчный!K:K,"ERR",0)))</f>
        <v>шерстяные</v>
      </c>
      <c r="L396" s="81" t="str">
        <f ca="1">PROPER(TRIM(_xlfn.XLOOKUP($A396,Строчный!$A:$A,Строчный!L:L,"ERR",0)))</f>
        <v>Унисекс</v>
      </c>
      <c r="M396" s="113" t="str">
        <f ca="1">PROPER(TRIM(_xlfn.XLOOKUP($A396,Строчный!$A:$A,Строчный!M:M,"ERR",0)))</f>
        <v>Россия</v>
      </c>
      <c r="N396" s="81" t="str">
        <f ca="1">UPPER(TRIM(_xlfn.XLOOKUP($A396,Строчный!$A:$A,Строчный!O:O,"ERR",0)))</f>
        <v/>
      </c>
      <c r="O396" s="102" t="str">
        <f ca="1">PROPER(TRIM(_xlfn.XLOOKUP($A396,Строчный!$A:$A,Строчный!P:P,"ERR",0)))</f>
        <v/>
      </c>
      <c r="P396" s="81" t="str">
        <f ca="1">PROPER(TRIM(_xlfn.XLOOKUP($A396,Строчный!$A:$A,Строчный!R:R,"ERR",0)))</f>
        <v/>
      </c>
      <c r="Q396" s="90">
        <f ca="1">VALUE(_xlfn.XLOOKUP($A396,Строчный!$A:$A,Строчный!N:N,"ERR",0))</f>
        <v>975.8</v>
      </c>
      <c r="R396" s="89" t="str">
        <f ca="1">_xlfn.XLOOKUP($G396,Фабрика!A:A,Фабрика!B:B,"ERR",0)</f>
        <v>ООО "ФРЭДРИКСОН" Россия 192029, С-Петербург, пр. Обуховской обороны, д.86, лит М</v>
      </c>
      <c r="S396" s="80" t="str">
        <f ca="1">_xlfn.XLOOKUP(RIGHT(AA396,2),Размеры!D:D,Размеры!A:A,"ERR",0)</f>
        <v>57</v>
      </c>
      <c r="T396" s="80">
        <f ca="1">VALUE(_xlfn.XLOOKUP($AA396,Строчный!$S:$S,Строчный!U:U,"ERR",0))</f>
        <v>3</v>
      </c>
      <c r="U396" s="14" t="s">
        <v>265</v>
      </c>
      <c r="V396" s="101" t="str">
        <f t="shared" ca="1" si="31"/>
        <v>Кепка FREDRIKSON арт. 3030 (серый / черный)</v>
      </c>
      <c r="W396" s="100" t="str">
        <f t="shared" ca="1" si="32"/>
        <v>Кепка FREDRIKSON арт. 3030 (серый / черный) {641/76}</v>
      </c>
      <c r="X396" s="18" t="str">
        <f t="shared" ca="1" si="33"/>
        <v>серый</v>
      </c>
      <c r="Y396" s="18" t="str">
        <f t="shared" ca="1" si="34"/>
        <v>черный</v>
      </c>
      <c r="Z396" s="117" t="s">
        <v>28</v>
      </c>
      <c r="AA396" s="73" t="str">
        <f ca="1"/>
        <v>95-002-47-57</v>
      </c>
      <c r="AB396" s="75" t="str">
        <f ca="1">VLOOKUP(C396,Группа!A:B,2,FALSE)</f>
        <v>Кепка</v>
      </c>
      <c r="AC396" s="97" t="str">
        <f ca="1">IFERROR(VLOOKUP(S396,Размеры!A:C,3,FALSE),"")</f>
        <v>57 M</v>
      </c>
      <c r="AD396" s="97" t="str">
        <f ca="1">VLOOKUP(I396,ЦветПолный!A:B,2,FALSE)</f>
        <v>47</v>
      </c>
      <c r="AE396" s="97" t="str">
        <f ca="1">IFERROR(VLOOKUP(S396,Размеры!A:D,4,FALSE),"")</f>
        <v>57</v>
      </c>
      <c r="AF396" s="97">
        <f ca="1">IF(LEFT(IFERROR(VLOOKUP(LOOKUP(2,1/SEARCH(B396,Товары!A:A),Товары!A:A),Товары!A:B,2,0),""),6)=MID(AA396,1,6),1,0)</f>
        <v>0</v>
      </c>
      <c r="AH396" s="97">
        <f ca="1">SUMIF(Группа!A:A,C396,Группа!C:C)</f>
        <v>1</v>
      </c>
      <c r="AI396" s="97">
        <f ca="1">SUMIF(Группа!B:B,AB396,Группа!C:C)</f>
        <v>1</v>
      </c>
      <c r="AJ396" s="97">
        <f ca="1">SUMIF(Формы!A:A,D396,Формы!B:B)</f>
        <v>1</v>
      </c>
      <c r="AK396" s="97">
        <f ca="1">SUMIF(Материал!A:A,K396,Материал!B:B)</f>
        <v>1</v>
      </c>
      <c r="AL396" s="97">
        <f ca="1">SUMIF(Размеры!A:A,S396,Размеры!E:E)</f>
        <v>1</v>
      </c>
      <c r="AM396" s="97">
        <f ca="1">SUMIF(Сезон!A:A,F396,Сезон!B:B)</f>
        <v>1</v>
      </c>
      <c r="AN396" s="97">
        <f ca="1">SUMIF(Состав!A:A,J396,Состав!B:B)</f>
        <v>0</v>
      </c>
      <c r="AO396" s="97">
        <f ca="1">VLOOKUP(I396,ЦветПолный!A:C,3,0)</f>
        <v>1</v>
      </c>
      <c r="AP396" s="97">
        <f>SUMIF(Цвет!A:A,Z396,Цвет!B:B)</f>
        <v>1</v>
      </c>
      <c r="AQ396" s="97">
        <f ca="1">_xlfn.XLOOKUP(L396,Пол!A:A,Пол!B:B,0,0)</f>
        <v>1</v>
      </c>
      <c r="AR396" s="97">
        <f ca="1">SUMIF(Бренд!A:A,G396,Бренд!B:B)</f>
        <v>1</v>
      </c>
      <c r="AS396" s="97">
        <f ca="1">SUMIF(Страна!A:A,M396,Страна!B:B)</f>
        <v>1</v>
      </c>
      <c r="AT396" s="64" t="e">
        <f ca="1">IF(VLOOKUP(W396,Товары!A:B,2,FALSE)=A396,"Есть в 1С","ERR")</f>
        <v>#N/A</v>
      </c>
      <c r="AU396" s="65" t="e">
        <f ca="1">IF(VLOOKUP(A396,Товары!B:B,1,FALSE)=A396,"Есть в 1С","ERR")</f>
        <v>#N/A</v>
      </c>
      <c r="AV396" s="96" t="e">
        <f ca="1">VLOOKUP(W396,Товары!A:B,2,FALSE)</f>
        <v>#N/A</v>
      </c>
      <c r="AW396" s="94" t="e">
        <f ca="1">VLOOKUP(W396,Товары!A:B,1,FALSE)</f>
        <v>#N/A</v>
      </c>
    </row>
    <row r="397" spans="1:49" x14ac:dyDescent="0.25">
      <c r="A397" s="110" t="str">
        <f t="shared" ca="1" si="30"/>
        <v>95-002-47</v>
      </c>
      <c r="B397" s="107" t="str">
        <f ca="1">_xlfn.LET(_xlpm.CAPS,0,_xlpm.Style,TRIM(_xlfn.XLOOKUP($A397,Строчный!$A:$A,Строчный!B:B,"ERR",0)),IF(_xlpm.CAPS=0,_xlpm.Style,LOWER(_xlpm.Style)))</f>
        <v>3030</v>
      </c>
      <c r="C397" s="81" t="str">
        <f ca="1">TRIM(PROPER(_xlfn.XLOOKUP($A397,Строчный!$A:$A,Строчный!C:C,"ERR",0)))</f>
        <v>Кепки</v>
      </c>
      <c r="D397" s="81" t="str">
        <f ca="1">_xlfn.LET(_xlpm.DATA,TRIM(_xlfn.XLOOKUP($A397,Строчный!$A:$A,Строчный!D:D,"ERR",0)),UPPER(MID(_xlpm.DATA,1,1))&amp;LOWER(MID(_xlpm.DATA,2,LEN(_xlpm.DATA)-1)))</f>
        <v>Кепка восьмиклинка</v>
      </c>
      <c r="E397" s="81" t="str">
        <f ca="1">PROPER(TRIM(_xlfn.XLOOKUP($A397,Строчный!$A:$A,Строчный!E:E,"ERR",0)))</f>
        <v>Fredrikson</v>
      </c>
      <c r="F397" s="81" t="str">
        <f ca="1">LOWER(TRIM(_xlfn.XLOOKUP($A397,Строчный!$A:$A,Строчный!F:F,"ERR",0)))</f>
        <v>всесезон</v>
      </c>
      <c r="G397" s="81" t="str">
        <f ca="1">UPPER(TRIM(_xlfn.XLOOKUP($A397,Строчный!$A:$A,Строчный!G:G,"ERR",0)))</f>
        <v>FREDRIKSON</v>
      </c>
      <c r="H397" s="81" t="str">
        <f ca="1">LOWER(TRIM(_xlfn.XLOOKUP($A397,Строчный!$A:$A,Строчный!H:H,"ERR",0)))</f>
        <v>641/76</v>
      </c>
      <c r="I397" s="81" t="str">
        <f ca="1">LOWER(TRIM(_xlfn.XLOOKUP($A397,Строчный!$A:$A,Строчный!I:I,"ERR",0)))</f>
        <v>серый / черный</v>
      </c>
      <c r="J397" s="81" t="str">
        <f ca="1">SUBSTITUTE(LOWER(TRIM(_xlfn.XLOOKUP($A397,Строчный!$A:$A,Строчный!J:J,"ERR",0))),"подклад","Подклад")</f>
        <v>80% шерсть - 20% полиамид / Подклад: 100% вискоза</v>
      </c>
      <c r="K397" s="81" t="str">
        <f ca="1">LOWER(TRIM(_xlfn.XLOOKUP($A397,Строчный!$A:$A,Строчный!K:K,"ERR",0)))</f>
        <v>шерстяные</v>
      </c>
      <c r="L397" s="81" t="str">
        <f ca="1">PROPER(TRIM(_xlfn.XLOOKUP($A397,Строчный!$A:$A,Строчный!L:L,"ERR",0)))</f>
        <v>Унисекс</v>
      </c>
      <c r="M397" s="113" t="str">
        <f ca="1">PROPER(TRIM(_xlfn.XLOOKUP($A397,Строчный!$A:$A,Строчный!M:M,"ERR",0)))</f>
        <v>Россия</v>
      </c>
      <c r="N397" s="81" t="str">
        <f ca="1">UPPER(TRIM(_xlfn.XLOOKUP($A397,Строчный!$A:$A,Строчный!O:O,"ERR",0)))</f>
        <v/>
      </c>
      <c r="O397" s="102" t="str">
        <f ca="1">PROPER(TRIM(_xlfn.XLOOKUP($A397,Строчный!$A:$A,Строчный!P:P,"ERR",0)))</f>
        <v/>
      </c>
      <c r="P397" s="81" t="str">
        <f ca="1">PROPER(TRIM(_xlfn.XLOOKUP($A397,Строчный!$A:$A,Строчный!R:R,"ERR",0)))</f>
        <v/>
      </c>
      <c r="Q397" s="90">
        <f ca="1">VALUE(_xlfn.XLOOKUP($A397,Строчный!$A:$A,Строчный!N:N,"ERR",0))</f>
        <v>975.8</v>
      </c>
      <c r="R397" s="89" t="str">
        <f ca="1">_xlfn.XLOOKUP($G397,Фабрика!A:A,Фабрика!B:B,"ERR",0)</f>
        <v>ООО "ФРЭДРИКСОН" Россия 192029, С-Петербург, пр. Обуховской обороны, д.86, лит М</v>
      </c>
      <c r="S397" s="80" t="str">
        <f ca="1">_xlfn.XLOOKUP(RIGHT(AA397,2),Размеры!D:D,Размеры!A:A,"ERR",0)</f>
        <v>56</v>
      </c>
      <c r="T397" s="80">
        <f ca="1">VALUE(_xlfn.XLOOKUP($AA397,Строчный!$S:$S,Строчный!U:U,"ERR",0))</f>
        <v>2</v>
      </c>
      <c r="U397" s="14" t="s">
        <v>265</v>
      </c>
      <c r="V397" s="101" t="str">
        <f t="shared" ca="1" si="31"/>
        <v>Кепка FREDRIKSON арт. 3030 (серый / черный)</v>
      </c>
      <c r="W397" s="100" t="str">
        <f t="shared" ca="1" si="32"/>
        <v>Кепка FREDRIKSON арт. 3030 (серый / черный) {641/76}</v>
      </c>
      <c r="X397" s="18" t="str">
        <f t="shared" ca="1" si="33"/>
        <v>серый</v>
      </c>
      <c r="Y397" s="18" t="str">
        <f t="shared" ca="1" si="34"/>
        <v>черный</v>
      </c>
      <c r="Z397" s="117" t="s">
        <v>28</v>
      </c>
      <c r="AA397" s="73" t="str">
        <f ca="1"/>
        <v>95-002-47-56</v>
      </c>
      <c r="AB397" s="75" t="str">
        <f ca="1">VLOOKUP(C397,Группа!A:B,2,FALSE)</f>
        <v>Кепка</v>
      </c>
      <c r="AC397" s="97" t="str">
        <f ca="1">IFERROR(VLOOKUP(S397,Размеры!A:C,3,FALSE),"")</f>
        <v>56 S/M</v>
      </c>
      <c r="AD397" s="97" t="str">
        <f ca="1">VLOOKUP(I397,ЦветПолный!A:B,2,FALSE)</f>
        <v>47</v>
      </c>
      <c r="AE397" s="97" t="str">
        <f ca="1">IFERROR(VLOOKUP(S397,Размеры!A:D,4,FALSE),"")</f>
        <v>56</v>
      </c>
      <c r="AF397" s="97">
        <f ca="1">IF(LEFT(IFERROR(VLOOKUP(LOOKUP(2,1/SEARCH(B397,Товары!A:A),Товары!A:A),Товары!A:B,2,0),""),6)=MID(AA397,1,6),1,0)</f>
        <v>0</v>
      </c>
      <c r="AH397" s="97">
        <f ca="1">SUMIF(Группа!A:A,C397,Группа!C:C)</f>
        <v>1</v>
      </c>
      <c r="AI397" s="97">
        <f ca="1">SUMIF(Группа!B:B,AB397,Группа!C:C)</f>
        <v>1</v>
      </c>
      <c r="AJ397" s="97">
        <f ca="1">SUMIF(Формы!A:A,D397,Формы!B:B)</f>
        <v>1</v>
      </c>
      <c r="AK397" s="97">
        <f ca="1">SUMIF(Материал!A:A,K397,Материал!B:B)</f>
        <v>1</v>
      </c>
      <c r="AL397" s="97">
        <f ca="1">SUMIF(Размеры!A:A,S397,Размеры!E:E)</f>
        <v>1</v>
      </c>
      <c r="AM397" s="97">
        <f ca="1">SUMIF(Сезон!A:A,F397,Сезон!B:B)</f>
        <v>1</v>
      </c>
      <c r="AN397" s="97">
        <f ca="1">SUMIF(Состав!A:A,J397,Состав!B:B)</f>
        <v>0</v>
      </c>
      <c r="AO397" s="97">
        <f ca="1">VLOOKUP(I397,ЦветПолный!A:C,3,0)</f>
        <v>1</v>
      </c>
      <c r="AP397" s="97">
        <f>SUMIF(Цвет!A:A,Z397,Цвет!B:B)</f>
        <v>1</v>
      </c>
      <c r="AQ397" s="97">
        <f ca="1">_xlfn.XLOOKUP(L397,Пол!A:A,Пол!B:B,0,0)</f>
        <v>1</v>
      </c>
      <c r="AR397" s="97">
        <f ca="1">SUMIF(Бренд!A:A,G397,Бренд!B:B)</f>
        <v>1</v>
      </c>
      <c r="AS397" s="97">
        <f ca="1">SUMIF(Страна!A:A,M397,Страна!B:B)</f>
        <v>1</v>
      </c>
      <c r="AT397" s="64" t="e">
        <f ca="1">IF(VLOOKUP(W397,Товары!A:B,2,FALSE)=A397,"Есть в 1С","ERR")</f>
        <v>#N/A</v>
      </c>
      <c r="AU397" s="65" t="e">
        <f ca="1">IF(VLOOKUP(A397,Товары!B:B,1,FALSE)=A397,"Есть в 1С","ERR")</f>
        <v>#N/A</v>
      </c>
      <c r="AV397" s="96" t="e">
        <f ca="1">VLOOKUP(W397,Товары!A:B,2,FALSE)</f>
        <v>#N/A</v>
      </c>
      <c r="AW397" s="94" t="e">
        <f ca="1">VLOOKUP(W397,Товары!A:B,1,FALSE)</f>
        <v>#N/A</v>
      </c>
    </row>
    <row r="398" spans="1:49" x14ac:dyDescent="0.25">
      <c r="A398" s="110" t="str">
        <f t="shared" ca="1" si="30"/>
        <v>95-001-89</v>
      </c>
      <c r="B398" s="107" t="str">
        <f ca="1">_xlfn.LET(_xlpm.CAPS,0,_xlpm.Style,TRIM(_xlfn.XLOOKUP($A398,Строчный!$A:$A,Строчный!B:B,"ERR",0)),IF(_xlpm.CAPS=0,_xlpm.Style,LOWER(_xlpm.Style)))</f>
        <v>3215</v>
      </c>
      <c r="C398" s="81" t="str">
        <f ca="1">TRIM(PROPER(_xlfn.XLOOKUP($A398,Строчный!$A:$A,Строчный!C:C,"ERR",0)))</f>
        <v>Бейсболки</v>
      </c>
      <c r="D398" s="81" t="str">
        <f ca="1">_xlfn.LET(_xlpm.DATA,TRIM(_xlfn.XLOOKUP($A398,Строчный!$A:$A,Строчный!D:D,"ERR",0)),UPPER(MID(_xlpm.DATA,1,1))&amp;LOWER(MID(_xlpm.DATA,2,LEN(_xlpm.DATA)-1)))</f>
        <v>Бейсболка</v>
      </c>
      <c r="E398" s="81" t="str">
        <f ca="1">PROPER(TRIM(_xlfn.XLOOKUP($A398,Строчный!$A:$A,Строчный!E:E,"ERR",0)))</f>
        <v>Fredrikson</v>
      </c>
      <c r="F398" s="81" t="str">
        <f ca="1">LOWER(TRIM(_xlfn.XLOOKUP($A398,Строчный!$A:$A,Строчный!F:F,"ERR",0)))</f>
        <v>всесезон</v>
      </c>
      <c r="G398" s="81" t="str">
        <f ca="1">UPPER(TRIM(_xlfn.XLOOKUP($A398,Строчный!$A:$A,Строчный!G:G,"ERR",0)))</f>
        <v>FREDRIKSON</v>
      </c>
      <c r="H398" s="81" t="str">
        <f ca="1">LOWER(TRIM(_xlfn.XLOOKUP($A398,Строчный!$A:$A,Строчный!H:H,"ERR",0)))</f>
        <v>630/23</v>
      </c>
      <c r="I398" s="81" t="str">
        <f ca="1">LOWER(TRIM(_xlfn.XLOOKUP($A398,Строчный!$A:$A,Строчный!I:I,"ERR",0)))</f>
        <v>голубой / серый</v>
      </c>
      <c r="J398" s="81" t="str">
        <f ca="1">SUBSTITUTE(LOWER(TRIM(_xlfn.XLOOKUP($A398,Строчный!$A:$A,Строчный!J:J,"ERR",0))),"подклад","Подклад")</f>
        <v>80% шерсть - 20% полиамид / Подклад: 100% вискоза</v>
      </c>
      <c r="K398" s="81" t="str">
        <f ca="1">LOWER(TRIM(_xlfn.XLOOKUP($A398,Строчный!$A:$A,Строчный!K:K,"ERR",0)))</f>
        <v>шерстяные</v>
      </c>
      <c r="L398" s="81" t="str">
        <f ca="1">PROPER(TRIM(_xlfn.XLOOKUP($A398,Строчный!$A:$A,Строчный!L:L,"ERR",0)))</f>
        <v>Унисекс</v>
      </c>
      <c r="M398" s="113" t="str">
        <f ca="1">PROPER(TRIM(_xlfn.XLOOKUP($A398,Строчный!$A:$A,Строчный!M:M,"ERR",0)))</f>
        <v>Россия</v>
      </c>
      <c r="N398" s="81" t="str">
        <f ca="1">UPPER(TRIM(_xlfn.XLOOKUP($A398,Строчный!$A:$A,Строчный!O:O,"ERR",0)))</f>
        <v/>
      </c>
      <c r="O398" s="102" t="str">
        <f ca="1">PROPER(TRIM(_xlfn.XLOOKUP($A398,Строчный!$A:$A,Строчный!P:P,"ERR",0)))</f>
        <v/>
      </c>
      <c r="P398" s="81" t="str">
        <f ca="1">PROPER(TRIM(_xlfn.XLOOKUP($A398,Строчный!$A:$A,Строчный!R:R,"ERR",0)))</f>
        <v/>
      </c>
      <c r="Q398" s="90">
        <f ca="1">VALUE(_xlfn.XLOOKUP($A398,Строчный!$A:$A,Строчный!N:N,"ERR",0))</f>
        <v>975.8</v>
      </c>
      <c r="R398" s="89" t="str">
        <f ca="1">_xlfn.XLOOKUP($G398,Фабрика!A:A,Фабрика!B:B,"ERR",0)</f>
        <v>ООО "ФРЭДРИКСОН" Россия 192029, С-Петербург, пр. Обуховской обороны, д.86, лит М</v>
      </c>
      <c r="S398" s="80" t="str">
        <f ca="1">_xlfn.XLOOKUP(RIGHT(AA398,2),Размеры!D:D,Размеры!A:A,"ERR",0)</f>
        <v>62</v>
      </c>
      <c r="T398" s="80">
        <f ca="1">VALUE(_xlfn.XLOOKUP($AA398,Строчный!$S:$S,Строчный!U:U,"ERR",0))</f>
        <v>2</v>
      </c>
      <c r="U398" s="14" t="s">
        <v>265</v>
      </c>
      <c r="V398" s="101" t="str">
        <f t="shared" ca="1" si="31"/>
        <v>Бейсболка FREDRIKSON арт. 3215 (голубой / серый)</v>
      </c>
      <c r="W398" s="100" t="str">
        <f t="shared" ca="1" si="32"/>
        <v>Бейсболка FREDRIKSON арт. 3215 (голубой / серый) {630/23}</v>
      </c>
      <c r="X398" s="18" t="str">
        <f t="shared" ca="1" si="33"/>
        <v>голубой</v>
      </c>
      <c r="Y398" s="18" t="str">
        <f t="shared" ca="1" si="34"/>
        <v>серый</v>
      </c>
      <c r="Z398" s="117" t="s">
        <v>28</v>
      </c>
      <c r="AA398" s="73" t="str">
        <f ca="1"/>
        <v>95-001-89-62</v>
      </c>
      <c r="AB398" s="75" t="str">
        <f ca="1">VLOOKUP(C398,Группа!A:B,2,FALSE)</f>
        <v>Бейсболка</v>
      </c>
      <c r="AC398" s="97" t="str">
        <f ca="1">IFERROR(VLOOKUP(S398,Размеры!A:C,3,FALSE),"")</f>
        <v>62 XL/XXL</v>
      </c>
      <c r="AD398" s="97" t="str">
        <f ca="1">VLOOKUP(I398,ЦветПолный!A:B,2,FALSE)</f>
        <v>89</v>
      </c>
      <c r="AE398" s="97" t="str">
        <f ca="1">IFERROR(VLOOKUP(S398,Размеры!A:D,4,FALSE),"")</f>
        <v>62</v>
      </c>
      <c r="AF398" s="97">
        <f ca="1">IF(LEFT(IFERROR(VLOOKUP(LOOKUP(2,1/SEARCH(B398,Товары!A:A),Товары!A:A),Товары!A:B,2,0),""),6)=MID(AA398,1,6),1,0)</f>
        <v>0</v>
      </c>
      <c r="AH398" s="97">
        <f ca="1">SUMIF(Группа!A:A,C398,Группа!C:C)</f>
        <v>1</v>
      </c>
      <c r="AI398" s="97">
        <f ca="1">SUMIF(Группа!B:B,AB398,Группа!C:C)</f>
        <v>1</v>
      </c>
      <c r="AJ398" s="97">
        <f ca="1">SUMIF(Формы!A:A,D398,Формы!B:B)</f>
        <v>1</v>
      </c>
      <c r="AK398" s="97">
        <f ca="1">SUMIF(Материал!A:A,K398,Материал!B:B)</f>
        <v>1</v>
      </c>
      <c r="AL398" s="97">
        <f ca="1">SUMIF(Размеры!A:A,S398,Размеры!E:E)</f>
        <v>1</v>
      </c>
      <c r="AM398" s="97">
        <f ca="1">SUMIF(Сезон!A:A,F398,Сезон!B:B)</f>
        <v>1</v>
      </c>
      <c r="AN398" s="97">
        <f ca="1">SUMIF(Состав!A:A,J398,Состав!B:B)</f>
        <v>0</v>
      </c>
      <c r="AO398" s="97">
        <f ca="1">VLOOKUP(I398,ЦветПолный!A:C,3,0)</f>
        <v>1</v>
      </c>
      <c r="AP398" s="97">
        <f>SUMIF(Цвет!A:A,Z398,Цвет!B:B)</f>
        <v>1</v>
      </c>
      <c r="AQ398" s="97">
        <f ca="1">_xlfn.XLOOKUP(L398,Пол!A:A,Пол!B:B,0,0)</f>
        <v>1</v>
      </c>
      <c r="AR398" s="97">
        <f ca="1">SUMIF(Бренд!A:A,G398,Бренд!B:B)</f>
        <v>1</v>
      </c>
      <c r="AS398" s="97">
        <f ca="1">SUMIF(Страна!A:A,M398,Страна!B:B)</f>
        <v>1</v>
      </c>
      <c r="AT398" s="64" t="e">
        <f ca="1">IF(VLOOKUP(W398,Товары!A:B,2,FALSE)=A398,"Есть в 1С","ERR")</f>
        <v>#N/A</v>
      </c>
      <c r="AU398" s="65" t="e">
        <f ca="1">IF(VLOOKUP(A398,Товары!B:B,1,FALSE)=A398,"Есть в 1С","ERR")</f>
        <v>#N/A</v>
      </c>
      <c r="AV398" s="96" t="e">
        <f ca="1">VLOOKUP(W398,Товары!A:B,2,FALSE)</f>
        <v>#N/A</v>
      </c>
      <c r="AW398" s="94" t="e">
        <f ca="1">VLOOKUP(W398,Товары!A:B,1,FALSE)</f>
        <v>#N/A</v>
      </c>
    </row>
    <row r="399" spans="1:49" x14ac:dyDescent="0.25">
      <c r="A399" s="110" t="str">
        <f t="shared" ca="1" si="30"/>
        <v>95-001-89</v>
      </c>
      <c r="B399" s="107" t="str">
        <f ca="1">_xlfn.LET(_xlpm.CAPS,0,_xlpm.Style,TRIM(_xlfn.XLOOKUP($A399,Строчный!$A:$A,Строчный!B:B,"ERR",0)),IF(_xlpm.CAPS=0,_xlpm.Style,LOWER(_xlpm.Style)))</f>
        <v>3215</v>
      </c>
      <c r="C399" s="81" t="str">
        <f ca="1">TRIM(PROPER(_xlfn.XLOOKUP($A399,Строчный!$A:$A,Строчный!C:C,"ERR",0)))</f>
        <v>Бейсболки</v>
      </c>
      <c r="D399" s="81" t="str">
        <f ca="1">_xlfn.LET(_xlpm.DATA,TRIM(_xlfn.XLOOKUP($A399,Строчный!$A:$A,Строчный!D:D,"ERR",0)),UPPER(MID(_xlpm.DATA,1,1))&amp;LOWER(MID(_xlpm.DATA,2,LEN(_xlpm.DATA)-1)))</f>
        <v>Бейсболка</v>
      </c>
      <c r="E399" s="81" t="str">
        <f ca="1">PROPER(TRIM(_xlfn.XLOOKUP($A399,Строчный!$A:$A,Строчный!E:E,"ERR",0)))</f>
        <v>Fredrikson</v>
      </c>
      <c r="F399" s="81" t="str">
        <f ca="1">LOWER(TRIM(_xlfn.XLOOKUP($A399,Строчный!$A:$A,Строчный!F:F,"ERR",0)))</f>
        <v>всесезон</v>
      </c>
      <c r="G399" s="81" t="str">
        <f ca="1">UPPER(TRIM(_xlfn.XLOOKUP($A399,Строчный!$A:$A,Строчный!G:G,"ERR",0)))</f>
        <v>FREDRIKSON</v>
      </c>
      <c r="H399" s="81" t="str">
        <f ca="1">LOWER(TRIM(_xlfn.XLOOKUP($A399,Строчный!$A:$A,Строчный!H:H,"ERR",0)))</f>
        <v>630/23</v>
      </c>
      <c r="I399" s="81" t="str">
        <f ca="1">LOWER(TRIM(_xlfn.XLOOKUP($A399,Строчный!$A:$A,Строчный!I:I,"ERR",0)))</f>
        <v>голубой / серый</v>
      </c>
      <c r="J399" s="81" t="str">
        <f ca="1">SUBSTITUTE(LOWER(TRIM(_xlfn.XLOOKUP($A399,Строчный!$A:$A,Строчный!J:J,"ERR",0))),"подклад","Подклад")</f>
        <v>80% шерсть - 20% полиамид / Подклад: 100% вискоза</v>
      </c>
      <c r="K399" s="81" t="str">
        <f ca="1">LOWER(TRIM(_xlfn.XLOOKUP($A399,Строчный!$A:$A,Строчный!K:K,"ERR",0)))</f>
        <v>шерстяные</v>
      </c>
      <c r="L399" s="81" t="str">
        <f ca="1">PROPER(TRIM(_xlfn.XLOOKUP($A399,Строчный!$A:$A,Строчный!L:L,"ERR",0)))</f>
        <v>Унисекс</v>
      </c>
      <c r="M399" s="113" t="str">
        <f ca="1">PROPER(TRIM(_xlfn.XLOOKUP($A399,Строчный!$A:$A,Строчный!M:M,"ERR",0)))</f>
        <v>Россия</v>
      </c>
      <c r="N399" s="81" t="str">
        <f ca="1">UPPER(TRIM(_xlfn.XLOOKUP($A399,Строчный!$A:$A,Строчный!O:O,"ERR",0)))</f>
        <v/>
      </c>
      <c r="O399" s="102" t="str">
        <f ca="1">PROPER(TRIM(_xlfn.XLOOKUP($A399,Строчный!$A:$A,Строчный!P:P,"ERR",0)))</f>
        <v/>
      </c>
      <c r="P399" s="81" t="str">
        <f ca="1">PROPER(TRIM(_xlfn.XLOOKUP($A399,Строчный!$A:$A,Строчный!R:R,"ERR",0)))</f>
        <v/>
      </c>
      <c r="Q399" s="90">
        <f ca="1">VALUE(_xlfn.XLOOKUP($A399,Строчный!$A:$A,Строчный!N:N,"ERR",0))</f>
        <v>975.8</v>
      </c>
      <c r="R399" s="89" t="str">
        <f ca="1">_xlfn.XLOOKUP($G399,Фабрика!A:A,Фабрика!B:B,"ERR",0)</f>
        <v>ООО "ФРЭДРИКСОН" Россия 192029, С-Петербург, пр. Обуховской обороны, д.86, лит М</v>
      </c>
      <c r="S399" s="80" t="str">
        <f ca="1">_xlfn.XLOOKUP(RIGHT(AA399,2),Размеры!D:D,Размеры!A:A,"ERR",0)</f>
        <v>61</v>
      </c>
      <c r="T399" s="80">
        <f ca="1">VALUE(_xlfn.XLOOKUP($AA399,Строчный!$S:$S,Строчный!U:U,"ERR",0))</f>
        <v>4</v>
      </c>
      <c r="U399" s="14" t="s">
        <v>265</v>
      </c>
      <c r="V399" s="101" t="str">
        <f t="shared" ca="1" si="31"/>
        <v>Бейсболка FREDRIKSON арт. 3215 (голубой / серый)</v>
      </c>
      <c r="W399" s="100" t="str">
        <f t="shared" ca="1" si="32"/>
        <v>Бейсболка FREDRIKSON арт. 3215 (голубой / серый) {630/23}</v>
      </c>
      <c r="X399" s="18" t="str">
        <f t="shared" ca="1" si="33"/>
        <v>голубой</v>
      </c>
      <c r="Y399" s="18" t="str">
        <f t="shared" ca="1" si="34"/>
        <v>серый</v>
      </c>
      <c r="Z399" s="117" t="s">
        <v>28</v>
      </c>
      <c r="AA399" s="73" t="str">
        <f ca="1"/>
        <v>95-001-89-61</v>
      </c>
      <c r="AB399" s="75" t="str">
        <f ca="1">VLOOKUP(C399,Группа!A:B,2,FALSE)</f>
        <v>Бейсболка</v>
      </c>
      <c r="AC399" s="97" t="str">
        <f ca="1">IFERROR(VLOOKUP(S399,Размеры!A:C,3,FALSE),"")</f>
        <v>61 XL</v>
      </c>
      <c r="AD399" s="97" t="str">
        <f ca="1">VLOOKUP(I399,ЦветПолный!A:B,2,FALSE)</f>
        <v>89</v>
      </c>
      <c r="AE399" s="97" t="str">
        <f ca="1">IFERROR(VLOOKUP(S399,Размеры!A:D,4,FALSE),"")</f>
        <v>61</v>
      </c>
      <c r="AF399" s="97">
        <f ca="1">IF(LEFT(IFERROR(VLOOKUP(LOOKUP(2,1/SEARCH(B399,Товары!A:A),Товары!A:A),Товары!A:B,2,0),""),6)=MID(AA399,1,6),1,0)</f>
        <v>0</v>
      </c>
      <c r="AH399" s="97">
        <f ca="1">SUMIF(Группа!A:A,C399,Группа!C:C)</f>
        <v>1</v>
      </c>
      <c r="AI399" s="97">
        <f ca="1">SUMIF(Группа!B:B,AB399,Группа!C:C)</f>
        <v>1</v>
      </c>
      <c r="AJ399" s="97">
        <f ca="1">SUMIF(Формы!A:A,D399,Формы!B:B)</f>
        <v>1</v>
      </c>
      <c r="AK399" s="97">
        <f ca="1">SUMIF(Материал!A:A,K399,Материал!B:B)</f>
        <v>1</v>
      </c>
      <c r="AL399" s="97">
        <f ca="1">SUMIF(Размеры!A:A,S399,Размеры!E:E)</f>
        <v>1</v>
      </c>
      <c r="AM399" s="97">
        <f ca="1">SUMIF(Сезон!A:A,F399,Сезон!B:B)</f>
        <v>1</v>
      </c>
      <c r="AN399" s="97">
        <f ca="1">SUMIF(Состав!A:A,J399,Состав!B:B)</f>
        <v>0</v>
      </c>
      <c r="AO399" s="97">
        <f ca="1">VLOOKUP(I399,ЦветПолный!A:C,3,0)</f>
        <v>1</v>
      </c>
      <c r="AP399" s="97">
        <f>SUMIF(Цвет!A:A,Z399,Цвет!B:B)</f>
        <v>1</v>
      </c>
      <c r="AQ399" s="97">
        <f ca="1">_xlfn.XLOOKUP(L399,Пол!A:A,Пол!B:B,0,0)</f>
        <v>1</v>
      </c>
      <c r="AR399" s="97">
        <f ca="1">SUMIF(Бренд!A:A,G399,Бренд!B:B)</f>
        <v>1</v>
      </c>
      <c r="AS399" s="97">
        <f ca="1">SUMIF(Страна!A:A,M399,Страна!B:B)</f>
        <v>1</v>
      </c>
      <c r="AT399" s="64" t="e">
        <f ca="1">IF(VLOOKUP(W399,Товары!A:B,2,FALSE)=A399,"Есть в 1С","ERR")</f>
        <v>#N/A</v>
      </c>
      <c r="AU399" s="65" t="e">
        <f ca="1">IF(VLOOKUP(A399,Товары!B:B,1,FALSE)=A399,"Есть в 1С","ERR")</f>
        <v>#N/A</v>
      </c>
      <c r="AV399" s="96" t="e">
        <f ca="1">VLOOKUP(W399,Товары!A:B,2,FALSE)</f>
        <v>#N/A</v>
      </c>
      <c r="AW399" s="94" t="e">
        <f ca="1">VLOOKUP(W399,Товары!A:B,1,FALSE)</f>
        <v>#N/A</v>
      </c>
    </row>
    <row r="400" spans="1:49" x14ac:dyDescent="0.25">
      <c r="A400" s="110" t="str">
        <f t="shared" ca="1" si="30"/>
        <v>95-001-89</v>
      </c>
      <c r="B400" s="107" t="str">
        <f ca="1">_xlfn.LET(_xlpm.CAPS,0,_xlpm.Style,TRIM(_xlfn.XLOOKUP($A400,Строчный!$A:$A,Строчный!B:B,"ERR",0)),IF(_xlpm.CAPS=0,_xlpm.Style,LOWER(_xlpm.Style)))</f>
        <v>3215</v>
      </c>
      <c r="C400" s="81" t="str">
        <f ca="1">TRIM(PROPER(_xlfn.XLOOKUP($A400,Строчный!$A:$A,Строчный!C:C,"ERR",0)))</f>
        <v>Бейсболки</v>
      </c>
      <c r="D400" s="81" t="str">
        <f ca="1">_xlfn.LET(_xlpm.DATA,TRIM(_xlfn.XLOOKUP($A400,Строчный!$A:$A,Строчный!D:D,"ERR",0)),UPPER(MID(_xlpm.DATA,1,1))&amp;LOWER(MID(_xlpm.DATA,2,LEN(_xlpm.DATA)-1)))</f>
        <v>Бейсболка</v>
      </c>
      <c r="E400" s="81" t="str">
        <f ca="1">PROPER(TRIM(_xlfn.XLOOKUP($A400,Строчный!$A:$A,Строчный!E:E,"ERR",0)))</f>
        <v>Fredrikson</v>
      </c>
      <c r="F400" s="81" t="str">
        <f ca="1">LOWER(TRIM(_xlfn.XLOOKUP($A400,Строчный!$A:$A,Строчный!F:F,"ERR",0)))</f>
        <v>всесезон</v>
      </c>
      <c r="G400" s="81" t="str">
        <f ca="1">UPPER(TRIM(_xlfn.XLOOKUP($A400,Строчный!$A:$A,Строчный!G:G,"ERR",0)))</f>
        <v>FREDRIKSON</v>
      </c>
      <c r="H400" s="81" t="str">
        <f ca="1">LOWER(TRIM(_xlfn.XLOOKUP($A400,Строчный!$A:$A,Строчный!H:H,"ERR",0)))</f>
        <v>630/23</v>
      </c>
      <c r="I400" s="81" t="str">
        <f ca="1">LOWER(TRIM(_xlfn.XLOOKUP($A400,Строчный!$A:$A,Строчный!I:I,"ERR",0)))</f>
        <v>голубой / серый</v>
      </c>
      <c r="J400" s="81" t="str">
        <f ca="1">SUBSTITUTE(LOWER(TRIM(_xlfn.XLOOKUP($A400,Строчный!$A:$A,Строчный!J:J,"ERR",0))),"подклад","Подклад")</f>
        <v>80% шерсть - 20% полиамид / Подклад: 100% вискоза</v>
      </c>
      <c r="K400" s="81" t="str">
        <f ca="1">LOWER(TRIM(_xlfn.XLOOKUP($A400,Строчный!$A:$A,Строчный!K:K,"ERR",0)))</f>
        <v>шерстяные</v>
      </c>
      <c r="L400" s="81" t="str">
        <f ca="1">PROPER(TRIM(_xlfn.XLOOKUP($A400,Строчный!$A:$A,Строчный!L:L,"ERR",0)))</f>
        <v>Унисекс</v>
      </c>
      <c r="M400" s="113" t="str">
        <f ca="1">PROPER(TRIM(_xlfn.XLOOKUP($A400,Строчный!$A:$A,Строчный!M:M,"ERR",0)))</f>
        <v>Россия</v>
      </c>
      <c r="N400" s="81" t="str">
        <f ca="1">UPPER(TRIM(_xlfn.XLOOKUP($A400,Строчный!$A:$A,Строчный!O:O,"ERR",0)))</f>
        <v/>
      </c>
      <c r="O400" s="102" t="str">
        <f ca="1">PROPER(TRIM(_xlfn.XLOOKUP($A400,Строчный!$A:$A,Строчный!P:P,"ERR",0)))</f>
        <v/>
      </c>
      <c r="P400" s="81" t="str">
        <f ca="1">PROPER(TRIM(_xlfn.XLOOKUP($A400,Строчный!$A:$A,Строчный!R:R,"ERR",0)))</f>
        <v/>
      </c>
      <c r="Q400" s="90">
        <f ca="1">VALUE(_xlfn.XLOOKUP($A400,Строчный!$A:$A,Строчный!N:N,"ERR",0))</f>
        <v>975.8</v>
      </c>
      <c r="R400" s="89" t="str">
        <f ca="1">_xlfn.XLOOKUP($G400,Фабрика!A:A,Фабрика!B:B,"ERR",0)</f>
        <v>ООО "ФРЭДРИКСОН" Россия 192029, С-Петербург, пр. Обуховской обороны, д.86, лит М</v>
      </c>
      <c r="S400" s="80" t="str">
        <f ca="1">_xlfn.XLOOKUP(RIGHT(AA400,2),Размеры!D:D,Размеры!A:A,"ERR",0)</f>
        <v>60</v>
      </c>
      <c r="T400" s="80">
        <f ca="1">VALUE(_xlfn.XLOOKUP($AA400,Строчный!$S:$S,Строчный!U:U,"ERR",0))</f>
        <v>6</v>
      </c>
      <c r="U400" s="14" t="s">
        <v>265</v>
      </c>
      <c r="V400" s="101" t="str">
        <f t="shared" ca="1" si="31"/>
        <v>Бейсболка FREDRIKSON арт. 3215 (голубой / серый)</v>
      </c>
      <c r="W400" s="100" t="str">
        <f t="shared" ca="1" si="32"/>
        <v>Бейсболка FREDRIKSON арт. 3215 (голубой / серый) {630/23}</v>
      </c>
      <c r="X400" s="18" t="str">
        <f t="shared" ca="1" si="33"/>
        <v>голубой</v>
      </c>
      <c r="Y400" s="18" t="str">
        <f t="shared" ca="1" si="34"/>
        <v>серый</v>
      </c>
      <c r="Z400" s="117" t="s">
        <v>28</v>
      </c>
      <c r="AA400" s="73" t="str">
        <f ca="1"/>
        <v>95-001-89-60</v>
      </c>
      <c r="AB400" s="75" t="str">
        <f ca="1">VLOOKUP(C400,Группа!A:B,2,FALSE)</f>
        <v>Бейсболка</v>
      </c>
      <c r="AC400" s="97" t="str">
        <f ca="1">IFERROR(VLOOKUP(S400,Размеры!A:C,3,FALSE),"")</f>
        <v>60 L/XL</v>
      </c>
      <c r="AD400" s="97" t="str">
        <f ca="1">VLOOKUP(I400,ЦветПолный!A:B,2,FALSE)</f>
        <v>89</v>
      </c>
      <c r="AE400" s="97" t="str">
        <f ca="1">IFERROR(VLOOKUP(S400,Размеры!A:D,4,FALSE),"")</f>
        <v>60</v>
      </c>
      <c r="AF400" s="97">
        <f ca="1">IF(LEFT(IFERROR(VLOOKUP(LOOKUP(2,1/SEARCH(B400,Товары!A:A),Товары!A:A),Товары!A:B,2,0),""),6)=MID(AA400,1,6),1,0)</f>
        <v>0</v>
      </c>
      <c r="AH400" s="97">
        <f ca="1">SUMIF(Группа!A:A,C400,Группа!C:C)</f>
        <v>1</v>
      </c>
      <c r="AI400" s="97">
        <f ca="1">SUMIF(Группа!B:B,AB400,Группа!C:C)</f>
        <v>1</v>
      </c>
      <c r="AJ400" s="97">
        <f ca="1">SUMIF(Формы!A:A,D400,Формы!B:B)</f>
        <v>1</v>
      </c>
      <c r="AK400" s="97">
        <f ca="1">SUMIF(Материал!A:A,K400,Материал!B:B)</f>
        <v>1</v>
      </c>
      <c r="AL400" s="97">
        <f ca="1">SUMIF(Размеры!A:A,S400,Размеры!E:E)</f>
        <v>1</v>
      </c>
      <c r="AM400" s="97">
        <f ca="1">SUMIF(Сезон!A:A,F400,Сезон!B:B)</f>
        <v>1</v>
      </c>
      <c r="AN400" s="97">
        <f ca="1">SUMIF(Состав!A:A,J400,Состав!B:B)</f>
        <v>0</v>
      </c>
      <c r="AO400" s="97">
        <f ca="1">VLOOKUP(I400,ЦветПолный!A:C,3,0)</f>
        <v>1</v>
      </c>
      <c r="AP400" s="97">
        <f>SUMIF(Цвет!A:A,Z400,Цвет!B:B)</f>
        <v>1</v>
      </c>
      <c r="AQ400" s="97">
        <f ca="1">_xlfn.XLOOKUP(L400,Пол!A:A,Пол!B:B,0,0)</f>
        <v>1</v>
      </c>
      <c r="AR400" s="97">
        <f ca="1">SUMIF(Бренд!A:A,G400,Бренд!B:B)</f>
        <v>1</v>
      </c>
      <c r="AS400" s="97">
        <f ca="1">SUMIF(Страна!A:A,M400,Страна!B:B)</f>
        <v>1</v>
      </c>
      <c r="AT400" s="64" t="e">
        <f ca="1">IF(VLOOKUP(W400,Товары!A:B,2,FALSE)=A400,"Есть в 1С","ERR")</f>
        <v>#N/A</v>
      </c>
      <c r="AU400" s="65" t="e">
        <f ca="1">IF(VLOOKUP(A400,Товары!B:B,1,FALSE)=A400,"Есть в 1С","ERR")</f>
        <v>#N/A</v>
      </c>
      <c r="AV400" s="96" t="e">
        <f ca="1">VLOOKUP(W400,Товары!A:B,2,FALSE)</f>
        <v>#N/A</v>
      </c>
      <c r="AW400" s="94" t="e">
        <f ca="1">VLOOKUP(W400,Товары!A:B,1,FALSE)</f>
        <v>#N/A</v>
      </c>
    </row>
    <row r="401" spans="1:49" x14ac:dyDescent="0.25">
      <c r="A401" s="110" t="str">
        <f t="shared" ca="1" si="30"/>
        <v>95-001-89</v>
      </c>
      <c r="B401" s="107" t="str">
        <f ca="1">_xlfn.LET(_xlpm.CAPS,0,_xlpm.Style,TRIM(_xlfn.XLOOKUP($A401,Строчный!$A:$A,Строчный!B:B,"ERR",0)),IF(_xlpm.CAPS=0,_xlpm.Style,LOWER(_xlpm.Style)))</f>
        <v>3215</v>
      </c>
      <c r="C401" s="81" t="str">
        <f ca="1">TRIM(PROPER(_xlfn.XLOOKUP($A401,Строчный!$A:$A,Строчный!C:C,"ERR",0)))</f>
        <v>Бейсболки</v>
      </c>
      <c r="D401" s="81" t="str">
        <f ca="1">_xlfn.LET(_xlpm.DATA,TRIM(_xlfn.XLOOKUP($A401,Строчный!$A:$A,Строчный!D:D,"ERR",0)),UPPER(MID(_xlpm.DATA,1,1))&amp;LOWER(MID(_xlpm.DATA,2,LEN(_xlpm.DATA)-1)))</f>
        <v>Бейсболка</v>
      </c>
      <c r="E401" s="81" t="str">
        <f ca="1">PROPER(TRIM(_xlfn.XLOOKUP($A401,Строчный!$A:$A,Строчный!E:E,"ERR",0)))</f>
        <v>Fredrikson</v>
      </c>
      <c r="F401" s="81" t="str">
        <f ca="1">LOWER(TRIM(_xlfn.XLOOKUP($A401,Строчный!$A:$A,Строчный!F:F,"ERR",0)))</f>
        <v>всесезон</v>
      </c>
      <c r="G401" s="81" t="str">
        <f ca="1">UPPER(TRIM(_xlfn.XLOOKUP($A401,Строчный!$A:$A,Строчный!G:G,"ERR",0)))</f>
        <v>FREDRIKSON</v>
      </c>
      <c r="H401" s="81" t="str">
        <f ca="1">LOWER(TRIM(_xlfn.XLOOKUP($A401,Строчный!$A:$A,Строчный!H:H,"ERR",0)))</f>
        <v>630/23</v>
      </c>
      <c r="I401" s="81" t="str">
        <f ca="1">LOWER(TRIM(_xlfn.XLOOKUP($A401,Строчный!$A:$A,Строчный!I:I,"ERR",0)))</f>
        <v>голубой / серый</v>
      </c>
      <c r="J401" s="81" t="str">
        <f ca="1">SUBSTITUTE(LOWER(TRIM(_xlfn.XLOOKUP($A401,Строчный!$A:$A,Строчный!J:J,"ERR",0))),"подклад","Подклад")</f>
        <v>80% шерсть - 20% полиамид / Подклад: 100% вискоза</v>
      </c>
      <c r="K401" s="81" t="str">
        <f ca="1">LOWER(TRIM(_xlfn.XLOOKUP($A401,Строчный!$A:$A,Строчный!K:K,"ERR",0)))</f>
        <v>шерстяные</v>
      </c>
      <c r="L401" s="81" t="str">
        <f ca="1">PROPER(TRIM(_xlfn.XLOOKUP($A401,Строчный!$A:$A,Строчный!L:L,"ERR",0)))</f>
        <v>Унисекс</v>
      </c>
      <c r="M401" s="113" t="str">
        <f ca="1">PROPER(TRIM(_xlfn.XLOOKUP($A401,Строчный!$A:$A,Строчный!M:M,"ERR",0)))</f>
        <v>Россия</v>
      </c>
      <c r="N401" s="81" t="str">
        <f ca="1">UPPER(TRIM(_xlfn.XLOOKUP($A401,Строчный!$A:$A,Строчный!O:O,"ERR",0)))</f>
        <v/>
      </c>
      <c r="O401" s="102" t="str">
        <f ca="1">PROPER(TRIM(_xlfn.XLOOKUP($A401,Строчный!$A:$A,Строчный!P:P,"ERR",0)))</f>
        <v/>
      </c>
      <c r="P401" s="81" t="str">
        <f ca="1">PROPER(TRIM(_xlfn.XLOOKUP($A401,Строчный!$A:$A,Строчный!R:R,"ERR",0)))</f>
        <v/>
      </c>
      <c r="Q401" s="90">
        <f ca="1">VALUE(_xlfn.XLOOKUP($A401,Строчный!$A:$A,Строчный!N:N,"ERR",0))</f>
        <v>975.8</v>
      </c>
      <c r="R401" s="89" t="str">
        <f ca="1">_xlfn.XLOOKUP($G401,Фабрика!A:A,Фабрика!B:B,"ERR",0)</f>
        <v>ООО "ФРЭДРИКСОН" Россия 192029, С-Петербург, пр. Обуховской обороны, д.86, лит М</v>
      </c>
      <c r="S401" s="80" t="str">
        <f ca="1">_xlfn.XLOOKUP(RIGHT(AA401,2),Размеры!D:D,Размеры!A:A,"ERR",0)</f>
        <v>59</v>
      </c>
      <c r="T401" s="80">
        <f ca="1">VALUE(_xlfn.XLOOKUP($AA401,Строчный!$S:$S,Строчный!U:U,"ERR",0))</f>
        <v>9</v>
      </c>
      <c r="U401" s="14" t="s">
        <v>265</v>
      </c>
      <c r="V401" s="101" t="str">
        <f t="shared" ca="1" si="31"/>
        <v>Бейсболка FREDRIKSON арт. 3215 (голубой / серый)</v>
      </c>
      <c r="W401" s="100" t="str">
        <f t="shared" ca="1" si="32"/>
        <v>Бейсболка FREDRIKSON арт. 3215 (голубой / серый) {630/23}</v>
      </c>
      <c r="X401" s="18" t="str">
        <f t="shared" ca="1" si="33"/>
        <v>голубой</v>
      </c>
      <c r="Y401" s="18" t="str">
        <f t="shared" ca="1" si="34"/>
        <v>серый</v>
      </c>
      <c r="Z401" s="117" t="s">
        <v>28</v>
      </c>
      <c r="AA401" s="73" t="str">
        <f ca="1"/>
        <v>95-001-89-59</v>
      </c>
      <c r="AB401" s="75" t="str">
        <f ca="1">VLOOKUP(C401,Группа!A:B,2,FALSE)</f>
        <v>Бейсболка</v>
      </c>
      <c r="AC401" s="97" t="str">
        <f ca="1">IFERROR(VLOOKUP(S401,Размеры!A:C,3,FALSE),"")</f>
        <v>59 L</v>
      </c>
      <c r="AD401" s="97" t="str">
        <f ca="1">VLOOKUP(I401,ЦветПолный!A:B,2,FALSE)</f>
        <v>89</v>
      </c>
      <c r="AE401" s="97" t="str">
        <f ca="1">IFERROR(VLOOKUP(S401,Размеры!A:D,4,FALSE),"")</f>
        <v>59</v>
      </c>
      <c r="AF401" s="97">
        <f ca="1">IF(LEFT(IFERROR(VLOOKUP(LOOKUP(2,1/SEARCH(B401,Товары!A:A),Товары!A:A),Товары!A:B,2,0),""),6)=MID(AA401,1,6),1,0)</f>
        <v>0</v>
      </c>
      <c r="AH401" s="97">
        <f ca="1">SUMIF(Группа!A:A,C401,Группа!C:C)</f>
        <v>1</v>
      </c>
      <c r="AI401" s="97">
        <f ca="1">SUMIF(Группа!B:B,AB401,Группа!C:C)</f>
        <v>1</v>
      </c>
      <c r="AJ401" s="97">
        <f ca="1">SUMIF(Формы!A:A,D401,Формы!B:B)</f>
        <v>1</v>
      </c>
      <c r="AK401" s="97">
        <f ca="1">SUMIF(Материал!A:A,K401,Материал!B:B)</f>
        <v>1</v>
      </c>
      <c r="AL401" s="97">
        <f ca="1">SUMIF(Размеры!A:A,S401,Размеры!E:E)</f>
        <v>1</v>
      </c>
      <c r="AM401" s="97">
        <f ca="1">SUMIF(Сезон!A:A,F401,Сезон!B:B)</f>
        <v>1</v>
      </c>
      <c r="AN401" s="97">
        <f ca="1">SUMIF(Состав!A:A,J401,Состав!B:B)</f>
        <v>0</v>
      </c>
      <c r="AO401" s="97">
        <f ca="1">VLOOKUP(I401,ЦветПолный!A:C,3,0)</f>
        <v>1</v>
      </c>
      <c r="AP401" s="97">
        <f>SUMIF(Цвет!A:A,Z401,Цвет!B:B)</f>
        <v>1</v>
      </c>
      <c r="AQ401" s="97">
        <f ca="1">_xlfn.XLOOKUP(L401,Пол!A:A,Пол!B:B,0,0)</f>
        <v>1</v>
      </c>
      <c r="AR401" s="97">
        <f ca="1">SUMIF(Бренд!A:A,G401,Бренд!B:B)</f>
        <v>1</v>
      </c>
      <c r="AS401" s="97">
        <f ca="1">SUMIF(Страна!A:A,M401,Страна!B:B)</f>
        <v>1</v>
      </c>
      <c r="AT401" s="64" t="e">
        <f ca="1">IF(VLOOKUP(W401,Товары!A:B,2,FALSE)=A401,"Есть в 1С","ERR")</f>
        <v>#N/A</v>
      </c>
      <c r="AU401" s="65" t="e">
        <f ca="1">IF(VLOOKUP(A401,Товары!B:B,1,FALSE)=A401,"Есть в 1С","ERR")</f>
        <v>#N/A</v>
      </c>
      <c r="AV401" s="96" t="e">
        <f ca="1">VLOOKUP(W401,Товары!A:B,2,FALSE)</f>
        <v>#N/A</v>
      </c>
      <c r="AW401" s="94" t="e">
        <f ca="1">VLOOKUP(W401,Товары!A:B,1,FALSE)</f>
        <v>#N/A</v>
      </c>
    </row>
    <row r="402" spans="1:49" x14ac:dyDescent="0.25">
      <c r="A402" s="110" t="str">
        <f t="shared" ca="1" si="30"/>
        <v>95-001-89</v>
      </c>
      <c r="B402" s="107" t="str">
        <f ca="1">_xlfn.LET(_xlpm.CAPS,0,_xlpm.Style,TRIM(_xlfn.XLOOKUP($A402,Строчный!$A:$A,Строчный!B:B,"ERR",0)),IF(_xlpm.CAPS=0,_xlpm.Style,LOWER(_xlpm.Style)))</f>
        <v>3215</v>
      </c>
      <c r="C402" s="81" t="str">
        <f ca="1">TRIM(PROPER(_xlfn.XLOOKUP($A402,Строчный!$A:$A,Строчный!C:C,"ERR",0)))</f>
        <v>Бейсболки</v>
      </c>
      <c r="D402" s="81" t="str">
        <f ca="1">_xlfn.LET(_xlpm.DATA,TRIM(_xlfn.XLOOKUP($A402,Строчный!$A:$A,Строчный!D:D,"ERR",0)),UPPER(MID(_xlpm.DATA,1,1))&amp;LOWER(MID(_xlpm.DATA,2,LEN(_xlpm.DATA)-1)))</f>
        <v>Бейсболка</v>
      </c>
      <c r="E402" s="81" t="str">
        <f ca="1">PROPER(TRIM(_xlfn.XLOOKUP($A402,Строчный!$A:$A,Строчный!E:E,"ERR",0)))</f>
        <v>Fredrikson</v>
      </c>
      <c r="F402" s="81" t="str">
        <f ca="1">LOWER(TRIM(_xlfn.XLOOKUP($A402,Строчный!$A:$A,Строчный!F:F,"ERR",0)))</f>
        <v>всесезон</v>
      </c>
      <c r="G402" s="81" t="str">
        <f ca="1">UPPER(TRIM(_xlfn.XLOOKUP($A402,Строчный!$A:$A,Строчный!G:G,"ERR",0)))</f>
        <v>FREDRIKSON</v>
      </c>
      <c r="H402" s="81" t="str">
        <f ca="1">LOWER(TRIM(_xlfn.XLOOKUP($A402,Строчный!$A:$A,Строчный!H:H,"ERR",0)))</f>
        <v>630/23</v>
      </c>
      <c r="I402" s="81" t="str">
        <f ca="1">LOWER(TRIM(_xlfn.XLOOKUP($A402,Строчный!$A:$A,Строчный!I:I,"ERR",0)))</f>
        <v>голубой / серый</v>
      </c>
      <c r="J402" s="81" t="str">
        <f ca="1">SUBSTITUTE(LOWER(TRIM(_xlfn.XLOOKUP($A402,Строчный!$A:$A,Строчный!J:J,"ERR",0))),"подклад","Подклад")</f>
        <v>80% шерсть - 20% полиамид / Подклад: 100% вискоза</v>
      </c>
      <c r="K402" s="81" t="str">
        <f ca="1">LOWER(TRIM(_xlfn.XLOOKUP($A402,Строчный!$A:$A,Строчный!K:K,"ERR",0)))</f>
        <v>шерстяные</v>
      </c>
      <c r="L402" s="81" t="str">
        <f ca="1">PROPER(TRIM(_xlfn.XLOOKUP($A402,Строчный!$A:$A,Строчный!L:L,"ERR",0)))</f>
        <v>Унисекс</v>
      </c>
      <c r="M402" s="113" t="str">
        <f ca="1">PROPER(TRIM(_xlfn.XLOOKUP($A402,Строчный!$A:$A,Строчный!M:M,"ERR",0)))</f>
        <v>Россия</v>
      </c>
      <c r="N402" s="81" t="str">
        <f ca="1">UPPER(TRIM(_xlfn.XLOOKUP($A402,Строчный!$A:$A,Строчный!O:O,"ERR",0)))</f>
        <v/>
      </c>
      <c r="O402" s="102" t="str">
        <f ca="1">PROPER(TRIM(_xlfn.XLOOKUP($A402,Строчный!$A:$A,Строчный!P:P,"ERR",0)))</f>
        <v/>
      </c>
      <c r="P402" s="81" t="str">
        <f ca="1">PROPER(TRIM(_xlfn.XLOOKUP($A402,Строчный!$A:$A,Строчный!R:R,"ERR",0)))</f>
        <v/>
      </c>
      <c r="Q402" s="90">
        <f ca="1">VALUE(_xlfn.XLOOKUP($A402,Строчный!$A:$A,Строчный!N:N,"ERR",0))</f>
        <v>975.8</v>
      </c>
      <c r="R402" s="89" t="str">
        <f ca="1">_xlfn.XLOOKUP($G402,Фабрика!A:A,Фабрика!B:B,"ERR",0)</f>
        <v>ООО "ФРЭДРИКСОН" Россия 192029, С-Петербург, пр. Обуховской обороны, д.86, лит М</v>
      </c>
      <c r="S402" s="80" t="str">
        <f ca="1">_xlfn.XLOOKUP(RIGHT(AA402,2),Размеры!D:D,Размеры!A:A,"ERR",0)</f>
        <v>58</v>
      </c>
      <c r="T402" s="80">
        <f ca="1">VALUE(_xlfn.XLOOKUP($AA402,Строчный!$S:$S,Строчный!U:U,"ERR",0))</f>
        <v>6</v>
      </c>
      <c r="U402" s="14" t="s">
        <v>265</v>
      </c>
      <c r="V402" s="101" t="str">
        <f t="shared" ca="1" si="31"/>
        <v>Бейсболка FREDRIKSON арт. 3215 (голубой / серый)</v>
      </c>
      <c r="W402" s="100" t="str">
        <f t="shared" ca="1" si="32"/>
        <v>Бейсболка FREDRIKSON арт. 3215 (голубой / серый) {630/23}</v>
      </c>
      <c r="X402" s="18" t="str">
        <f t="shared" ca="1" si="33"/>
        <v>голубой</v>
      </c>
      <c r="Y402" s="18" t="str">
        <f t="shared" ca="1" si="34"/>
        <v>серый</v>
      </c>
      <c r="Z402" s="117" t="s">
        <v>28</v>
      </c>
      <c r="AA402" s="73" t="str">
        <f ca="1"/>
        <v>95-001-89-58</v>
      </c>
      <c r="AB402" s="75" t="str">
        <f ca="1">VLOOKUP(C402,Группа!A:B,2,FALSE)</f>
        <v>Бейсболка</v>
      </c>
      <c r="AC402" s="97" t="str">
        <f ca="1">IFERROR(VLOOKUP(S402,Размеры!A:C,3,FALSE),"")</f>
        <v>58 M/L</v>
      </c>
      <c r="AD402" s="97" t="str">
        <f ca="1">VLOOKUP(I402,ЦветПолный!A:B,2,FALSE)</f>
        <v>89</v>
      </c>
      <c r="AE402" s="97" t="str">
        <f ca="1">IFERROR(VLOOKUP(S402,Размеры!A:D,4,FALSE),"")</f>
        <v>58</v>
      </c>
      <c r="AF402" s="97">
        <f ca="1">IF(LEFT(IFERROR(VLOOKUP(LOOKUP(2,1/SEARCH(B402,Товары!A:A),Товары!A:A),Товары!A:B,2,0),""),6)=MID(AA402,1,6),1,0)</f>
        <v>0</v>
      </c>
      <c r="AH402" s="97">
        <f ca="1">SUMIF(Группа!A:A,C402,Группа!C:C)</f>
        <v>1</v>
      </c>
      <c r="AI402" s="97">
        <f ca="1">SUMIF(Группа!B:B,AB402,Группа!C:C)</f>
        <v>1</v>
      </c>
      <c r="AJ402" s="97">
        <f ca="1">SUMIF(Формы!A:A,D402,Формы!B:B)</f>
        <v>1</v>
      </c>
      <c r="AK402" s="97">
        <f ca="1">SUMIF(Материал!A:A,K402,Материал!B:B)</f>
        <v>1</v>
      </c>
      <c r="AL402" s="97">
        <f ca="1">SUMIF(Размеры!A:A,S402,Размеры!E:E)</f>
        <v>1</v>
      </c>
      <c r="AM402" s="97">
        <f ca="1">SUMIF(Сезон!A:A,F402,Сезон!B:B)</f>
        <v>1</v>
      </c>
      <c r="AN402" s="97">
        <f ca="1">SUMIF(Состав!A:A,J402,Состав!B:B)</f>
        <v>0</v>
      </c>
      <c r="AO402" s="97">
        <f ca="1">VLOOKUP(I402,ЦветПолный!A:C,3,0)</f>
        <v>1</v>
      </c>
      <c r="AP402" s="97">
        <f>SUMIF(Цвет!A:A,Z402,Цвет!B:B)</f>
        <v>1</v>
      </c>
      <c r="AQ402" s="97">
        <f ca="1">_xlfn.XLOOKUP(L402,Пол!A:A,Пол!B:B,0,0)</f>
        <v>1</v>
      </c>
      <c r="AR402" s="97">
        <f ca="1">SUMIF(Бренд!A:A,G402,Бренд!B:B)</f>
        <v>1</v>
      </c>
      <c r="AS402" s="97">
        <f ca="1">SUMIF(Страна!A:A,M402,Страна!B:B)</f>
        <v>1</v>
      </c>
      <c r="AT402" s="64" t="e">
        <f ca="1">IF(VLOOKUP(W402,Товары!A:B,2,FALSE)=A402,"Есть в 1С","ERR")</f>
        <v>#N/A</v>
      </c>
      <c r="AU402" s="65" t="e">
        <f ca="1">IF(VLOOKUP(A402,Товары!B:B,1,FALSE)=A402,"Есть в 1С","ERR")</f>
        <v>#N/A</v>
      </c>
      <c r="AV402" s="96" t="e">
        <f ca="1">VLOOKUP(W402,Товары!A:B,2,FALSE)</f>
        <v>#N/A</v>
      </c>
      <c r="AW402" s="94" t="e">
        <f ca="1">VLOOKUP(W402,Товары!A:B,1,FALSE)</f>
        <v>#N/A</v>
      </c>
    </row>
    <row r="403" spans="1:49" x14ac:dyDescent="0.25">
      <c r="A403" s="110" t="str">
        <f t="shared" ca="1" si="30"/>
        <v>95-001-89</v>
      </c>
      <c r="B403" s="107" t="str">
        <f ca="1">_xlfn.LET(_xlpm.CAPS,0,_xlpm.Style,TRIM(_xlfn.XLOOKUP($A403,Строчный!$A:$A,Строчный!B:B,"ERR",0)),IF(_xlpm.CAPS=0,_xlpm.Style,LOWER(_xlpm.Style)))</f>
        <v>3215</v>
      </c>
      <c r="C403" s="81" t="str">
        <f ca="1">TRIM(PROPER(_xlfn.XLOOKUP($A403,Строчный!$A:$A,Строчный!C:C,"ERR",0)))</f>
        <v>Бейсболки</v>
      </c>
      <c r="D403" s="81" t="str">
        <f ca="1">_xlfn.LET(_xlpm.DATA,TRIM(_xlfn.XLOOKUP($A403,Строчный!$A:$A,Строчный!D:D,"ERR",0)),UPPER(MID(_xlpm.DATA,1,1))&amp;LOWER(MID(_xlpm.DATA,2,LEN(_xlpm.DATA)-1)))</f>
        <v>Бейсболка</v>
      </c>
      <c r="E403" s="81" t="str">
        <f ca="1">PROPER(TRIM(_xlfn.XLOOKUP($A403,Строчный!$A:$A,Строчный!E:E,"ERR",0)))</f>
        <v>Fredrikson</v>
      </c>
      <c r="F403" s="81" t="str">
        <f ca="1">LOWER(TRIM(_xlfn.XLOOKUP($A403,Строчный!$A:$A,Строчный!F:F,"ERR",0)))</f>
        <v>всесезон</v>
      </c>
      <c r="G403" s="81" t="str">
        <f ca="1">UPPER(TRIM(_xlfn.XLOOKUP($A403,Строчный!$A:$A,Строчный!G:G,"ERR",0)))</f>
        <v>FREDRIKSON</v>
      </c>
      <c r="H403" s="81" t="str">
        <f ca="1">LOWER(TRIM(_xlfn.XLOOKUP($A403,Строчный!$A:$A,Строчный!H:H,"ERR",0)))</f>
        <v>630/23</v>
      </c>
      <c r="I403" s="81" t="str">
        <f ca="1">LOWER(TRIM(_xlfn.XLOOKUP($A403,Строчный!$A:$A,Строчный!I:I,"ERR",0)))</f>
        <v>голубой / серый</v>
      </c>
      <c r="J403" s="81" t="str">
        <f ca="1">SUBSTITUTE(LOWER(TRIM(_xlfn.XLOOKUP($A403,Строчный!$A:$A,Строчный!J:J,"ERR",0))),"подклад","Подклад")</f>
        <v>80% шерсть - 20% полиамид / Подклад: 100% вискоза</v>
      </c>
      <c r="K403" s="81" t="str">
        <f ca="1">LOWER(TRIM(_xlfn.XLOOKUP($A403,Строчный!$A:$A,Строчный!K:K,"ERR",0)))</f>
        <v>шерстяные</v>
      </c>
      <c r="L403" s="81" t="str">
        <f ca="1">PROPER(TRIM(_xlfn.XLOOKUP($A403,Строчный!$A:$A,Строчный!L:L,"ERR",0)))</f>
        <v>Унисекс</v>
      </c>
      <c r="M403" s="113" t="str">
        <f ca="1">PROPER(TRIM(_xlfn.XLOOKUP($A403,Строчный!$A:$A,Строчный!M:M,"ERR",0)))</f>
        <v>Россия</v>
      </c>
      <c r="N403" s="81" t="str">
        <f ca="1">UPPER(TRIM(_xlfn.XLOOKUP($A403,Строчный!$A:$A,Строчный!O:O,"ERR",0)))</f>
        <v/>
      </c>
      <c r="O403" s="102" t="str">
        <f ca="1">PROPER(TRIM(_xlfn.XLOOKUP($A403,Строчный!$A:$A,Строчный!P:P,"ERR",0)))</f>
        <v/>
      </c>
      <c r="P403" s="81" t="str">
        <f ca="1">PROPER(TRIM(_xlfn.XLOOKUP($A403,Строчный!$A:$A,Строчный!R:R,"ERR",0)))</f>
        <v/>
      </c>
      <c r="Q403" s="90">
        <f ca="1">VALUE(_xlfn.XLOOKUP($A403,Строчный!$A:$A,Строчный!N:N,"ERR",0))</f>
        <v>975.8</v>
      </c>
      <c r="R403" s="89" t="str">
        <f ca="1">_xlfn.XLOOKUP($G403,Фабрика!A:A,Фабрика!B:B,"ERR",0)</f>
        <v>ООО "ФРЭДРИКСОН" Россия 192029, С-Петербург, пр. Обуховской обороны, д.86, лит М</v>
      </c>
      <c r="S403" s="80" t="str">
        <f ca="1">_xlfn.XLOOKUP(RIGHT(AA403,2),Размеры!D:D,Размеры!A:A,"ERR",0)</f>
        <v>57</v>
      </c>
      <c r="T403" s="80">
        <f ca="1">VALUE(_xlfn.XLOOKUP($AA403,Строчный!$S:$S,Строчный!U:U,"ERR",0))</f>
        <v>4</v>
      </c>
      <c r="U403" s="14" t="s">
        <v>265</v>
      </c>
      <c r="V403" s="101" t="str">
        <f t="shared" ca="1" si="31"/>
        <v>Бейсболка FREDRIKSON арт. 3215 (голубой / серый)</v>
      </c>
      <c r="W403" s="100" t="str">
        <f t="shared" ca="1" si="32"/>
        <v>Бейсболка FREDRIKSON арт. 3215 (голубой / серый) {630/23}</v>
      </c>
      <c r="X403" s="18" t="str">
        <f t="shared" ca="1" si="33"/>
        <v>голубой</v>
      </c>
      <c r="Y403" s="18" t="str">
        <f t="shared" ca="1" si="34"/>
        <v>серый</v>
      </c>
      <c r="Z403" s="117" t="s">
        <v>28</v>
      </c>
      <c r="AA403" s="73" t="str">
        <f ca="1"/>
        <v>95-001-89-57</v>
      </c>
      <c r="AB403" s="75" t="str">
        <f ca="1">VLOOKUP(C403,Группа!A:B,2,FALSE)</f>
        <v>Бейсболка</v>
      </c>
      <c r="AC403" s="97" t="str">
        <f ca="1">IFERROR(VLOOKUP(S403,Размеры!A:C,3,FALSE),"")</f>
        <v>57 M</v>
      </c>
      <c r="AD403" s="97" t="str">
        <f ca="1">VLOOKUP(I403,ЦветПолный!A:B,2,FALSE)</f>
        <v>89</v>
      </c>
      <c r="AE403" s="97" t="str">
        <f ca="1">IFERROR(VLOOKUP(S403,Размеры!A:D,4,FALSE),"")</f>
        <v>57</v>
      </c>
      <c r="AF403" s="97">
        <f ca="1">IF(LEFT(IFERROR(VLOOKUP(LOOKUP(2,1/SEARCH(B403,Товары!A:A),Товары!A:A),Товары!A:B,2,0),""),6)=MID(AA403,1,6),1,0)</f>
        <v>0</v>
      </c>
      <c r="AH403" s="97">
        <f ca="1">SUMIF(Группа!A:A,C403,Группа!C:C)</f>
        <v>1</v>
      </c>
      <c r="AI403" s="97">
        <f ca="1">SUMIF(Группа!B:B,AB403,Группа!C:C)</f>
        <v>1</v>
      </c>
      <c r="AJ403" s="97">
        <f ca="1">SUMIF(Формы!A:A,D403,Формы!B:B)</f>
        <v>1</v>
      </c>
      <c r="AK403" s="97">
        <f ca="1">SUMIF(Материал!A:A,K403,Материал!B:B)</f>
        <v>1</v>
      </c>
      <c r="AL403" s="97">
        <f ca="1">SUMIF(Размеры!A:A,S403,Размеры!E:E)</f>
        <v>1</v>
      </c>
      <c r="AM403" s="97">
        <f ca="1">SUMIF(Сезон!A:A,F403,Сезон!B:B)</f>
        <v>1</v>
      </c>
      <c r="AN403" s="97">
        <f ca="1">SUMIF(Состав!A:A,J403,Состав!B:B)</f>
        <v>0</v>
      </c>
      <c r="AO403" s="97">
        <f ca="1">VLOOKUP(I403,ЦветПолный!A:C,3,0)</f>
        <v>1</v>
      </c>
      <c r="AP403" s="97">
        <f>SUMIF(Цвет!A:A,Z403,Цвет!B:B)</f>
        <v>1</v>
      </c>
      <c r="AQ403" s="97">
        <f ca="1">_xlfn.XLOOKUP(L403,Пол!A:A,Пол!B:B,0,0)</f>
        <v>1</v>
      </c>
      <c r="AR403" s="97">
        <f ca="1">SUMIF(Бренд!A:A,G403,Бренд!B:B)</f>
        <v>1</v>
      </c>
      <c r="AS403" s="97">
        <f ca="1">SUMIF(Страна!A:A,M403,Страна!B:B)</f>
        <v>1</v>
      </c>
      <c r="AT403" s="64" t="e">
        <f ca="1">IF(VLOOKUP(W403,Товары!A:B,2,FALSE)=A403,"Есть в 1С","ERR")</f>
        <v>#N/A</v>
      </c>
      <c r="AU403" s="65" t="e">
        <f ca="1">IF(VLOOKUP(A403,Товары!B:B,1,FALSE)=A403,"Есть в 1С","ERR")</f>
        <v>#N/A</v>
      </c>
      <c r="AV403" s="96" t="e">
        <f ca="1">VLOOKUP(W403,Товары!A:B,2,FALSE)</f>
        <v>#N/A</v>
      </c>
      <c r="AW403" s="94" t="e">
        <f ca="1">VLOOKUP(W403,Товары!A:B,1,FALSE)</f>
        <v>#N/A</v>
      </c>
    </row>
    <row r="404" spans="1:49" x14ac:dyDescent="0.25">
      <c r="A404" s="110" t="str">
        <f t="shared" ca="1" si="30"/>
        <v>95-001-89</v>
      </c>
      <c r="B404" s="107" t="str">
        <f ca="1">_xlfn.LET(_xlpm.CAPS,0,_xlpm.Style,TRIM(_xlfn.XLOOKUP($A404,Строчный!$A:$A,Строчный!B:B,"ERR",0)),IF(_xlpm.CAPS=0,_xlpm.Style,LOWER(_xlpm.Style)))</f>
        <v>3215</v>
      </c>
      <c r="C404" s="81" t="str">
        <f ca="1">TRIM(PROPER(_xlfn.XLOOKUP($A404,Строчный!$A:$A,Строчный!C:C,"ERR",0)))</f>
        <v>Бейсболки</v>
      </c>
      <c r="D404" s="81" t="str">
        <f ca="1">_xlfn.LET(_xlpm.DATA,TRIM(_xlfn.XLOOKUP($A404,Строчный!$A:$A,Строчный!D:D,"ERR",0)),UPPER(MID(_xlpm.DATA,1,1))&amp;LOWER(MID(_xlpm.DATA,2,LEN(_xlpm.DATA)-1)))</f>
        <v>Бейсболка</v>
      </c>
      <c r="E404" s="81" t="str">
        <f ca="1">PROPER(TRIM(_xlfn.XLOOKUP($A404,Строчный!$A:$A,Строчный!E:E,"ERR",0)))</f>
        <v>Fredrikson</v>
      </c>
      <c r="F404" s="81" t="str">
        <f ca="1">LOWER(TRIM(_xlfn.XLOOKUP($A404,Строчный!$A:$A,Строчный!F:F,"ERR",0)))</f>
        <v>всесезон</v>
      </c>
      <c r="G404" s="81" t="str">
        <f ca="1">UPPER(TRIM(_xlfn.XLOOKUP($A404,Строчный!$A:$A,Строчный!G:G,"ERR",0)))</f>
        <v>FREDRIKSON</v>
      </c>
      <c r="H404" s="81" t="str">
        <f ca="1">LOWER(TRIM(_xlfn.XLOOKUP($A404,Строчный!$A:$A,Строчный!H:H,"ERR",0)))</f>
        <v>630/23</v>
      </c>
      <c r="I404" s="81" t="str">
        <f ca="1">LOWER(TRIM(_xlfn.XLOOKUP($A404,Строчный!$A:$A,Строчный!I:I,"ERR",0)))</f>
        <v>голубой / серый</v>
      </c>
      <c r="J404" s="81" t="str">
        <f ca="1">SUBSTITUTE(LOWER(TRIM(_xlfn.XLOOKUP($A404,Строчный!$A:$A,Строчный!J:J,"ERR",0))),"подклад","Подклад")</f>
        <v>80% шерсть - 20% полиамид / Подклад: 100% вискоза</v>
      </c>
      <c r="K404" s="81" t="str">
        <f ca="1">LOWER(TRIM(_xlfn.XLOOKUP($A404,Строчный!$A:$A,Строчный!K:K,"ERR",0)))</f>
        <v>шерстяные</v>
      </c>
      <c r="L404" s="81" t="str">
        <f ca="1">PROPER(TRIM(_xlfn.XLOOKUP($A404,Строчный!$A:$A,Строчный!L:L,"ERR",0)))</f>
        <v>Унисекс</v>
      </c>
      <c r="M404" s="113" t="str">
        <f ca="1">PROPER(TRIM(_xlfn.XLOOKUP($A404,Строчный!$A:$A,Строчный!M:M,"ERR",0)))</f>
        <v>Россия</v>
      </c>
      <c r="N404" s="81" t="str">
        <f ca="1">UPPER(TRIM(_xlfn.XLOOKUP($A404,Строчный!$A:$A,Строчный!O:O,"ERR",0)))</f>
        <v/>
      </c>
      <c r="O404" s="102" t="str">
        <f ca="1">PROPER(TRIM(_xlfn.XLOOKUP($A404,Строчный!$A:$A,Строчный!P:P,"ERR",0)))</f>
        <v/>
      </c>
      <c r="P404" s="81" t="str">
        <f ca="1">PROPER(TRIM(_xlfn.XLOOKUP($A404,Строчный!$A:$A,Строчный!R:R,"ERR",0)))</f>
        <v/>
      </c>
      <c r="Q404" s="90">
        <f ca="1">VALUE(_xlfn.XLOOKUP($A404,Строчный!$A:$A,Строчный!N:N,"ERR",0))</f>
        <v>975.8</v>
      </c>
      <c r="R404" s="89" t="str">
        <f ca="1">_xlfn.XLOOKUP($G404,Фабрика!A:A,Фабрика!B:B,"ERR",0)</f>
        <v>ООО "ФРЭДРИКСОН" Россия 192029, С-Петербург, пр. Обуховской обороны, д.86, лит М</v>
      </c>
      <c r="S404" s="80" t="str">
        <f ca="1">_xlfn.XLOOKUP(RIGHT(AA404,2),Размеры!D:D,Размеры!A:A,"ERR",0)</f>
        <v>56</v>
      </c>
      <c r="T404" s="80">
        <f ca="1">VALUE(_xlfn.XLOOKUP($AA404,Строчный!$S:$S,Строчный!U:U,"ERR",0))</f>
        <v>2</v>
      </c>
      <c r="U404" s="14" t="s">
        <v>265</v>
      </c>
      <c r="V404" s="101" t="str">
        <f t="shared" ca="1" si="31"/>
        <v>Бейсболка FREDRIKSON арт. 3215 (голубой / серый)</v>
      </c>
      <c r="W404" s="100" t="str">
        <f t="shared" ca="1" si="32"/>
        <v>Бейсболка FREDRIKSON арт. 3215 (голубой / серый) {630/23}</v>
      </c>
      <c r="X404" s="18" t="str">
        <f t="shared" ca="1" si="33"/>
        <v>голубой</v>
      </c>
      <c r="Y404" s="18" t="str">
        <f t="shared" ca="1" si="34"/>
        <v>серый</v>
      </c>
      <c r="Z404" s="117" t="s">
        <v>28</v>
      </c>
      <c r="AA404" s="73" t="str">
        <f ca="1"/>
        <v>95-001-89-56</v>
      </c>
      <c r="AB404" s="75" t="str">
        <f ca="1">VLOOKUP(C404,Группа!A:B,2,FALSE)</f>
        <v>Бейсболка</v>
      </c>
      <c r="AC404" s="97" t="str">
        <f ca="1">IFERROR(VLOOKUP(S404,Размеры!A:C,3,FALSE),"")</f>
        <v>56 S/M</v>
      </c>
      <c r="AD404" s="97" t="str">
        <f ca="1">VLOOKUP(I404,ЦветПолный!A:B,2,FALSE)</f>
        <v>89</v>
      </c>
      <c r="AE404" s="97" t="str">
        <f ca="1">IFERROR(VLOOKUP(S404,Размеры!A:D,4,FALSE),"")</f>
        <v>56</v>
      </c>
      <c r="AF404" s="97">
        <f ca="1">IF(LEFT(IFERROR(VLOOKUP(LOOKUP(2,1/SEARCH(B404,Товары!A:A),Товары!A:A),Товары!A:B,2,0),""),6)=MID(AA404,1,6),1,0)</f>
        <v>0</v>
      </c>
      <c r="AH404" s="97">
        <f ca="1">SUMIF(Группа!A:A,C404,Группа!C:C)</f>
        <v>1</v>
      </c>
      <c r="AI404" s="97">
        <f ca="1">SUMIF(Группа!B:B,AB404,Группа!C:C)</f>
        <v>1</v>
      </c>
      <c r="AJ404" s="97">
        <f ca="1">SUMIF(Формы!A:A,D404,Формы!B:B)</f>
        <v>1</v>
      </c>
      <c r="AK404" s="97">
        <f ca="1">SUMIF(Материал!A:A,K404,Материал!B:B)</f>
        <v>1</v>
      </c>
      <c r="AL404" s="97">
        <f ca="1">SUMIF(Размеры!A:A,S404,Размеры!E:E)</f>
        <v>1</v>
      </c>
      <c r="AM404" s="97">
        <f ca="1">SUMIF(Сезон!A:A,F404,Сезон!B:B)</f>
        <v>1</v>
      </c>
      <c r="AN404" s="97">
        <f ca="1">SUMIF(Состав!A:A,J404,Состав!B:B)</f>
        <v>0</v>
      </c>
      <c r="AO404" s="97">
        <f ca="1">VLOOKUP(I404,ЦветПолный!A:C,3,0)</f>
        <v>1</v>
      </c>
      <c r="AP404" s="97">
        <f>SUMIF(Цвет!A:A,Z404,Цвет!B:B)</f>
        <v>1</v>
      </c>
      <c r="AQ404" s="97">
        <f ca="1">_xlfn.XLOOKUP(L404,Пол!A:A,Пол!B:B,0,0)</f>
        <v>1</v>
      </c>
      <c r="AR404" s="97">
        <f ca="1">SUMIF(Бренд!A:A,G404,Бренд!B:B)</f>
        <v>1</v>
      </c>
      <c r="AS404" s="97">
        <f ca="1">SUMIF(Страна!A:A,M404,Страна!B:B)</f>
        <v>1</v>
      </c>
      <c r="AT404" s="64" t="e">
        <f ca="1">IF(VLOOKUP(W404,Товары!A:B,2,FALSE)=A404,"Есть в 1С","ERR")</f>
        <v>#N/A</v>
      </c>
      <c r="AU404" s="65" t="e">
        <f ca="1">IF(VLOOKUP(A404,Товары!B:B,1,FALSE)=A404,"Есть в 1С","ERR")</f>
        <v>#N/A</v>
      </c>
      <c r="AV404" s="96" t="e">
        <f ca="1">VLOOKUP(W404,Товары!A:B,2,FALSE)</f>
        <v>#N/A</v>
      </c>
      <c r="AW404" s="94" t="e">
        <f ca="1">VLOOKUP(W404,Товары!A:B,1,FALSE)</f>
        <v>#N/A</v>
      </c>
    </row>
    <row r="405" spans="1:49" x14ac:dyDescent="0.25">
      <c r="A405" s="110" t="str">
        <f t="shared" ca="1" si="30"/>
        <v>95-001-72</v>
      </c>
      <c r="B405" s="107" t="str">
        <f ca="1">_xlfn.LET(_xlpm.CAPS,0,_xlpm.Style,TRIM(_xlfn.XLOOKUP($A405,Строчный!$A:$A,Строчный!B:B,"ERR",0)),IF(_xlpm.CAPS=0,_xlpm.Style,LOWER(_xlpm.Style)))</f>
        <v>3215</v>
      </c>
      <c r="C405" s="81" t="str">
        <f ca="1">TRIM(PROPER(_xlfn.XLOOKUP($A405,Строчный!$A:$A,Строчный!C:C,"ERR",0)))</f>
        <v>Бейсболки</v>
      </c>
      <c r="D405" s="81" t="str">
        <f ca="1">_xlfn.LET(_xlpm.DATA,TRIM(_xlfn.XLOOKUP($A405,Строчный!$A:$A,Строчный!D:D,"ERR",0)),UPPER(MID(_xlpm.DATA,1,1))&amp;LOWER(MID(_xlpm.DATA,2,LEN(_xlpm.DATA)-1)))</f>
        <v>Бейсболка</v>
      </c>
      <c r="E405" s="81" t="str">
        <f ca="1">PROPER(TRIM(_xlfn.XLOOKUP($A405,Строчный!$A:$A,Строчный!E:E,"ERR",0)))</f>
        <v>Fredrikson</v>
      </c>
      <c r="F405" s="81" t="str">
        <f ca="1">LOWER(TRIM(_xlfn.XLOOKUP($A405,Строчный!$A:$A,Строчный!F:F,"ERR",0)))</f>
        <v>всесезон</v>
      </c>
      <c r="G405" s="81" t="str">
        <f ca="1">UPPER(TRIM(_xlfn.XLOOKUP($A405,Строчный!$A:$A,Строчный!G:G,"ERR",0)))</f>
        <v>FREDRIKSON</v>
      </c>
      <c r="H405" s="81" t="str">
        <f ca="1">LOWER(TRIM(_xlfn.XLOOKUP($A405,Строчный!$A:$A,Строчный!H:H,"ERR",0)))</f>
        <v>652/72</v>
      </c>
      <c r="I405" s="81" t="str">
        <f ca="1">LOWER(TRIM(_xlfn.XLOOKUP($A405,Строчный!$A:$A,Строчный!I:I,"ERR",0)))</f>
        <v>черный / белый</v>
      </c>
      <c r="J405" s="81" t="str">
        <f ca="1">SUBSTITUTE(LOWER(TRIM(_xlfn.XLOOKUP($A405,Строчный!$A:$A,Строчный!J:J,"ERR",0))),"подклад","Подклад")</f>
        <v>80% шерсть - 20% полиамид / Подклад: 100% вискоза</v>
      </c>
      <c r="K405" s="81" t="str">
        <f ca="1">LOWER(TRIM(_xlfn.XLOOKUP($A405,Строчный!$A:$A,Строчный!K:K,"ERR",0)))</f>
        <v>шерстяные</v>
      </c>
      <c r="L405" s="81" t="str">
        <f ca="1">PROPER(TRIM(_xlfn.XLOOKUP($A405,Строчный!$A:$A,Строчный!L:L,"ERR",0)))</f>
        <v>Унисекс</v>
      </c>
      <c r="M405" s="113" t="str">
        <f ca="1">PROPER(TRIM(_xlfn.XLOOKUP($A405,Строчный!$A:$A,Строчный!M:M,"ERR",0)))</f>
        <v>Россия</v>
      </c>
      <c r="N405" s="81" t="str">
        <f ca="1">UPPER(TRIM(_xlfn.XLOOKUP($A405,Строчный!$A:$A,Строчный!O:O,"ERR",0)))</f>
        <v/>
      </c>
      <c r="O405" s="102" t="str">
        <f ca="1">PROPER(TRIM(_xlfn.XLOOKUP($A405,Строчный!$A:$A,Строчный!P:P,"ERR",0)))</f>
        <v/>
      </c>
      <c r="P405" s="81" t="str">
        <f ca="1">PROPER(TRIM(_xlfn.XLOOKUP($A405,Строчный!$A:$A,Строчный!R:R,"ERR",0)))</f>
        <v/>
      </c>
      <c r="Q405" s="90">
        <f ca="1">VALUE(_xlfn.XLOOKUP($A405,Строчный!$A:$A,Строчный!N:N,"ERR",0))</f>
        <v>975.8</v>
      </c>
      <c r="R405" s="89" t="str">
        <f ca="1">_xlfn.XLOOKUP($G405,Фабрика!A:A,Фабрика!B:B,"ERR",0)</f>
        <v>ООО "ФРЭДРИКСОН" Россия 192029, С-Петербург, пр. Обуховской обороны, д.86, лит М</v>
      </c>
      <c r="S405" s="80" t="str">
        <f ca="1">_xlfn.XLOOKUP(RIGHT(AA405,2),Размеры!D:D,Размеры!A:A,"ERR",0)</f>
        <v>62</v>
      </c>
      <c r="T405" s="80">
        <f ca="1">VALUE(_xlfn.XLOOKUP($AA405,Строчный!$S:$S,Строчный!U:U,"ERR",0))</f>
        <v>1</v>
      </c>
      <c r="U405" s="14" t="s">
        <v>265</v>
      </c>
      <c r="V405" s="101" t="str">
        <f t="shared" ca="1" si="31"/>
        <v>Бейсболка FREDRIKSON арт. 3215 (черный / белый)</v>
      </c>
      <c r="W405" s="100" t="str">
        <f t="shared" ca="1" si="32"/>
        <v>Бейсболка FREDRIKSON арт. 3215 (черный / белый) {652/72}</v>
      </c>
      <c r="X405" s="18" t="str">
        <f t="shared" ca="1" si="33"/>
        <v>черный</v>
      </c>
      <c r="Y405" s="18" t="str">
        <f t="shared" ca="1" si="34"/>
        <v>белый</v>
      </c>
      <c r="Z405" s="117" t="s">
        <v>28</v>
      </c>
      <c r="AA405" s="73" t="str">
        <f ca="1"/>
        <v>95-001-72-62</v>
      </c>
      <c r="AB405" s="75" t="str">
        <f ca="1">VLOOKUP(C405,Группа!A:B,2,FALSE)</f>
        <v>Бейсболка</v>
      </c>
      <c r="AC405" s="97" t="str">
        <f ca="1">IFERROR(VLOOKUP(S405,Размеры!A:C,3,FALSE),"")</f>
        <v>62 XL/XXL</v>
      </c>
      <c r="AD405" s="97" t="str">
        <f ca="1">VLOOKUP(I405,ЦветПолный!A:B,2,FALSE)</f>
        <v>72</v>
      </c>
      <c r="AE405" s="97" t="str">
        <f ca="1">IFERROR(VLOOKUP(S405,Размеры!A:D,4,FALSE),"")</f>
        <v>62</v>
      </c>
      <c r="AF405" s="97">
        <f ca="1">IF(LEFT(IFERROR(VLOOKUP(LOOKUP(2,1/SEARCH(B405,Товары!A:A),Товары!A:A),Товары!A:B,2,0),""),6)=MID(AA405,1,6),1,0)</f>
        <v>0</v>
      </c>
      <c r="AH405" s="97">
        <f ca="1">SUMIF(Группа!A:A,C405,Группа!C:C)</f>
        <v>1</v>
      </c>
      <c r="AI405" s="97">
        <f ca="1">SUMIF(Группа!B:B,AB405,Группа!C:C)</f>
        <v>1</v>
      </c>
      <c r="AJ405" s="97">
        <f ca="1">SUMIF(Формы!A:A,D405,Формы!B:B)</f>
        <v>1</v>
      </c>
      <c r="AK405" s="97">
        <f ca="1">SUMIF(Материал!A:A,K405,Материал!B:B)</f>
        <v>1</v>
      </c>
      <c r="AL405" s="97">
        <f ca="1">SUMIF(Размеры!A:A,S405,Размеры!E:E)</f>
        <v>1</v>
      </c>
      <c r="AM405" s="97">
        <f ca="1">SUMIF(Сезон!A:A,F405,Сезон!B:B)</f>
        <v>1</v>
      </c>
      <c r="AN405" s="97">
        <f ca="1">SUMIF(Состав!A:A,J405,Состав!B:B)</f>
        <v>0</v>
      </c>
      <c r="AO405" s="97">
        <f ca="1">VLOOKUP(I405,ЦветПолный!A:C,3,0)</f>
        <v>1</v>
      </c>
      <c r="AP405" s="97">
        <f>SUMIF(Цвет!A:A,Z405,Цвет!B:B)</f>
        <v>1</v>
      </c>
      <c r="AQ405" s="97">
        <f ca="1">_xlfn.XLOOKUP(L405,Пол!A:A,Пол!B:B,0,0)</f>
        <v>1</v>
      </c>
      <c r="AR405" s="97">
        <f ca="1">SUMIF(Бренд!A:A,G405,Бренд!B:B)</f>
        <v>1</v>
      </c>
      <c r="AS405" s="97">
        <f ca="1">SUMIF(Страна!A:A,M405,Страна!B:B)</f>
        <v>1</v>
      </c>
      <c r="AT405" s="64" t="e">
        <f ca="1">IF(VLOOKUP(W405,Товары!A:B,2,FALSE)=A405,"Есть в 1С","ERR")</f>
        <v>#N/A</v>
      </c>
      <c r="AU405" s="65" t="e">
        <f ca="1">IF(VLOOKUP(A405,Товары!B:B,1,FALSE)=A405,"Есть в 1С","ERR")</f>
        <v>#N/A</v>
      </c>
      <c r="AV405" s="96" t="e">
        <f ca="1">VLOOKUP(W405,Товары!A:B,2,FALSE)</f>
        <v>#N/A</v>
      </c>
      <c r="AW405" s="94" t="e">
        <f ca="1">VLOOKUP(W405,Товары!A:B,1,FALSE)</f>
        <v>#N/A</v>
      </c>
    </row>
    <row r="406" spans="1:49" x14ac:dyDescent="0.25">
      <c r="A406" s="110" t="str">
        <f t="shared" ca="1" si="30"/>
        <v>95-001-72</v>
      </c>
      <c r="B406" s="107" t="str">
        <f ca="1">_xlfn.LET(_xlpm.CAPS,0,_xlpm.Style,TRIM(_xlfn.XLOOKUP($A406,Строчный!$A:$A,Строчный!B:B,"ERR",0)),IF(_xlpm.CAPS=0,_xlpm.Style,LOWER(_xlpm.Style)))</f>
        <v>3215</v>
      </c>
      <c r="C406" s="81" t="str">
        <f ca="1">TRIM(PROPER(_xlfn.XLOOKUP($A406,Строчный!$A:$A,Строчный!C:C,"ERR",0)))</f>
        <v>Бейсболки</v>
      </c>
      <c r="D406" s="81" t="str">
        <f ca="1">_xlfn.LET(_xlpm.DATA,TRIM(_xlfn.XLOOKUP($A406,Строчный!$A:$A,Строчный!D:D,"ERR",0)),UPPER(MID(_xlpm.DATA,1,1))&amp;LOWER(MID(_xlpm.DATA,2,LEN(_xlpm.DATA)-1)))</f>
        <v>Бейсболка</v>
      </c>
      <c r="E406" s="81" t="str">
        <f ca="1">PROPER(TRIM(_xlfn.XLOOKUP($A406,Строчный!$A:$A,Строчный!E:E,"ERR",0)))</f>
        <v>Fredrikson</v>
      </c>
      <c r="F406" s="81" t="str">
        <f ca="1">LOWER(TRIM(_xlfn.XLOOKUP($A406,Строчный!$A:$A,Строчный!F:F,"ERR",0)))</f>
        <v>всесезон</v>
      </c>
      <c r="G406" s="81" t="str">
        <f ca="1">UPPER(TRIM(_xlfn.XLOOKUP($A406,Строчный!$A:$A,Строчный!G:G,"ERR",0)))</f>
        <v>FREDRIKSON</v>
      </c>
      <c r="H406" s="81" t="str">
        <f ca="1">LOWER(TRIM(_xlfn.XLOOKUP($A406,Строчный!$A:$A,Строчный!H:H,"ERR",0)))</f>
        <v>652/72</v>
      </c>
      <c r="I406" s="81" t="str">
        <f ca="1">LOWER(TRIM(_xlfn.XLOOKUP($A406,Строчный!$A:$A,Строчный!I:I,"ERR",0)))</f>
        <v>черный / белый</v>
      </c>
      <c r="J406" s="81" t="str">
        <f ca="1">SUBSTITUTE(LOWER(TRIM(_xlfn.XLOOKUP($A406,Строчный!$A:$A,Строчный!J:J,"ERR",0))),"подклад","Подклад")</f>
        <v>80% шерсть - 20% полиамид / Подклад: 100% вискоза</v>
      </c>
      <c r="K406" s="81" t="str">
        <f ca="1">LOWER(TRIM(_xlfn.XLOOKUP($A406,Строчный!$A:$A,Строчный!K:K,"ERR",0)))</f>
        <v>шерстяные</v>
      </c>
      <c r="L406" s="81" t="str">
        <f ca="1">PROPER(TRIM(_xlfn.XLOOKUP($A406,Строчный!$A:$A,Строчный!L:L,"ERR",0)))</f>
        <v>Унисекс</v>
      </c>
      <c r="M406" s="113" t="str">
        <f ca="1">PROPER(TRIM(_xlfn.XLOOKUP($A406,Строчный!$A:$A,Строчный!M:M,"ERR",0)))</f>
        <v>Россия</v>
      </c>
      <c r="N406" s="81" t="str">
        <f ca="1">UPPER(TRIM(_xlfn.XLOOKUP($A406,Строчный!$A:$A,Строчный!O:O,"ERR",0)))</f>
        <v/>
      </c>
      <c r="O406" s="102" t="str">
        <f ca="1">PROPER(TRIM(_xlfn.XLOOKUP($A406,Строчный!$A:$A,Строчный!P:P,"ERR",0)))</f>
        <v/>
      </c>
      <c r="P406" s="81" t="str">
        <f ca="1">PROPER(TRIM(_xlfn.XLOOKUP($A406,Строчный!$A:$A,Строчный!R:R,"ERR",0)))</f>
        <v/>
      </c>
      <c r="Q406" s="90">
        <f ca="1">VALUE(_xlfn.XLOOKUP($A406,Строчный!$A:$A,Строчный!N:N,"ERR",0))</f>
        <v>975.8</v>
      </c>
      <c r="R406" s="89" t="str">
        <f ca="1">_xlfn.XLOOKUP($G406,Фабрика!A:A,Фабрика!B:B,"ERR",0)</f>
        <v>ООО "ФРЭДРИКСОН" Россия 192029, С-Петербург, пр. Обуховской обороны, д.86, лит М</v>
      </c>
      <c r="S406" s="80" t="str">
        <f ca="1">_xlfn.XLOOKUP(RIGHT(AA406,2),Размеры!D:D,Размеры!A:A,"ERR",0)</f>
        <v>61</v>
      </c>
      <c r="T406" s="80">
        <f ca="1">VALUE(_xlfn.XLOOKUP($AA406,Строчный!$S:$S,Строчный!U:U,"ERR",0))</f>
        <v>1</v>
      </c>
      <c r="U406" s="14" t="s">
        <v>265</v>
      </c>
      <c r="V406" s="101" t="str">
        <f t="shared" ca="1" si="31"/>
        <v>Бейсболка FREDRIKSON арт. 3215 (черный / белый)</v>
      </c>
      <c r="W406" s="100" t="str">
        <f t="shared" ca="1" si="32"/>
        <v>Бейсболка FREDRIKSON арт. 3215 (черный / белый) {652/72}</v>
      </c>
      <c r="X406" s="18" t="str">
        <f t="shared" ca="1" si="33"/>
        <v>черный</v>
      </c>
      <c r="Y406" s="18" t="str">
        <f t="shared" ca="1" si="34"/>
        <v>белый</v>
      </c>
      <c r="Z406" s="117" t="s">
        <v>28</v>
      </c>
      <c r="AA406" s="73" t="str">
        <f ca="1"/>
        <v>95-001-72-61</v>
      </c>
      <c r="AB406" s="75" t="str">
        <f ca="1">VLOOKUP(C406,Группа!A:B,2,FALSE)</f>
        <v>Бейсболка</v>
      </c>
      <c r="AC406" s="97" t="str">
        <f ca="1">IFERROR(VLOOKUP(S406,Размеры!A:C,3,FALSE),"")</f>
        <v>61 XL</v>
      </c>
      <c r="AD406" s="97" t="str">
        <f ca="1">VLOOKUP(I406,ЦветПолный!A:B,2,FALSE)</f>
        <v>72</v>
      </c>
      <c r="AE406" s="97" t="str">
        <f ca="1">IFERROR(VLOOKUP(S406,Размеры!A:D,4,FALSE),"")</f>
        <v>61</v>
      </c>
      <c r="AF406" s="97">
        <f ca="1">IF(LEFT(IFERROR(VLOOKUP(LOOKUP(2,1/SEARCH(B406,Товары!A:A),Товары!A:A),Товары!A:B,2,0),""),6)=MID(AA406,1,6),1,0)</f>
        <v>0</v>
      </c>
      <c r="AH406" s="97">
        <f ca="1">SUMIF(Группа!A:A,C406,Группа!C:C)</f>
        <v>1</v>
      </c>
      <c r="AI406" s="97">
        <f ca="1">SUMIF(Группа!B:B,AB406,Группа!C:C)</f>
        <v>1</v>
      </c>
      <c r="AJ406" s="97">
        <f ca="1">SUMIF(Формы!A:A,D406,Формы!B:B)</f>
        <v>1</v>
      </c>
      <c r="AK406" s="97">
        <f ca="1">SUMIF(Материал!A:A,K406,Материал!B:B)</f>
        <v>1</v>
      </c>
      <c r="AL406" s="97">
        <f ca="1">SUMIF(Размеры!A:A,S406,Размеры!E:E)</f>
        <v>1</v>
      </c>
      <c r="AM406" s="97">
        <f ca="1">SUMIF(Сезон!A:A,F406,Сезон!B:B)</f>
        <v>1</v>
      </c>
      <c r="AN406" s="97">
        <f ca="1">SUMIF(Состав!A:A,J406,Состав!B:B)</f>
        <v>0</v>
      </c>
      <c r="AO406" s="97">
        <f ca="1">VLOOKUP(I406,ЦветПолный!A:C,3,0)</f>
        <v>1</v>
      </c>
      <c r="AP406" s="97">
        <f>SUMIF(Цвет!A:A,Z406,Цвет!B:B)</f>
        <v>1</v>
      </c>
      <c r="AQ406" s="97">
        <f ca="1">_xlfn.XLOOKUP(L406,Пол!A:A,Пол!B:B,0,0)</f>
        <v>1</v>
      </c>
      <c r="AR406" s="97">
        <f ca="1">SUMIF(Бренд!A:A,G406,Бренд!B:B)</f>
        <v>1</v>
      </c>
      <c r="AS406" s="97">
        <f ca="1">SUMIF(Страна!A:A,M406,Страна!B:B)</f>
        <v>1</v>
      </c>
      <c r="AT406" s="64" t="e">
        <f ca="1">IF(VLOOKUP(W406,Товары!A:B,2,FALSE)=A406,"Есть в 1С","ERR")</f>
        <v>#N/A</v>
      </c>
      <c r="AU406" s="65" t="e">
        <f ca="1">IF(VLOOKUP(A406,Товары!B:B,1,FALSE)=A406,"Есть в 1С","ERR")</f>
        <v>#N/A</v>
      </c>
      <c r="AV406" s="96" t="e">
        <f ca="1">VLOOKUP(W406,Товары!A:B,2,FALSE)</f>
        <v>#N/A</v>
      </c>
      <c r="AW406" s="94" t="e">
        <f ca="1">VLOOKUP(W406,Товары!A:B,1,FALSE)</f>
        <v>#N/A</v>
      </c>
    </row>
    <row r="407" spans="1:49" x14ac:dyDescent="0.25">
      <c r="A407" s="110" t="str">
        <f t="shared" ca="1" si="30"/>
        <v>95-001-72</v>
      </c>
      <c r="B407" s="107" t="str">
        <f ca="1">_xlfn.LET(_xlpm.CAPS,0,_xlpm.Style,TRIM(_xlfn.XLOOKUP($A407,Строчный!$A:$A,Строчный!B:B,"ERR",0)),IF(_xlpm.CAPS=0,_xlpm.Style,LOWER(_xlpm.Style)))</f>
        <v>3215</v>
      </c>
      <c r="C407" s="81" t="str">
        <f ca="1">TRIM(PROPER(_xlfn.XLOOKUP($A407,Строчный!$A:$A,Строчный!C:C,"ERR",0)))</f>
        <v>Бейсболки</v>
      </c>
      <c r="D407" s="81" t="str">
        <f ca="1">_xlfn.LET(_xlpm.DATA,TRIM(_xlfn.XLOOKUP($A407,Строчный!$A:$A,Строчный!D:D,"ERR",0)),UPPER(MID(_xlpm.DATA,1,1))&amp;LOWER(MID(_xlpm.DATA,2,LEN(_xlpm.DATA)-1)))</f>
        <v>Бейсболка</v>
      </c>
      <c r="E407" s="81" t="str">
        <f ca="1">PROPER(TRIM(_xlfn.XLOOKUP($A407,Строчный!$A:$A,Строчный!E:E,"ERR",0)))</f>
        <v>Fredrikson</v>
      </c>
      <c r="F407" s="81" t="str">
        <f ca="1">LOWER(TRIM(_xlfn.XLOOKUP($A407,Строчный!$A:$A,Строчный!F:F,"ERR",0)))</f>
        <v>всесезон</v>
      </c>
      <c r="G407" s="81" t="str">
        <f ca="1">UPPER(TRIM(_xlfn.XLOOKUP($A407,Строчный!$A:$A,Строчный!G:G,"ERR",0)))</f>
        <v>FREDRIKSON</v>
      </c>
      <c r="H407" s="81" t="str">
        <f ca="1">LOWER(TRIM(_xlfn.XLOOKUP($A407,Строчный!$A:$A,Строчный!H:H,"ERR",0)))</f>
        <v>652/72</v>
      </c>
      <c r="I407" s="81" t="str">
        <f ca="1">LOWER(TRIM(_xlfn.XLOOKUP($A407,Строчный!$A:$A,Строчный!I:I,"ERR",0)))</f>
        <v>черный / белый</v>
      </c>
      <c r="J407" s="81" t="str">
        <f ca="1">SUBSTITUTE(LOWER(TRIM(_xlfn.XLOOKUP($A407,Строчный!$A:$A,Строчный!J:J,"ERR",0))),"подклад","Подклад")</f>
        <v>80% шерсть - 20% полиамид / Подклад: 100% вискоза</v>
      </c>
      <c r="K407" s="81" t="str">
        <f ca="1">LOWER(TRIM(_xlfn.XLOOKUP($A407,Строчный!$A:$A,Строчный!K:K,"ERR",0)))</f>
        <v>шерстяные</v>
      </c>
      <c r="L407" s="81" t="str">
        <f ca="1">PROPER(TRIM(_xlfn.XLOOKUP($A407,Строчный!$A:$A,Строчный!L:L,"ERR",0)))</f>
        <v>Унисекс</v>
      </c>
      <c r="M407" s="113" t="str">
        <f ca="1">PROPER(TRIM(_xlfn.XLOOKUP($A407,Строчный!$A:$A,Строчный!M:M,"ERR",0)))</f>
        <v>Россия</v>
      </c>
      <c r="N407" s="81" t="str">
        <f ca="1">UPPER(TRIM(_xlfn.XLOOKUP($A407,Строчный!$A:$A,Строчный!O:O,"ERR",0)))</f>
        <v/>
      </c>
      <c r="O407" s="102" t="str">
        <f ca="1">PROPER(TRIM(_xlfn.XLOOKUP($A407,Строчный!$A:$A,Строчный!P:P,"ERR",0)))</f>
        <v/>
      </c>
      <c r="P407" s="81" t="str">
        <f ca="1">PROPER(TRIM(_xlfn.XLOOKUP($A407,Строчный!$A:$A,Строчный!R:R,"ERR",0)))</f>
        <v/>
      </c>
      <c r="Q407" s="90">
        <f ca="1">VALUE(_xlfn.XLOOKUP($A407,Строчный!$A:$A,Строчный!N:N,"ERR",0))</f>
        <v>975.8</v>
      </c>
      <c r="R407" s="89" t="str">
        <f ca="1">_xlfn.XLOOKUP($G407,Фабрика!A:A,Фабрика!B:B,"ERR",0)</f>
        <v>ООО "ФРЭДРИКСОН" Россия 192029, С-Петербург, пр. Обуховской обороны, д.86, лит М</v>
      </c>
      <c r="S407" s="80" t="str">
        <f ca="1">_xlfn.XLOOKUP(RIGHT(AA407,2),Размеры!D:D,Размеры!A:A,"ERR",0)</f>
        <v>60</v>
      </c>
      <c r="T407" s="80">
        <f ca="1">VALUE(_xlfn.XLOOKUP($AA407,Строчный!$S:$S,Строчный!U:U,"ERR",0))</f>
        <v>1</v>
      </c>
      <c r="U407" s="14" t="s">
        <v>265</v>
      </c>
      <c r="V407" s="101" t="str">
        <f t="shared" ca="1" si="31"/>
        <v>Бейсболка FREDRIKSON арт. 3215 (черный / белый)</v>
      </c>
      <c r="W407" s="100" t="str">
        <f t="shared" ca="1" si="32"/>
        <v>Бейсболка FREDRIKSON арт. 3215 (черный / белый) {652/72}</v>
      </c>
      <c r="X407" s="18" t="str">
        <f t="shared" ca="1" si="33"/>
        <v>черный</v>
      </c>
      <c r="Y407" s="18" t="str">
        <f t="shared" ca="1" si="34"/>
        <v>белый</v>
      </c>
      <c r="Z407" s="117" t="s">
        <v>28</v>
      </c>
      <c r="AA407" s="73" t="str">
        <f ca="1"/>
        <v>95-001-72-60</v>
      </c>
      <c r="AB407" s="75" t="str">
        <f ca="1">VLOOKUP(C407,Группа!A:B,2,FALSE)</f>
        <v>Бейсболка</v>
      </c>
      <c r="AC407" s="97" t="str">
        <f ca="1">IFERROR(VLOOKUP(S407,Размеры!A:C,3,FALSE),"")</f>
        <v>60 L/XL</v>
      </c>
      <c r="AD407" s="97" t="str">
        <f ca="1">VLOOKUP(I407,ЦветПолный!A:B,2,FALSE)</f>
        <v>72</v>
      </c>
      <c r="AE407" s="97" t="str">
        <f ca="1">IFERROR(VLOOKUP(S407,Размеры!A:D,4,FALSE),"")</f>
        <v>60</v>
      </c>
      <c r="AF407" s="97">
        <f ca="1">IF(LEFT(IFERROR(VLOOKUP(LOOKUP(2,1/SEARCH(B407,Товары!A:A),Товары!A:A),Товары!A:B,2,0),""),6)=MID(AA407,1,6),1,0)</f>
        <v>0</v>
      </c>
      <c r="AH407" s="97">
        <f ca="1">SUMIF(Группа!A:A,C407,Группа!C:C)</f>
        <v>1</v>
      </c>
      <c r="AI407" s="97">
        <f ca="1">SUMIF(Группа!B:B,AB407,Группа!C:C)</f>
        <v>1</v>
      </c>
      <c r="AJ407" s="97">
        <f ca="1">SUMIF(Формы!A:A,D407,Формы!B:B)</f>
        <v>1</v>
      </c>
      <c r="AK407" s="97">
        <f ca="1">SUMIF(Материал!A:A,K407,Материал!B:B)</f>
        <v>1</v>
      </c>
      <c r="AL407" s="97">
        <f ca="1">SUMIF(Размеры!A:A,S407,Размеры!E:E)</f>
        <v>1</v>
      </c>
      <c r="AM407" s="97">
        <f ca="1">SUMIF(Сезон!A:A,F407,Сезон!B:B)</f>
        <v>1</v>
      </c>
      <c r="AN407" s="97">
        <f ca="1">SUMIF(Состав!A:A,J407,Состав!B:B)</f>
        <v>0</v>
      </c>
      <c r="AO407" s="97">
        <f ca="1">VLOOKUP(I407,ЦветПолный!A:C,3,0)</f>
        <v>1</v>
      </c>
      <c r="AP407" s="97">
        <f>SUMIF(Цвет!A:A,Z407,Цвет!B:B)</f>
        <v>1</v>
      </c>
      <c r="AQ407" s="97">
        <f ca="1">_xlfn.XLOOKUP(L407,Пол!A:A,Пол!B:B,0,0)</f>
        <v>1</v>
      </c>
      <c r="AR407" s="97">
        <f ca="1">SUMIF(Бренд!A:A,G407,Бренд!B:B)</f>
        <v>1</v>
      </c>
      <c r="AS407" s="97">
        <f ca="1">SUMIF(Страна!A:A,M407,Страна!B:B)</f>
        <v>1</v>
      </c>
      <c r="AT407" s="64" t="e">
        <f ca="1">IF(VLOOKUP(W407,Товары!A:B,2,FALSE)=A407,"Есть в 1С","ERR")</f>
        <v>#N/A</v>
      </c>
      <c r="AU407" s="65" t="e">
        <f ca="1">IF(VLOOKUP(A407,Товары!B:B,1,FALSE)=A407,"Есть в 1С","ERR")</f>
        <v>#N/A</v>
      </c>
      <c r="AV407" s="96" t="e">
        <f ca="1">VLOOKUP(W407,Товары!A:B,2,FALSE)</f>
        <v>#N/A</v>
      </c>
      <c r="AW407" s="94" t="e">
        <f ca="1">VLOOKUP(W407,Товары!A:B,1,FALSE)</f>
        <v>#N/A</v>
      </c>
    </row>
    <row r="408" spans="1:49" x14ac:dyDescent="0.25">
      <c r="A408" s="110" t="str">
        <f t="shared" ca="1" si="30"/>
        <v>95-001-72</v>
      </c>
      <c r="B408" s="107" t="str">
        <f ca="1">_xlfn.LET(_xlpm.CAPS,0,_xlpm.Style,TRIM(_xlfn.XLOOKUP($A408,Строчный!$A:$A,Строчный!B:B,"ERR",0)),IF(_xlpm.CAPS=0,_xlpm.Style,LOWER(_xlpm.Style)))</f>
        <v>3215</v>
      </c>
      <c r="C408" s="81" t="str">
        <f ca="1">TRIM(PROPER(_xlfn.XLOOKUP($A408,Строчный!$A:$A,Строчный!C:C,"ERR",0)))</f>
        <v>Бейсболки</v>
      </c>
      <c r="D408" s="81" t="str">
        <f ca="1">_xlfn.LET(_xlpm.DATA,TRIM(_xlfn.XLOOKUP($A408,Строчный!$A:$A,Строчный!D:D,"ERR",0)),UPPER(MID(_xlpm.DATA,1,1))&amp;LOWER(MID(_xlpm.DATA,2,LEN(_xlpm.DATA)-1)))</f>
        <v>Бейсболка</v>
      </c>
      <c r="E408" s="81" t="str">
        <f ca="1">PROPER(TRIM(_xlfn.XLOOKUP($A408,Строчный!$A:$A,Строчный!E:E,"ERR",0)))</f>
        <v>Fredrikson</v>
      </c>
      <c r="F408" s="81" t="str">
        <f ca="1">LOWER(TRIM(_xlfn.XLOOKUP($A408,Строчный!$A:$A,Строчный!F:F,"ERR",0)))</f>
        <v>всесезон</v>
      </c>
      <c r="G408" s="81" t="str">
        <f ca="1">UPPER(TRIM(_xlfn.XLOOKUP($A408,Строчный!$A:$A,Строчный!G:G,"ERR",0)))</f>
        <v>FREDRIKSON</v>
      </c>
      <c r="H408" s="81" t="str">
        <f ca="1">LOWER(TRIM(_xlfn.XLOOKUP($A408,Строчный!$A:$A,Строчный!H:H,"ERR",0)))</f>
        <v>652/72</v>
      </c>
      <c r="I408" s="81" t="str">
        <f ca="1">LOWER(TRIM(_xlfn.XLOOKUP($A408,Строчный!$A:$A,Строчный!I:I,"ERR",0)))</f>
        <v>черный / белый</v>
      </c>
      <c r="J408" s="81" t="str">
        <f ca="1">SUBSTITUTE(LOWER(TRIM(_xlfn.XLOOKUP($A408,Строчный!$A:$A,Строчный!J:J,"ERR",0))),"подклад","Подклад")</f>
        <v>80% шерсть - 20% полиамид / Подклад: 100% вискоза</v>
      </c>
      <c r="K408" s="81" t="str">
        <f ca="1">LOWER(TRIM(_xlfn.XLOOKUP($A408,Строчный!$A:$A,Строчный!K:K,"ERR",0)))</f>
        <v>шерстяные</v>
      </c>
      <c r="L408" s="81" t="str">
        <f ca="1">PROPER(TRIM(_xlfn.XLOOKUP($A408,Строчный!$A:$A,Строчный!L:L,"ERR",0)))</f>
        <v>Унисекс</v>
      </c>
      <c r="M408" s="113" t="str">
        <f ca="1">PROPER(TRIM(_xlfn.XLOOKUP($A408,Строчный!$A:$A,Строчный!M:M,"ERR",0)))</f>
        <v>Россия</v>
      </c>
      <c r="N408" s="81" t="str">
        <f ca="1">UPPER(TRIM(_xlfn.XLOOKUP($A408,Строчный!$A:$A,Строчный!O:O,"ERR",0)))</f>
        <v/>
      </c>
      <c r="O408" s="102" t="str">
        <f ca="1">PROPER(TRIM(_xlfn.XLOOKUP($A408,Строчный!$A:$A,Строчный!P:P,"ERR",0)))</f>
        <v/>
      </c>
      <c r="P408" s="81" t="str">
        <f ca="1">PROPER(TRIM(_xlfn.XLOOKUP($A408,Строчный!$A:$A,Строчный!R:R,"ERR",0)))</f>
        <v/>
      </c>
      <c r="Q408" s="90">
        <f ca="1">VALUE(_xlfn.XLOOKUP($A408,Строчный!$A:$A,Строчный!N:N,"ERR",0))</f>
        <v>975.8</v>
      </c>
      <c r="R408" s="89" t="str">
        <f ca="1">_xlfn.XLOOKUP($G408,Фабрика!A:A,Фабрика!B:B,"ERR",0)</f>
        <v>ООО "ФРЭДРИКСОН" Россия 192029, С-Петербург, пр. Обуховской обороны, д.86, лит М</v>
      </c>
      <c r="S408" s="80" t="str">
        <f ca="1">_xlfn.XLOOKUP(RIGHT(AA408,2),Размеры!D:D,Размеры!A:A,"ERR",0)</f>
        <v>59</v>
      </c>
      <c r="T408" s="80">
        <f ca="1">VALUE(_xlfn.XLOOKUP($AA408,Строчный!$S:$S,Строчный!U:U,"ERR",0))</f>
        <v>2</v>
      </c>
      <c r="U408" s="14" t="s">
        <v>265</v>
      </c>
      <c r="V408" s="101" t="str">
        <f t="shared" ca="1" si="31"/>
        <v>Бейсболка FREDRIKSON арт. 3215 (черный / белый)</v>
      </c>
      <c r="W408" s="100" t="str">
        <f t="shared" ca="1" si="32"/>
        <v>Бейсболка FREDRIKSON арт. 3215 (черный / белый) {652/72}</v>
      </c>
      <c r="X408" s="18" t="str">
        <f t="shared" ca="1" si="33"/>
        <v>черный</v>
      </c>
      <c r="Y408" s="18" t="str">
        <f t="shared" ca="1" si="34"/>
        <v>белый</v>
      </c>
      <c r="Z408" s="117" t="s">
        <v>28</v>
      </c>
      <c r="AA408" s="73" t="str">
        <f ca="1"/>
        <v>95-001-72-59</v>
      </c>
      <c r="AB408" s="75" t="str">
        <f ca="1">VLOOKUP(C408,Группа!A:B,2,FALSE)</f>
        <v>Бейсболка</v>
      </c>
      <c r="AC408" s="97" t="str">
        <f ca="1">IFERROR(VLOOKUP(S408,Размеры!A:C,3,FALSE),"")</f>
        <v>59 L</v>
      </c>
      <c r="AD408" s="97" t="str">
        <f ca="1">VLOOKUP(I408,ЦветПолный!A:B,2,FALSE)</f>
        <v>72</v>
      </c>
      <c r="AE408" s="97" t="str">
        <f ca="1">IFERROR(VLOOKUP(S408,Размеры!A:D,4,FALSE),"")</f>
        <v>59</v>
      </c>
      <c r="AF408" s="97">
        <f ca="1">IF(LEFT(IFERROR(VLOOKUP(LOOKUP(2,1/SEARCH(B408,Товары!A:A),Товары!A:A),Товары!A:B,2,0),""),6)=MID(AA408,1,6),1,0)</f>
        <v>0</v>
      </c>
      <c r="AH408" s="97">
        <f ca="1">SUMIF(Группа!A:A,C408,Группа!C:C)</f>
        <v>1</v>
      </c>
      <c r="AI408" s="97">
        <f ca="1">SUMIF(Группа!B:B,AB408,Группа!C:C)</f>
        <v>1</v>
      </c>
      <c r="AJ408" s="97">
        <f ca="1">SUMIF(Формы!A:A,D408,Формы!B:B)</f>
        <v>1</v>
      </c>
      <c r="AK408" s="97">
        <f ca="1">SUMIF(Материал!A:A,K408,Материал!B:B)</f>
        <v>1</v>
      </c>
      <c r="AL408" s="97">
        <f ca="1">SUMIF(Размеры!A:A,S408,Размеры!E:E)</f>
        <v>1</v>
      </c>
      <c r="AM408" s="97">
        <f ca="1">SUMIF(Сезон!A:A,F408,Сезон!B:B)</f>
        <v>1</v>
      </c>
      <c r="AN408" s="97">
        <f ca="1">SUMIF(Состав!A:A,J408,Состав!B:B)</f>
        <v>0</v>
      </c>
      <c r="AO408" s="97">
        <f ca="1">VLOOKUP(I408,ЦветПолный!A:C,3,0)</f>
        <v>1</v>
      </c>
      <c r="AP408" s="97">
        <f>SUMIF(Цвет!A:A,Z408,Цвет!B:B)</f>
        <v>1</v>
      </c>
      <c r="AQ408" s="97">
        <f ca="1">_xlfn.XLOOKUP(L408,Пол!A:A,Пол!B:B,0,0)</f>
        <v>1</v>
      </c>
      <c r="AR408" s="97">
        <f ca="1">SUMIF(Бренд!A:A,G408,Бренд!B:B)</f>
        <v>1</v>
      </c>
      <c r="AS408" s="97">
        <f ca="1">SUMIF(Страна!A:A,M408,Страна!B:B)</f>
        <v>1</v>
      </c>
      <c r="AT408" s="64" t="e">
        <f ca="1">IF(VLOOKUP(W408,Товары!A:B,2,FALSE)=A408,"Есть в 1С","ERR")</f>
        <v>#N/A</v>
      </c>
      <c r="AU408" s="65" t="e">
        <f ca="1">IF(VLOOKUP(A408,Товары!B:B,1,FALSE)=A408,"Есть в 1С","ERR")</f>
        <v>#N/A</v>
      </c>
      <c r="AV408" s="96" t="e">
        <f ca="1">VLOOKUP(W408,Товары!A:B,2,FALSE)</f>
        <v>#N/A</v>
      </c>
      <c r="AW408" s="94" t="e">
        <f ca="1">VLOOKUP(W408,Товары!A:B,1,FALSE)</f>
        <v>#N/A</v>
      </c>
    </row>
    <row r="409" spans="1:49" x14ac:dyDescent="0.25">
      <c r="A409" s="110" t="str">
        <f t="shared" ca="1" si="30"/>
        <v>95-001-72</v>
      </c>
      <c r="B409" s="107" t="str">
        <f ca="1">_xlfn.LET(_xlpm.CAPS,0,_xlpm.Style,TRIM(_xlfn.XLOOKUP($A409,Строчный!$A:$A,Строчный!B:B,"ERR",0)),IF(_xlpm.CAPS=0,_xlpm.Style,LOWER(_xlpm.Style)))</f>
        <v>3215</v>
      </c>
      <c r="C409" s="81" t="str">
        <f ca="1">TRIM(PROPER(_xlfn.XLOOKUP($A409,Строчный!$A:$A,Строчный!C:C,"ERR",0)))</f>
        <v>Бейсболки</v>
      </c>
      <c r="D409" s="81" t="str">
        <f ca="1">_xlfn.LET(_xlpm.DATA,TRIM(_xlfn.XLOOKUP($A409,Строчный!$A:$A,Строчный!D:D,"ERR",0)),UPPER(MID(_xlpm.DATA,1,1))&amp;LOWER(MID(_xlpm.DATA,2,LEN(_xlpm.DATA)-1)))</f>
        <v>Бейсболка</v>
      </c>
      <c r="E409" s="81" t="str">
        <f ca="1">PROPER(TRIM(_xlfn.XLOOKUP($A409,Строчный!$A:$A,Строчный!E:E,"ERR",0)))</f>
        <v>Fredrikson</v>
      </c>
      <c r="F409" s="81" t="str">
        <f ca="1">LOWER(TRIM(_xlfn.XLOOKUP($A409,Строчный!$A:$A,Строчный!F:F,"ERR",0)))</f>
        <v>всесезон</v>
      </c>
      <c r="G409" s="81" t="str">
        <f ca="1">UPPER(TRIM(_xlfn.XLOOKUP($A409,Строчный!$A:$A,Строчный!G:G,"ERR",0)))</f>
        <v>FREDRIKSON</v>
      </c>
      <c r="H409" s="81" t="str">
        <f ca="1">LOWER(TRIM(_xlfn.XLOOKUP($A409,Строчный!$A:$A,Строчный!H:H,"ERR",0)))</f>
        <v>652/72</v>
      </c>
      <c r="I409" s="81" t="str">
        <f ca="1">LOWER(TRIM(_xlfn.XLOOKUP($A409,Строчный!$A:$A,Строчный!I:I,"ERR",0)))</f>
        <v>черный / белый</v>
      </c>
      <c r="J409" s="81" t="str">
        <f ca="1">SUBSTITUTE(LOWER(TRIM(_xlfn.XLOOKUP($A409,Строчный!$A:$A,Строчный!J:J,"ERR",0))),"подклад","Подклад")</f>
        <v>80% шерсть - 20% полиамид / Подклад: 100% вискоза</v>
      </c>
      <c r="K409" s="81" t="str">
        <f ca="1">LOWER(TRIM(_xlfn.XLOOKUP($A409,Строчный!$A:$A,Строчный!K:K,"ERR",0)))</f>
        <v>шерстяные</v>
      </c>
      <c r="L409" s="81" t="str">
        <f ca="1">PROPER(TRIM(_xlfn.XLOOKUP($A409,Строчный!$A:$A,Строчный!L:L,"ERR",0)))</f>
        <v>Унисекс</v>
      </c>
      <c r="M409" s="113" t="str">
        <f ca="1">PROPER(TRIM(_xlfn.XLOOKUP($A409,Строчный!$A:$A,Строчный!M:M,"ERR",0)))</f>
        <v>Россия</v>
      </c>
      <c r="N409" s="81" t="str">
        <f ca="1">UPPER(TRIM(_xlfn.XLOOKUP($A409,Строчный!$A:$A,Строчный!O:O,"ERR",0)))</f>
        <v/>
      </c>
      <c r="O409" s="102" t="str">
        <f ca="1">PROPER(TRIM(_xlfn.XLOOKUP($A409,Строчный!$A:$A,Строчный!P:P,"ERR",0)))</f>
        <v/>
      </c>
      <c r="P409" s="81" t="str">
        <f ca="1">PROPER(TRIM(_xlfn.XLOOKUP($A409,Строчный!$A:$A,Строчный!R:R,"ERR",0)))</f>
        <v/>
      </c>
      <c r="Q409" s="90">
        <f ca="1">VALUE(_xlfn.XLOOKUP($A409,Строчный!$A:$A,Строчный!N:N,"ERR",0))</f>
        <v>975.8</v>
      </c>
      <c r="R409" s="89" t="str">
        <f ca="1">_xlfn.XLOOKUP($G409,Фабрика!A:A,Фабрика!B:B,"ERR",0)</f>
        <v>ООО "ФРЭДРИКСОН" Россия 192029, С-Петербург, пр. Обуховской обороны, д.86, лит М</v>
      </c>
      <c r="S409" s="80" t="str">
        <f ca="1">_xlfn.XLOOKUP(RIGHT(AA409,2),Размеры!D:D,Размеры!A:A,"ERR",0)</f>
        <v>58</v>
      </c>
      <c r="T409" s="80">
        <f ca="1">VALUE(_xlfn.XLOOKUP($AA409,Строчный!$S:$S,Строчный!U:U,"ERR",0))</f>
        <v>1</v>
      </c>
      <c r="U409" s="14" t="s">
        <v>265</v>
      </c>
      <c r="V409" s="101" t="str">
        <f t="shared" ca="1" si="31"/>
        <v>Бейсболка FREDRIKSON арт. 3215 (черный / белый)</v>
      </c>
      <c r="W409" s="100" t="str">
        <f t="shared" ca="1" si="32"/>
        <v>Бейсболка FREDRIKSON арт. 3215 (черный / белый) {652/72}</v>
      </c>
      <c r="X409" s="18" t="str">
        <f t="shared" ca="1" si="33"/>
        <v>черный</v>
      </c>
      <c r="Y409" s="18" t="str">
        <f t="shared" ca="1" si="34"/>
        <v>белый</v>
      </c>
      <c r="Z409" s="117" t="s">
        <v>28</v>
      </c>
      <c r="AA409" s="73" t="str">
        <f ca="1"/>
        <v>95-001-72-58</v>
      </c>
      <c r="AB409" s="75" t="str">
        <f ca="1">VLOOKUP(C409,Группа!A:B,2,FALSE)</f>
        <v>Бейсболка</v>
      </c>
      <c r="AC409" s="97" t="str">
        <f ca="1">IFERROR(VLOOKUP(S409,Размеры!A:C,3,FALSE),"")</f>
        <v>58 M/L</v>
      </c>
      <c r="AD409" s="97" t="str">
        <f ca="1">VLOOKUP(I409,ЦветПолный!A:B,2,FALSE)</f>
        <v>72</v>
      </c>
      <c r="AE409" s="97" t="str">
        <f ca="1">IFERROR(VLOOKUP(S409,Размеры!A:D,4,FALSE),"")</f>
        <v>58</v>
      </c>
      <c r="AF409" s="97">
        <f ca="1">IF(LEFT(IFERROR(VLOOKUP(LOOKUP(2,1/SEARCH(B409,Товары!A:A),Товары!A:A),Товары!A:B,2,0),""),6)=MID(AA409,1,6),1,0)</f>
        <v>0</v>
      </c>
      <c r="AH409" s="97">
        <f ca="1">SUMIF(Группа!A:A,C409,Группа!C:C)</f>
        <v>1</v>
      </c>
      <c r="AI409" s="97">
        <f ca="1">SUMIF(Группа!B:B,AB409,Группа!C:C)</f>
        <v>1</v>
      </c>
      <c r="AJ409" s="97">
        <f ca="1">SUMIF(Формы!A:A,D409,Формы!B:B)</f>
        <v>1</v>
      </c>
      <c r="AK409" s="97">
        <f ca="1">SUMIF(Материал!A:A,K409,Материал!B:B)</f>
        <v>1</v>
      </c>
      <c r="AL409" s="97">
        <f ca="1">SUMIF(Размеры!A:A,S409,Размеры!E:E)</f>
        <v>1</v>
      </c>
      <c r="AM409" s="97">
        <f ca="1">SUMIF(Сезон!A:A,F409,Сезон!B:B)</f>
        <v>1</v>
      </c>
      <c r="AN409" s="97">
        <f ca="1">SUMIF(Состав!A:A,J409,Состав!B:B)</f>
        <v>0</v>
      </c>
      <c r="AO409" s="97">
        <f ca="1">VLOOKUP(I409,ЦветПолный!A:C,3,0)</f>
        <v>1</v>
      </c>
      <c r="AP409" s="97">
        <f>SUMIF(Цвет!A:A,Z409,Цвет!B:B)</f>
        <v>1</v>
      </c>
      <c r="AQ409" s="97">
        <f ca="1">_xlfn.XLOOKUP(L409,Пол!A:A,Пол!B:B,0,0)</f>
        <v>1</v>
      </c>
      <c r="AR409" s="97">
        <f ca="1">SUMIF(Бренд!A:A,G409,Бренд!B:B)</f>
        <v>1</v>
      </c>
      <c r="AS409" s="97">
        <f ca="1">SUMIF(Страна!A:A,M409,Страна!B:B)</f>
        <v>1</v>
      </c>
      <c r="AT409" s="64" t="e">
        <f ca="1">IF(VLOOKUP(W409,Товары!A:B,2,FALSE)=A409,"Есть в 1С","ERR")</f>
        <v>#N/A</v>
      </c>
      <c r="AU409" s="65" t="e">
        <f ca="1">IF(VLOOKUP(A409,Товары!B:B,1,FALSE)=A409,"Есть в 1С","ERR")</f>
        <v>#N/A</v>
      </c>
      <c r="AV409" s="96" t="e">
        <f ca="1">VLOOKUP(W409,Товары!A:B,2,FALSE)</f>
        <v>#N/A</v>
      </c>
      <c r="AW409" s="94" t="e">
        <f ca="1">VLOOKUP(W409,Товары!A:B,1,FALSE)</f>
        <v>#N/A</v>
      </c>
    </row>
    <row r="410" spans="1:49" x14ac:dyDescent="0.25">
      <c r="A410" s="110" t="str">
        <f t="shared" ca="1" si="30"/>
        <v>95-001-72</v>
      </c>
      <c r="B410" s="107" t="str">
        <f ca="1">_xlfn.LET(_xlpm.CAPS,0,_xlpm.Style,TRIM(_xlfn.XLOOKUP($A410,Строчный!$A:$A,Строчный!B:B,"ERR",0)),IF(_xlpm.CAPS=0,_xlpm.Style,LOWER(_xlpm.Style)))</f>
        <v>3215</v>
      </c>
      <c r="C410" s="81" t="str">
        <f ca="1">TRIM(PROPER(_xlfn.XLOOKUP($A410,Строчный!$A:$A,Строчный!C:C,"ERR",0)))</f>
        <v>Бейсболки</v>
      </c>
      <c r="D410" s="81" t="str">
        <f ca="1">_xlfn.LET(_xlpm.DATA,TRIM(_xlfn.XLOOKUP($A410,Строчный!$A:$A,Строчный!D:D,"ERR",0)),UPPER(MID(_xlpm.DATA,1,1))&amp;LOWER(MID(_xlpm.DATA,2,LEN(_xlpm.DATA)-1)))</f>
        <v>Бейсболка</v>
      </c>
      <c r="E410" s="81" t="str">
        <f ca="1">PROPER(TRIM(_xlfn.XLOOKUP($A410,Строчный!$A:$A,Строчный!E:E,"ERR",0)))</f>
        <v>Fredrikson</v>
      </c>
      <c r="F410" s="81" t="str">
        <f ca="1">LOWER(TRIM(_xlfn.XLOOKUP($A410,Строчный!$A:$A,Строчный!F:F,"ERR",0)))</f>
        <v>всесезон</v>
      </c>
      <c r="G410" s="81" t="str">
        <f ca="1">UPPER(TRIM(_xlfn.XLOOKUP($A410,Строчный!$A:$A,Строчный!G:G,"ERR",0)))</f>
        <v>FREDRIKSON</v>
      </c>
      <c r="H410" s="81" t="str">
        <f ca="1">LOWER(TRIM(_xlfn.XLOOKUP($A410,Строчный!$A:$A,Строчный!H:H,"ERR",0)))</f>
        <v>652/72</v>
      </c>
      <c r="I410" s="81" t="str">
        <f ca="1">LOWER(TRIM(_xlfn.XLOOKUP($A410,Строчный!$A:$A,Строчный!I:I,"ERR",0)))</f>
        <v>черный / белый</v>
      </c>
      <c r="J410" s="81" t="str">
        <f ca="1">SUBSTITUTE(LOWER(TRIM(_xlfn.XLOOKUP($A410,Строчный!$A:$A,Строчный!J:J,"ERR",0))),"подклад","Подклад")</f>
        <v>80% шерсть - 20% полиамид / Подклад: 100% вискоза</v>
      </c>
      <c r="K410" s="81" t="str">
        <f ca="1">LOWER(TRIM(_xlfn.XLOOKUP($A410,Строчный!$A:$A,Строчный!K:K,"ERR",0)))</f>
        <v>шерстяные</v>
      </c>
      <c r="L410" s="81" t="str">
        <f ca="1">PROPER(TRIM(_xlfn.XLOOKUP($A410,Строчный!$A:$A,Строчный!L:L,"ERR",0)))</f>
        <v>Унисекс</v>
      </c>
      <c r="M410" s="113" t="str">
        <f ca="1">PROPER(TRIM(_xlfn.XLOOKUP($A410,Строчный!$A:$A,Строчный!M:M,"ERR",0)))</f>
        <v>Россия</v>
      </c>
      <c r="N410" s="81" t="str">
        <f ca="1">UPPER(TRIM(_xlfn.XLOOKUP($A410,Строчный!$A:$A,Строчный!O:O,"ERR",0)))</f>
        <v/>
      </c>
      <c r="O410" s="102" t="str">
        <f ca="1">PROPER(TRIM(_xlfn.XLOOKUP($A410,Строчный!$A:$A,Строчный!P:P,"ERR",0)))</f>
        <v/>
      </c>
      <c r="P410" s="81" t="str">
        <f ca="1">PROPER(TRIM(_xlfn.XLOOKUP($A410,Строчный!$A:$A,Строчный!R:R,"ERR",0)))</f>
        <v/>
      </c>
      <c r="Q410" s="90">
        <f ca="1">VALUE(_xlfn.XLOOKUP($A410,Строчный!$A:$A,Строчный!N:N,"ERR",0))</f>
        <v>975.8</v>
      </c>
      <c r="R410" s="89" t="str">
        <f ca="1">_xlfn.XLOOKUP($G410,Фабрика!A:A,Фабрика!B:B,"ERR",0)</f>
        <v>ООО "ФРЭДРИКСОН" Россия 192029, С-Петербург, пр. Обуховской обороны, д.86, лит М</v>
      </c>
      <c r="S410" s="80" t="str">
        <f ca="1">_xlfn.XLOOKUP(RIGHT(AA410,2),Размеры!D:D,Размеры!A:A,"ERR",0)</f>
        <v>57</v>
      </c>
      <c r="T410" s="80">
        <f ca="1">VALUE(_xlfn.XLOOKUP($AA410,Строчный!$S:$S,Строчный!U:U,"ERR",0))</f>
        <v>1</v>
      </c>
      <c r="U410" s="14" t="s">
        <v>265</v>
      </c>
      <c r="V410" s="101" t="str">
        <f t="shared" ca="1" si="31"/>
        <v>Бейсболка FREDRIKSON арт. 3215 (черный / белый)</v>
      </c>
      <c r="W410" s="100" t="str">
        <f t="shared" ca="1" si="32"/>
        <v>Бейсболка FREDRIKSON арт. 3215 (черный / белый) {652/72}</v>
      </c>
      <c r="X410" s="18" t="str">
        <f t="shared" ca="1" si="33"/>
        <v>черный</v>
      </c>
      <c r="Y410" s="18" t="str">
        <f t="shared" ca="1" si="34"/>
        <v>белый</v>
      </c>
      <c r="Z410" s="117" t="s">
        <v>28</v>
      </c>
      <c r="AA410" s="73" t="str">
        <f ca="1"/>
        <v>95-001-72-57</v>
      </c>
      <c r="AB410" s="75" t="str">
        <f ca="1">VLOOKUP(C410,Группа!A:B,2,FALSE)</f>
        <v>Бейсболка</v>
      </c>
      <c r="AC410" s="97" t="str">
        <f ca="1">IFERROR(VLOOKUP(S410,Размеры!A:C,3,FALSE),"")</f>
        <v>57 M</v>
      </c>
      <c r="AD410" s="97" t="str">
        <f ca="1">VLOOKUP(I410,ЦветПолный!A:B,2,FALSE)</f>
        <v>72</v>
      </c>
      <c r="AE410" s="97" t="str">
        <f ca="1">IFERROR(VLOOKUP(S410,Размеры!A:D,4,FALSE),"")</f>
        <v>57</v>
      </c>
      <c r="AF410" s="97">
        <f ca="1">IF(LEFT(IFERROR(VLOOKUP(LOOKUP(2,1/SEARCH(B410,Товары!A:A),Товары!A:A),Товары!A:B,2,0),""),6)=MID(AA410,1,6),1,0)</f>
        <v>0</v>
      </c>
      <c r="AH410" s="97">
        <f ca="1">SUMIF(Группа!A:A,C410,Группа!C:C)</f>
        <v>1</v>
      </c>
      <c r="AI410" s="97">
        <f ca="1">SUMIF(Группа!B:B,AB410,Группа!C:C)</f>
        <v>1</v>
      </c>
      <c r="AJ410" s="97">
        <f ca="1">SUMIF(Формы!A:A,D410,Формы!B:B)</f>
        <v>1</v>
      </c>
      <c r="AK410" s="97">
        <f ca="1">SUMIF(Материал!A:A,K410,Материал!B:B)</f>
        <v>1</v>
      </c>
      <c r="AL410" s="97">
        <f ca="1">SUMIF(Размеры!A:A,S410,Размеры!E:E)</f>
        <v>1</v>
      </c>
      <c r="AM410" s="97">
        <f ca="1">SUMIF(Сезон!A:A,F410,Сезон!B:B)</f>
        <v>1</v>
      </c>
      <c r="AN410" s="97">
        <f ca="1">SUMIF(Состав!A:A,J410,Состав!B:B)</f>
        <v>0</v>
      </c>
      <c r="AO410" s="97">
        <f ca="1">VLOOKUP(I410,ЦветПолный!A:C,3,0)</f>
        <v>1</v>
      </c>
      <c r="AP410" s="97">
        <f>SUMIF(Цвет!A:A,Z410,Цвет!B:B)</f>
        <v>1</v>
      </c>
      <c r="AQ410" s="97">
        <f ca="1">_xlfn.XLOOKUP(L410,Пол!A:A,Пол!B:B,0,0)</f>
        <v>1</v>
      </c>
      <c r="AR410" s="97">
        <f ca="1">SUMIF(Бренд!A:A,G410,Бренд!B:B)</f>
        <v>1</v>
      </c>
      <c r="AS410" s="97">
        <f ca="1">SUMIF(Страна!A:A,M410,Страна!B:B)</f>
        <v>1</v>
      </c>
      <c r="AT410" s="64" t="e">
        <f ca="1">IF(VLOOKUP(W410,Товары!A:B,2,FALSE)=A410,"Есть в 1С","ERR")</f>
        <v>#N/A</v>
      </c>
      <c r="AU410" s="65" t="e">
        <f ca="1">IF(VLOOKUP(A410,Товары!B:B,1,FALSE)=A410,"Есть в 1С","ERR")</f>
        <v>#N/A</v>
      </c>
      <c r="AV410" s="96" t="e">
        <f ca="1">VLOOKUP(W410,Товары!A:B,2,FALSE)</f>
        <v>#N/A</v>
      </c>
      <c r="AW410" s="94" t="e">
        <f ca="1">VLOOKUP(W410,Товары!A:B,1,FALSE)</f>
        <v>#N/A</v>
      </c>
    </row>
    <row r="411" spans="1:49" x14ac:dyDescent="0.25">
      <c r="A411" s="110" t="str">
        <f t="shared" ca="1" si="30"/>
        <v>95-001-69</v>
      </c>
      <c r="B411" s="107" t="str">
        <f ca="1">_xlfn.LET(_xlpm.CAPS,0,_xlpm.Style,TRIM(_xlfn.XLOOKUP($A411,Строчный!$A:$A,Строчный!B:B,"ERR",0)),IF(_xlpm.CAPS=0,_xlpm.Style,LOWER(_xlpm.Style)))</f>
        <v>3215</v>
      </c>
      <c r="C411" s="81" t="str">
        <f ca="1">TRIM(PROPER(_xlfn.XLOOKUP($A411,Строчный!$A:$A,Строчный!C:C,"ERR",0)))</f>
        <v>Бейсболки</v>
      </c>
      <c r="D411" s="81" t="str">
        <f ca="1">_xlfn.LET(_xlpm.DATA,TRIM(_xlfn.XLOOKUP($A411,Строчный!$A:$A,Строчный!D:D,"ERR",0)),UPPER(MID(_xlpm.DATA,1,1))&amp;LOWER(MID(_xlpm.DATA,2,LEN(_xlpm.DATA)-1)))</f>
        <v>Бейсболка</v>
      </c>
      <c r="E411" s="81" t="str">
        <f ca="1">PROPER(TRIM(_xlfn.XLOOKUP($A411,Строчный!$A:$A,Строчный!E:E,"ERR",0)))</f>
        <v>Fredrikson</v>
      </c>
      <c r="F411" s="81" t="str">
        <f ca="1">LOWER(TRIM(_xlfn.XLOOKUP($A411,Строчный!$A:$A,Строчный!F:F,"ERR",0)))</f>
        <v>всесезон</v>
      </c>
      <c r="G411" s="81" t="str">
        <f ca="1">UPPER(TRIM(_xlfn.XLOOKUP($A411,Строчный!$A:$A,Строчный!G:G,"ERR",0)))</f>
        <v>FREDRIKSON</v>
      </c>
      <c r="H411" s="81" t="str">
        <f ca="1">LOWER(TRIM(_xlfn.XLOOKUP($A411,Строчный!$A:$A,Строчный!H:H,"ERR",0)))</f>
        <v>630/77</v>
      </c>
      <c r="I411" s="81" t="str">
        <f ca="1">LOWER(TRIM(_xlfn.XLOOKUP($A411,Строчный!$A:$A,Строчный!I:I,"ERR",0)))</f>
        <v>серый / темно-серый</v>
      </c>
      <c r="J411" s="81" t="str">
        <f ca="1">SUBSTITUTE(LOWER(TRIM(_xlfn.XLOOKUP($A411,Строчный!$A:$A,Строчный!J:J,"ERR",0))),"подклад","Подклад")</f>
        <v>80% шерсть - 20% полиамид / Подклад: 100% вискоза</v>
      </c>
      <c r="K411" s="81" t="str">
        <f ca="1">LOWER(TRIM(_xlfn.XLOOKUP($A411,Строчный!$A:$A,Строчный!K:K,"ERR",0)))</f>
        <v>шерстяные</v>
      </c>
      <c r="L411" s="81" t="str">
        <f ca="1">PROPER(TRIM(_xlfn.XLOOKUP($A411,Строчный!$A:$A,Строчный!L:L,"ERR",0)))</f>
        <v>Унисекс</v>
      </c>
      <c r="M411" s="113" t="str">
        <f ca="1">PROPER(TRIM(_xlfn.XLOOKUP($A411,Строчный!$A:$A,Строчный!M:M,"ERR",0)))</f>
        <v>Россия</v>
      </c>
      <c r="N411" s="81" t="str">
        <f ca="1">UPPER(TRIM(_xlfn.XLOOKUP($A411,Строчный!$A:$A,Строчный!O:O,"ERR",0)))</f>
        <v/>
      </c>
      <c r="O411" s="102" t="str">
        <f ca="1">PROPER(TRIM(_xlfn.XLOOKUP($A411,Строчный!$A:$A,Строчный!P:P,"ERR",0)))</f>
        <v/>
      </c>
      <c r="P411" s="81" t="str">
        <f ca="1">PROPER(TRIM(_xlfn.XLOOKUP($A411,Строчный!$A:$A,Строчный!R:R,"ERR",0)))</f>
        <v/>
      </c>
      <c r="Q411" s="90">
        <f ca="1">VALUE(_xlfn.XLOOKUP($A411,Строчный!$A:$A,Строчный!N:N,"ERR",0))</f>
        <v>975.8</v>
      </c>
      <c r="R411" s="89" t="str">
        <f ca="1">_xlfn.XLOOKUP($G411,Фабрика!A:A,Фабрика!B:B,"ERR",0)</f>
        <v>ООО "ФРЭДРИКСОН" Россия 192029, С-Петербург, пр. Обуховской обороны, д.86, лит М</v>
      </c>
      <c r="S411" s="80" t="str">
        <f ca="1">_xlfn.XLOOKUP(RIGHT(AA411,2),Размеры!D:D,Размеры!A:A,"ERR",0)</f>
        <v>62</v>
      </c>
      <c r="T411" s="80">
        <f ca="1">VALUE(_xlfn.XLOOKUP($AA411,Строчный!$S:$S,Строчный!U:U,"ERR",0))</f>
        <v>1</v>
      </c>
      <c r="U411" s="14" t="s">
        <v>265</v>
      </c>
      <c r="V411" s="101" t="str">
        <f t="shared" ca="1" si="31"/>
        <v>Бейсболка FREDRIKSON арт. 3215 (серый / темно-серый)</v>
      </c>
      <c r="W411" s="100" t="str">
        <f t="shared" ca="1" si="32"/>
        <v>Бейсболка FREDRIKSON арт. 3215 (серый / темно-серый) {630/77}</v>
      </c>
      <c r="X411" s="18" t="str">
        <f t="shared" ca="1" si="33"/>
        <v>серый</v>
      </c>
      <c r="Y411" s="18" t="str">
        <f t="shared" ca="1" si="34"/>
        <v>серый</v>
      </c>
      <c r="Z411" s="117" t="s">
        <v>28</v>
      </c>
      <c r="AA411" s="73" t="str">
        <f ca="1"/>
        <v>95-001-69-62</v>
      </c>
      <c r="AB411" s="75" t="str">
        <f ca="1">VLOOKUP(C411,Группа!A:B,2,FALSE)</f>
        <v>Бейсболка</v>
      </c>
      <c r="AC411" s="97" t="str">
        <f ca="1">IFERROR(VLOOKUP(S411,Размеры!A:C,3,FALSE),"")</f>
        <v>62 XL/XXL</v>
      </c>
      <c r="AD411" s="97" t="str">
        <f ca="1">VLOOKUP(I411,ЦветПолный!A:B,2,FALSE)</f>
        <v>69</v>
      </c>
      <c r="AE411" s="97" t="str">
        <f ca="1">IFERROR(VLOOKUP(S411,Размеры!A:D,4,FALSE),"")</f>
        <v>62</v>
      </c>
      <c r="AF411" s="97">
        <f ca="1">IF(LEFT(IFERROR(VLOOKUP(LOOKUP(2,1/SEARCH(B411,Товары!A:A),Товары!A:A),Товары!A:B,2,0),""),6)=MID(AA411,1,6),1,0)</f>
        <v>0</v>
      </c>
      <c r="AH411" s="97">
        <f ca="1">SUMIF(Группа!A:A,C411,Группа!C:C)</f>
        <v>1</v>
      </c>
      <c r="AI411" s="97">
        <f ca="1">SUMIF(Группа!B:B,AB411,Группа!C:C)</f>
        <v>1</v>
      </c>
      <c r="AJ411" s="97">
        <f ca="1">SUMIF(Формы!A:A,D411,Формы!B:B)</f>
        <v>1</v>
      </c>
      <c r="AK411" s="97">
        <f ca="1">SUMIF(Материал!A:A,K411,Материал!B:B)</f>
        <v>1</v>
      </c>
      <c r="AL411" s="97">
        <f ca="1">SUMIF(Размеры!A:A,S411,Размеры!E:E)</f>
        <v>1</v>
      </c>
      <c r="AM411" s="97">
        <f ca="1">SUMIF(Сезон!A:A,F411,Сезон!B:B)</f>
        <v>1</v>
      </c>
      <c r="AN411" s="97">
        <f ca="1">SUMIF(Состав!A:A,J411,Состав!B:B)</f>
        <v>0</v>
      </c>
      <c r="AO411" s="97">
        <f ca="1">VLOOKUP(I411,ЦветПолный!A:C,3,0)</f>
        <v>1</v>
      </c>
      <c r="AP411" s="97">
        <f>SUMIF(Цвет!A:A,Z411,Цвет!B:B)</f>
        <v>1</v>
      </c>
      <c r="AQ411" s="97">
        <f ca="1">_xlfn.XLOOKUP(L411,Пол!A:A,Пол!B:B,0,0)</f>
        <v>1</v>
      </c>
      <c r="AR411" s="97">
        <f ca="1">SUMIF(Бренд!A:A,G411,Бренд!B:B)</f>
        <v>1</v>
      </c>
      <c r="AS411" s="97">
        <f ca="1">SUMIF(Страна!A:A,M411,Страна!B:B)</f>
        <v>1</v>
      </c>
      <c r="AT411" s="64" t="e">
        <f ca="1">IF(VLOOKUP(W411,Товары!A:B,2,FALSE)=A411,"Есть в 1С","ERR")</f>
        <v>#N/A</v>
      </c>
      <c r="AU411" s="65" t="e">
        <f ca="1">IF(VLOOKUP(A411,Товары!B:B,1,FALSE)=A411,"Есть в 1С","ERR")</f>
        <v>#N/A</v>
      </c>
      <c r="AV411" s="96" t="e">
        <f ca="1">VLOOKUP(W411,Товары!A:B,2,FALSE)</f>
        <v>#N/A</v>
      </c>
      <c r="AW411" s="94" t="e">
        <f ca="1">VLOOKUP(W411,Товары!A:B,1,FALSE)</f>
        <v>#N/A</v>
      </c>
    </row>
    <row r="412" spans="1:49" x14ac:dyDescent="0.25">
      <c r="A412" s="110" t="str">
        <f t="shared" ca="1" si="30"/>
        <v>95-001-69</v>
      </c>
      <c r="B412" s="107" t="str">
        <f ca="1">_xlfn.LET(_xlpm.CAPS,0,_xlpm.Style,TRIM(_xlfn.XLOOKUP($A412,Строчный!$A:$A,Строчный!B:B,"ERR",0)),IF(_xlpm.CAPS=0,_xlpm.Style,LOWER(_xlpm.Style)))</f>
        <v>3215</v>
      </c>
      <c r="C412" s="81" t="str">
        <f ca="1">TRIM(PROPER(_xlfn.XLOOKUP($A412,Строчный!$A:$A,Строчный!C:C,"ERR",0)))</f>
        <v>Бейсболки</v>
      </c>
      <c r="D412" s="81" t="str">
        <f ca="1">_xlfn.LET(_xlpm.DATA,TRIM(_xlfn.XLOOKUP($A412,Строчный!$A:$A,Строчный!D:D,"ERR",0)),UPPER(MID(_xlpm.DATA,1,1))&amp;LOWER(MID(_xlpm.DATA,2,LEN(_xlpm.DATA)-1)))</f>
        <v>Бейсболка</v>
      </c>
      <c r="E412" s="81" t="str">
        <f ca="1">PROPER(TRIM(_xlfn.XLOOKUP($A412,Строчный!$A:$A,Строчный!E:E,"ERR",0)))</f>
        <v>Fredrikson</v>
      </c>
      <c r="F412" s="81" t="str">
        <f ca="1">LOWER(TRIM(_xlfn.XLOOKUP($A412,Строчный!$A:$A,Строчный!F:F,"ERR",0)))</f>
        <v>всесезон</v>
      </c>
      <c r="G412" s="81" t="str">
        <f ca="1">UPPER(TRIM(_xlfn.XLOOKUP($A412,Строчный!$A:$A,Строчный!G:G,"ERR",0)))</f>
        <v>FREDRIKSON</v>
      </c>
      <c r="H412" s="81" t="str">
        <f ca="1">LOWER(TRIM(_xlfn.XLOOKUP($A412,Строчный!$A:$A,Строчный!H:H,"ERR",0)))</f>
        <v>630/77</v>
      </c>
      <c r="I412" s="81" t="str">
        <f ca="1">LOWER(TRIM(_xlfn.XLOOKUP($A412,Строчный!$A:$A,Строчный!I:I,"ERR",0)))</f>
        <v>серый / темно-серый</v>
      </c>
      <c r="J412" s="81" t="str">
        <f ca="1">SUBSTITUTE(LOWER(TRIM(_xlfn.XLOOKUP($A412,Строчный!$A:$A,Строчный!J:J,"ERR",0))),"подклад","Подклад")</f>
        <v>80% шерсть - 20% полиамид / Подклад: 100% вискоза</v>
      </c>
      <c r="K412" s="81" t="str">
        <f ca="1">LOWER(TRIM(_xlfn.XLOOKUP($A412,Строчный!$A:$A,Строчный!K:K,"ERR",0)))</f>
        <v>шерстяные</v>
      </c>
      <c r="L412" s="81" t="str">
        <f ca="1">PROPER(TRIM(_xlfn.XLOOKUP($A412,Строчный!$A:$A,Строчный!L:L,"ERR",0)))</f>
        <v>Унисекс</v>
      </c>
      <c r="M412" s="113" t="str">
        <f ca="1">PROPER(TRIM(_xlfn.XLOOKUP($A412,Строчный!$A:$A,Строчный!M:M,"ERR",0)))</f>
        <v>Россия</v>
      </c>
      <c r="N412" s="81" t="str">
        <f ca="1">UPPER(TRIM(_xlfn.XLOOKUP($A412,Строчный!$A:$A,Строчный!O:O,"ERR",0)))</f>
        <v/>
      </c>
      <c r="O412" s="102" t="str">
        <f ca="1">PROPER(TRIM(_xlfn.XLOOKUP($A412,Строчный!$A:$A,Строчный!P:P,"ERR",0)))</f>
        <v/>
      </c>
      <c r="P412" s="81" t="str">
        <f ca="1">PROPER(TRIM(_xlfn.XLOOKUP($A412,Строчный!$A:$A,Строчный!R:R,"ERR",0)))</f>
        <v/>
      </c>
      <c r="Q412" s="90">
        <f ca="1">VALUE(_xlfn.XLOOKUP($A412,Строчный!$A:$A,Строчный!N:N,"ERR",0))</f>
        <v>975.8</v>
      </c>
      <c r="R412" s="89" t="str">
        <f ca="1">_xlfn.XLOOKUP($G412,Фабрика!A:A,Фабрика!B:B,"ERR",0)</f>
        <v>ООО "ФРЭДРИКСОН" Россия 192029, С-Петербург, пр. Обуховской обороны, д.86, лит М</v>
      </c>
      <c r="S412" s="80" t="str">
        <f ca="1">_xlfn.XLOOKUP(RIGHT(AA412,2),Размеры!D:D,Размеры!A:A,"ERR",0)</f>
        <v>61</v>
      </c>
      <c r="T412" s="80">
        <f ca="1">VALUE(_xlfn.XLOOKUP($AA412,Строчный!$S:$S,Строчный!U:U,"ERR",0))</f>
        <v>1</v>
      </c>
      <c r="U412" s="14" t="s">
        <v>265</v>
      </c>
      <c r="V412" s="101" t="str">
        <f t="shared" ca="1" si="31"/>
        <v>Бейсболка FREDRIKSON арт. 3215 (серый / темно-серый)</v>
      </c>
      <c r="W412" s="100" t="str">
        <f t="shared" ca="1" si="32"/>
        <v>Бейсболка FREDRIKSON арт. 3215 (серый / темно-серый) {630/77}</v>
      </c>
      <c r="X412" s="18" t="str">
        <f t="shared" ca="1" si="33"/>
        <v>серый</v>
      </c>
      <c r="Y412" s="18" t="str">
        <f t="shared" ca="1" si="34"/>
        <v>серый</v>
      </c>
      <c r="Z412" s="117" t="s">
        <v>28</v>
      </c>
      <c r="AA412" s="73" t="str">
        <f ca="1"/>
        <v>95-001-69-61</v>
      </c>
      <c r="AB412" s="75" t="str">
        <f ca="1">VLOOKUP(C412,Группа!A:B,2,FALSE)</f>
        <v>Бейсболка</v>
      </c>
      <c r="AC412" s="97" t="str">
        <f ca="1">IFERROR(VLOOKUP(S412,Размеры!A:C,3,FALSE),"")</f>
        <v>61 XL</v>
      </c>
      <c r="AD412" s="97" t="str">
        <f ca="1">VLOOKUP(I412,ЦветПолный!A:B,2,FALSE)</f>
        <v>69</v>
      </c>
      <c r="AE412" s="97" t="str">
        <f ca="1">IFERROR(VLOOKUP(S412,Размеры!A:D,4,FALSE),"")</f>
        <v>61</v>
      </c>
      <c r="AF412" s="97">
        <f ca="1">IF(LEFT(IFERROR(VLOOKUP(LOOKUP(2,1/SEARCH(B412,Товары!A:A),Товары!A:A),Товары!A:B,2,0),""),6)=MID(AA412,1,6),1,0)</f>
        <v>0</v>
      </c>
      <c r="AH412" s="97">
        <f ca="1">SUMIF(Группа!A:A,C412,Группа!C:C)</f>
        <v>1</v>
      </c>
      <c r="AI412" s="97">
        <f ca="1">SUMIF(Группа!B:B,AB412,Группа!C:C)</f>
        <v>1</v>
      </c>
      <c r="AJ412" s="97">
        <f ca="1">SUMIF(Формы!A:A,D412,Формы!B:B)</f>
        <v>1</v>
      </c>
      <c r="AK412" s="97">
        <f ca="1">SUMIF(Материал!A:A,K412,Материал!B:B)</f>
        <v>1</v>
      </c>
      <c r="AL412" s="97">
        <f ca="1">SUMIF(Размеры!A:A,S412,Размеры!E:E)</f>
        <v>1</v>
      </c>
      <c r="AM412" s="97">
        <f ca="1">SUMIF(Сезон!A:A,F412,Сезон!B:B)</f>
        <v>1</v>
      </c>
      <c r="AN412" s="97">
        <f ca="1">SUMIF(Состав!A:A,J412,Состав!B:B)</f>
        <v>0</v>
      </c>
      <c r="AO412" s="97">
        <f ca="1">VLOOKUP(I412,ЦветПолный!A:C,3,0)</f>
        <v>1</v>
      </c>
      <c r="AP412" s="97">
        <f>SUMIF(Цвет!A:A,Z412,Цвет!B:B)</f>
        <v>1</v>
      </c>
      <c r="AQ412" s="97">
        <f ca="1">_xlfn.XLOOKUP(L412,Пол!A:A,Пол!B:B,0,0)</f>
        <v>1</v>
      </c>
      <c r="AR412" s="97">
        <f ca="1">SUMIF(Бренд!A:A,G412,Бренд!B:B)</f>
        <v>1</v>
      </c>
      <c r="AS412" s="97">
        <f ca="1">SUMIF(Страна!A:A,M412,Страна!B:B)</f>
        <v>1</v>
      </c>
      <c r="AT412" s="64" t="e">
        <f ca="1">IF(VLOOKUP(W412,Товары!A:B,2,FALSE)=A412,"Есть в 1С","ERR")</f>
        <v>#N/A</v>
      </c>
      <c r="AU412" s="65" t="e">
        <f ca="1">IF(VLOOKUP(A412,Товары!B:B,1,FALSE)=A412,"Есть в 1С","ERR")</f>
        <v>#N/A</v>
      </c>
      <c r="AV412" s="96" t="e">
        <f ca="1">VLOOKUP(W412,Товары!A:B,2,FALSE)</f>
        <v>#N/A</v>
      </c>
      <c r="AW412" s="94" t="e">
        <f ca="1">VLOOKUP(W412,Товары!A:B,1,FALSE)</f>
        <v>#N/A</v>
      </c>
    </row>
    <row r="413" spans="1:49" x14ac:dyDescent="0.25">
      <c r="A413" s="110" t="str">
        <f t="shared" ca="1" si="30"/>
        <v>95-001-69</v>
      </c>
      <c r="B413" s="107" t="str">
        <f ca="1">_xlfn.LET(_xlpm.CAPS,0,_xlpm.Style,TRIM(_xlfn.XLOOKUP($A413,Строчный!$A:$A,Строчный!B:B,"ERR",0)),IF(_xlpm.CAPS=0,_xlpm.Style,LOWER(_xlpm.Style)))</f>
        <v>3215</v>
      </c>
      <c r="C413" s="81" t="str">
        <f ca="1">TRIM(PROPER(_xlfn.XLOOKUP($A413,Строчный!$A:$A,Строчный!C:C,"ERR",0)))</f>
        <v>Бейсболки</v>
      </c>
      <c r="D413" s="81" t="str">
        <f ca="1">_xlfn.LET(_xlpm.DATA,TRIM(_xlfn.XLOOKUP($A413,Строчный!$A:$A,Строчный!D:D,"ERR",0)),UPPER(MID(_xlpm.DATA,1,1))&amp;LOWER(MID(_xlpm.DATA,2,LEN(_xlpm.DATA)-1)))</f>
        <v>Бейсболка</v>
      </c>
      <c r="E413" s="81" t="str">
        <f ca="1">PROPER(TRIM(_xlfn.XLOOKUP($A413,Строчный!$A:$A,Строчный!E:E,"ERR",0)))</f>
        <v>Fredrikson</v>
      </c>
      <c r="F413" s="81" t="str">
        <f ca="1">LOWER(TRIM(_xlfn.XLOOKUP($A413,Строчный!$A:$A,Строчный!F:F,"ERR",0)))</f>
        <v>всесезон</v>
      </c>
      <c r="G413" s="81" t="str">
        <f ca="1">UPPER(TRIM(_xlfn.XLOOKUP($A413,Строчный!$A:$A,Строчный!G:G,"ERR",0)))</f>
        <v>FREDRIKSON</v>
      </c>
      <c r="H413" s="81" t="str">
        <f ca="1">LOWER(TRIM(_xlfn.XLOOKUP($A413,Строчный!$A:$A,Строчный!H:H,"ERR",0)))</f>
        <v>630/77</v>
      </c>
      <c r="I413" s="81" t="str">
        <f ca="1">LOWER(TRIM(_xlfn.XLOOKUP($A413,Строчный!$A:$A,Строчный!I:I,"ERR",0)))</f>
        <v>серый / темно-серый</v>
      </c>
      <c r="J413" s="81" t="str">
        <f ca="1">SUBSTITUTE(LOWER(TRIM(_xlfn.XLOOKUP($A413,Строчный!$A:$A,Строчный!J:J,"ERR",0))),"подклад","Подклад")</f>
        <v>80% шерсть - 20% полиамид / Подклад: 100% вискоза</v>
      </c>
      <c r="K413" s="81" t="str">
        <f ca="1">LOWER(TRIM(_xlfn.XLOOKUP($A413,Строчный!$A:$A,Строчный!K:K,"ERR",0)))</f>
        <v>шерстяные</v>
      </c>
      <c r="L413" s="81" t="str">
        <f ca="1">PROPER(TRIM(_xlfn.XLOOKUP($A413,Строчный!$A:$A,Строчный!L:L,"ERR",0)))</f>
        <v>Унисекс</v>
      </c>
      <c r="M413" s="113" t="str">
        <f ca="1">PROPER(TRIM(_xlfn.XLOOKUP($A413,Строчный!$A:$A,Строчный!M:M,"ERR",0)))</f>
        <v>Россия</v>
      </c>
      <c r="N413" s="81" t="str">
        <f ca="1">UPPER(TRIM(_xlfn.XLOOKUP($A413,Строчный!$A:$A,Строчный!O:O,"ERR",0)))</f>
        <v/>
      </c>
      <c r="O413" s="102" t="str">
        <f ca="1">PROPER(TRIM(_xlfn.XLOOKUP($A413,Строчный!$A:$A,Строчный!P:P,"ERR",0)))</f>
        <v/>
      </c>
      <c r="P413" s="81" t="str">
        <f ca="1">PROPER(TRIM(_xlfn.XLOOKUP($A413,Строчный!$A:$A,Строчный!R:R,"ERR",0)))</f>
        <v/>
      </c>
      <c r="Q413" s="90">
        <f ca="1">VALUE(_xlfn.XLOOKUP($A413,Строчный!$A:$A,Строчный!N:N,"ERR",0))</f>
        <v>975.8</v>
      </c>
      <c r="R413" s="89" t="str">
        <f ca="1">_xlfn.XLOOKUP($G413,Фабрика!A:A,Фабрика!B:B,"ERR",0)</f>
        <v>ООО "ФРЭДРИКСОН" Россия 192029, С-Петербург, пр. Обуховской обороны, д.86, лит М</v>
      </c>
      <c r="S413" s="80" t="str">
        <f ca="1">_xlfn.XLOOKUP(RIGHT(AA413,2),Размеры!D:D,Размеры!A:A,"ERR",0)</f>
        <v>60</v>
      </c>
      <c r="T413" s="80">
        <f ca="1">VALUE(_xlfn.XLOOKUP($AA413,Строчный!$S:$S,Строчный!U:U,"ERR",0))</f>
        <v>1</v>
      </c>
      <c r="U413" s="14" t="s">
        <v>265</v>
      </c>
      <c r="V413" s="101" t="str">
        <f t="shared" ca="1" si="31"/>
        <v>Бейсболка FREDRIKSON арт. 3215 (серый / темно-серый)</v>
      </c>
      <c r="W413" s="100" t="str">
        <f t="shared" ca="1" si="32"/>
        <v>Бейсболка FREDRIKSON арт. 3215 (серый / темно-серый) {630/77}</v>
      </c>
      <c r="X413" s="18" t="str">
        <f t="shared" ca="1" si="33"/>
        <v>серый</v>
      </c>
      <c r="Y413" s="18" t="str">
        <f t="shared" ca="1" si="34"/>
        <v>серый</v>
      </c>
      <c r="Z413" s="117" t="s">
        <v>28</v>
      </c>
      <c r="AA413" s="73" t="str">
        <f ca="1"/>
        <v>95-001-69-60</v>
      </c>
      <c r="AB413" s="75" t="str">
        <f ca="1">VLOOKUP(C413,Группа!A:B,2,FALSE)</f>
        <v>Бейсболка</v>
      </c>
      <c r="AC413" s="97" t="str">
        <f ca="1">IFERROR(VLOOKUP(S413,Размеры!A:C,3,FALSE),"")</f>
        <v>60 L/XL</v>
      </c>
      <c r="AD413" s="97" t="str">
        <f ca="1">VLOOKUP(I413,ЦветПолный!A:B,2,FALSE)</f>
        <v>69</v>
      </c>
      <c r="AE413" s="97" t="str">
        <f ca="1">IFERROR(VLOOKUP(S413,Размеры!A:D,4,FALSE),"")</f>
        <v>60</v>
      </c>
      <c r="AF413" s="97">
        <f ca="1">IF(LEFT(IFERROR(VLOOKUP(LOOKUP(2,1/SEARCH(B413,Товары!A:A),Товары!A:A),Товары!A:B,2,0),""),6)=MID(AA413,1,6),1,0)</f>
        <v>0</v>
      </c>
      <c r="AH413" s="97">
        <f ca="1">SUMIF(Группа!A:A,C413,Группа!C:C)</f>
        <v>1</v>
      </c>
      <c r="AI413" s="97">
        <f ca="1">SUMIF(Группа!B:B,AB413,Группа!C:C)</f>
        <v>1</v>
      </c>
      <c r="AJ413" s="97">
        <f ca="1">SUMIF(Формы!A:A,D413,Формы!B:B)</f>
        <v>1</v>
      </c>
      <c r="AK413" s="97">
        <f ca="1">SUMIF(Материал!A:A,K413,Материал!B:B)</f>
        <v>1</v>
      </c>
      <c r="AL413" s="97">
        <f ca="1">SUMIF(Размеры!A:A,S413,Размеры!E:E)</f>
        <v>1</v>
      </c>
      <c r="AM413" s="97">
        <f ca="1">SUMIF(Сезон!A:A,F413,Сезон!B:B)</f>
        <v>1</v>
      </c>
      <c r="AN413" s="97">
        <f ca="1">SUMIF(Состав!A:A,J413,Состав!B:B)</f>
        <v>0</v>
      </c>
      <c r="AO413" s="97">
        <f ca="1">VLOOKUP(I413,ЦветПолный!A:C,3,0)</f>
        <v>1</v>
      </c>
      <c r="AP413" s="97">
        <f>SUMIF(Цвет!A:A,Z413,Цвет!B:B)</f>
        <v>1</v>
      </c>
      <c r="AQ413" s="97">
        <f ca="1">_xlfn.XLOOKUP(L413,Пол!A:A,Пол!B:B,0,0)</f>
        <v>1</v>
      </c>
      <c r="AR413" s="97">
        <f ca="1">SUMIF(Бренд!A:A,G413,Бренд!B:B)</f>
        <v>1</v>
      </c>
      <c r="AS413" s="97">
        <f ca="1">SUMIF(Страна!A:A,M413,Страна!B:B)</f>
        <v>1</v>
      </c>
      <c r="AT413" s="64" t="e">
        <f ca="1">IF(VLOOKUP(W413,Товары!A:B,2,FALSE)=A413,"Есть в 1С","ERR")</f>
        <v>#N/A</v>
      </c>
      <c r="AU413" s="65" t="e">
        <f ca="1">IF(VLOOKUP(A413,Товары!B:B,1,FALSE)=A413,"Есть в 1С","ERR")</f>
        <v>#N/A</v>
      </c>
      <c r="AV413" s="96" t="e">
        <f ca="1">VLOOKUP(W413,Товары!A:B,2,FALSE)</f>
        <v>#N/A</v>
      </c>
      <c r="AW413" s="94" t="e">
        <f ca="1">VLOOKUP(W413,Товары!A:B,1,FALSE)</f>
        <v>#N/A</v>
      </c>
    </row>
    <row r="414" spans="1:49" x14ac:dyDescent="0.25">
      <c r="A414" s="110" t="str">
        <f t="shared" ref="A414:A456" ca="1" si="35">LEFT(AA414,9)</f>
        <v>95-001-69</v>
      </c>
      <c r="B414" s="107" t="str">
        <f ca="1">_xlfn.LET(_xlpm.CAPS,0,_xlpm.Style,TRIM(_xlfn.XLOOKUP($A414,Строчный!$A:$A,Строчный!B:B,"ERR",0)),IF(_xlpm.CAPS=0,_xlpm.Style,LOWER(_xlpm.Style)))</f>
        <v>3215</v>
      </c>
      <c r="C414" s="81" t="str">
        <f ca="1">TRIM(PROPER(_xlfn.XLOOKUP($A414,Строчный!$A:$A,Строчный!C:C,"ERR",0)))</f>
        <v>Бейсболки</v>
      </c>
      <c r="D414" s="81" t="str">
        <f ca="1">_xlfn.LET(_xlpm.DATA,TRIM(_xlfn.XLOOKUP($A414,Строчный!$A:$A,Строчный!D:D,"ERR",0)),UPPER(MID(_xlpm.DATA,1,1))&amp;LOWER(MID(_xlpm.DATA,2,LEN(_xlpm.DATA)-1)))</f>
        <v>Бейсболка</v>
      </c>
      <c r="E414" s="81" t="str">
        <f ca="1">PROPER(TRIM(_xlfn.XLOOKUP($A414,Строчный!$A:$A,Строчный!E:E,"ERR",0)))</f>
        <v>Fredrikson</v>
      </c>
      <c r="F414" s="81" t="str">
        <f ca="1">LOWER(TRIM(_xlfn.XLOOKUP($A414,Строчный!$A:$A,Строчный!F:F,"ERR",0)))</f>
        <v>всесезон</v>
      </c>
      <c r="G414" s="81" t="str">
        <f ca="1">UPPER(TRIM(_xlfn.XLOOKUP($A414,Строчный!$A:$A,Строчный!G:G,"ERR",0)))</f>
        <v>FREDRIKSON</v>
      </c>
      <c r="H414" s="81" t="str">
        <f ca="1">LOWER(TRIM(_xlfn.XLOOKUP($A414,Строчный!$A:$A,Строчный!H:H,"ERR",0)))</f>
        <v>630/77</v>
      </c>
      <c r="I414" s="81" t="str">
        <f ca="1">LOWER(TRIM(_xlfn.XLOOKUP($A414,Строчный!$A:$A,Строчный!I:I,"ERR",0)))</f>
        <v>серый / темно-серый</v>
      </c>
      <c r="J414" s="81" t="str">
        <f ca="1">SUBSTITUTE(LOWER(TRIM(_xlfn.XLOOKUP($A414,Строчный!$A:$A,Строчный!J:J,"ERR",0))),"подклад","Подклад")</f>
        <v>80% шерсть - 20% полиамид / Подклад: 100% вискоза</v>
      </c>
      <c r="K414" s="81" t="str">
        <f ca="1">LOWER(TRIM(_xlfn.XLOOKUP($A414,Строчный!$A:$A,Строчный!K:K,"ERR",0)))</f>
        <v>шерстяные</v>
      </c>
      <c r="L414" s="81" t="str">
        <f ca="1">PROPER(TRIM(_xlfn.XLOOKUP($A414,Строчный!$A:$A,Строчный!L:L,"ERR",0)))</f>
        <v>Унисекс</v>
      </c>
      <c r="M414" s="113" t="str">
        <f ca="1">PROPER(TRIM(_xlfn.XLOOKUP($A414,Строчный!$A:$A,Строчный!M:M,"ERR",0)))</f>
        <v>Россия</v>
      </c>
      <c r="N414" s="81" t="str">
        <f ca="1">UPPER(TRIM(_xlfn.XLOOKUP($A414,Строчный!$A:$A,Строчный!O:O,"ERR",0)))</f>
        <v/>
      </c>
      <c r="O414" s="102" t="str">
        <f ca="1">PROPER(TRIM(_xlfn.XLOOKUP($A414,Строчный!$A:$A,Строчный!P:P,"ERR",0)))</f>
        <v/>
      </c>
      <c r="P414" s="81" t="str">
        <f ca="1">PROPER(TRIM(_xlfn.XLOOKUP($A414,Строчный!$A:$A,Строчный!R:R,"ERR",0)))</f>
        <v/>
      </c>
      <c r="Q414" s="90">
        <f ca="1">VALUE(_xlfn.XLOOKUP($A414,Строчный!$A:$A,Строчный!N:N,"ERR",0))</f>
        <v>975.8</v>
      </c>
      <c r="R414" s="89" t="str">
        <f ca="1">_xlfn.XLOOKUP($G414,Фабрика!A:A,Фабрика!B:B,"ERR",0)</f>
        <v>ООО "ФРЭДРИКСОН" Россия 192029, С-Петербург, пр. Обуховской обороны, д.86, лит М</v>
      </c>
      <c r="S414" s="80" t="str">
        <f ca="1">_xlfn.XLOOKUP(RIGHT(AA414,2),Размеры!D:D,Размеры!A:A,"ERR",0)</f>
        <v>59</v>
      </c>
      <c r="T414" s="80">
        <f ca="1">VALUE(_xlfn.XLOOKUP($AA414,Строчный!$S:$S,Строчный!U:U,"ERR",0))</f>
        <v>2</v>
      </c>
      <c r="U414" s="14" t="s">
        <v>265</v>
      </c>
      <c r="V414" s="101" t="str">
        <f t="shared" ref="V414:V456" ca="1" si="36">TRIM(CONCATENATE(AB414," ",G414," арт. ",B414," (",I414,")"))</f>
        <v>Бейсболка FREDRIKSON арт. 3215 (серый / темно-серый)</v>
      </c>
      <c r="W414" s="100" t="str">
        <f t="shared" ref="W414:W456" ca="1" si="37">TRIM(CONCATENATE(AB414," ",G414," арт. ",B414," (",I414,") {",H414,"}"))</f>
        <v>Бейсболка FREDRIKSON арт. 3215 (серый / темно-серый) {630/77}</v>
      </c>
      <c r="X414" s="18" t="str">
        <f t="shared" ref="X414:X456" ca="1" si="38">IFERROR(MID(I414,FIND("-",I414)+1,LEN(I414)),IFERROR(MID(I414,1,FIND("/",I414)-2),I414))</f>
        <v>серый</v>
      </c>
      <c r="Y414" s="18" t="str">
        <f t="shared" ref="Y414:Y456" ca="1" si="39">IFERROR(MID(I414,FIND("-",I414)+1,LEN(I414)),IFERROR(MID(I414,FIND("/",I414)+2,LEN(I414)),I414))</f>
        <v>серый</v>
      </c>
      <c r="Z414" s="117" t="s">
        <v>28</v>
      </c>
      <c r="AA414" s="73" t="str">
        <f ca="1"/>
        <v>95-001-69-59</v>
      </c>
      <c r="AB414" s="75" t="str">
        <f ca="1">VLOOKUP(C414,Группа!A:B,2,FALSE)</f>
        <v>Бейсболка</v>
      </c>
      <c r="AC414" s="97" t="str">
        <f ca="1">IFERROR(VLOOKUP(S414,Размеры!A:C,3,FALSE),"")</f>
        <v>59 L</v>
      </c>
      <c r="AD414" s="97" t="str">
        <f ca="1">VLOOKUP(I414,ЦветПолный!A:B,2,FALSE)</f>
        <v>69</v>
      </c>
      <c r="AE414" s="97" t="str">
        <f ca="1">IFERROR(VLOOKUP(S414,Размеры!A:D,4,FALSE),"")</f>
        <v>59</v>
      </c>
      <c r="AF414" s="97">
        <f ca="1">IF(LEFT(IFERROR(VLOOKUP(LOOKUP(2,1/SEARCH(B414,Товары!A:A),Товары!A:A),Товары!A:B,2,0),""),6)=MID(AA414,1,6),1,0)</f>
        <v>0</v>
      </c>
      <c r="AH414" s="97">
        <f ca="1">SUMIF(Группа!A:A,C414,Группа!C:C)</f>
        <v>1</v>
      </c>
      <c r="AI414" s="97">
        <f ca="1">SUMIF(Группа!B:B,AB414,Группа!C:C)</f>
        <v>1</v>
      </c>
      <c r="AJ414" s="97">
        <f ca="1">SUMIF(Формы!A:A,D414,Формы!B:B)</f>
        <v>1</v>
      </c>
      <c r="AK414" s="97">
        <f ca="1">SUMIF(Материал!A:A,K414,Материал!B:B)</f>
        <v>1</v>
      </c>
      <c r="AL414" s="97">
        <f ca="1">SUMIF(Размеры!A:A,S414,Размеры!E:E)</f>
        <v>1</v>
      </c>
      <c r="AM414" s="97">
        <f ca="1">SUMIF(Сезон!A:A,F414,Сезон!B:B)</f>
        <v>1</v>
      </c>
      <c r="AN414" s="97">
        <f ca="1">SUMIF(Состав!A:A,J414,Состав!B:B)</f>
        <v>0</v>
      </c>
      <c r="AO414" s="97">
        <f ca="1">VLOOKUP(I414,ЦветПолный!A:C,3,0)</f>
        <v>1</v>
      </c>
      <c r="AP414" s="97">
        <f>SUMIF(Цвет!A:A,Z414,Цвет!B:B)</f>
        <v>1</v>
      </c>
      <c r="AQ414" s="97">
        <f ca="1">_xlfn.XLOOKUP(L414,Пол!A:A,Пол!B:B,0,0)</f>
        <v>1</v>
      </c>
      <c r="AR414" s="97">
        <f ca="1">SUMIF(Бренд!A:A,G414,Бренд!B:B)</f>
        <v>1</v>
      </c>
      <c r="AS414" s="97">
        <f ca="1">SUMIF(Страна!A:A,M414,Страна!B:B)</f>
        <v>1</v>
      </c>
      <c r="AT414" s="64" t="e">
        <f ca="1">IF(VLOOKUP(W414,Товары!A:B,2,FALSE)=A414,"Есть в 1С","ERR")</f>
        <v>#N/A</v>
      </c>
      <c r="AU414" s="65" t="e">
        <f ca="1">IF(VLOOKUP(A414,Товары!B:B,1,FALSE)=A414,"Есть в 1С","ERR")</f>
        <v>#N/A</v>
      </c>
      <c r="AV414" s="96" t="e">
        <f ca="1">VLOOKUP(W414,Товары!A:B,2,FALSE)</f>
        <v>#N/A</v>
      </c>
      <c r="AW414" s="94" t="e">
        <f ca="1">VLOOKUP(W414,Товары!A:B,1,FALSE)</f>
        <v>#N/A</v>
      </c>
    </row>
    <row r="415" spans="1:49" x14ac:dyDescent="0.25">
      <c r="A415" s="110" t="str">
        <f t="shared" ca="1" si="35"/>
        <v>95-001-69</v>
      </c>
      <c r="B415" s="107" t="str">
        <f ca="1">_xlfn.LET(_xlpm.CAPS,0,_xlpm.Style,TRIM(_xlfn.XLOOKUP($A415,Строчный!$A:$A,Строчный!B:B,"ERR",0)),IF(_xlpm.CAPS=0,_xlpm.Style,LOWER(_xlpm.Style)))</f>
        <v>3215</v>
      </c>
      <c r="C415" s="81" t="str">
        <f ca="1">TRIM(PROPER(_xlfn.XLOOKUP($A415,Строчный!$A:$A,Строчный!C:C,"ERR",0)))</f>
        <v>Бейсболки</v>
      </c>
      <c r="D415" s="81" t="str">
        <f ca="1">_xlfn.LET(_xlpm.DATA,TRIM(_xlfn.XLOOKUP($A415,Строчный!$A:$A,Строчный!D:D,"ERR",0)),UPPER(MID(_xlpm.DATA,1,1))&amp;LOWER(MID(_xlpm.DATA,2,LEN(_xlpm.DATA)-1)))</f>
        <v>Бейсболка</v>
      </c>
      <c r="E415" s="81" t="str">
        <f ca="1">PROPER(TRIM(_xlfn.XLOOKUP($A415,Строчный!$A:$A,Строчный!E:E,"ERR",0)))</f>
        <v>Fredrikson</v>
      </c>
      <c r="F415" s="81" t="str">
        <f ca="1">LOWER(TRIM(_xlfn.XLOOKUP($A415,Строчный!$A:$A,Строчный!F:F,"ERR",0)))</f>
        <v>всесезон</v>
      </c>
      <c r="G415" s="81" t="str">
        <f ca="1">UPPER(TRIM(_xlfn.XLOOKUP($A415,Строчный!$A:$A,Строчный!G:G,"ERR",0)))</f>
        <v>FREDRIKSON</v>
      </c>
      <c r="H415" s="81" t="str">
        <f ca="1">LOWER(TRIM(_xlfn.XLOOKUP($A415,Строчный!$A:$A,Строчный!H:H,"ERR",0)))</f>
        <v>630/77</v>
      </c>
      <c r="I415" s="81" t="str">
        <f ca="1">LOWER(TRIM(_xlfn.XLOOKUP($A415,Строчный!$A:$A,Строчный!I:I,"ERR",0)))</f>
        <v>серый / темно-серый</v>
      </c>
      <c r="J415" s="81" t="str">
        <f ca="1">SUBSTITUTE(LOWER(TRIM(_xlfn.XLOOKUP($A415,Строчный!$A:$A,Строчный!J:J,"ERR",0))),"подклад","Подклад")</f>
        <v>80% шерсть - 20% полиамид / Подклад: 100% вискоза</v>
      </c>
      <c r="K415" s="81" t="str">
        <f ca="1">LOWER(TRIM(_xlfn.XLOOKUP($A415,Строчный!$A:$A,Строчный!K:K,"ERR",0)))</f>
        <v>шерстяные</v>
      </c>
      <c r="L415" s="81" t="str">
        <f ca="1">PROPER(TRIM(_xlfn.XLOOKUP($A415,Строчный!$A:$A,Строчный!L:L,"ERR",0)))</f>
        <v>Унисекс</v>
      </c>
      <c r="M415" s="113" t="str">
        <f ca="1">PROPER(TRIM(_xlfn.XLOOKUP($A415,Строчный!$A:$A,Строчный!M:M,"ERR",0)))</f>
        <v>Россия</v>
      </c>
      <c r="N415" s="81" t="str">
        <f ca="1">UPPER(TRIM(_xlfn.XLOOKUP($A415,Строчный!$A:$A,Строчный!O:O,"ERR",0)))</f>
        <v/>
      </c>
      <c r="O415" s="102" t="str">
        <f ca="1">PROPER(TRIM(_xlfn.XLOOKUP($A415,Строчный!$A:$A,Строчный!P:P,"ERR",0)))</f>
        <v/>
      </c>
      <c r="P415" s="81" t="str">
        <f ca="1">PROPER(TRIM(_xlfn.XLOOKUP($A415,Строчный!$A:$A,Строчный!R:R,"ERR",0)))</f>
        <v/>
      </c>
      <c r="Q415" s="90">
        <f ca="1">VALUE(_xlfn.XLOOKUP($A415,Строчный!$A:$A,Строчный!N:N,"ERR",0))</f>
        <v>975.8</v>
      </c>
      <c r="R415" s="89" t="str">
        <f ca="1">_xlfn.XLOOKUP($G415,Фабрика!A:A,Фабрика!B:B,"ERR",0)</f>
        <v>ООО "ФРЭДРИКСОН" Россия 192029, С-Петербург, пр. Обуховской обороны, д.86, лит М</v>
      </c>
      <c r="S415" s="80" t="str">
        <f ca="1">_xlfn.XLOOKUP(RIGHT(AA415,2),Размеры!D:D,Размеры!A:A,"ERR",0)</f>
        <v>58</v>
      </c>
      <c r="T415" s="80">
        <f ca="1">VALUE(_xlfn.XLOOKUP($AA415,Строчный!$S:$S,Строчный!U:U,"ERR",0))</f>
        <v>1</v>
      </c>
      <c r="U415" s="14" t="s">
        <v>265</v>
      </c>
      <c r="V415" s="101" t="str">
        <f t="shared" ca="1" si="36"/>
        <v>Бейсболка FREDRIKSON арт. 3215 (серый / темно-серый)</v>
      </c>
      <c r="W415" s="100" t="str">
        <f t="shared" ca="1" si="37"/>
        <v>Бейсболка FREDRIKSON арт. 3215 (серый / темно-серый) {630/77}</v>
      </c>
      <c r="X415" s="18" t="str">
        <f t="shared" ca="1" si="38"/>
        <v>серый</v>
      </c>
      <c r="Y415" s="18" t="str">
        <f t="shared" ca="1" si="39"/>
        <v>серый</v>
      </c>
      <c r="Z415" s="117" t="s">
        <v>28</v>
      </c>
      <c r="AA415" s="73" t="str">
        <f ca="1"/>
        <v>95-001-69-58</v>
      </c>
      <c r="AB415" s="75" t="str">
        <f ca="1">VLOOKUP(C415,Группа!A:B,2,FALSE)</f>
        <v>Бейсболка</v>
      </c>
      <c r="AC415" s="97" t="str">
        <f ca="1">IFERROR(VLOOKUP(S415,Размеры!A:C,3,FALSE),"")</f>
        <v>58 M/L</v>
      </c>
      <c r="AD415" s="97" t="str">
        <f ca="1">VLOOKUP(I415,ЦветПолный!A:B,2,FALSE)</f>
        <v>69</v>
      </c>
      <c r="AE415" s="97" t="str">
        <f ca="1">IFERROR(VLOOKUP(S415,Размеры!A:D,4,FALSE),"")</f>
        <v>58</v>
      </c>
      <c r="AF415" s="97">
        <f ca="1">IF(LEFT(IFERROR(VLOOKUP(LOOKUP(2,1/SEARCH(B415,Товары!A:A),Товары!A:A),Товары!A:B,2,0),""),6)=MID(AA415,1,6),1,0)</f>
        <v>0</v>
      </c>
      <c r="AH415" s="97">
        <f ca="1">SUMIF(Группа!A:A,C415,Группа!C:C)</f>
        <v>1</v>
      </c>
      <c r="AI415" s="97">
        <f ca="1">SUMIF(Группа!B:B,AB415,Группа!C:C)</f>
        <v>1</v>
      </c>
      <c r="AJ415" s="97">
        <f ca="1">SUMIF(Формы!A:A,D415,Формы!B:B)</f>
        <v>1</v>
      </c>
      <c r="AK415" s="97">
        <f ca="1">SUMIF(Материал!A:A,K415,Материал!B:B)</f>
        <v>1</v>
      </c>
      <c r="AL415" s="97">
        <f ca="1">SUMIF(Размеры!A:A,S415,Размеры!E:E)</f>
        <v>1</v>
      </c>
      <c r="AM415" s="97">
        <f ca="1">SUMIF(Сезон!A:A,F415,Сезон!B:B)</f>
        <v>1</v>
      </c>
      <c r="AN415" s="97">
        <f ca="1">SUMIF(Состав!A:A,J415,Состав!B:B)</f>
        <v>0</v>
      </c>
      <c r="AO415" s="97">
        <f ca="1">VLOOKUP(I415,ЦветПолный!A:C,3,0)</f>
        <v>1</v>
      </c>
      <c r="AP415" s="97">
        <f>SUMIF(Цвет!A:A,Z415,Цвет!B:B)</f>
        <v>1</v>
      </c>
      <c r="AQ415" s="97">
        <f ca="1">_xlfn.XLOOKUP(L415,Пол!A:A,Пол!B:B,0,0)</f>
        <v>1</v>
      </c>
      <c r="AR415" s="97">
        <f ca="1">SUMIF(Бренд!A:A,G415,Бренд!B:B)</f>
        <v>1</v>
      </c>
      <c r="AS415" s="97">
        <f ca="1">SUMIF(Страна!A:A,M415,Страна!B:B)</f>
        <v>1</v>
      </c>
      <c r="AT415" s="64" t="e">
        <f ca="1">IF(VLOOKUP(W415,Товары!A:B,2,FALSE)=A415,"Есть в 1С","ERR")</f>
        <v>#N/A</v>
      </c>
      <c r="AU415" s="65" t="e">
        <f ca="1">IF(VLOOKUP(A415,Товары!B:B,1,FALSE)=A415,"Есть в 1С","ERR")</f>
        <v>#N/A</v>
      </c>
      <c r="AV415" s="96" t="e">
        <f ca="1">VLOOKUP(W415,Товары!A:B,2,FALSE)</f>
        <v>#N/A</v>
      </c>
      <c r="AW415" s="94" t="e">
        <f ca="1">VLOOKUP(W415,Товары!A:B,1,FALSE)</f>
        <v>#N/A</v>
      </c>
    </row>
    <row r="416" spans="1:49" x14ac:dyDescent="0.25">
      <c r="A416" s="110" t="str">
        <f t="shared" ca="1" si="35"/>
        <v>95-001-69</v>
      </c>
      <c r="B416" s="107" t="str">
        <f ca="1">_xlfn.LET(_xlpm.CAPS,0,_xlpm.Style,TRIM(_xlfn.XLOOKUP($A416,Строчный!$A:$A,Строчный!B:B,"ERR",0)),IF(_xlpm.CAPS=0,_xlpm.Style,LOWER(_xlpm.Style)))</f>
        <v>3215</v>
      </c>
      <c r="C416" s="81" t="str">
        <f ca="1">TRIM(PROPER(_xlfn.XLOOKUP($A416,Строчный!$A:$A,Строчный!C:C,"ERR",0)))</f>
        <v>Бейсболки</v>
      </c>
      <c r="D416" s="81" t="str">
        <f ca="1">_xlfn.LET(_xlpm.DATA,TRIM(_xlfn.XLOOKUP($A416,Строчный!$A:$A,Строчный!D:D,"ERR",0)),UPPER(MID(_xlpm.DATA,1,1))&amp;LOWER(MID(_xlpm.DATA,2,LEN(_xlpm.DATA)-1)))</f>
        <v>Бейсболка</v>
      </c>
      <c r="E416" s="81" t="str">
        <f ca="1">PROPER(TRIM(_xlfn.XLOOKUP($A416,Строчный!$A:$A,Строчный!E:E,"ERR",0)))</f>
        <v>Fredrikson</v>
      </c>
      <c r="F416" s="81" t="str">
        <f ca="1">LOWER(TRIM(_xlfn.XLOOKUP($A416,Строчный!$A:$A,Строчный!F:F,"ERR",0)))</f>
        <v>всесезон</v>
      </c>
      <c r="G416" s="81" t="str">
        <f ca="1">UPPER(TRIM(_xlfn.XLOOKUP($A416,Строчный!$A:$A,Строчный!G:G,"ERR",0)))</f>
        <v>FREDRIKSON</v>
      </c>
      <c r="H416" s="81" t="str">
        <f ca="1">LOWER(TRIM(_xlfn.XLOOKUP($A416,Строчный!$A:$A,Строчный!H:H,"ERR",0)))</f>
        <v>630/77</v>
      </c>
      <c r="I416" s="81" t="str">
        <f ca="1">LOWER(TRIM(_xlfn.XLOOKUP($A416,Строчный!$A:$A,Строчный!I:I,"ERR",0)))</f>
        <v>серый / темно-серый</v>
      </c>
      <c r="J416" s="81" t="str">
        <f ca="1">SUBSTITUTE(LOWER(TRIM(_xlfn.XLOOKUP($A416,Строчный!$A:$A,Строчный!J:J,"ERR",0))),"подклад","Подклад")</f>
        <v>80% шерсть - 20% полиамид / Подклад: 100% вискоза</v>
      </c>
      <c r="K416" s="81" t="str">
        <f ca="1">LOWER(TRIM(_xlfn.XLOOKUP($A416,Строчный!$A:$A,Строчный!K:K,"ERR",0)))</f>
        <v>шерстяные</v>
      </c>
      <c r="L416" s="81" t="str">
        <f ca="1">PROPER(TRIM(_xlfn.XLOOKUP($A416,Строчный!$A:$A,Строчный!L:L,"ERR",0)))</f>
        <v>Унисекс</v>
      </c>
      <c r="M416" s="113" t="str">
        <f ca="1">PROPER(TRIM(_xlfn.XLOOKUP($A416,Строчный!$A:$A,Строчный!M:M,"ERR",0)))</f>
        <v>Россия</v>
      </c>
      <c r="N416" s="81" t="str">
        <f ca="1">UPPER(TRIM(_xlfn.XLOOKUP($A416,Строчный!$A:$A,Строчный!O:O,"ERR",0)))</f>
        <v/>
      </c>
      <c r="O416" s="102" t="str">
        <f ca="1">PROPER(TRIM(_xlfn.XLOOKUP($A416,Строчный!$A:$A,Строчный!P:P,"ERR",0)))</f>
        <v/>
      </c>
      <c r="P416" s="81" t="str">
        <f ca="1">PROPER(TRIM(_xlfn.XLOOKUP($A416,Строчный!$A:$A,Строчный!R:R,"ERR",0)))</f>
        <v/>
      </c>
      <c r="Q416" s="90">
        <f ca="1">VALUE(_xlfn.XLOOKUP($A416,Строчный!$A:$A,Строчный!N:N,"ERR",0))</f>
        <v>975.8</v>
      </c>
      <c r="R416" s="89" t="str">
        <f ca="1">_xlfn.XLOOKUP($G416,Фабрика!A:A,Фабрика!B:B,"ERR",0)</f>
        <v>ООО "ФРЭДРИКСОН" Россия 192029, С-Петербург, пр. Обуховской обороны, д.86, лит М</v>
      </c>
      <c r="S416" s="80" t="str">
        <f ca="1">_xlfn.XLOOKUP(RIGHT(AA416,2),Размеры!D:D,Размеры!A:A,"ERR",0)</f>
        <v>57</v>
      </c>
      <c r="T416" s="80">
        <f ca="1">VALUE(_xlfn.XLOOKUP($AA416,Строчный!$S:$S,Строчный!U:U,"ERR",0))</f>
        <v>1</v>
      </c>
      <c r="U416" s="14" t="s">
        <v>265</v>
      </c>
      <c r="V416" s="101" t="str">
        <f t="shared" ca="1" si="36"/>
        <v>Бейсболка FREDRIKSON арт. 3215 (серый / темно-серый)</v>
      </c>
      <c r="W416" s="100" t="str">
        <f t="shared" ca="1" si="37"/>
        <v>Бейсболка FREDRIKSON арт. 3215 (серый / темно-серый) {630/77}</v>
      </c>
      <c r="X416" s="18" t="str">
        <f t="shared" ca="1" si="38"/>
        <v>серый</v>
      </c>
      <c r="Y416" s="18" t="str">
        <f t="shared" ca="1" si="39"/>
        <v>серый</v>
      </c>
      <c r="Z416" s="117" t="s">
        <v>28</v>
      </c>
      <c r="AA416" s="73" t="str">
        <f ca="1"/>
        <v>95-001-69-57</v>
      </c>
      <c r="AB416" s="75" t="str">
        <f ca="1">VLOOKUP(C416,Группа!A:B,2,FALSE)</f>
        <v>Бейсболка</v>
      </c>
      <c r="AC416" s="97" t="str">
        <f ca="1">IFERROR(VLOOKUP(S416,Размеры!A:C,3,FALSE),"")</f>
        <v>57 M</v>
      </c>
      <c r="AD416" s="97" t="str">
        <f ca="1">VLOOKUP(I416,ЦветПолный!A:B,2,FALSE)</f>
        <v>69</v>
      </c>
      <c r="AE416" s="97" t="str">
        <f ca="1">IFERROR(VLOOKUP(S416,Размеры!A:D,4,FALSE),"")</f>
        <v>57</v>
      </c>
      <c r="AF416" s="97">
        <f ca="1">IF(LEFT(IFERROR(VLOOKUP(LOOKUP(2,1/SEARCH(B416,Товары!A:A),Товары!A:A),Товары!A:B,2,0),""),6)=MID(AA416,1,6),1,0)</f>
        <v>0</v>
      </c>
      <c r="AH416" s="97">
        <f ca="1">SUMIF(Группа!A:A,C416,Группа!C:C)</f>
        <v>1</v>
      </c>
      <c r="AI416" s="97">
        <f ca="1">SUMIF(Группа!B:B,AB416,Группа!C:C)</f>
        <v>1</v>
      </c>
      <c r="AJ416" s="97">
        <f ca="1">SUMIF(Формы!A:A,D416,Формы!B:B)</f>
        <v>1</v>
      </c>
      <c r="AK416" s="97">
        <f ca="1">SUMIF(Материал!A:A,K416,Материал!B:B)</f>
        <v>1</v>
      </c>
      <c r="AL416" s="97">
        <f ca="1">SUMIF(Размеры!A:A,S416,Размеры!E:E)</f>
        <v>1</v>
      </c>
      <c r="AM416" s="97">
        <f ca="1">SUMIF(Сезон!A:A,F416,Сезон!B:B)</f>
        <v>1</v>
      </c>
      <c r="AN416" s="97">
        <f ca="1">SUMIF(Состав!A:A,J416,Состав!B:B)</f>
        <v>0</v>
      </c>
      <c r="AO416" s="97">
        <f ca="1">VLOOKUP(I416,ЦветПолный!A:C,3,0)</f>
        <v>1</v>
      </c>
      <c r="AP416" s="97">
        <f>SUMIF(Цвет!A:A,Z416,Цвет!B:B)</f>
        <v>1</v>
      </c>
      <c r="AQ416" s="97">
        <f ca="1">_xlfn.XLOOKUP(L416,Пол!A:A,Пол!B:B,0,0)</f>
        <v>1</v>
      </c>
      <c r="AR416" s="97">
        <f ca="1">SUMIF(Бренд!A:A,G416,Бренд!B:B)</f>
        <v>1</v>
      </c>
      <c r="AS416" s="97">
        <f ca="1">SUMIF(Страна!A:A,M416,Страна!B:B)</f>
        <v>1</v>
      </c>
      <c r="AT416" s="64" t="e">
        <f ca="1">IF(VLOOKUP(W416,Товары!A:B,2,FALSE)=A416,"Есть в 1С","ERR")</f>
        <v>#N/A</v>
      </c>
      <c r="AU416" s="65" t="e">
        <f ca="1">IF(VLOOKUP(A416,Товары!B:B,1,FALSE)=A416,"Есть в 1С","ERR")</f>
        <v>#N/A</v>
      </c>
      <c r="AV416" s="96" t="e">
        <f ca="1">VLOOKUP(W416,Товары!A:B,2,FALSE)</f>
        <v>#N/A</v>
      </c>
      <c r="AW416" s="94" t="e">
        <f ca="1">VLOOKUP(W416,Товары!A:B,1,FALSE)</f>
        <v>#N/A</v>
      </c>
    </row>
    <row r="417" spans="1:49" x14ac:dyDescent="0.25">
      <c r="A417" s="110" t="str">
        <f t="shared" ca="1" si="35"/>
        <v>95-001-66</v>
      </c>
      <c r="B417" s="107" t="str">
        <f ca="1">_xlfn.LET(_xlpm.CAPS,0,_xlpm.Style,TRIM(_xlfn.XLOOKUP($A417,Строчный!$A:$A,Строчный!B:B,"ERR",0)),IF(_xlpm.CAPS=0,_xlpm.Style,LOWER(_xlpm.Style)))</f>
        <v>3215</v>
      </c>
      <c r="C417" s="81" t="str">
        <f ca="1">TRIM(PROPER(_xlfn.XLOOKUP($A417,Строчный!$A:$A,Строчный!C:C,"ERR",0)))</f>
        <v>Бейсболки</v>
      </c>
      <c r="D417" s="81" t="str">
        <f ca="1">_xlfn.LET(_xlpm.DATA,TRIM(_xlfn.XLOOKUP($A417,Строчный!$A:$A,Строчный!D:D,"ERR",0)),UPPER(MID(_xlpm.DATA,1,1))&amp;LOWER(MID(_xlpm.DATA,2,LEN(_xlpm.DATA)-1)))</f>
        <v>Бейсболка</v>
      </c>
      <c r="E417" s="81" t="str">
        <f ca="1">PROPER(TRIM(_xlfn.XLOOKUP($A417,Строчный!$A:$A,Строчный!E:E,"ERR",0)))</f>
        <v>Fredrikson</v>
      </c>
      <c r="F417" s="81" t="str">
        <f ca="1">LOWER(TRIM(_xlfn.XLOOKUP($A417,Строчный!$A:$A,Строчный!F:F,"ERR",0)))</f>
        <v>всесезон</v>
      </c>
      <c r="G417" s="81" t="str">
        <f ca="1">UPPER(TRIM(_xlfn.XLOOKUP($A417,Строчный!$A:$A,Строчный!G:G,"ERR",0)))</f>
        <v>FREDRIKSON</v>
      </c>
      <c r="H417" s="81" t="str">
        <f ca="1">LOWER(TRIM(_xlfn.XLOOKUP($A417,Строчный!$A:$A,Строчный!H:H,"ERR",0)))</f>
        <v>624/70</v>
      </c>
      <c r="I417" s="81" t="str">
        <f ca="1">LOWER(TRIM(_xlfn.XLOOKUP($A417,Строчный!$A:$A,Строчный!I:I,"ERR",0)))</f>
        <v>светло-серый / серый</v>
      </c>
      <c r="J417" s="81" t="str">
        <f ca="1">SUBSTITUTE(LOWER(TRIM(_xlfn.XLOOKUP($A417,Строчный!$A:$A,Строчный!J:J,"ERR",0))),"подклад","Подклад")</f>
        <v>80% шерсть - 20% полиамид / Подклад: 100% вискоза</v>
      </c>
      <c r="K417" s="81" t="str">
        <f ca="1">LOWER(TRIM(_xlfn.XLOOKUP($A417,Строчный!$A:$A,Строчный!K:K,"ERR",0)))</f>
        <v>шерстяные</v>
      </c>
      <c r="L417" s="81" t="str">
        <f ca="1">PROPER(TRIM(_xlfn.XLOOKUP($A417,Строчный!$A:$A,Строчный!L:L,"ERR",0)))</f>
        <v>Унисекс</v>
      </c>
      <c r="M417" s="113" t="str">
        <f ca="1">PROPER(TRIM(_xlfn.XLOOKUP($A417,Строчный!$A:$A,Строчный!M:M,"ERR",0)))</f>
        <v>Россия</v>
      </c>
      <c r="N417" s="81" t="str">
        <f ca="1">UPPER(TRIM(_xlfn.XLOOKUP($A417,Строчный!$A:$A,Строчный!O:O,"ERR",0)))</f>
        <v/>
      </c>
      <c r="O417" s="102" t="str">
        <f ca="1">PROPER(TRIM(_xlfn.XLOOKUP($A417,Строчный!$A:$A,Строчный!P:P,"ERR",0)))</f>
        <v/>
      </c>
      <c r="P417" s="81" t="str">
        <f ca="1">PROPER(TRIM(_xlfn.XLOOKUP($A417,Строчный!$A:$A,Строчный!R:R,"ERR",0)))</f>
        <v/>
      </c>
      <c r="Q417" s="90">
        <f ca="1">VALUE(_xlfn.XLOOKUP($A417,Строчный!$A:$A,Строчный!N:N,"ERR",0))</f>
        <v>975.8</v>
      </c>
      <c r="R417" s="89" t="str">
        <f ca="1">_xlfn.XLOOKUP($G417,Фабрика!A:A,Фабрика!B:B,"ERR",0)</f>
        <v>ООО "ФРЭДРИКСОН" Россия 192029, С-Петербург, пр. Обуховской обороны, д.86, лит М</v>
      </c>
      <c r="S417" s="80" t="str">
        <f ca="1">_xlfn.XLOOKUP(RIGHT(AA417,2),Размеры!D:D,Размеры!A:A,"ERR",0)</f>
        <v>61</v>
      </c>
      <c r="T417" s="80">
        <f ca="1">VALUE(_xlfn.XLOOKUP($AA417,Строчный!$S:$S,Строчный!U:U,"ERR",0))</f>
        <v>1</v>
      </c>
      <c r="U417" s="14" t="s">
        <v>265</v>
      </c>
      <c r="V417" s="101" t="str">
        <f t="shared" ca="1" si="36"/>
        <v>Бейсболка FREDRIKSON арт. 3215 (светло-серый / серый)</v>
      </c>
      <c r="W417" s="100" t="str">
        <f t="shared" ca="1" si="37"/>
        <v>Бейсболка FREDRIKSON арт. 3215 (светло-серый / серый) {624/70}</v>
      </c>
      <c r="X417" s="18" t="str">
        <f t="shared" ca="1" si="38"/>
        <v>серый / серый</v>
      </c>
      <c r="Y417" s="18" t="str">
        <f t="shared" ca="1" si="39"/>
        <v>серый / серый</v>
      </c>
      <c r="Z417" s="117" t="s">
        <v>28</v>
      </c>
      <c r="AA417" s="73" t="str">
        <f ca="1"/>
        <v>95-001-66-61</v>
      </c>
      <c r="AB417" s="75" t="str">
        <f ca="1">VLOOKUP(C417,Группа!A:B,2,FALSE)</f>
        <v>Бейсболка</v>
      </c>
      <c r="AC417" s="97" t="str">
        <f ca="1">IFERROR(VLOOKUP(S417,Размеры!A:C,3,FALSE),"")</f>
        <v>61 XL</v>
      </c>
      <c r="AD417" s="97" t="str">
        <f ca="1">VLOOKUP(I417,ЦветПолный!A:B,2,FALSE)</f>
        <v>66</v>
      </c>
      <c r="AE417" s="97" t="str">
        <f ca="1">IFERROR(VLOOKUP(S417,Размеры!A:D,4,FALSE),"")</f>
        <v>61</v>
      </c>
      <c r="AF417" s="97">
        <f ca="1">IF(LEFT(IFERROR(VLOOKUP(LOOKUP(2,1/SEARCH(B417,Товары!A:A),Товары!A:A),Товары!A:B,2,0),""),6)=MID(AA417,1,6),1,0)</f>
        <v>0</v>
      </c>
      <c r="AH417" s="97">
        <f ca="1">SUMIF(Группа!A:A,C417,Группа!C:C)</f>
        <v>1</v>
      </c>
      <c r="AI417" s="97">
        <f ca="1">SUMIF(Группа!B:B,AB417,Группа!C:C)</f>
        <v>1</v>
      </c>
      <c r="AJ417" s="97">
        <f ca="1">SUMIF(Формы!A:A,D417,Формы!B:B)</f>
        <v>1</v>
      </c>
      <c r="AK417" s="97">
        <f ca="1">SUMIF(Материал!A:A,K417,Материал!B:B)</f>
        <v>1</v>
      </c>
      <c r="AL417" s="97">
        <f ca="1">SUMIF(Размеры!A:A,S417,Размеры!E:E)</f>
        <v>1</v>
      </c>
      <c r="AM417" s="97">
        <f ca="1">SUMIF(Сезон!A:A,F417,Сезон!B:B)</f>
        <v>1</v>
      </c>
      <c r="AN417" s="97">
        <f ca="1">SUMIF(Состав!A:A,J417,Состав!B:B)</f>
        <v>0</v>
      </c>
      <c r="AO417" s="97">
        <f ca="1">VLOOKUP(I417,ЦветПолный!A:C,3,0)</f>
        <v>1</v>
      </c>
      <c r="AP417" s="97">
        <f>SUMIF(Цвет!A:A,Z417,Цвет!B:B)</f>
        <v>1</v>
      </c>
      <c r="AQ417" s="97">
        <f ca="1">_xlfn.XLOOKUP(L417,Пол!A:A,Пол!B:B,0,0)</f>
        <v>1</v>
      </c>
      <c r="AR417" s="97">
        <f ca="1">SUMIF(Бренд!A:A,G417,Бренд!B:B)</f>
        <v>1</v>
      </c>
      <c r="AS417" s="97">
        <f ca="1">SUMIF(Страна!A:A,M417,Страна!B:B)</f>
        <v>1</v>
      </c>
      <c r="AT417" s="64" t="e">
        <f ca="1">IF(VLOOKUP(W417,Товары!A:B,2,FALSE)=A417,"Есть в 1С","ERR")</f>
        <v>#N/A</v>
      </c>
      <c r="AU417" s="65" t="e">
        <f ca="1">IF(VLOOKUP(A417,Товары!B:B,1,FALSE)=A417,"Есть в 1С","ERR")</f>
        <v>#N/A</v>
      </c>
      <c r="AV417" s="96" t="e">
        <f ca="1">VLOOKUP(W417,Товары!A:B,2,FALSE)</f>
        <v>#N/A</v>
      </c>
      <c r="AW417" s="94" t="e">
        <f ca="1">VLOOKUP(W417,Товары!A:B,1,FALSE)</f>
        <v>#N/A</v>
      </c>
    </row>
    <row r="418" spans="1:49" x14ac:dyDescent="0.25">
      <c r="A418" s="110" t="str">
        <f t="shared" ca="1" si="35"/>
        <v>95-001-66</v>
      </c>
      <c r="B418" s="107" t="str">
        <f ca="1">_xlfn.LET(_xlpm.CAPS,0,_xlpm.Style,TRIM(_xlfn.XLOOKUP($A418,Строчный!$A:$A,Строчный!B:B,"ERR",0)),IF(_xlpm.CAPS=0,_xlpm.Style,LOWER(_xlpm.Style)))</f>
        <v>3215</v>
      </c>
      <c r="C418" s="81" t="str">
        <f ca="1">TRIM(PROPER(_xlfn.XLOOKUP($A418,Строчный!$A:$A,Строчный!C:C,"ERR",0)))</f>
        <v>Бейсболки</v>
      </c>
      <c r="D418" s="81" t="str">
        <f ca="1">_xlfn.LET(_xlpm.DATA,TRIM(_xlfn.XLOOKUP($A418,Строчный!$A:$A,Строчный!D:D,"ERR",0)),UPPER(MID(_xlpm.DATA,1,1))&amp;LOWER(MID(_xlpm.DATA,2,LEN(_xlpm.DATA)-1)))</f>
        <v>Бейсболка</v>
      </c>
      <c r="E418" s="81" t="str">
        <f ca="1">PROPER(TRIM(_xlfn.XLOOKUP($A418,Строчный!$A:$A,Строчный!E:E,"ERR",0)))</f>
        <v>Fredrikson</v>
      </c>
      <c r="F418" s="81" t="str">
        <f ca="1">LOWER(TRIM(_xlfn.XLOOKUP($A418,Строчный!$A:$A,Строчный!F:F,"ERR",0)))</f>
        <v>всесезон</v>
      </c>
      <c r="G418" s="81" t="str">
        <f ca="1">UPPER(TRIM(_xlfn.XLOOKUP($A418,Строчный!$A:$A,Строчный!G:G,"ERR",0)))</f>
        <v>FREDRIKSON</v>
      </c>
      <c r="H418" s="81" t="str">
        <f ca="1">LOWER(TRIM(_xlfn.XLOOKUP($A418,Строчный!$A:$A,Строчный!H:H,"ERR",0)))</f>
        <v>624/70</v>
      </c>
      <c r="I418" s="81" t="str">
        <f ca="1">LOWER(TRIM(_xlfn.XLOOKUP($A418,Строчный!$A:$A,Строчный!I:I,"ERR",0)))</f>
        <v>светло-серый / серый</v>
      </c>
      <c r="J418" s="81" t="str">
        <f ca="1">SUBSTITUTE(LOWER(TRIM(_xlfn.XLOOKUP($A418,Строчный!$A:$A,Строчный!J:J,"ERR",0))),"подклад","Подклад")</f>
        <v>80% шерсть - 20% полиамид / Подклад: 100% вискоза</v>
      </c>
      <c r="K418" s="81" t="str">
        <f ca="1">LOWER(TRIM(_xlfn.XLOOKUP($A418,Строчный!$A:$A,Строчный!K:K,"ERR",0)))</f>
        <v>шерстяные</v>
      </c>
      <c r="L418" s="81" t="str">
        <f ca="1">PROPER(TRIM(_xlfn.XLOOKUP($A418,Строчный!$A:$A,Строчный!L:L,"ERR",0)))</f>
        <v>Унисекс</v>
      </c>
      <c r="M418" s="113" t="str">
        <f ca="1">PROPER(TRIM(_xlfn.XLOOKUP($A418,Строчный!$A:$A,Строчный!M:M,"ERR",0)))</f>
        <v>Россия</v>
      </c>
      <c r="N418" s="81" t="str">
        <f ca="1">UPPER(TRIM(_xlfn.XLOOKUP($A418,Строчный!$A:$A,Строчный!O:O,"ERR",0)))</f>
        <v/>
      </c>
      <c r="O418" s="102" t="str">
        <f ca="1">PROPER(TRIM(_xlfn.XLOOKUP($A418,Строчный!$A:$A,Строчный!P:P,"ERR",0)))</f>
        <v/>
      </c>
      <c r="P418" s="81" t="str">
        <f ca="1">PROPER(TRIM(_xlfn.XLOOKUP($A418,Строчный!$A:$A,Строчный!R:R,"ERR",0)))</f>
        <v/>
      </c>
      <c r="Q418" s="90">
        <f ca="1">VALUE(_xlfn.XLOOKUP($A418,Строчный!$A:$A,Строчный!N:N,"ERR",0))</f>
        <v>975.8</v>
      </c>
      <c r="R418" s="89" t="str">
        <f ca="1">_xlfn.XLOOKUP($G418,Фабрика!A:A,Фабрика!B:B,"ERR",0)</f>
        <v>ООО "ФРЭДРИКСОН" Россия 192029, С-Петербург, пр. Обуховской обороны, д.86, лит М</v>
      </c>
      <c r="S418" s="80" t="str">
        <f ca="1">_xlfn.XLOOKUP(RIGHT(AA418,2),Размеры!D:D,Размеры!A:A,"ERR",0)</f>
        <v>60</v>
      </c>
      <c r="T418" s="80">
        <f ca="1">VALUE(_xlfn.XLOOKUP($AA418,Строчный!$S:$S,Строчный!U:U,"ERR",0))</f>
        <v>1</v>
      </c>
      <c r="U418" s="14" t="s">
        <v>265</v>
      </c>
      <c r="V418" s="101" t="str">
        <f t="shared" ca="1" si="36"/>
        <v>Бейсболка FREDRIKSON арт. 3215 (светло-серый / серый)</v>
      </c>
      <c r="W418" s="100" t="str">
        <f t="shared" ca="1" si="37"/>
        <v>Бейсболка FREDRIKSON арт. 3215 (светло-серый / серый) {624/70}</v>
      </c>
      <c r="X418" s="18" t="str">
        <f t="shared" ca="1" si="38"/>
        <v>серый / серый</v>
      </c>
      <c r="Y418" s="18" t="str">
        <f t="shared" ca="1" si="39"/>
        <v>серый / серый</v>
      </c>
      <c r="Z418" s="117" t="s">
        <v>28</v>
      </c>
      <c r="AA418" s="73" t="str">
        <f ca="1"/>
        <v>95-001-66-60</v>
      </c>
      <c r="AB418" s="75" t="str">
        <f ca="1">VLOOKUP(C418,Группа!A:B,2,FALSE)</f>
        <v>Бейсболка</v>
      </c>
      <c r="AC418" s="97" t="str">
        <f ca="1">IFERROR(VLOOKUP(S418,Размеры!A:C,3,FALSE),"")</f>
        <v>60 L/XL</v>
      </c>
      <c r="AD418" s="97" t="str">
        <f ca="1">VLOOKUP(I418,ЦветПолный!A:B,2,FALSE)</f>
        <v>66</v>
      </c>
      <c r="AE418" s="97" t="str">
        <f ca="1">IFERROR(VLOOKUP(S418,Размеры!A:D,4,FALSE),"")</f>
        <v>60</v>
      </c>
      <c r="AF418" s="97">
        <f ca="1">IF(LEFT(IFERROR(VLOOKUP(LOOKUP(2,1/SEARCH(B418,Товары!A:A),Товары!A:A),Товары!A:B,2,0),""),6)=MID(AA418,1,6),1,0)</f>
        <v>0</v>
      </c>
      <c r="AH418" s="97">
        <f ca="1">SUMIF(Группа!A:A,C418,Группа!C:C)</f>
        <v>1</v>
      </c>
      <c r="AI418" s="97">
        <f ca="1">SUMIF(Группа!B:B,AB418,Группа!C:C)</f>
        <v>1</v>
      </c>
      <c r="AJ418" s="97">
        <f ca="1">SUMIF(Формы!A:A,D418,Формы!B:B)</f>
        <v>1</v>
      </c>
      <c r="AK418" s="97">
        <f ca="1">SUMIF(Материал!A:A,K418,Материал!B:B)</f>
        <v>1</v>
      </c>
      <c r="AL418" s="97">
        <f ca="1">SUMIF(Размеры!A:A,S418,Размеры!E:E)</f>
        <v>1</v>
      </c>
      <c r="AM418" s="97">
        <f ca="1">SUMIF(Сезон!A:A,F418,Сезон!B:B)</f>
        <v>1</v>
      </c>
      <c r="AN418" s="97">
        <f ca="1">SUMIF(Состав!A:A,J418,Состав!B:B)</f>
        <v>0</v>
      </c>
      <c r="AO418" s="97">
        <f ca="1">VLOOKUP(I418,ЦветПолный!A:C,3,0)</f>
        <v>1</v>
      </c>
      <c r="AP418" s="97">
        <f>SUMIF(Цвет!A:A,Z418,Цвет!B:B)</f>
        <v>1</v>
      </c>
      <c r="AQ418" s="97">
        <f ca="1">_xlfn.XLOOKUP(L418,Пол!A:A,Пол!B:B,0,0)</f>
        <v>1</v>
      </c>
      <c r="AR418" s="97">
        <f ca="1">SUMIF(Бренд!A:A,G418,Бренд!B:B)</f>
        <v>1</v>
      </c>
      <c r="AS418" s="97">
        <f ca="1">SUMIF(Страна!A:A,M418,Страна!B:B)</f>
        <v>1</v>
      </c>
      <c r="AT418" s="64" t="e">
        <f ca="1">IF(VLOOKUP(W418,Товары!A:B,2,FALSE)=A418,"Есть в 1С","ERR")</f>
        <v>#N/A</v>
      </c>
      <c r="AU418" s="65" t="e">
        <f ca="1">IF(VLOOKUP(A418,Товары!B:B,1,FALSE)=A418,"Есть в 1С","ERR")</f>
        <v>#N/A</v>
      </c>
      <c r="AV418" s="96" t="e">
        <f ca="1">VLOOKUP(W418,Товары!A:B,2,FALSE)</f>
        <v>#N/A</v>
      </c>
      <c r="AW418" s="94" t="e">
        <f ca="1">VLOOKUP(W418,Товары!A:B,1,FALSE)</f>
        <v>#N/A</v>
      </c>
    </row>
    <row r="419" spans="1:49" x14ac:dyDescent="0.25">
      <c r="A419" s="110" t="str">
        <f t="shared" ca="1" si="35"/>
        <v>95-001-66</v>
      </c>
      <c r="B419" s="107" t="str">
        <f ca="1">_xlfn.LET(_xlpm.CAPS,0,_xlpm.Style,TRIM(_xlfn.XLOOKUP($A419,Строчный!$A:$A,Строчный!B:B,"ERR",0)),IF(_xlpm.CAPS=0,_xlpm.Style,LOWER(_xlpm.Style)))</f>
        <v>3215</v>
      </c>
      <c r="C419" s="81" t="str">
        <f ca="1">TRIM(PROPER(_xlfn.XLOOKUP($A419,Строчный!$A:$A,Строчный!C:C,"ERR",0)))</f>
        <v>Бейсболки</v>
      </c>
      <c r="D419" s="81" t="str">
        <f ca="1">_xlfn.LET(_xlpm.DATA,TRIM(_xlfn.XLOOKUP($A419,Строчный!$A:$A,Строчный!D:D,"ERR",0)),UPPER(MID(_xlpm.DATA,1,1))&amp;LOWER(MID(_xlpm.DATA,2,LEN(_xlpm.DATA)-1)))</f>
        <v>Бейсболка</v>
      </c>
      <c r="E419" s="81" t="str">
        <f ca="1">PROPER(TRIM(_xlfn.XLOOKUP($A419,Строчный!$A:$A,Строчный!E:E,"ERR",0)))</f>
        <v>Fredrikson</v>
      </c>
      <c r="F419" s="81" t="str">
        <f ca="1">LOWER(TRIM(_xlfn.XLOOKUP($A419,Строчный!$A:$A,Строчный!F:F,"ERR",0)))</f>
        <v>всесезон</v>
      </c>
      <c r="G419" s="81" t="str">
        <f ca="1">UPPER(TRIM(_xlfn.XLOOKUP($A419,Строчный!$A:$A,Строчный!G:G,"ERR",0)))</f>
        <v>FREDRIKSON</v>
      </c>
      <c r="H419" s="81" t="str">
        <f ca="1">LOWER(TRIM(_xlfn.XLOOKUP($A419,Строчный!$A:$A,Строчный!H:H,"ERR",0)))</f>
        <v>624/70</v>
      </c>
      <c r="I419" s="81" t="str">
        <f ca="1">LOWER(TRIM(_xlfn.XLOOKUP($A419,Строчный!$A:$A,Строчный!I:I,"ERR",0)))</f>
        <v>светло-серый / серый</v>
      </c>
      <c r="J419" s="81" t="str">
        <f ca="1">SUBSTITUTE(LOWER(TRIM(_xlfn.XLOOKUP($A419,Строчный!$A:$A,Строчный!J:J,"ERR",0))),"подклад","Подклад")</f>
        <v>80% шерсть - 20% полиамид / Подклад: 100% вискоза</v>
      </c>
      <c r="K419" s="81" t="str">
        <f ca="1">LOWER(TRIM(_xlfn.XLOOKUP($A419,Строчный!$A:$A,Строчный!K:K,"ERR",0)))</f>
        <v>шерстяные</v>
      </c>
      <c r="L419" s="81" t="str">
        <f ca="1">PROPER(TRIM(_xlfn.XLOOKUP($A419,Строчный!$A:$A,Строчный!L:L,"ERR",0)))</f>
        <v>Унисекс</v>
      </c>
      <c r="M419" s="113" t="str">
        <f ca="1">PROPER(TRIM(_xlfn.XLOOKUP($A419,Строчный!$A:$A,Строчный!M:M,"ERR",0)))</f>
        <v>Россия</v>
      </c>
      <c r="N419" s="81" t="str">
        <f ca="1">UPPER(TRIM(_xlfn.XLOOKUP($A419,Строчный!$A:$A,Строчный!O:O,"ERR",0)))</f>
        <v/>
      </c>
      <c r="O419" s="102" t="str">
        <f ca="1">PROPER(TRIM(_xlfn.XLOOKUP($A419,Строчный!$A:$A,Строчный!P:P,"ERR",0)))</f>
        <v/>
      </c>
      <c r="P419" s="81" t="str">
        <f ca="1">PROPER(TRIM(_xlfn.XLOOKUP($A419,Строчный!$A:$A,Строчный!R:R,"ERR",0)))</f>
        <v/>
      </c>
      <c r="Q419" s="90">
        <f ca="1">VALUE(_xlfn.XLOOKUP($A419,Строчный!$A:$A,Строчный!N:N,"ERR",0))</f>
        <v>975.8</v>
      </c>
      <c r="R419" s="89" t="str">
        <f ca="1">_xlfn.XLOOKUP($G419,Фабрика!A:A,Фабрика!B:B,"ERR",0)</f>
        <v>ООО "ФРЭДРИКСОН" Россия 192029, С-Петербург, пр. Обуховской обороны, д.86, лит М</v>
      </c>
      <c r="S419" s="80" t="str">
        <f ca="1">_xlfn.XLOOKUP(RIGHT(AA419,2),Размеры!D:D,Размеры!A:A,"ERR",0)</f>
        <v>59</v>
      </c>
      <c r="T419" s="80">
        <f ca="1">VALUE(_xlfn.XLOOKUP($AA419,Строчный!$S:$S,Строчный!U:U,"ERR",0))</f>
        <v>2</v>
      </c>
      <c r="U419" s="14" t="s">
        <v>265</v>
      </c>
      <c r="V419" s="101" t="str">
        <f t="shared" ca="1" si="36"/>
        <v>Бейсболка FREDRIKSON арт. 3215 (светло-серый / серый)</v>
      </c>
      <c r="W419" s="100" t="str">
        <f t="shared" ca="1" si="37"/>
        <v>Бейсболка FREDRIKSON арт. 3215 (светло-серый / серый) {624/70}</v>
      </c>
      <c r="X419" s="18" t="str">
        <f t="shared" ca="1" si="38"/>
        <v>серый / серый</v>
      </c>
      <c r="Y419" s="18" t="str">
        <f t="shared" ca="1" si="39"/>
        <v>серый / серый</v>
      </c>
      <c r="Z419" s="117" t="s">
        <v>28</v>
      </c>
      <c r="AA419" s="73" t="str">
        <f ca="1"/>
        <v>95-001-66-59</v>
      </c>
      <c r="AB419" s="75" t="str">
        <f ca="1">VLOOKUP(C419,Группа!A:B,2,FALSE)</f>
        <v>Бейсболка</v>
      </c>
      <c r="AC419" s="97" t="str">
        <f ca="1">IFERROR(VLOOKUP(S419,Размеры!A:C,3,FALSE),"")</f>
        <v>59 L</v>
      </c>
      <c r="AD419" s="97" t="str">
        <f ca="1">VLOOKUP(I419,ЦветПолный!A:B,2,FALSE)</f>
        <v>66</v>
      </c>
      <c r="AE419" s="97" t="str">
        <f ca="1">IFERROR(VLOOKUP(S419,Размеры!A:D,4,FALSE),"")</f>
        <v>59</v>
      </c>
      <c r="AF419" s="97">
        <f ca="1">IF(LEFT(IFERROR(VLOOKUP(LOOKUP(2,1/SEARCH(B419,Товары!A:A),Товары!A:A),Товары!A:B,2,0),""),6)=MID(AA419,1,6),1,0)</f>
        <v>0</v>
      </c>
      <c r="AH419" s="97">
        <f ca="1">SUMIF(Группа!A:A,C419,Группа!C:C)</f>
        <v>1</v>
      </c>
      <c r="AI419" s="97">
        <f ca="1">SUMIF(Группа!B:B,AB419,Группа!C:C)</f>
        <v>1</v>
      </c>
      <c r="AJ419" s="97">
        <f ca="1">SUMIF(Формы!A:A,D419,Формы!B:B)</f>
        <v>1</v>
      </c>
      <c r="AK419" s="97">
        <f ca="1">SUMIF(Материал!A:A,K419,Материал!B:B)</f>
        <v>1</v>
      </c>
      <c r="AL419" s="97">
        <f ca="1">SUMIF(Размеры!A:A,S419,Размеры!E:E)</f>
        <v>1</v>
      </c>
      <c r="AM419" s="97">
        <f ca="1">SUMIF(Сезон!A:A,F419,Сезон!B:B)</f>
        <v>1</v>
      </c>
      <c r="AN419" s="97">
        <f ca="1">SUMIF(Состав!A:A,J419,Состав!B:B)</f>
        <v>0</v>
      </c>
      <c r="AO419" s="97">
        <f ca="1">VLOOKUP(I419,ЦветПолный!A:C,3,0)</f>
        <v>1</v>
      </c>
      <c r="AP419" s="97">
        <f>SUMIF(Цвет!A:A,Z419,Цвет!B:B)</f>
        <v>1</v>
      </c>
      <c r="AQ419" s="97">
        <f ca="1">_xlfn.XLOOKUP(L419,Пол!A:A,Пол!B:B,0,0)</f>
        <v>1</v>
      </c>
      <c r="AR419" s="97">
        <f ca="1">SUMIF(Бренд!A:A,G419,Бренд!B:B)</f>
        <v>1</v>
      </c>
      <c r="AS419" s="97">
        <f ca="1">SUMIF(Страна!A:A,M419,Страна!B:B)</f>
        <v>1</v>
      </c>
      <c r="AT419" s="64" t="e">
        <f ca="1">IF(VLOOKUP(W419,Товары!A:B,2,FALSE)=A419,"Есть в 1С","ERR")</f>
        <v>#N/A</v>
      </c>
      <c r="AU419" s="65" t="e">
        <f ca="1">IF(VLOOKUP(A419,Товары!B:B,1,FALSE)=A419,"Есть в 1С","ERR")</f>
        <v>#N/A</v>
      </c>
      <c r="AV419" s="96" t="e">
        <f ca="1">VLOOKUP(W419,Товары!A:B,2,FALSE)</f>
        <v>#N/A</v>
      </c>
      <c r="AW419" s="94" t="e">
        <f ca="1">VLOOKUP(W419,Товары!A:B,1,FALSE)</f>
        <v>#N/A</v>
      </c>
    </row>
    <row r="420" spans="1:49" x14ac:dyDescent="0.25">
      <c r="A420" s="110" t="str">
        <f t="shared" ca="1" si="35"/>
        <v>95-001-66</v>
      </c>
      <c r="B420" s="107" t="str">
        <f ca="1">_xlfn.LET(_xlpm.CAPS,0,_xlpm.Style,TRIM(_xlfn.XLOOKUP($A420,Строчный!$A:$A,Строчный!B:B,"ERR",0)),IF(_xlpm.CAPS=0,_xlpm.Style,LOWER(_xlpm.Style)))</f>
        <v>3215</v>
      </c>
      <c r="C420" s="81" t="str">
        <f ca="1">TRIM(PROPER(_xlfn.XLOOKUP($A420,Строчный!$A:$A,Строчный!C:C,"ERR",0)))</f>
        <v>Бейсболки</v>
      </c>
      <c r="D420" s="81" t="str">
        <f ca="1">_xlfn.LET(_xlpm.DATA,TRIM(_xlfn.XLOOKUP($A420,Строчный!$A:$A,Строчный!D:D,"ERR",0)),UPPER(MID(_xlpm.DATA,1,1))&amp;LOWER(MID(_xlpm.DATA,2,LEN(_xlpm.DATA)-1)))</f>
        <v>Бейсболка</v>
      </c>
      <c r="E420" s="81" t="str">
        <f ca="1">PROPER(TRIM(_xlfn.XLOOKUP($A420,Строчный!$A:$A,Строчный!E:E,"ERR",0)))</f>
        <v>Fredrikson</v>
      </c>
      <c r="F420" s="81" t="str">
        <f ca="1">LOWER(TRIM(_xlfn.XLOOKUP($A420,Строчный!$A:$A,Строчный!F:F,"ERR",0)))</f>
        <v>всесезон</v>
      </c>
      <c r="G420" s="81" t="str">
        <f ca="1">UPPER(TRIM(_xlfn.XLOOKUP($A420,Строчный!$A:$A,Строчный!G:G,"ERR",0)))</f>
        <v>FREDRIKSON</v>
      </c>
      <c r="H420" s="81" t="str">
        <f ca="1">LOWER(TRIM(_xlfn.XLOOKUP($A420,Строчный!$A:$A,Строчный!H:H,"ERR",0)))</f>
        <v>624/70</v>
      </c>
      <c r="I420" s="81" t="str">
        <f ca="1">LOWER(TRIM(_xlfn.XLOOKUP($A420,Строчный!$A:$A,Строчный!I:I,"ERR",0)))</f>
        <v>светло-серый / серый</v>
      </c>
      <c r="J420" s="81" t="str">
        <f ca="1">SUBSTITUTE(LOWER(TRIM(_xlfn.XLOOKUP($A420,Строчный!$A:$A,Строчный!J:J,"ERR",0))),"подклад","Подклад")</f>
        <v>80% шерсть - 20% полиамид / Подклад: 100% вискоза</v>
      </c>
      <c r="K420" s="81" t="str">
        <f ca="1">LOWER(TRIM(_xlfn.XLOOKUP($A420,Строчный!$A:$A,Строчный!K:K,"ERR",0)))</f>
        <v>шерстяные</v>
      </c>
      <c r="L420" s="81" t="str">
        <f ca="1">PROPER(TRIM(_xlfn.XLOOKUP($A420,Строчный!$A:$A,Строчный!L:L,"ERR",0)))</f>
        <v>Унисекс</v>
      </c>
      <c r="M420" s="113" t="str">
        <f ca="1">PROPER(TRIM(_xlfn.XLOOKUP($A420,Строчный!$A:$A,Строчный!M:M,"ERR",0)))</f>
        <v>Россия</v>
      </c>
      <c r="N420" s="81" t="str">
        <f ca="1">UPPER(TRIM(_xlfn.XLOOKUP($A420,Строчный!$A:$A,Строчный!O:O,"ERR",0)))</f>
        <v/>
      </c>
      <c r="O420" s="102" t="str">
        <f ca="1">PROPER(TRIM(_xlfn.XLOOKUP($A420,Строчный!$A:$A,Строчный!P:P,"ERR",0)))</f>
        <v/>
      </c>
      <c r="P420" s="81" t="str">
        <f ca="1">PROPER(TRIM(_xlfn.XLOOKUP($A420,Строчный!$A:$A,Строчный!R:R,"ERR",0)))</f>
        <v/>
      </c>
      <c r="Q420" s="90">
        <f ca="1">VALUE(_xlfn.XLOOKUP($A420,Строчный!$A:$A,Строчный!N:N,"ERR",0))</f>
        <v>975.8</v>
      </c>
      <c r="R420" s="89" t="str">
        <f ca="1">_xlfn.XLOOKUP($G420,Фабрика!A:A,Фабрика!B:B,"ERR",0)</f>
        <v>ООО "ФРЭДРИКСОН" Россия 192029, С-Петербург, пр. Обуховской обороны, д.86, лит М</v>
      </c>
      <c r="S420" s="80" t="str">
        <f ca="1">_xlfn.XLOOKUP(RIGHT(AA420,2),Размеры!D:D,Размеры!A:A,"ERR",0)</f>
        <v>58</v>
      </c>
      <c r="T420" s="80">
        <f ca="1">VALUE(_xlfn.XLOOKUP($AA420,Строчный!$S:$S,Строчный!U:U,"ERR",0))</f>
        <v>1</v>
      </c>
      <c r="U420" s="14" t="s">
        <v>265</v>
      </c>
      <c r="V420" s="101" t="str">
        <f t="shared" ca="1" si="36"/>
        <v>Бейсболка FREDRIKSON арт. 3215 (светло-серый / серый)</v>
      </c>
      <c r="W420" s="100" t="str">
        <f t="shared" ca="1" si="37"/>
        <v>Бейсболка FREDRIKSON арт. 3215 (светло-серый / серый) {624/70}</v>
      </c>
      <c r="X420" s="18" t="str">
        <f t="shared" ca="1" si="38"/>
        <v>серый / серый</v>
      </c>
      <c r="Y420" s="18" t="str">
        <f t="shared" ca="1" si="39"/>
        <v>серый / серый</v>
      </c>
      <c r="Z420" s="117" t="s">
        <v>28</v>
      </c>
      <c r="AA420" s="73" t="str">
        <f ca="1"/>
        <v>95-001-66-58</v>
      </c>
      <c r="AB420" s="75" t="str">
        <f ca="1">VLOOKUP(C420,Группа!A:B,2,FALSE)</f>
        <v>Бейсболка</v>
      </c>
      <c r="AC420" s="97" t="str">
        <f ca="1">IFERROR(VLOOKUP(S420,Размеры!A:C,3,FALSE),"")</f>
        <v>58 M/L</v>
      </c>
      <c r="AD420" s="97" t="str">
        <f ca="1">VLOOKUP(I420,ЦветПолный!A:B,2,FALSE)</f>
        <v>66</v>
      </c>
      <c r="AE420" s="97" t="str">
        <f ca="1">IFERROR(VLOOKUP(S420,Размеры!A:D,4,FALSE),"")</f>
        <v>58</v>
      </c>
      <c r="AF420" s="97">
        <f ca="1">IF(LEFT(IFERROR(VLOOKUP(LOOKUP(2,1/SEARCH(B420,Товары!A:A),Товары!A:A),Товары!A:B,2,0),""),6)=MID(AA420,1,6),1,0)</f>
        <v>0</v>
      </c>
      <c r="AH420" s="97">
        <f ca="1">SUMIF(Группа!A:A,C420,Группа!C:C)</f>
        <v>1</v>
      </c>
      <c r="AI420" s="97">
        <f ca="1">SUMIF(Группа!B:B,AB420,Группа!C:C)</f>
        <v>1</v>
      </c>
      <c r="AJ420" s="97">
        <f ca="1">SUMIF(Формы!A:A,D420,Формы!B:B)</f>
        <v>1</v>
      </c>
      <c r="AK420" s="97">
        <f ca="1">SUMIF(Материал!A:A,K420,Материал!B:B)</f>
        <v>1</v>
      </c>
      <c r="AL420" s="97">
        <f ca="1">SUMIF(Размеры!A:A,S420,Размеры!E:E)</f>
        <v>1</v>
      </c>
      <c r="AM420" s="97">
        <f ca="1">SUMIF(Сезон!A:A,F420,Сезон!B:B)</f>
        <v>1</v>
      </c>
      <c r="AN420" s="97">
        <f ca="1">SUMIF(Состав!A:A,J420,Состав!B:B)</f>
        <v>0</v>
      </c>
      <c r="AO420" s="97">
        <f ca="1">VLOOKUP(I420,ЦветПолный!A:C,3,0)</f>
        <v>1</v>
      </c>
      <c r="AP420" s="97">
        <f>SUMIF(Цвет!A:A,Z420,Цвет!B:B)</f>
        <v>1</v>
      </c>
      <c r="AQ420" s="97">
        <f ca="1">_xlfn.XLOOKUP(L420,Пол!A:A,Пол!B:B,0,0)</f>
        <v>1</v>
      </c>
      <c r="AR420" s="97">
        <f ca="1">SUMIF(Бренд!A:A,G420,Бренд!B:B)</f>
        <v>1</v>
      </c>
      <c r="AS420" s="97">
        <f ca="1">SUMIF(Страна!A:A,M420,Страна!B:B)</f>
        <v>1</v>
      </c>
      <c r="AT420" s="64" t="e">
        <f ca="1">IF(VLOOKUP(W420,Товары!A:B,2,FALSE)=A420,"Есть в 1С","ERR")</f>
        <v>#N/A</v>
      </c>
      <c r="AU420" s="65" t="e">
        <f ca="1">IF(VLOOKUP(A420,Товары!B:B,1,FALSE)=A420,"Есть в 1С","ERR")</f>
        <v>#N/A</v>
      </c>
      <c r="AV420" s="96" t="e">
        <f ca="1">VLOOKUP(W420,Товары!A:B,2,FALSE)</f>
        <v>#N/A</v>
      </c>
      <c r="AW420" s="94" t="e">
        <f ca="1">VLOOKUP(W420,Товары!A:B,1,FALSE)</f>
        <v>#N/A</v>
      </c>
    </row>
    <row r="421" spans="1:49" x14ac:dyDescent="0.25">
      <c r="A421" s="110" t="str">
        <f t="shared" ca="1" si="35"/>
        <v>95-001-66</v>
      </c>
      <c r="B421" s="107" t="str">
        <f ca="1">_xlfn.LET(_xlpm.CAPS,0,_xlpm.Style,TRIM(_xlfn.XLOOKUP($A421,Строчный!$A:$A,Строчный!B:B,"ERR",0)),IF(_xlpm.CAPS=0,_xlpm.Style,LOWER(_xlpm.Style)))</f>
        <v>3215</v>
      </c>
      <c r="C421" s="81" t="str">
        <f ca="1">TRIM(PROPER(_xlfn.XLOOKUP($A421,Строчный!$A:$A,Строчный!C:C,"ERR",0)))</f>
        <v>Бейсболки</v>
      </c>
      <c r="D421" s="81" t="str">
        <f ca="1">_xlfn.LET(_xlpm.DATA,TRIM(_xlfn.XLOOKUP($A421,Строчный!$A:$A,Строчный!D:D,"ERR",0)),UPPER(MID(_xlpm.DATA,1,1))&amp;LOWER(MID(_xlpm.DATA,2,LEN(_xlpm.DATA)-1)))</f>
        <v>Бейсболка</v>
      </c>
      <c r="E421" s="81" t="str">
        <f ca="1">PROPER(TRIM(_xlfn.XLOOKUP($A421,Строчный!$A:$A,Строчный!E:E,"ERR",0)))</f>
        <v>Fredrikson</v>
      </c>
      <c r="F421" s="81" t="str">
        <f ca="1">LOWER(TRIM(_xlfn.XLOOKUP($A421,Строчный!$A:$A,Строчный!F:F,"ERR",0)))</f>
        <v>всесезон</v>
      </c>
      <c r="G421" s="81" t="str">
        <f ca="1">UPPER(TRIM(_xlfn.XLOOKUP($A421,Строчный!$A:$A,Строчный!G:G,"ERR",0)))</f>
        <v>FREDRIKSON</v>
      </c>
      <c r="H421" s="81" t="str">
        <f ca="1">LOWER(TRIM(_xlfn.XLOOKUP($A421,Строчный!$A:$A,Строчный!H:H,"ERR",0)))</f>
        <v>624/70</v>
      </c>
      <c r="I421" s="81" t="str">
        <f ca="1">LOWER(TRIM(_xlfn.XLOOKUP($A421,Строчный!$A:$A,Строчный!I:I,"ERR",0)))</f>
        <v>светло-серый / серый</v>
      </c>
      <c r="J421" s="81" t="str">
        <f ca="1">SUBSTITUTE(LOWER(TRIM(_xlfn.XLOOKUP($A421,Строчный!$A:$A,Строчный!J:J,"ERR",0))),"подклад","Подклад")</f>
        <v>80% шерсть - 20% полиамид / Подклад: 100% вискоза</v>
      </c>
      <c r="K421" s="81" t="str">
        <f ca="1">LOWER(TRIM(_xlfn.XLOOKUP($A421,Строчный!$A:$A,Строчный!K:K,"ERR",0)))</f>
        <v>шерстяные</v>
      </c>
      <c r="L421" s="81" t="str">
        <f ca="1">PROPER(TRIM(_xlfn.XLOOKUP($A421,Строчный!$A:$A,Строчный!L:L,"ERR",0)))</f>
        <v>Унисекс</v>
      </c>
      <c r="M421" s="113" t="str">
        <f ca="1">PROPER(TRIM(_xlfn.XLOOKUP($A421,Строчный!$A:$A,Строчный!M:M,"ERR",0)))</f>
        <v>Россия</v>
      </c>
      <c r="N421" s="81" t="str">
        <f ca="1">UPPER(TRIM(_xlfn.XLOOKUP($A421,Строчный!$A:$A,Строчный!O:O,"ERR",0)))</f>
        <v/>
      </c>
      <c r="O421" s="102" t="str">
        <f ca="1">PROPER(TRIM(_xlfn.XLOOKUP($A421,Строчный!$A:$A,Строчный!P:P,"ERR",0)))</f>
        <v/>
      </c>
      <c r="P421" s="81" t="str">
        <f ca="1">PROPER(TRIM(_xlfn.XLOOKUP($A421,Строчный!$A:$A,Строчный!R:R,"ERR",0)))</f>
        <v/>
      </c>
      <c r="Q421" s="90">
        <f ca="1">VALUE(_xlfn.XLOOKUP($A421,Строчный!$A:$A,Строчный!N:N,"ERR",0))</f>
        <v>975.8</v>
      </c>
      <c r="R421" s="89" t="str">
        <f ca="1">_xlfn.XLOOKUP($G421,Фабрика!A:A,Фабрика!B:B,"ERR",0)</f>
        <v>ООО "ФРЭДРИКСОН" Россия 192029, С-Петербург, пр. Обуховской обороны, д.86, лит М</v>
      </c>
      <c r="S421" s="80" t="str">
        <f ca="1">_xlfn.XLOOKUP(RIGHT(AA421,2),Размеры!D:D,Размеры!A:A,"ERR",0)</f>
        <v>57</v>
      </c>
      <c r="T421" s="80">
        <f ca="1">VALUE(_xlfn.XLOOKUP($AA421,Строчный!$S:$S,Строчный!U:U,"ERR",0))</f>
        <v>1</v>
      </c>
      <c r="U421" s="14" t="s">
        <v>265</v>
      </c>
      <c r="V421" s="101" t="str">
        <f t="shared" ca="1" si="36"/>
        <v>Бейсболка FREDRIKSON арт. 3215 (светло-серый / серый)</v>
      </c>
      <c r="W421" s="100" t="str">
        <f t="shared" ca="1" si="37"/>
        <v>Бейсболка FREDRIKSON арт. 3215 (светло-серый / серый) {624/70}</v>
      </c>
      <c r="X421" s="18" t="str">
        <f t="shared" ca="1" si="38"/>
        <v>серый / серый</v>
      </c>
      <c r="Y421" s="18" t="str">
        <f t="shared" ca="1" si="39"/>
        <v>серый / серый</v>
      </c>
      <c r="Z421" s="117" t="s">
        <v>28</v>
      </c>
      <c r="AA421" s="73" t="str">
        <f ca="1"/>
        <v>95-001-66-57</v>
      </c>
      <c r="AB421" s="75" t="str">
        <f ca="1">VLOOKUP(C421,Группа!A:B,2,FALSE)</f>
        <v>Бейсболка</v>
      </c>
      <c r="AC421" s="97" t="str">
        <f ca="1">IFERROR(VLOOKUP(S421,Размеры!A:C,3,FALSE),"")</f>
        <v>57 M</v>
      </c>
      <c r="AD421" s="97" t="str">
        <f ca="1">VLOOKUP(I421,ЦветПолный!A:B,2,FALSE)</f>
        <v>66</v>
      </c>
      <c r="AE421" s="97" t="str">
        <f ca="1">IFERROR(VLOOKUP(S421,Размеры!A:D,4,FALSE),"")</f>
        <v>57</v>
      </c>
      <c r="AF421" s="97">
        <f ca="1">IF(LEFT(IFERROR(VLOOKUP(LOOKUP(2,1/SEARCH(B421,Товары!A:A),Товары!A:A),Товары!A:B,2,0),""),6)=MID(AA421,1,6),1,0)</f>
        <v>0</v>
      </c>
      <c r="AH421" s="97">
        <f ca="1">SUMIF(Группа!A:A,C421,Группа!C:C)</f>
        <v>1</v>
      </c>
      <c r="AI421" s="97">
        <f ca="1">SUMIF(Группа!B:B,AB421,Группа!C:C)</f>
        <v>1</v>
      </c>
      <c r="AJ421" s="97">
        <f ca="1">SUMIF(Формы!A:A,D421,Формы!B:B)</f>
        <v>1</v>
      </c>
      <c r="AK421" s="97">
        <f ca="1">SUMIF(Материал!A:A,K421,Материал!B:B)</f>
        <v>1</v>
      </c>
      <c r="AL421" s="97">
        <f ca="1">SUMIF(Размеры!A:A,S421,Размеры!E:E)</f>
        <v>1</v>
      </c>
      <c r="AM421" s="97">
        <f ca="1">SUMIF(Сезон!A:A,F421,Сезон!B:B)</f>
        <v>1</v>
      </c>
      <c r="AN421" s="97">
        <f ca="1">SUMIF(Состав!A:A,J421,Состав!B:B)</f>
        <v>0</v>
      </c>
      <c r="AO421" s="97">
        <f ca="1">VLOOKUP(I421,ЦветПолный!A:C,3,0)</f>
        <v>1</v>
      </c>
      <c r="AP421" s="97">
        <f>SUMIF(Цвет!A:A,Z421,Цвет!B:B)</f>
        <v>1</v>
      </c>
      <c r="AQ421" s="97">
        <f ca="1">_xlfn.XLOOKUP(L421,Пол!A:A,Пол!B:B,0,0)</f>
        <v>1</v>
      </c>
      <c r="AR421" s="97">
        <f ca="1">SUMIF(Бренд!A:A,G421,Бренд!B:B)</f>
        <v>1</v>
      </c>
      <c r="AS421" s="97">
        <f ca="1">SUMIF(Страна!A:A,M421,Страна!B:B)</f>
        <v>1</v>
      </c>
      <c r="AT421" s="64" t="e">
        <f ca="1">IF(VLOOKUP(W421,Товары!A:B,2,FALSE)=A421,"Есть в 1С","ERR")</f>
        <v>#N/A</v>
      </c>
      <c r="AU421" s="65" t="e">
        <f ca="1">IF(VLOOKUP(A421,Товары!B:B,1,FALSE)=A421,"Есть в 1С","ERR")</f>
        <v>#N/A</v>
      </c>
      <c r="AV421" s="96" t="e">
        <f ca="1">VLOOKUP(W421,Товары!A:B,2,FALSE)</f>
        <v>#N/A</v>
      </c>
      <c r="AW421" s="94" t="e">
        <f ca="1">VLOOKUP(W421,Товары!A:B,1,FALSE)</f>
        <v>#N/A</v>
      </c>
    </row>
    <row r="422" spans="1:49" x14ac:dyDescent="0.25">
      <c r="A422" s="110" t="str">
        <f t="shared" ca="1" si="35"/>
        <v>95-001-61</v>
      </c>
      <c r="B422" s="107" t="str">
        <f ca="1">_xlfn.LET(_xlpm.CAPS,0,_xlpm.Style,TRIM(_xlfn.XLOOKUP($A422,Строчный!$A:$A,Строчный!B:B,"ERR",0)),IF(_xlpm.CAPS=0,_xlpm.Style,LOWER(_xlpm.Style)))</f>
        <v>3215</v>
      </c>
      <c r="C422" s="81" t="str">
        <f ca="1">TRIM(PROPER(_xlfn.XLOOKUP($A422,Строчный!$A:$A,Строчный!C:C,"ERR",0)))</f>
        <v>Бейсболки</v>
      </c>
      <c r="D422" s="81" t="str">
        <f ca="1">_xlfn.LET(_xlpm.DATA,TRIM(_xlfn.XLOOKUP($A422,Строчный!$A:$A,Строчный!D:D,"ERR",0)),UPPER(MID(_xlpm.DATA,1,1))&amp;LOWER(MID(_xlpm.DATA,2,LEN(_xlpm.DATA)-1)))</f>
        <v>Бейсболка</v>
      </c>
      <c r="E422" s="81" t="str">
        <f ca="1">PROPER(TRIM(_xlfn.XLOOKUP($A422,Строчный!$A:$A,Строчный!E:E,"ERR",0)))</f>
        <v>Fredrikson</v>
      </c>
      <c r="F422" s="81" t="str">
        <f ca="1">LOWER(TRIM(_xlfn.XLOOKUP($A422,Строчный!$A:$A,Строчный!F:F,"ERR",0)))</f>
        <v>всесезон</v>
      </c>
      <c r="G422" s="81" t="str">
        <f ca="1">UPPER(TRIM(_xlfn.XLOOKUP($A422,Строчный!$A:$A,Строчный!G:G,"ERR",0)))</f>
        <v>FREDRIKSON</v>
      </c>
      <c r="H422" s="81" t="str">
        <f ca="1">LOWER(TRIM(_xlfn.XLOOKUP($A422,Строчный!$A:$A,Строчный!H:H,"ERR",0)))</f>
        <v>667/20</v>
      </c>
      <c r="I422" s="81" t="str">
        <f ca="1">LOWER(TRIM(_xlfn.XLOOKUP($A422,Строчный!$A:$A,Строчный!I:I,"ERR",0)))</f>
        <v>темно-синий / черный</v>
      </c>
      <c r="J422" s="81" t="str">
        <f ca="1">SUBSTITUTE(LOWER(TRIM(_xlfn.XLOOKUP($A422,Строчный!$A:$A,Строчный!J:J,"ERR",0))),"подклад","Подклад")</f>
        <v>80% шерсть - 20% полиамид / Подклад: 100% вискоза</v>
      </c>
      <c r="K422" s="81" t="str">
        <f ca="1">LOWER(TRIM(_xlfn.XLOOKUP($A422,Строчный!$A:$A,Строчный!K:K,"ERR",0)))</f>
        <v>шерстяные</v>
      </c>
      <c r="L422" s="81" t="str">
        <f ca="1">PROPER(TRIM(_xlfn.XLOOKUP($A422,Строчный!$A:$A,Строчный!L:L,"ERR",0)))</f>
        <v>Унисекс</v>
      </c>
      <c r="M422" s="113" t="str">
        <f ca="1">PROPER(TRIM(_xlfn.XLOOKUP($A422,Строчный!$A:$A,Строчный!M:M,"ERR",0)))</f>
        <v>Россия</v>
      </c>
      <c r="N422" s="81" t="str">
        <f ca="1">UPPER(TRIM(_xlfn.XLOOKUP($A422,Строчный!$A:$A,Строчный!O:O,"ERR",0)))</f>
        <v/>
      </c>
      <c r="O422" s="102" t="str">
        <f ca="1">PROPER(TRIM(_xlfn.XLOOKUP($A422,Строчный!$A:$A,Строчный!P:P,"ERR",0)))</f>
        <v/>
      </c>
      <c r="P422" s="81" t="str">
        <f ca="1">PROPER(TRIM(_xlfn.XLOOKUP($A422,Строчный!$A:$A,Строчный!R:R,"ERR",0)))</f>
        <v/>
      </c>
      <c r="Q422" s="90">
        <f ca="1">VALUE(_xlfn.XLOOKUP($A422,Строчный!$A:$A,Строчный!N:N,"ERR",0))</f>
        <v>975.8</v>
      </c>
      <c r="R422" s="89" t="str">
        <f ca="1">_xlfn.XLOOKUP($G422,Фабрика!A:A,Фабрика!B:B,"ERR",0)</f>
        <v>ООО "ФРЭДРИКСОН" Россия 192029, С-Петербург, пр. Обуховской обороны, д.86, лит М</v>
      </c>
      <c r="S422" s="80" t="str">
        <f ca="1">_xlfn.XLOOKUP(RIGHT(AA422,2),Размеры!D:D,Размеры!A:A,"ERR",0)</f>
        <v>60</v>
      </c>
      <c r="T422" s="80">
        <f ca="1">VALUE(_xlfn.XLOOKUP($AA422,Строчный!$S:$S,Строчный!U:U,"ERR",0))</f>
        <v>1</v>
      </c>
      <c r="U422" s="14" t="s">
        <v>265</v>
      </c>
      <c r="V422" s="101" t="str">
        <f t="shared" ca="1" si="36"/>
        <v>Бейсболка FREDRIKSON арт. 3215 (темно-синий / черный)</v>
      </c>
      <c r="W422" s="100" t="str">
        <f t="shared" ca="1" si="37"/>
        <v>Бейсболка FREDRIKSON арт. 3215 (темно-синий / черный) {667/20}</v>
      </c>
      <c r="X422" s="18" t="str">
        <f t="shared" ca="1" si="38"/>
        <v>синий / черный</v>
      </c>
      <c r="Y422" s="18" t="str">
        <f t="shared" ca="1" si="39"/>
        <v>синий / черный</v>
      </c>
      <c r="Z422" s="117" t="s">
        <v>27</v>
      </c>
      <c r="AA422" s="73" t="str">
        <f ca="1"/>
        <v>95-001-61-60</v>
      </c>
      <c r="AB422" s="75" t="str">
        <f ca="1">VLOOKUP(C422,Группа!A:B,2,FALSE)</f>
        <v>Бейсболка</v>
      </c>
      <c r="AC422" s="97" t="str">
        <f ca="1">IFERROR(VLOOKUP(S422,Размеры!A:C,3,FALSE),"")</f>
        <v>60 L/XL</v>
      </c>
      <c r="AD422" s="97" t="str">
        <f ca="1">VLOOKUP(I422,ЦветПолный!A:B,2,FALSE)</f>
        <v>61</v>
      </c>
      <c r="AE422" s="97" t="str">
        <f ca="1">IFERROR(VLOOKUP(S422,Размеры!A:D,4,FALSE),"")</f>
        <v>60</v>
      </c>
      <c r="AF422" s="97">
        <f ca="1">IF(LEFT(IFERROR(VLOOKUP(LOOKUP(2,1/SEARCH(B422,Товары!A:A),Товары!A:A),Товары!A:B,2,0),""),6)=MID(AA422,1,6),1,0)</f>
        <v>0</v>
      </c>
      <c r="AH422" s="97">
        <f ca="1">SUMIF(Группа!A:A,C422,Группа!C:C)</f>
        <v>1</v>
      </c>
      <c r="AI422" s="97">
        <f ca="1">SUMIF(Группа!B:B,AB422,Группа!C:C)</f>
        <v>1</v>
      </c>
      <c r="AJ422" s="97">
        <f ca="1">SUMIF(Формы!A:A,D422,Формы!B:B)</f>
        <v>1</v>
      </c>
      <c r="AK422" s="97">
        <f ca="1">SUMIF(Материал!A:A,K422,Материал!B:B)</f>
        <v>1</v>
      </c>
      <c r="AL422" s="97">
        <f ca="1">SUMIF(Размеры!A:A,S422,Размеры!E:E)</f>
        <v>1</v>
      </c>
      <c r="AM422" s="97">
        <f ca="1">SUMIF(Сезон!A:A,F422,Сезон!B:B)</f>
        <v>1</v>
      </c>
      <c r="AN422" s="97">
        <f ca="1">SUMIF(Состав!A:A,J422,Состав!B:B)</f>
        <v>0</v>
      </c>
      <c r="AO422" s="97">
        <f ca="1">VLOOKUP(I422,ЦветПолный!A:C,3,0)</f>
        <v>1</v>
      </c>
      <c r="AP422" s="97">
        <f>SUMIF(Цвет!A:A,Z422,Цвет!B:B)</f>
        <v>1</v>
      </c>
      <c r="AQ422" s="97">
        <f ca="1">_xlfn.XLOOKUP(L422,Пол!A:A,Пол!B:B,0,0)</f>
        <v>1</v>
      </c>
      <c r="AR422" s="97">
        <f ca="1">SUMIF(Бренд!A:A,G422,Бренд!B:B)</f>
        <v>1</v>
      </c>
      <c r="AS422" s="97">
        <f ca="1">SUMIF(Страна!A:A,M422,Страна!B:B)</f>
        <v>1</v>
      </c>
      <c r="AT422" s="64" t="e">
        <f ca="1">IF(VLOOKUP(W422,Товары!A:B,2,FALSE)=A422,"Есть в 1С","ERR")</f>
        <v>#N/A</v>
      </c>
      <c r="AU422" s="65" t="e">
        <f ca="1">IF(VLOOKUP(A422,Товары!B:B,1,FALSE)=A422,"Есть в 1С","ERR")</f>
        <v>#N/A</v>
      </c>
      <c r="AV422" s="96" t="e">
        <f ca="1">VLOOKUP(W422,Товары!A:B,2,FALSE)</f>
        <v>#N/A</v>
      </c>
      <c r="AW422" s="94" t="e">
        <f ca="1">VLOOKUP(W422,Товары!A:B,1,FALSE)</f>
        <v>#N/A</v>
      </c>
    </row>
    <row r="423" spans="1:49" x14ac:dyDescent="0.25">
      <c r="A423" s="110" t="str">
        <f t="shared" ca="1" si="35"/>
        <v>95-001-61</v>
      </c>
      <c r="B423" s="107" t="str">
        <f ca="1">_xlfn.LET(_xlpm.CAPS,0,_xlpm.Style,TRIM(_xlfn.XLOOKUP($A423,Строчный!$A:$A,Строчный!B:B,"ERR",0)),IF(_xlpm.CAPS=0,_xlpm.Style,LOWER(_xlpm.Style)))</f>
        <v>3215</v>
      </c>
      <c r="C423" s="81" t="str">
        <f ca="1">TRIM(PROPER(_xlfn.XLOOKUP($A423,Строчный!$A:$A,Строчный!C:C,"ERR",0)))</f>
        <v>Бейсболки</v>
      </c>
      <c r="D423" s="81" t="str">
        <f ca="1">_xlfn.LET(_xlpm.DATA,TRIM(_xlfn.XLOOKUP($A423,Строчный!$A:$A,Строчный!D:D,"ERR",0)),UPPER(MID(_xlpm.DATA,1,1))&amp;LOWER(MID(_xlpm.DATA,2,LEN(_xlpm.DATA)-1)))</f>
        <v>Бейсболка</v>
      </c>
      <c r="E423" s="81" t="str">
        <f ca="1">PROPER(TRIM(_xlfn.XLOOKUP($A423,Строчный!$A:$A,Строчный!E:E,"ERR",0)))</f>
        <v>Fredrikson</v>
      </c>
      <c r="F423" s="81" t="str">
        <f ca="1">LOWER(TRIM(_xlfn.XLOOKUP($A423,Строчный!$A:$A,Строчный!F:F,"ERR",0)))</f>
        <v>всесезон</v>
      </c>
      <c r="G423" s="81" t="str">
        <f ca="1">UPPER(TRIM(_xlfn.XLOOKUP($A423,Строчный!$A:$A,Строчный!G:G,"ERR",0)))</f>
        <v>FREDRIKSON</v>
      </c>
      <c r="H423" s="81" t="str">
        <f ca="1">LOWER(TRIM(_xlfn.XLOOKUP($A423,Строчный!$A:$A,Строчный!H:H,"ERR",0)))</f>
        <v>667/20</v>
      </c>
      <c r="I423" s="81" t="str">
        <f ca="1">LOWER(TRIM(_xlfn.XLOOKUP($A423,Строчный!$A:$A,Строчный!I:I,"ERR",0)))</f>
        <v>темно-синий / черный</v>
      </c>
      <c r="J423" s="81" t="str">
        <f ca="1">SUBSTITUTE(LOWER(TRIM(_xlfn.XLOOKUP($A423,Строчный!$A:$A,Строчный!J:J,"ERR",0))),"подклад","Подклад")</f>
        <v>80% шерсть - 20% полиамид / Подклад: 100% вискоза</v>
      </c>
      <c r="K423" s="81" t="str">
        <f ca="1">LOWER(TRIM(_xlfn.XLOOKUP($A423,Строчный!$A:$A,Строчный!K:K,"ERR",0)))</f>
        <v>шерстяные</v>
      </c>
      <c r="L423" s="81" t="str">
        <f ca="1">PROPER(TRIM(_xlfn.XLOOKUP($A423,Строчный!$A:$A,Строчный!L:L,"ERR",0)))</f>
        <v>Унисекс</v>
      </c>
      <c r="M423" s="113" t="str">
        <f ca="1">PROPER(TRIM(_xlfn.XLOOKUP($A423,Строчный!$A:$A,Строчный!M:M,"ERR",0)))</f>
        <v>Россия</v>
      </c>
      <c r="N423" s="81" t="str">
        <f ca="1">UPPER(TRIM(_xlfn.XLOOKUP($A423,Строчный!$A:$A,Строчный!O:O,"ERR",0)))</f>
        <v/>
      </c>
      <c r="O423" s="102" t="str">
        <f ca="1">PROPER(TRIM(_xlfn.XLOOKUP($A423,Строчный!$A:$A,Строчный!P:P,"ERR",0)))</f>
        <v/>
      </c>
      <c r="P423" s="81" t="str">
        <f ca="1">PROPER(TRIM(_xlfn.XLOOKUP($A423,Строчный!$A:$A,Строчный!R:R,"ERR",0)))</f>
        <v/>
      </c>
      <c r="Q423" s="90">
        <f ca="1">VALUE(_xlfn.XLOOKUP($A423,Строчный!$A:$A,Строчный!N:N,"ERR",0))</f>
        <v>975.8</v>
      </c>
      <c r="R423" s="89" t="str">
        <f ca="1">_xlfn.XLOOKUP($G423,Фабрика!A:A,Фабрика!B:B,"ERR",0)</f>
        <v>ООО "ФРЭДРИКСОН" Россия 192029, С-Петербург, пр. Обуховской обороны, д.86, лит М</v>
      </c>
      <c r="S423" s="80" t="str">
        <f ca="1">_xlfn.XLOOKUP(RIGHT(AA423,2),Размеры!D:D,Размеры!A:A,"ERR",0)</f>
        <v>59</v>
      </c>
      <c r="T423" s="80">
        <f ca="1">VALUE(_xlfn.XLOOKUP($AA423,Строчный!$S:$S,Строчный!U:U,"ERR",0))</f>
        <v>2</v>
      </c>
      <c r="U423" s="14" t="s">
        <v>265</v>
      </c>
      <c r="V423" s="101" t="str">
        <f t="shared" ca="1" si="36"/>
        <v>Бейсболка FREDRIKSON арт. 3215 (темно-синий / черный)</v>
      </c>
      <c r="W423" s="100" t="str">
        <f t="shared" ca="1" si="37"/>
        <v>Бейсболка FREDRIKSON арт. 3215 (темно-синий / черный) {667/20}</v>
      </c>
      <c r="X423" s="18" t="str">
        <f t="shared" ca="1" si="38"/>
        <v>синий / черный</v>
      </c>
      <c r="Y423" s="18" t="str">
        <f t="shared" ca="1" si="39"/>
        <v>синий / черный</v>
      </c>
      <c r="Z423" s="117" t="s">
        <v>27</v>
      </c>
      <c r="AA423" s="73" t="str">
        <f ca="1"/>
        <v>95-001-61-59</v>
      </c>
      <c r="AB423" s="75" t="str">
        <f ca="1">VLOOKUP(C423,Группа!A:B,2,FALSE)</f>
        <v>Бейсболка</v>
      </c>
      <c r="AC423" s="97" t="str">
        <f ca="1">IFERROR(VLOOKUP(S423,Размеры!A:C,3,FALSE),"")</f>
        <v>59 L</v>
      </c>
      <c r="AD423" s="97" t="str">
        <f ca="1">VLOOKUP(I423,ЦветПолный!A:B,2,FALSE)</f>
        <v>61</v>
      </c>
      <c r="AE423" s="97" t="str">
        <f ca="1">IFERROR(VLOOKUP(S423,Размеры!A:D,4,FALSE),"")</f>
        <v>59</v>
      </c>
      <c r="AF423" s="97">
        <f ca="1">IF(LEFT(IFERROR(VLOOKUP(LOOKUP(2,1/SEARCH(B423,Товары!A:A),Товары!A:A),Товары!A:B,2,0),""),6)=MID(AA423,1,6),1,0)</f>
        <v>0</v>
      </c>
      <c r="AH423" s="97">
        <f ca="1">SUMIF(Группа!A:A,C423,Группа!C:C)</f>
        <v>1</v>
      </c>
      <c r="AI423" s="97">
        <f ca="1">SUMIF(Группа!B:B,AB423,Группа!C:C)</f>
        <v>1</v>
      </c>
      <c r="AJ423" s="97">
        <f ca="1">SUMIF(Формы!A:A,D423,Формы!B:B)</f>
        <v>1</v>
      </c>
      <c r="AK423" s="97">
        <f ca="1">SUMIF(Материал!A:A,K423,Материал!B:B)</f>
        <v>1</v>
      </c>
      <c r="AL423" s="97">
        <f ca="1">SUMIF(Размеры!A:A,S423,Размеры!E:E)</f>
        <v>1</v>
      </c>
      <c r="AM423" s="97">
        <f ca="1">SUMIF(Сезон!A:A,F423,Сезон!B:B)</f>
        <v>1</v>
      </c>
      <c r="AN423" s="97">
        <f ca="1">SUMIF(Состав!A:A,J423,Состав!B:B)</f>
        <v>0</v>
      </c>
      <c r="AO423" s="97">
        <f ca="1">VLOOKUP(I423,ЦветПолный!A:C,3,0)</f>
        <v>1</v>
      </c>
      <c r="AP423" s="97">
        <f>SUMIF(Цвет!A:A,Z423,Цвет!B:B)</f>
        <v>1</v>
      </c>
      <c r="AQ423" s="97">
        <f ca="1">_xlfn.XLOOKUP(L423,Пол!A:A,Пол!B:B,0,0)</f>
        <v>1</v>
      </c>
      <c r="AR423" s="97">
        <f ca="1">SUMIF(Бренд!A:A,G423,Бренд!B:B)</f>
        <v>1</v>
      </c>
      <c r="AS423" s="97">
        <f ca="1">SUMIF(Страна!A:A,M423,Страна!B:B)</f>
        <v>1</v>
      </c>
      <c r="AT423" s="64" t="e">
        <f ca="1">IF(VLOOKUP(W423,Товары!A:B,2,FALSE)=A423,"Есть в 1С","ERR")</f>
        <v>#N/A</v>
      </c>
      <c r="AU423" s="65" t="e">
        <f ca="1">IF(VLOOKUP(A423,Товары!B:B,1,FALSE)=A423,"Есть в 1С","ERR")</f>
        <v>#N/A</v>
      </c>
      <c r="AV423" s="96" t="e">
        <f ca="1">VLOOKUP(W423,Товары!A:B,2,FALSE)</f>
        <v>#N/A</v>
      </c>
      <c r="AW423" s="94" t="e">
        <f ca="1">VLOOKUP(W423,Товары!A:B,1,FALSE)</f>
        <v>#N/A</v>
      </c>
    </row>
    <row r="424" spans="1:49" x14ac:dyDescent="0.25">
      <c r="A424" s="110" t="str">
        <f t="shared" ca="1" si="35"/>
        <v>95-001-61</v>
      </c>
      <c r="B424" s="107" t="str">
        <f ca="1">_xlfn.LET(_xlpm.CAPS,0,_xlpm.Style,TRIM(_xlfn.XLOOKUP($A424,Строчный!$A:$A,Строчный!B:B,"ERR",0)),IF(_xlpm.CAPS=0,_xlpm.Style,LOWER(_xlpm.Style)))</f>
        <v>3215</v>
      </c>
      <c r="C424" s="81" t="str">
        <f ca="1">TRIM(PROPER(_xlfn.XLOOKUP($A424,Строчный!$A:$A,Строчный!C:C,"ERR",0)))</f>
        <v>Бейсболки</v>
      </c>
      <c r="D424" s="81" t="str">
        <f ca="1">_xlfn.LET(_xlpm.DATA,TRIM(_xlfn.XLOOKUP($A424,Строчный!$A:$A,Строчный!D:D,"ERR",0)),UPPER(MID(_xlpm.DATA,1,1))&amp;LOWER(MID(_xlpm.DATA,2,LEN(_xlpm.DATA)-1)))</f>
        <v>Бейсболка</v>
      </c>
      <c r="E424" s="81" t="str">
        <f ca="1">PROPER(TRIM(_xlfn.XLOOKUP($A424,Строчный!$A:$A,Строчный!E:E,"ERR",0)))</f>
        <v>Fredrikson</v>
      </c>
      <c r="F424" s="81" t="str">
        <f ca="1">LOWER(TRIM(_xlfn.XLOOKUP($A424,Строчный!$A:$A,Строчный!F:F,"ERR",0)))</f>
        <v>всесезон</v>
      </c>
      <c r="G424" s="81" t="str">
        <f ca="1">UPPER(TRIM(_xlfn.XLOOKUP($A424,Строчный!$A:$A,Строчный!G:G,"ERR",0)))</f>
        <v>FREDRIKSON</v>
      </c>
      <c r="H424" s="81" t="str">
        <f ca="1">LOWER(TRIM(_xlfn.XLOOKUP($A424,Строчный!$A:$A,Строчный!H:H,"ERR",0)))</f>
        <v>667/20</v>
      </c>
      <c r="I424" s="81" t="str">
        <f ca="1">LOWER(TRIM(_xlfn.XLOOKUP($A424,Строчный!$A:$A,Строчный!I:I,"ERR",0)))</f>
        <v>темно-синий / черный</v>
      </c>
      <c r="J424" s="81" t="str">
        <f ca="1">SUBSTITUTE(LOWER(TRIM(_xlfn.XLOOKUP($A424,Строчный!$A:$A,Строчный!J:J,"ERR",0))),"подклад","Подклад")</f>
        <v>80% шерсть - 20% полиамид / Подклад: 100% вискоза</v>
      </c>
      <c r="K424" s="81" t="str">
        <f ca="1">LOWER(TRIM(_xlfn.XLOOKUP($A424,Строчный!$A:$A,Строчный!K:K,"ERR",0)))</f>
        <v>шерстяные</v>
      </c>
      <c r="L424" s="81" t="str">
        <f ca="1">PROPER(TRIM(_xlfn.XLOOKUP($A424,Строчный!$A:$A,Строчный!L:L,"ERR",0)))</f>
        <v>Унисекс</v>
      </c>
      <c r="M424" s="113" t="str">
        <f ca="1">PROPER(TRIM(_xlfn.XLOOKUP($A424,Строчный!$A:$A,Строчный!M:M,"ERR",0)))</f>
        <v>Россия</v>
      </c>
      <c r="N424" s="81" t="str">
        <f ca="1">UPPER(TRIM(_xlfn.XLOOKUP($A424,Строчный!$A:$A,Строчный!O:O,"ERR",0)))</f>
        <v/>
      </c>
      <c r="O424" s="102" t="str">
        <f ca="1">PROPER(TRIM(_xlfn.XLOOKUP($A424,Строчный!$A:$A,Строчный!P:P,"ERR",0)))</f>
        <v/>
      </c>
      <c r="P424" s="81" t="str">
        <f ca="1">PROPER(TRIM(_xlfn.XLOOKUP($A424,Строчный!$A:$A,Строчный!R:R,"ERR",0)))</f>
        <v/>
      </c>
      <c r="Q424" s="90">
        <f ca="1">VALUE(_xlfn.XLOOKUP($A424,Строчный!$A:$A,Строчный!N:N,"ERR",0))</f>
        <v>975.8</v>
      </c>
      <c r="R424" s="89" t="str">
        <f ca="1">_xlfn.XLOOKUP($G424,Фабрика!A:A,Фабрика!B:B,"ERR",0)</f>
        <v>ООО "ФРЭДРИКСОН" Россия 192029, С-Петербург, пр. Обуховской обороны, д.86, лит М</v>
      </c>
      <c r="S424" s="80" t="str">
        <f ca="1">_xlfn.XLOOKUP(RIGHT(AA424,2),Размеры!D:D,Размеры!A:A,"ERR",0)</f>
        <v>58</v>
      </c>
      <c r="T424" s="80">
        <f ca="1">VALUE(_xlfn.XLOOKUP($AA424,Строчный!$S:$S,Строчный!U:U,"ERR",0))</f>
        <v>1</v>
      </c>
      <c r="U424" s="14" t="s">
        <v>265</v>
      </c>
      <c r="V424" s="101" t="str">
        <f t="shared" ca="1" si="36"/>
        <v>Бейсболка FREDRIKSON арт. 3215 (темно-синий / черный)</v>
      </c>
      <c r="W424" s="100" t="str">
        <f t="shared" ca="1" si="37"/>
        <v>Бейсболка FREDRIKSON арт. 3215 (темно-синий / черный) {667/20}</v>
      </c>
      <c r="X424" s="18" t="str">
        <f t="shared" ca="1" si="38"/>
        <v>синий / черный</v>
      </c>
      <c r="Y424" s="18" t="str">
        <f t="shared" ca="1" si="39"/>
        <v>синий / черный</v>
      </c>
      <c r="Z424" s="117" t="s">
        <v>27</v>
      </c>
      <c r="AA424" s="73" t="str">
        <f ca="1"/>
        <v>95-001-61-58</v>
      </c>
      <c r="AB424" s="75" t="str">
        <f ca="1">VLOOKUP(C424,Группа!A:B,2,FALSE)</f>
        <v>Бейсболка</v>
      </c>
      <c r="AC424" s="97" t="str">
        <f ca="1">IFERROR(VLOOKUP(S424,Размеры!A:C,3,FALSE),"")</f>
        <v>58 M/L</v>
      </c>
      <c r="AD424" s="97" t="str">
        <f ca="1">VLOOKUP(I424,ЦветПолный!A:B,2,FALSE)</f>
        <v>61</v>
      </c>
      <c r="AE424" s="97" t="str">
        <f ca="1">IFERROR(VLOOKUP(S424,Размеры!A:D,4,FALSE),"")</f>
        <v>58</v>
      </c>
      <c r="AF424" s="97">
        <f ca="1">IF(LEFT(IFERROR(VLOOKUP(LOOKUP(2,1/SEARCH(B424,Товары!A:A),Товары!A:A),Товары!A:B,2,0),""),6)=MID(AA424,1,6),1,0)</f>
        <v>0</v>
      </c>
      <c r="AH424" s="97">
        <f ca="1">SUMIF(Группа!A:A,C424,Группа!C:C)</f>
        <v>1</v>
      </c>
      <c r="AI424" s="97">
        <f ca="1">SUMIF(Группа!B:B,AB424,Группа!C:C)</f>
        <v>1</v>
      </c>
      <c r="AJ424" s="97">
        <f ca="1">SUMIF(Формы!A:A,D424,Формы!B:B)</f>
        <v>1</v>
      </c>
      <c r="AK424" s="97">
        <f ca="1">SUMIF(Материал!A:A,K424,Материал!B:B)</f>
        <v>1</v>
      </c>
      <c r="AL424" s="97">
        <f ca="1">SUMIF(Размеры!A:A,S424,Размеры!E:E)</f>
        <v>1</v>
      </c>
      <c r="AM424" s="97">
        <f ca="1">SUMIF(Сезон!A:A,F424,Сезон!B:B)</f>
        <v>1</v>
      </c>
      <c r="AN424" s="97">
        <f ca="1">SUMIF(Состав!A:A,J424,Состав!B:B)</f>
        <v>0</v>
      </c>
      <c r="AO424" s="97">
        <f ca="1">VLOOKUP(I424,ЦветПолный!A:C,3,0)</f>
        <v>1</v>
      </c>
      <c r="AP424" s="97">
        <f>SUMIF(Цвет!A:A,Z424,Цвет!B:B)</f>
        <v>1</v>
      </c>
      <c r="AQ424" s="97">
        <f ca="1">_xlfn.XLOOKUP(L424,Пол!A:A,Пол!B:B,0,0)</f>
        <v>1</v>
      </c>
      <c r="AR424" s="97">
        <f ca="1">SUMIF(Бренд!A:A,G424,Бренд!B:B)</f>
        <v>1</v>
      </c>
      <c r="AS424" s="97">
        <f ca="1">SUMIF(Страна!A:A,M424,Страна!B:B)</f>
        <v>1</v>
      </c>
      <c r="AT424" s="64" t="e">
        <f ca="1">IF(VLOOKUP(W424,Товары!A:B,2,FALSE)=A424,"Есть в 1С","ERR")</f>
        <v>#N/A</v>
      </c>
      <c r="AU424" s="65" t="e">
        <f ca="1">IF(VLOOKUP(A424,Товары!B:B,1,FALSE)=A424,"Есть в 1С","ERR")</f>
        <v>#N/A</v>
      </c>
      <c r="AV424" s="96" t="e">
        <f ca="1">VLOOKUP(W424,Товары!A:B,2,FALSE)</f>
        <v>#N/A</v>
      </c>
      <c r="AW424" s="94" t="e">
        <f ca="1">VLOOKUP(W424,Товары!A:B,1,FALSE)</f>
        <v>#N/A</v>
      </c>
    </row>
    <row r="425" spans="1:49" x14ac:dyDescent="0.25">
      <c r="A425" s="110" t="str">
        <f t="shared" ca="1" si="35"/>
        <v>95-001-61</v>
      </c>
      <c r="B425" s="107" t="str">
        <f ca="1">_xlfn.LET(_xlpm.CAPS,0,_xlpm.Style,TRIM(_xlfn.XLOOKUP($A425,Строчный!$A:$A,Строчный!B:B,"ERR",0)),IF(_xlpm.CAPS=0,_xlpm.Style,LOWER(_xlpm.Style)))</f>
        <v>3215</v>
      </c>
      <c r="C425" s="81" t="str">
        <f ca="1">TRIM(PROPER(_xlfn.XLOOKUP($A425,Строчный!$A:$A,Строчный!C:C,"ERR",0)))</f>
        <v>Бейсболки</v>
      </c>
      <c r="D425" s="81" t="str">
        <f ca="1">_xlfn.LET(_xlpm.DATA,TRIM(_xlfn.XLOOKUP($A425,Строчный!$A:$A,Строчный!D:D,"ERR",0)),UPPER(MID(_xlpm.DATA,1,1))&amp;LOWER(MID(_xlpm.DATA,2,LEN(_xlpm.DATA)-1)))</f>
        <v>Бейсболка</v>
      </c>
      <c r="E425" s="81" t="str">
        <f ca="1">PROPER(TRIM(_xlfn.XLOOKUP($A425,Строчный!$A:$A,Строчный!E:E,"ERR",0)))</f>
        <v>Fredrikson</v>
      </c>
      <c r="F425" s="81" t="str">
        <f ca="1">LOWER(TRIM(_xlfn.XLOOKUP($A425,Строчный!$A:$A,Строчный!F:F,"ERR",0)))</f>
        <v>всесезон</v>
      </c>
      <c r="G425" s="81" t="str">
        <f ca="1">UPPER(TRIM(_xlfn.XLOOKUP($A425,Строчный!$A:$A,Строчный!G:G,"ERR",0)))</f>
        <v>FREDRIKSON</v>
      </c>
      <c r="H425" s="81" t="str">
        <f ca="1">LOWER(TRIM(_xlfn.XLOOKUP($A425,Строчный!$A:$A,Строчный!H:H,"ERR",0)))</f>
        <v>667/20</v>
      </c>
      <c r="I425" s="81" t="str">
        <f ca="1">LOWER(TRIM(_xlfn.XLOOKUP($A425,Строчный!$A:$A,Строчный!I:I,"ERR",0)))</f>
        <v>темно-синий / черный</v>
      </c>
      <c r="J425" s="81" t="str">
        <f ca="1">SUBSTITUTE(LOWER(TRIM(_xlfn.XLOOKUP($A425,Строчный!$A:$A,Строчный!J:J,"ERR",0))),"подклад","Подклад")</f>
        <v>80% шерсть - 20% полиамид / Подклад: 100% вискоза</v>
      </c>
      <c r="K425" s="81" t="str">
        <f ca="1">LOWER(TRIM(_xlfn.XLOOKUP($A425,Строчный!$A:$A,Строчный!K:K,"ERR",0)))</f>
        <v>шерстяные</v>
      </c>
      <c r="L425" s="81" t="str">
        <f ca="1">PROPER(TRIM(_xlfn.XLOOKUP($A425,Строчный!$A:$A,Строчный!L:L,"ERR",0)))</f>
        <v>Унисекс</v>
      </c>
      <c r="M425" s="113" t="str">
        <f ca="1">PROPER(TRIM(_xlfn.XLOOKUP($A425,Строчный!$A:$A,Строчный!M:M,"ERR",0)))</f>
        <v>Россия</v>
      </c>
      <c r="N425" s="81" t="str">
        <f ca="1">UPPER(TRIM(_xlfn.XLOOKUP($A425,Строчный!$A:$A,Строчный!O:O,"ERR",0)))</f>
        <v/>
      </c>
      <c r="O425" s="102" t="str">
        <f ca="1">PROPER(TRIM(_xlfn.XLOOKUP($A425,Строчный!$A:$A,Строчный!P:P,"ERR",0)))</f>
        <v/>
      </c>
      <c r="P425" s="81" t="str">
        <f ca="1">PROPER(TRIM(_xlfn.XLOOKUP($A425,Строчный!$A:$A,Строчный!R:R,"ERR",0)))</f>
        <v/>
      </c>
      <c r="Q425" s="90">
        <f ca="1">VALUE(_xlfn.XLOOKUP($A425,Строчный!$A:$A,Строчный!N:N,"ERR",0))</f>
        <v>975.8</v>
      </c>
      <c r="R425" s="89" t="str">
        <f ca="1">_xlfn.XLOOKUP($G425,Фабрика!A:A,Фабрика!B:B,"ERR",0)</f>
        <v>ООО "ФРЭДРИКСОН" Россия 192029, С-Петербург, пр. Обуховской обороны, д.86, лит М</v>
      </c>
      <c r="S425" s="80" t="str">
        <f ca="1">_xlfn.XLOOKUP(RIGHT(AA425,2),Размеры!D:D,Размеры!A:A,"ERR",0)</f>
        <v>57</v>
      </c>
      <c r="T425" s="80">
        <f ca="1">VALUE(_xlfn.XLOOKUP($AA425,Строчный!$S:$S,Строчный!U:U,"ERR",0))</f>
        <v>1</v>
      </c>
      <c r="U425" s="14" t="s">
        <v>265</v>
      </c>
      <c r="V425" s="101" t="str">
        <f t="shared" ca="1" si="36"/>
        <v>Бейсболка FREDRIKSON арт. 3215 (темно-синий / черный)</v>
      </c>
      <c r="W425" s="100" t="str">
        <f t="shared" ca="1" si="37"/>
        <v>Бейсболка FREDRIKSON арт. 3215 (темно-синий / черный) {667/20}</v>
      </c>
      <c r="X425" s="18" t="str">
        <f t="shared" ca="1" si="38"/>
        <v>синий / черный</v>
      </c>
      <c r="Y425" s="18" t="str">
        <f t="shared" ca="1" si="39"/>
        <v>синий / черный</v>
      </c>
      <c r="Z425" s="117" t="s">
        <v>27</v>
      </c>
      <c r="AA425" s="73" t="str">
        <f ca="1"/>
        <v>95-001-61-57</v>
      </c>
      <c r="AB425" s="75" t="str">
        <f ca="1">VLOOKUP(C425,Группа!A:B,2,FALSE)</f>
        <v>Бейсболка</v>
      </c>
      <c r="AC425" s="97" t="str">
        <f ca="1">IFERROR(VLOOKUP(S425,Размеры!A:C,3,FALSE),"")</f>
        <v>57 M</v>
      </c>
      <c r="AD425" s="97" t="str">
        <f ca="1">VLOOKUP(I425,ЦветПолный!A:B,2,FALSE)</f>
        <v>61</v>
      </c>
      <c r="AE425" s="97" t="str">
        <f ca="1">IFERROR(VLOOKUP(S425,Размеры!A:D,4,FALSE),"")</f>
        <v>57</v>
      </c>
      <c r="AF425" s="97">
        <f ca="1">IF(LEFT(IFERROR(VLOOKUP(LOOKUP(2,1/SEARCH(B425,Товары!A:A),Товары!A:A),Товары!A:B,2,0),""),6)=MID(AA425,1,6),1,0)</f>
        <v>0</v>
      </c>
      <c r="AH425" s="97">
        <f ca="1">SUMIF(Группа!A:A,C425,Группа!C:C)</f>
        <v>1</v>
      </c>
      <c r="AI425" s="97">
        <f ca="1">SUMIF(Группа!B:B,AB425,Группа!C:C)</f>
        <v>1</v>
      </c>
      <c r="AJ425" s="97">
        <f ca="1">SUMIF(Формы!A:A,D425,Формы!B:B)</f>
        <v>1</v>
      </c>
      <c r="AK425" s="97">
        <f ca="1">SUMIF(Материал!A:A,K425,Материал!B:B)</f>
        <v>1</v>
      </c>
      <c r="AL425" s="97">
        <f ca="1">SUMIF(Размеры!A:A,S425,Размеры!E:E)</f>
        <v>1</v>
      </c>
      <c r="AM425" s="97">
        <f ca="1">SUMIF(Сезон!A:A,F425,Сезон!B:B)</f>
        <v>1</v>
      </c>
      <c r="AN425" s="97">
        <f ca="1">SUMIF(Состав!A:A,J425,Состав!B:B)</f>
        <v>0</v>
      </c>
      <c r="AO425" s="97">
        <f ca="1">VLOOKUP(I425,ЦветПолный!A:C,3,0)</f>
        <v>1</v>
      </c>
      <c r="AP425" s="97">
        <f>SUMIF(Цвет!A:A,Z425,Цвет!B:B)</f>
        <v>1</v>
      </c>
      <c r="AQ425" s="97">
        <f ca="1">_xlfn.XLOOKUP(L425,Пол!A:A,Пол!B:B,0,0)</f>
        <v>1</v>
      </c>
      <c r="AR425" s="97">
        <f ca="1">SUMIF(Бренд!A:A,G425,Бренд!B:B)</f>
        <v>1</v>
      </c>
      <c r="AS425" s="97">
        <f ca="1">SUMIF(Страна!A:A,M425,Страна!B:B)</f>
        <v>1</v>
      </c>
      <c r="AT425" s="64" t="e">
        <f ca="1">IF(VLOOKUP(W425,Товары!A:B,2,FALSE)=A425,"Есть в 1С","ERR")</f>
        <v>#N/A</v>
      </c>
      <c r="AU425" s="65" t="e">
        <f ca="1">IF(VLOOKUP(A425,Товары!B:B,1,FALSE)=A425,"Есть в 1С","ERR")</f>
        <v>#N/A</v>
      </c>
      <c r="AV425" s="96" t="e">
        <f ca="1">VLOOKUP(W425,Товары!A:B,2,FALSE)</f>
        <v>#N/A</v>
      </c>
      <c r="AW425" s="94" t="e">
        <f ca="1">VLOOKUP(W425,Товары!A:B,1,FALSE)</f>
        <v>#N/A</v>
      </c>
    </row>
    <row r="426" spans="1:49" x14ac:dyDescent="0.25">
      <c r="A426" s="110" t="str">
        <f t="shared" ca="1" si="35"/>
        <v>95-001-47</v>
      </c>
      <c r="B426" s="107" t="str">
        <f ca="1">_xlfn.LET(_xlpm.CAPS,0,_xlpm.Style,TRIM(_xlfn.XLOOKUP($A426,Строчный!$A:$A,Строчный!B:B,"ERR",0)),IF(_xlpm.CAPS=0,_xlpm.Style,LOWER(_xlpm.Style)))</f>
        <v>3215</v>
      </c>
      <c r="C426" s="81" t="str">
        <f ca="1">TRIM(PROPER(_xlfn.XLOOKUP($A426,Строчный!$A:$A,Строчный!C:C,"ERR",0)))</f>
        <v>Бейсболки</v>
      </c>
      <c r="D426" s="81" t="str">
        <f ca="1">_xlfn.LET(_xlpm.DATA,TRIM(_xlfn.XLOOKUP($A426,Строчный!$A:$A,Строчный!D:D,"ERR",0)),UPPER(MID(_xlpm.DATA,1,1))&amp;LOWER(MID(_xlpm.DATA,2,LEN(_xlpm.DATA)-1)))</f>
        <v>Бейсболка</v>
      </c>
      <c r="E426" s="81" t="str">
        <f ca="1">PROPER(TRIM(_xlfn.XLOOKUP($A426,Строчный!$A:$A,Строчный!E:E,"ERR",0)))</f>
        <v>Fredrikson</v>
      </c>
      <c r="F426" s="81" t="str">
        <f ca="1">LOWER(TRIM(_xlfn.XLOOKUP($A426,Строчный!$A:$A,Строчный!F:F,"ERR",0)))</f>
        <v>всесезон</v>
      </c>
      <c r="G426" s="81" t="str">
        <f ca="1">UPPER(TRIM(_xlfn.XLOOKUP($A426,Строчный!$A:$A,Строчный!G:G,"ERR",0)))</f>
        <v>FREDRIKSON</v>
      </c>
      <c r="H426" s="81" t="str">
        <f ca="1">LOWER(TRIM(_xlfn.XLOOKUP($A426,Строчный!$A:$A,Строчный!H:H,"ERR",0)))</f>
        <v>641/76</v>
      </c>
      <c r="I426" s="81" t="str">
        <f ca="1">LOWER(TRIM(_xlfn.XLOOKUP($A426,Строчный!$A:$A,Строчный!I:I,"ERR",0)))</f>
        <v>серый / черный</v>
      </c>
      <c r="J426" s="81" t="str">
        <f ca="1">SUBSTITUTE(LOWER(TRIM(_xlfn.XLOOKUP($A426,Строчный!$A:$A,Строчный!J:J,"ERR",0))),"подклад","Подклад")</f>
        <v>80% шерсть - 20% полиамид / Подклад: 100% вискоза</v>
      </c>
      <c r="K426" s="81" t="str">
        <f ca="1">LOWER(TRIM(_xlfn.XLOOKUP($A426,Строчный!$A:$A,Строчный!K:K,"ERR",0)))</f>
        <v>шерстяные</v>
      </c>
      <c r="L426" s="81" t="str">
        <f ca="1">PROPER(TRIM(_xlfn.XLOOKUP($A426,Строчный!$A:$A,Строчный!L:L,"ERR",0)))</f>
        <v>Унисекс</v>
      </c>
      <c r="M426" s="113" t="str">
        <f ca="1">PROPER(TRIM(_xlfn.XLOOKUP($A426,Строчный!$A:$A,Строчный!M:M,"ERR",0)))</f>
        <v>Россия</v>
      </c>
      <c r="N426" s="81" t="str">
        <f ca="1">UPPER(TRIM(_xlfn.XLOOKUP($A426,Строчный!$A:$A,Строчный!O:O,"ERR",0)))</f>
        <v/>
      </c>
      <c r="O426" s="102" t="str">
        <f ca="1">PROPER(TRIM(_xlfn.XLOOKUP($A426,Строчный!$A:$A,Строчный!P:P,"ERR",0)))</f>
        <v/>
      </c>
      <c r="P426" s="81" t="str">
        <f ca="1">PROPER(TRIM(_xlfn.XLOOKUP($A426,Строчный!$A:$A,Строчный!R:R,"ERR",0)))</f>
        <v/>
      </c>
      <c r="Q426" s="90">
        <f ca="1">VALUE(_xlfn.XLOOKUP($A426,Строчный!$A:$A,Строчный!N:N,"ERR",0))</f>
        <v>975.8</v>
      </c>
      <c r="R426" s="89" t="str">
        <f ca="1">_xlfn.XLOOKUP($G426,Фабрика!A:A,Фабрика!B:B,"ERR",0)</f>
        <v>ООО "ФРЭДРИКСОН" Россия 192029, С-Петербург, пр. Обуховской обороны, д.86, лит М</v>
      </c>
      <c r="S426" s="80" t="str">
        <f ca="1">_xlfn.XLOOKUP(RIGHT(AA426,2),Размеры!D:D,Размеры!A:A,"ERR",0)</f>
        <v>62</v>
      </c>
      <c r="T426" s="80">
        <f ca="1">VALUE(_xlfn.XLOOKUP($AA426,Строчный!$S:$S,Строчный!U:U,"ERR",0))</f>
        <v>2</v>
      </c>
      <c r="U426" s="14" t="s">
        <v>265</v>
      </c>
      <c r="V426" s="101" t="str">
        <f t="shared" ca="1" si="36"/>
        <v>Бейсболка FREDRIKSON арт. 3215 (серый / черный)</v>
      </c>
      <c r="W426" s="100" t="str">
        <f t="shared" ca="1" si="37"/>
        <v>Бейсболка FREDRIKSON арт. 3215 (серый / черный) {641/76}</v>
      </c>
      <c r="X426" s="18" t="str">
        <f t="shared" ca="1" si="38"/>
        <v>серый</v>
      </c>
      <c r="Y426" s="18" t="str">
        <f t="shared" ca="1" si="39"/>
        <v>черный</v>
      </c>
      <c r="Z426" s="117" t="str">
        <f ca="1">_xlfn.LET(_xlpm.FormColors,_xlfn.XLOOKUP(A426,Строчный!A:A,Строчный!Q:Q,"",0),IF(_xlpm.FormColors=0,IFERROR(MID(I426,FIND("-",I426)+1,LEN(I426)),IFERROR(MID(I426,1,FIND("/",I426)-2),I426)),_xlpm.FormColors))</f>
        <v>серый</v>
      </c>
      <c r="AA426" s="73" t="str">
        <f ca="1"/>
        <v>95-001-47-62</v>
      </c>
      <c r="AB426" s="75" t="str">
        <f ca="1">VLOOKUP(C426,Группа!A:B,2,FALSE)</f>
        <v>Бейсболка</v>
      </c>
      <c r="AC426" s="97" t="str">
        <f ca="1">IFERROR(VLOOKUP(S426,Размеры!A:C,3,FALSE),"")</f>
        <v>62 XL/XXL</v>
      </c>
      <c r="AD426" s="97" t="str">
        <f ca="1">VLOOKUP(I426,ЦветПолный!A:B,2,FALSE)</f>
        <v>47</v>
      </c>
      <c r="AE426" s="97" t="str">
        <f ca="1">IFERROR(VLOOKUP(S426,Размеры!A:D,4,FALSE),"")</f>
        <v>62</v>
      </c>
      <c r="AF426" s="97">
        <f ca="1">IF(LEFT(IFERROR(VLOOKUP(LOOKUP(2,1/SEARCH(B426,Товары!A:A),Товары!A:A),Товары!A:B,2,0),""),6)=MID(AA426,1,6),1,0)</f>
        <v>0</v>
      </c>
      <c r="AH426" s="97">
        <f ca="1">SUMIF(Группа!A:A,C426,Группа!C:C)</f>
        <v>1</v>
      </c>
      <c r="AI426" s="97">
        <f ca="1">SUMIF(Группа!B:B,AB426,Группа!C:C)</f>
        <v>1</v>
      </c>
      <c r="AJ426" s="97">
        <f ca="1">SUMIF(Формы!A:A,D426,Формы!B:B)</f>
        <v>1</v>
      </c>
      <c r="AK426" s="97">
        <f ca="1">SUMIF(Материал!A:A,K426,Материал!B:B)</f>
        <v>1</v>
      </c>
      <c r="AL426" s="97">
        <f ca="1">SUMIF(Размеры!A:A,S426,Размеры!E:E)</f>
        <v>1</v>
      </c>
      <c r="AM426" s="97">
        <f ca="1">SUMIF(Сезон!A:A,F426,Сезон!B:B)</f>
        <v>1</v>
      </c>
      <c r="AN426" s="97">
        <f ca="1">SUMIF(Состав!A:A,J426,Состав!B:B)</f>
        <v>0</v>
      </c>
      <c r="AO426" s="97">
        <f ca="1">VLOOKUP(I426,ЦветПолный!A:C,3,0)</f>
        <v>1</v>
      </c>
      <c r="AP426" s="97">
        <f ca="1">SUMIF(Цвет!A:A,Z426,Цвет!B:B)</f>
        <v>1</v>
      </c>
      <c r="AQ426" s="97">
        <f ca="1">_xlfn.XLOOKUP(L426,Пол!A:A,Пол!B:B,0,0)</f>
        <v>1</v>
      </c>
      <c r="AR426" s="97">
        <f ca="1">SUMIF(Бренд!A:A,G426,Бренд!B:B)</f>
        <v>1</v>
      </c>
      <c r="AS426" s="97">
        <f ca="1">SUMIF(Страна!A:A,M426,Страна!B:B)</f>
        <v>1</v>
      </c>
      <c r="AT426" s="64" t="e">
        <f ca="1">IF(VLOOKUP(W426,Товары!A:B,2,FALSE)=A426,"Есть в 1С","ERR")</f>
        <v>#N/A</v>
      </c>
      <c r="AU426" s="65" t="e">
        <f ca="1">IF(VLOOKUP(A426,Товары!B:B,1,FALSE)=A426,"Есть в 1С","ERR")</f>
        <v>#N/A</v>
      </c>
      <c r="AV426" s="96" t="e">
        <f ca="1">VLOOKUP(W426,Товары!A:B,2,FALSE)</f>
        <v>#N/A</v>
      </c>
      <c r="AW426" s="94" t="e">
        <f ca="1">VLOOKUP(W426,Товары!A:B,1,FALSE)</f>
        <v>#N/A</v>
      </c>
    </row>
    <row r="427" spans="1:49" x14ac:dyDescent="0.25">
      <c r="A427" s="110" t="str">
        <f t="shared" ca="1" si="35"/>
        <v>95-001-47</v>
      </c>
      <c r="B427" s="107" t="str">
        <f ca="1">_xlfn.LET(_xlpm.CAPS,0,_xlpm.Style,TRIM(_xlfn.XLOOKUP($A427,Строчный!$A:$A,Строчный!B:B,"ERR",0)),IF(_xlpm.CAPS=0,_xlpm.Style,LOWER(_xlpm.Style)))</f>
        <v>3215</v>
      </c>
      <c r="C427" s="81" t="str">
        <f ca="1">TRIM(PROPER(_xlfn.XLOOKUP($A427,Строчный!$A:$A,Строчный!C:C,"ERR",0)))</f>
        <v>Бейсболки</v>
      </c>
      <c r="D427" s="81" t="str">
        <f ca="1">_xlfn.LET(_xlpm.DATA,TRIM(_xlfn.XLOOKUP($A427,Строчный!$A:$A,Строчный!D:D,"ERR",0)),UPPER(MID(_xlpm.DATA,1,1))&amp;LOWER(MID(_xlpm.DATA,2,LEN(_xlpm.DATA)-1)))</f>
        <v>Бейсболка</v>
      </c>
      <c r="E427" s="81" t="str">
        <f ca="1">PROPER(TRIM(_xlfn.XLOOKUP($A427,Строчный!$A:$A,Строчный!E:E,"ERR",0)))</f>
        <v>Fredrikson</v>
      </c>
      <c r="F427" s="81" t="str">
        <f ca="1">LOWER(TRIM(_xlfn.XLOOKUP($A427,Строчный!$A:$A,Строчный!F:F,"ERR",0)))</f>
        <v>всесезон</v>
      </c>
      <c r="G427" s="81" t="str">
        <f ca="1">UPPER(TRIM(_xlfn.XLOOKUP($A427,Строчный!$A:$A,Строчный!G:G,"ERR",0)))</f>
        <v>FREDRIKSON</v>
      </c>
      <c r="H427" s="81" t="str">
        <f ca="1">LOWER(TRIM(_xlfn.XLOOKUP($A427,Строчный!$A:$A,Строчный!H:H,"ERR",0)))</f>
        <v>641/76</v>
      </c>
      <c r="I427" s="81" t="str">
        <f ca="1">LOWER(TRIM(_xlfn.XLOOKUP($A427,Строчный!$A:$A,Строчный!I:I,"ERR",0)))</f>
        <v>серый / черный</v>
      </c>
      <c r="J427" s="81" t="str">
        <f ca="1">SUBSTITUTE(LOWER(TRIM(_xlfn.XLOOKUP($A427,Строчный!$A:$A,Строчный!J:J,"ERR",0))),"подклад","Подклад")</f>
        <v>80% шерсть - 20% полиамид / Подклад: 100% вискоза</v>
      </c>
      <c r="K427" s="81" t="str">
        <f ca="1">LOWER(TRIM(_xlfn.XLOOKUP($A427,Строчный!$A:$A,Строчный!K:K,"ERR",0)))</f>
        <v>шерстяные</v>
      </c>
      <c r="L427" s="81" t="str">
        <f ca="1">PROPER(TRIM(_xlfn.XLOOKUP($A427,Строчный!$A:$A,Строчный!L:L,"ERR",0)))</f>
        <v>Унисекс</v>
      </c>
      <c r="M427" s="113" t="str">
        <f ca="1">PROPER(TRIM(_xlfn.XLOOKUP($A427,Строчный!$A:$A,Строчный!M:M,"ERR",0)))</f>
        <v>Россия</v>
      </c>
      <c r="N427" s="81" t="str">
        <f ca="1">UPPER(TRIM(_xlfn.XLOOKUP($A427,Строчный!$A:$A,Строчный!O:O,"ERR",0)))</f>
        <v/>
      </c>
      <c r="O427" s="102" t="str">
        <f ca="1">PROPER(TRIM(_xlfn.XLOOKUP($A427,Строчный!$A:$A,Строчный!P:P,"ERR",0)))</f>
        <v/>
      </c>
      <c r="P427" s="81" t="str">
        <f ca="1">PROPER(TRIM(_xlfn.XLOOKUP($A427,Строчный!$A:$A,Строчный!R:R,"ERR",0)))</f>
        <v/>
      </c>
      <c r="Q427" s="90">
        <f ca="1">VALUE(_xlfn.XLOOKUP($A427,Строчный!$A:$A,Строчный!N:N,"ERR",0))</f>
        <v>975.8</v>
      </c>
      <c r="R427" s="89" t="str">
        <f ca="1">_xlfn.XLOOKUP($G427,Фабрика!A:A,Фабрика!B:B,"ERR",0)</f>
        <v>ООО "ФРЭДРИКСОН" Россия 192029, С-Петербург, пр. Обуховской обороны, д.86, лит М</v>
      </c>
      <c r="S427" s="80" t="str">
        <f ca="1">_xlfn.XLOOKUP(RIGHT(AA427,2),Размеры!D:D,Размеры!A:A,"ERR",0)</f>
        <v>61</v>
      </c>
      <c r="T427" s="80">
        <f ca="1">VALUE(_xlfn.XLOOKUP($AA427,Строчный!$S:$S,Строчный!U:U,"ERR",0))</f>
        <v>4</v>
      </c>
      <c r="U427" s="14" t="s">
        <v>265</v>
      </c>
      <c r="V427" s="101" t="str">
        <f t="shared" ca="1" si="36"/>
        <v>Бейсболка FREDRIKSON арт. 3215 (серый / черный)</v>
      </c>
      <c r="W427" s="100" t="str">
        <f t="shared" ca="1" si="37"/>
        <v>Бейсболка FREDRIKSON арт. 3215 (серый / черный) {641/76}</v>
      </c>
      <c r="X427" s="18" t="str">
        <f t="shared" ca="1" si="38"/>
        <v>серый</v>
      </c>
      <c r="Y427" s="18" t="str">
        <f t="shared" ca="1" si="39"/>
        <v>черный</v>
      </c>
      <c r="Z427" s="117" t="str">
        <f ca="1">_xlfn.LET(_xlpm.FormColors,_xlfn.XLOOKUP(A427,Строчный!A:A,Строчный!Q:Q,"",0),IF(_xlpm.FormColors=0,IFERROR(MID(I427,FIND("-",I427)+1,LEN(I427)),IFERROR(MID(I427,1,FIND("/",I427)-2),I427)),_xlpm.FormColors))</f>
        <v>серый</v>
      </c>
      <c r="AA427" s="73" t="str">
        <f ca="1"/>
        <v>95-001-47-61</v>
      </c>
      <c r="AB427" s="75" t="str">
        <f ca="1">VLOOKUP(C427,Группа!A:B,2,FALSE)</f>
        <v>Бейсболка</v>
      </c>
      <c r="AC427" s="97" t="str">
        <f ca="1">IFERROR(VLOOKUP(S427,Размеры!A:C,3,FALSE),"")</f>
        <v>61 XL</v>
      </c>
      <c r="AD427" s="97" t="str">
        <f ca="1">VLOOKUP(I427,ЦветПолный!A:B,2,FALSE)</f>
        <v>47</v>
      </c>
      <c r="AE427" s="97" t="str">
        <f ca="1">IFERROR(VLOOKUP(S427,Размеры!A:D,4,FALSE),"")</f>
        <v>61</v>
      </c>
      <c r="AF427" s="97">
        <f ca="1">IF(LEFT(IFERROR(VLOOKUP(LOOKUP(2,1/SEARCH(B427,Товары!A:A),Товары!A:A),Товары!A:B,2,0),""),6)=MID(AA427,1,6),1,0)</f>
        <v>0</v>
      </c>
      <c r="AH427" s="97">
        <f ca="1">SUMIF(Группа!A:A,C427,Группа!C:C)</f>
        <v>1</v>
      </c>
      <c r="AI427" s="97">
        <f ca="1">SUMIF(Группа!B:B,AB427,Группа!C:C)</f>
        <v>1</v>
      </c>
      <c r="AJ427" s="97">
        <f ca="1">SUMIF(Формы!A:A,D427,Формы!B:B)</f>
        <v>1</v>
      </c>
      <c r="AK427" s="97">
        <f ca="1">SUMIF(Материал!A:A,K427,Материал!B:B)</f>
        <v>1</v>
      </c>
      <c r="AL427" s="97">
        <f ca="1">SUMIF(Размеры!A:A,S427,Размеры!E:E)</f>
        <v>1</v>
      </c>
      <c r="AM427" s="97">
        <f ca="1">SUMIF(Сезон!A:A,F427,Сезон!B:B)</f>
        <v>1</v>
      </c>
      <c r="AN427" s="97">
        <f ca="1">SUMIF(Состав!A:A,J427,Состав!B:B)</f>
        <v>0</v>
      </c>
      <c r="AO427" s="97">
        <f ca="1">VLOOKUP(I427,ЦветПолный!A:C,3,0)</f>
        <v>1</v>
      </c>
      <c r="AP427" s="97">
        <f ca="1">SUMIF(Цвет!A:A,Z427,Цвет!B:B)</f>
        <v>1</v>
      </c>
      <c r="AQ427" s="97">
        <f ca="1">_xlfn.XLOOKUP(L427,Пол!A:A,Пол!B:B,0,0)</f>
        <v>1</v>
      </c>
      <c r="AR427" s="97">
        <f ca="1">SUMIF(Бренд!A:A,G427,Бренд!B:B)</f>
        <v>1</v>
      </c>
      <c r="AS427" s="97">
        <f ca="1">SUMIF(Страна!A:A,M427,Страна!B:B)</f>
        <v>1</v>
      </c>
      <c r="AT427" s="64" t="e">
        <f ca="1">IF(VLOOKUP(W427,Товары!A:B,2,FALSE)=A427,"Есть в 1С","ERR")</f>
        <v>#N/A</v>
      </c>
      <c r="AU427" s="65" t="e">
        <f ca="1">IF(VLOOKUP(A427,Товары!B:B,1,FALSE)=A427,"Есть в 1С","ERR")</f>
        <v>#N/A</v>
      </c>
      <c r="AV427" s="96" t="e">
        <f ca="1">VLOOKUP(W427,Товары!A:B,2,FALSE)</f>
        <v>#N/A</v>
      </c>
      <c r="AW427" s="94" t="e">
        <f ca="1">VLOOKUP(W427,Товары!A:B,1,FALSE)</f>
        <v>#N/A</v>
      </c>
    </row>
    <row r="428" spans="1:49" x14ac:dyDescent="0.25">
      <c r="A428" s="110" t="str">
        <f t="shared" ca="1" si="35"/>
        <v>95-001-47</v>
      </c>
      <c r="B428" s="107" t="str">
        <f ca="1">_xlfn.LET(_xlpm.CAPS,0,_xlpm.Style,TRIM(_xlfn.XLOOKUP($A428,Строчный!$A:$A,Строчный!B:B,"ERR",0)),IF(_xlpm.CAPS=0,_xlpm.Style,LOWER(_xlpm.Style)))</f>
        <v>3215</v>
      </c>
      <c r="C428" s="81" t="str">
        <f ca="1">TRIM(PROPER(_xlfn.XLOOKUP($A428,Строчный!$A:$A,Строчный!C:C,"ERR",0)))</f>
        <v>Бейсболки</v>
      </c>
      <c r="D428" s="81" t="str">
        <f ca="1">_xlfn.LET(_xlpm.DATA,TRIM(_xlfn.XLOOKUP($A428,Строчный!$A:$A,Строчный!D:D,"ERR",0)),UPPER(MID(_xlpm.DATA,1,1))&amp;LOWER(MID(_xlpm.DATA,2,LEN(_xlpm.DATA)-1)))</f>
        <v>Бейсболка</v>
      </c>
      <c r="E428" s="81" t="str">
        <f ca="1">PROPER(TRIM(_xlfn.XLOOKUP($A428,Строчный!$A:$A,Строчный!E:E,"ERR",0)))</f>
        <v>Fredrikson</v>
      </c>
      <c r="F428" s="81" t="str">
        <f ca="1">LOWER(TRIM(_xlfn.XLOOKUP($A428,Строчный!$A:$A,Строчный!F:F,"ERR",0)))</f>
        <v>всесезон</v>
      </c>
      <c r="G428" s="81" t="str">
        <f ca="1">UPPER(TRIM(_xlfn.XLOOKUP($A428,Строчный!$A:$A,Строчный!G:G,"ERR",0)))</f>
        <v>FREDRIKSON</v>
      </c>
      <c r="H428" s="81" t="str">
        <f ca="1">LOWER(TRIM(_xlfn.XLOOKUP($A428,Строчный!$A:$A,Строчный!H:H,"ERR",0)))</f>
        <v>641/76</v>
      </c>
      <c r="I428" s="81" t="str">
        <f ca="1">LOWER(TRIM(_xlfn.XLOOKUP($A428,Строчный!$A:$A,Строчный!I:I,"ERR",0)))</f>
        <v>серый / черный</v>
      </c>
      <c r="J428" s="81" t="str">
        <f ca="1">SUBSTITUTE(LOWER(TRIM(_xlfn.XLOOKUP($A428,Строчный!$A:$A,Строчный!J:J,"ERR",0))),"подклад","Подклад")</f>
        <v>80% шерсть - 20% полиамид / Подклад: 100% вискоза</v>
      </c>
      <c r="K428" s="81" t="str">
        <f ca="1">LOWER(TRIM(_xlfn.XLOOKUP($A428,Строчный!$A:$A,Строчный!K:K,"ERR",0)))</f>
        <v>шерстяные</v>
      </c>
      <c r="L428" s="81" t="str">
        <f ca="1">PROPER(TRIM(_xlfn.XLOOKUP($A428,Строчный!$A:$A,Строчный!L:L,"ERR",0)))</f>
        <v>Унисекс</v>
      </c>
      <c r="M428" s="113" t="str">
        <f ca="1">PROPER(TRIM(_xlfn.XLOOKUP($A428,Строчный!$A:$A,Строчный!M:M,"ERR",0)))</f>
        <v>Россия</v>
      </c>
      <c r="N428" s="81" t="str">
        <f ca="1">UPPER(TRIM(_xlfn.XLOOKUP($A428,Строчный!$A:$A,Строчный!O:O,"ERR",0)))</f>
        <v/>
      </c>
      <c r="O428" s="102" t="str">
        <f ca="1">PROPER(TRIM(_xlfn.XLOOKUP($A428,Строчный!$A:$A,Строчный!P:P,"ERR",0)))</f>
        <v/>
      </c>
      <c r="P428" s="81" t="str">
        <f ca="1">PROPER(TRIM(_xlfn.XLOOKUP($A428,Строчный!$A:$A,Строчный!R:R,"ERR",0)))</f>
        <v/>
      </c>
      <c r="Q428" s="90">
        <f ca="1">VALUE(_xlfn.XLOOKUP($A428,Строчный!$A:$A,Строчный!N:N,"ERR",0))</f>
        <v>975.8</v>
      </c>
      <c r="R428" s="89" t="str">
        <f ca="1">_xlfn.XLOOKUP($G428,Фабрика!A:A,Фабрика!B:B,"ERR",0)</f>
        <v>ООО "ФРЭДРИКСОН" Россия 192029, С-Петербург, пр. Обуховской обороны, д.86, лит М</v>
      </c>
      <c r="S428" s="80" t="str">
        <f ca="1">_xlfn.XLOOKUP(RIGHT(AA428,2),Размеры!D:D,Размеры!A:A,"ERR",0)</f>
        <v>60</v>
      </c>
      <c r="T428" s="80">
        <f ca="1">VALUE(_xlfn.XLOOKUP($AA428,Строчный!$S:$S,Строчный!U:U,"ERR",0))</f>
        <v>6</v>
      </c>
      <c r="U428" s="14" t="s">
        <v>265</v>
      </c>
      <c r="V428" s="101" t="str">
        <f t="shared" ca="1" si="36"/>
        <v>Бейсболка FREDRIKSON арт. 3215 (серый / черный)</v>
      </c>
      <c r="W428" s="100" t="str">
        <f t="shared" ca="1" si="37"/>
        <v>Бейсболка FREDRIKSON арт. 3215 (серый / черный) {641/76}</v>
      </c>
      <c r="X428" s="18" t="str">
        <f t="shared" ca="1" si="38"/>
        <v>серый</v>
      </c>
      <c r="Y428" s="18" t="str">
        <f t="shared" ca="1" si="39"/>
        <v>черный</v>
      </c>
      <c r="Z428" s="117" t="str">
        <f ca="1">_xlfn.LET(_xlpm.FormColors,_xlfn.XLOOKUP(A428,Строчный!A:A,Строчный!Q:Q,"",0),IF(_xlpm.FormColors=0,IFERROR(MID(I428,FIND("-",I428)+1,LEN(I428)),IFERROR(MID(I428,1,FIND("/",I428)-2),I428)),_xlpm.FormColors))</f>
        <v>серый</v>
      </c>
      <c r="AA428" s="73" t="str">
        <f ca="1"/>
        <v>95-001-47-60</v>
      </c>
      <c r="AB428" s="75" t="str">
        <f ca="1">VLOOKUP(C428,Группа!A:B,2,FALSE)</f>
        <v>Бейсболка</v>
      </c>
      <c r="AC428" s="97" t="str">
        <f ca="1">IFERROR(VLOOKUP(S428,Размеры!A:C,3,FALSE),"")</f>
        <v>60 L/XL</v>
      </c>
      <c r="AD428" s="97" t="str">
        <f ca="1">VLOOKUP(I428,ЦветПолный!A:B,2,FALSE)</f>
        <v>47</v>
      </c>
      <c r="AE428" s="97" t="str">
        <f ca="1">IFERROR(VLOOKUP(S428,Размеры!A:D,4,FALSE),"")</f>
        <v>60</v>
      </c>
      <c r="AF428" s="97">
        <f ca="1">IF(LEFT(IFERROR(VLOOKUP(LOOKUP(2,1/SEARCH(B428,Товары!A:A),Товары!A:A),Товары!A:B,2,0),""),6)=MID(AA428,1,6),1,0)</f>
        <v>0</v>
      </c>
      <c r="AH428" s="97">
        <f ca="1">SUMIF(Группа!A:A,C428,Группа!C:C)</f>
        <v>1</v>
      </c>
      <c r="AI428" s="97">
        <f ca="1">SUMIF(Группа!B:B,AB428,Группа!C:C)</f>
        <v>1</v>
      </c>
      <c r="AJ428" s="97">
        <f ca="1">SUMIF(Формы!A:A,D428,Формы!B:B)</f>
        <v>1</v>
      </c>
      <c r="AK428" s="97">
        <f ca="1">SUMIF(Материал!A:A,K428,Материал!B:B)</f>
        <v>1</v>
      </c>
      <c r="AL428" s="97">
        <f ca="1">SUMIF(Размеры!A:A,S428,Размеры!E:E)</f>
        <v>1</v>
      </c>
      <c r="AM428" s="97">
        <f ca="1">SUMIF(Сезон!A:A,F428,Сезон!B:B)</f>
        <v>1</v>
      </c>
      <c r="AN428" s="97">
        <f ca="1">SUMIF(Состав!A:A,J428,Состав!B:B)</f>
        <v>0</v>
      </c>
      <c r="AO428" s="97">
        <f ca="1">VLOOKUP(I428,ЦветПолный!A:C,3,0)</f>
        <v>1</v>
      </c>
      <c r="AP428" s="97">
        <f ca="1">SUMIF(Цвет!A:A,Z428,Цвет!B:B)</f>
        <v>1</v>
      </c>
      <c r="AQ428" s="97">
        <f ca="1">_xlfn.XLOOKUP(L428,Пол!A:A,Пол!B:B,0,0)</f>
        <v>1</v>
      </c>
      <c r="AR428" s="97">
        <f ca="1">SUMIF(Бренд!A:A,G428,Бренд!B:B)</f>
        <v>1</v>
      </c>
      <c r="AS428" s="97">
        <f ca="1">SUMIF(Страна!A:A,M428,Страна!B:B)</f>
        <v>1</v>
      </c>
      <c r="AT428" s="64" t="e">
        <f ca="1">IF(VLOOKUP(W428,Товары!A:B,2,FALSE)=A428,"Есть в 1С","ERR")</f>
        <v>#N/A</v>
      </c>
      <c r="AU428" s="65" t="e">
        <f ca="1">IF(VLOOKUP(A428,Товары!B:B,1,FALSE)=A428,"Есть в 1С","ERR")</f>
        <v>#N/A</v>
      </c>
      <c r="AV428" s="96" t="e">
        <f ca="1">VLOOKUP(W428,Товары!A:B,2,FALSE)</f>
        <v>#N/A</v>
      </c>
      <c r="AW428" s="94" t="e">
        <f ca="1">VLOOKUP(W428,Товары!A:B,1,FALSE)</f>
        <v>#N/A</v>
      </c>
    </row>
    <row r="429" spans="1:49" x14ac:dyDescent="0.25">
      <c r="A429" s="110" t="str">
        <f t="shared" ca="1" si="35"/>
        <v>95-001-47</v>
      </c>
      <c r="B429" s="107" t="str">
        <f ca="1">_xlfn.LET(_xlpm.CAPS,0,_xlpm.Style,TRIM(_xlfn.XLOOKUP($A429,Строчный!$A:$A,Строчный!B:B,"ERR",0)),IF(_xlpm.CAPS=0,_xlpm.Style,LOWER(_xlpm.Style)))</f>
        <v>3215</v>
      </c>
      <c r="C429" s="81" t="str">
        <f ca="1">TRIM(PROPER(_xlfn.XLOOKUP($A429,Строчный!$A:$A,Строчный!C:C,"ERR",0)))</f>
        <v>Бейсболки</v>
      </c>
      <c r="D429" s="81" t="str">
        <f ca="1">_xlfn.LET(_xlpm.DATA,TRIM(_xlfn.XLOOKUP($A429,Строчный!$A:$A,Строчный!D:D,"ERR",0)),UPPER(MID(_xlpm.DATA,1,1))&amp;LOWER(MID(_xlpm.DATA,2,LEN(_xlpm.DATA)-1)))</f>
        <v>Бейсболка</v>
      </c>
      <c r="E429" s="81" t="str">
        <f ca="1">PROPER(TRIM(_xlfn.XLOOKUP($A429,Строчный!$A:$A,Строчный!E:E,"ERR",0)))</f>
        <v>Fredrikson</v>
      </c>
      <c r="F429" s="81" t="str">
        <f ca="1">LOWER(TRIM(_xlfn.XLOOKUP($A429,Строчный!$A:$A,Строчный!F:F,"ERR",0)))</f>
        <v>всесезон</v>
      </c>
      <c r="G429" s="81" t="str">
        <f ca="1">UPPER(TRIM(_xlfn.XLOOKUP($A429,Строчный!$A:$A,Строчный!G:G,"ERR",0)))</f>
        <v>FREDRIKSON</v>
      </c>
      <c r="H429" s="81" t="str">
        <f ca="1">LOWER(TRIM(_xlfn.XLOOKUP($A429,Строчный!$A:$A,Строчный!H:H,"ERR",0)))</f>
        <v>641/76</v>
      </c>
      <c r="I429" s="81" t="str">
        <f ca="1">LOWER(TRIM(_xlfn.XLOOKUP($A429,Строчный!$A:$A,Строчный!I:I,"ERR",0)))</f>
        <v>серый / черный</v>
      </c>
      <c r="J429" s="81" t="str">
        <f ca="1">SUBSTITUTE(LOWER(TRIM(_xlfn.XLOOKUP($A429,Строчный!$A:$A,Строчный!J:J,"ERR",0))),"подклад","Подклад")</f>
        <v>80% шерсть - 20% полиамид / Подклад: 100% вискоза</v>
      </c>
      <c r="K429" s="81" t="str">
        <f ca="1">LOWER(TRIM(_xlfn.XLOOKUP($A429,Строчный!$A:$A,Строчный!K:K,"ERR",0)))</f>
        <v>шерстяные</v>
      </c>
      <c r="L429" s="81" t="str">
        <f ca="1">PROPER(TRIM(_xlfn.XLOOKUP($A429,Строчный!$A:$A,Строчный!L:L,"ERR",0)))</f>
        <v>Унисекс</v>
      </c>
      <c r="M429" s="113" t="str">
        <f ca="1">PROPER(TRIM(_xlfn.XLOOKUP($A429,Строчный!$A:$A,Строчный!M:M,"ERR",0)))</f>
        <v>Россия</v>
      </c>
      <c r="N429" s="81" t="str">
        <f ca="1">UPPER(TRIM(_xlfn.XLOOKUP($A429,Строчный!$A:$A,Строчный!O:O,"ERR",0)))</f>
        <v/>
      </c>
      <c r="O429" s="102" t="str">
        <f ca="1">PROPER(TRIM(_xlfn.XLOOKUP($A429,Строчный!$A:$A,Строчный!P:P,"ERR",0)))</f>
        <v/>
      </c>
      <c r="P429" s="81" t="str">
        <f ca="1">PROPER(TRIM(_xlfn.XLOOKUP($A429,Строчный!$A:$A,Строчный!R:R,"ERR",0)))</f>
        <v/>
      </c>
      <c r="Q429" s="90">
        <f ca="1">VALUE(_xlfn.XLOOKUP($A429,Строчный!$A:$A,Строчный!N:N,"ERR",0))</f>
        <v>975.8</v>
      </c>
      <c r="R429" s="89" t="str">
        <f ca="1">_xlfn.XLOOKUP($G429,Фабрика!A:A,Фабрика!B:B,"ERR",0)</f>
        <v>ООО "ФРЭДРИКСОН" Россия 192029, С-Петербург, пр. Обуховской обороны, д.86, лит М</v>
      </c>
      <c r="S429" s="80" t="str">
        <f ca="1">_xlfn.XLOOKUP(RIGHT(AA429,2),Размеры!D:D,Размеры!A:A,"ERR",0)</f>
        <v>59</v>
      </c>
      <c r="T429" s="80">
        <f ca="1">VALUE(_xlfn.XLOOKUP($AA429,Строчный!$S:$S,Строчный!U:U,"ERR",0))</f>
        <v>9</v>
      </c>
      <c r="U429" s="14" t="s">
        <v>265</v>
      </c>
      <c r="V429" s="101" t="str">
        <f t="shared" ca="1" si="36"/>
        <v>Бейсболка FREDRIKSON арт. 3215 (серый / черный)</v>
      </c>
      <c r="W429" s="100" t="str">
        <f t="shared" ca="1" si="37"/>
        <v>Бейсболка FREDRIKSON арт. 3215 (серый / черный) {641/76}</v>
      </c>
      <c r="X429" s="18" t="str">
        <f t="shared" ca="1" si="38"/>
        <v>серый</v>
      </c>
      <c r="Y429" s="18" t="str">
        <f t="shared" ca="1" si="39"/>
        <v>черный</v>
      </c>
      <c r="Z429" s="117" t="str">
        <f ca="1">_xlfn.LET(_xlpm.FormColors,_xlfn.XLOOKUP(A429,Строчный!A:A,Строчный!Q:Q,"",0),IF(_xlpm.FormColors=0,IFERROR(MID(I429,FIND("-",I429)+1,LEN(I429)),IFERROR(MID(I429,1,FIND("/",I429)-2),I429)),_xlpm.FormColors))</f>
        <v>серый</v>
      </c>
      <c r="AA429" s="73" t="str">
        <f ca="1"/>
        <v>95-001-47-59</v>
      </c>
      <c r="AB429" s="75" t="str">
        <f ca="1">VLOOKUP(C429,Группа!A:B,2,FALSE)</f>
        <v>Бейсболка</v>
      </c>
      <c r="AC429" s="97" t="str">
        <f ca="1">IFERROR(VLOOKUP(S429,Размеры!A:C,3,FALSE),"")</f>
        <v>59 L</v>
      </c>
      <c r="AD429" s="97" t="str">
        <f ca="1">VLOOKUP(I429,ЦветПолный!A:B,2,FALSE)</f>
        <v>47</v>
      </c>
      <c r="AE429" s="97" t="str">
        <f ca="1">IFERROR(VLOOKUP(S429,Размеры!A:D,4,FALSE),"")</f>
        <v>59</v>
      </c>
      <c r="AF429" s="97">
        <f ca="1">IF(LEFT(IFERROR(VLOOKUP(LOOKUP(2,1/SEARCH(B429,Товары!A:A),Товары!A:A),Товары!A:B,2,0),""),6)=MID(AA429,1,6),1,0)</f>
        <v>0</v>
      </c>
      <c r="AH429" s="97">
        <f ca="1">SUMIF(Группа!A:A,C429,Группа!C:C)</f>
        <v>1</v>
      </c>
      <c r="AI429" s="97">
        <f ca="1">SUMIF(Группа!B:B,AB429,Группа!C:C)</f>
        <v>1</v>
      </c>
      <c r="AJ429" s="97">
        <f ca="1">SUMIF(Формы!A:A,D429,Формы!B:B)</f>
        <v>1</v>
      </c>
      <c r="AK429" s="97">
        <f ca="1">SUMIF(Материал!A:A,K429,Материал!B:B)</f>
        <v>1</v>
      </c>
      <c r="AL429" s="97">
        <f ca="1">SUMIF(Размеры!A:A,S429,Размеры!E:E)</f>
        <v>1</v>
      </c>
      <c r="AM429" s="97">
        <f ca="1">SUMIF(Сезон!A:A,F429,Сезон!B:B)</f>
        <v>1</v>
      </c>
      <c r="AN429" s="97">
        <f ca="1">SUMIF(Состав!A:A,J429,Состав!B:B)</f>
        <v>0</v>
      </c>
      <c r="AO429" s="97">
        <f ca="1">VLOOKUP(I429,ЦветПолный!A:C,3,0)</f>
        <v>1</v>
      </c>
      <c r="AP429" s="97">
        <f ca="1">SUMIF(Цвет!A:A,Z429,Цвет!B:B)</f>
        <v>1</v>
      </c>
      <c r="AQ429" s="97">
        <f ca="1">_xlfn.XLOOKUP(L429,Пол!A:A,Пол!B:B,0,0)</f>
        <v>1</v>
      </c>
      <c r="AR429" s="97">
        <f ca="1">SUMIF(Бренд!A:A,G429,Бренд!B:B)</f>
        <v>1</v>
      </c>
      <c r="AS429" s="97">
        <f ca="1">SUMIF(Страна!A:A,M429,Страна!B:B)</f>
        <v>1</v>
      </c>
      <c r="AT429" s="64" t="e">
        <f ca="1">IF(VLOOKUP(W429,Товары!A:B,2,FALSE)=A429,"Есть в 1С","ERR")</f>
        <v>#N/A</v>
      </c>
      <c r="AU429" s="65" t="e">
        <f ca="1">IF(VLOOKUP(A429,Товары!B:B,1,FALSE)=A429,"Есть в 1С","ERR")</f>
        <v>#N/A</v>
      </c>
      <c r="AV429" s="96" t="e">
        <f ca="1">VLOOKUP(W429,Товары!A:B,2,FALSE)</f>
        <v>#N/A</v>
      </c>
      <c r="AW429" s="94" t="e">
        <f ca="1">VLOOKUP(W429,Товары!A:B,1,FALSE)</f>
        <v>#N/A</v>
      </c>
    </row>
    <row r="430" spans="1:49" x14ac:dyDescent="0.25">
      <c r="A430" s="110" t="str">
        <f t="shared" ca="1" si="35"/>
        <v>95-001-47</v>
      </c>
      <c r="B430" s="107" t="str">
        <f ca="1">_xlfn.LET(_xlpm.CAPS,0,_xlpm.Style,TRIM(_xlfn.XLOOKUP($A430,Строчный!$A:$A,Строчный!B:B,"ERR",0)),IF(_xlpm.CAPS=0,_xlpm.Style,LOWER(_xlpm.Style)))</f>
        <v>3215</v>
      </c>
      <c r="C430" s="81" t="str">
        <f ca="1">TRIM(PROPER(_xlfn.XLOOKUP($A430,Строчный!$A:$A,Строчный!C:C,"ERR",0)))</f>
        <v>Бейсболки</v>
      </c>
      <c r="D430" s="81" t="str">
        <f ca="1">_xlfn.LET(_xlpm.DATA,TRIM(_xlfn.XLOOKUP($A430,Строчный!$A:$A,Строчный!D:D,"ERR",0)),UPPER(MID(_xlpm.DATA,1,1))&amp;LOWER(MID(_xlpm.DATA,2,LEN(_xlpm.DATA)-1)))</f>
        <v>Бейсболка</v>
      </c>
      <c r="E430" s="81" t="str">
        <f ca="1">PROPER(TRIM(_xlfn.XLOOKUP($A430,Строчный!$A:$A,Строчный!E:E,"ERR",0)))</f>
        <v>Fredrikson</v>
      </c>
      <c r="F430" s="81" t="str">
        <f ca="1">LOWER(TRIM(_xlfn.XLOOKUP($A430,Строчный!$A:$A,Строчный!F:F,"ERR",0)))</f>
        <v>всесезон</v>
      </c>
      <c r="G430" s="81" t="str">
        <f ca="1">UPPER(TRIM(_xlfn.XLOOKUP($A430,Строчный!$A:$A,Строчный!G:G,"ERR",0)))</f>
        <v>FREDRIKSON</v>
      </c>
      <c r="H430" s="81" t="str">
        <f ca="1">LOWER(TRIM(_xlfn.XLOOKUP($A430,Строчный!$A:$A,Строчный!H:H,"ERR",0)))</f>
        <v>641/76</v>
      </c>
      <c r="I430" s="81" t="str">
        <f ca="1">LOWER(TRIM(_xlfn.XLOOKUP($A430,Строчный!$A:$A,Строчный!I:I,"ERR",0)))</f>
        <v>серый / черный</v>
      </c>
      <c r="J430" s="81" t="str">
        <f ca="1">SUBSTITUTE(LOWER(TRIM(_xlfn.XLOOKUP($A430,Строчный!$A:$A,Строчный!J:J,"ERR",0))),"подклад","Подклад")</f>
        <v>80% шерсть - 20% полиамид / Подклад: 100% вискоза</v>
      </c>
      <c r="K430" s="81" t="str">
        <f ca="1">LOWER(TRIM(_xlfn.XLOOKUP($A430,Строчный!$A:$A,Строчный!K:K,"ERR",0)))</f>
        <v>шерстяные</v>
      </c>
      <c r="L430" s="81" t="str">
        <f ca="1">PROPER(TRIM(_xlfn.XLOOKUP($A430,Строчный!$A:$A,Строчный!L:L,"ERR",0)))</f>
        <v>Унисекс</v>
      </c>
      <c r="M430" s="113" t="str">
        <f ca="1">PROPER(TRIM(_xlfn.XLOOKUP($A430,Строчный!$A:$A,Строчный!M:M,"ERR",0)))</f>
        <v>Россия</v>
      </c>
      <c r="N430" s="81" t="str">
        <f ca="1">UPPER(TRIM(_xlfn.XLOOKUP($A430,Строчный!$A:$A,Строчный!O:O,"ERR",0)))</f>
        <v/>
      </c>
      <c r="O430" s="102" t="str">
        <f ca="1">PROPER(TRIM(_xlfn.XLOOKUP($A430,Строчный!$A:$A,Строчный!P:P,"ERR",0)))</f>
        <v/>
      </c>
      <c r="P430" s="81" t="str">
        <f ca="1">PROPER(TRIM(_xlfn.XLOOKUP($A430,Строчный!$A:$A,Строчный!R:R,"ERR",0)))</f>
        <v/>
      </c>
      <c r="Q430" s="90">
        <f ca="1">VALUE(_xlfn.XLOOKUP($A430,Строчный!$A:$A,Строчный!N:N,"ERR",0))</f>
        <v>975.8</v>
      </c>
      <c r="R430" s="89" t="str">
        <f ca="1">_xlfn.XLOOKUP($G430,Фабрика!A:A,Фабрика!B:B,"ERR",0)</f>
        <v>ООО "ФРЭДРИКСОН" Россия 192029, С-Петербург, пр. Обуховской обороны, д.86, лит М</v>
      </c>
      <c r="S430" s="80" t="str">
        <f ca="1">_xlfn.XLOOKUP(RIGHT(AA430,2),Размеры!D:D,Размеры!A:A,"ERR",0)</f>
        <v>58</v>
      </c>
      <c r="T430" s="80">
        <f ca="1">VALUE(_xlfn.XLOOKUP($AA430,Строчный!$S:$S,Строчный!U:U,"ERR",0))</f>
        <v>6</v>
      </c>
      <c r="U430" s="14" t="s">
        <v>265</v>
      </c>
      <c r="V430" s="101" t="str">
        <f t="shared" ca="1" si="36"/>
        <v>Бейсболка FREDRIKSON арт. 3215 (серый / черный)</v>
      </c>
      <c r="W430" s="100" t="str">
        <f t="shared" ca="1" si="37"/>
        <v>Бейсболка FREDRIKSON арт. 3215 (серый / черный) {641/76}</v>
      </c>
      <c r="X430" s="18" t="str">
        <f t="shared" ca="1" si="38"/>
        <v>серый</v>
      </c>
      <c r="Y430" s="18" t="str">
        <f t="shared" ca="1" si="39"/>
        <v>черный</v>
      </c>
      <c r="Z430" s="117" t="str">
        <f ca="1">_xlfn.LET(_xlpm.FormColors,_xlfn.XLOOKUP(A430,Строчный!A:A,Строчный!Q:Q,"",0),IF(_xlpm.FormColors=0,IFERROR(MID(I430,FIND("-",I430)+1,LEN(I430)),IFERROR(MID(I430,1,FIND("/",I430)-2),I430)),_xlpm.FormColors))</f>
        <v>серый</v>
      </c>
      <c r="AA430" s="73" t="str">
        <f ca="1"/>
        <v>95-001-47-58</v>
      </c>
      <c r="AB430" s="75" t="str">
        <f ca="1">VLOOKUP(C430,Группа!A:B,2,FALSE)</f>
        <v>Бейсболка</v>
      </c>
      <c r="AC430" s="97" t="str">
        <f ca="1">IFERROR(VLOOKUP(S430,Размеры!A:C,3,FALSE),"")</f>
        <v>58 M/L</v>
      </c>
      <c r="AD430" s="97" t="str">
        <f ca="1">VLOOKUP(I430,ЦветПолный!A:B,2,FALSE)</f>
        <v>47</v>
      </c>
      <c r="AE430" s="97" t="str">
        <f ca="1">IFERROR(VLOOKUP(S430,Размеры!A:D,4,FALSE),"")</f>
        <v>58</v>
      </c>
      <c r="AF430" s="97">
        <f ca="1">IF(LEFT(IFERROR(VLOOKUP(LOOKUP(2,1/SEARCH(B430,Товары!A:A),Товары!A:A),Товары!A:B,2,0),""),6)=MID(AA430,1,6),1,0)</f>
        <v>0</v>
      </c>
      <c r="AH430" s="97">
        <f ca="1">SUMIF(Группа!A:A,C430,Группа!C:C)</f>
        <v>1</v>
      </c>
      <c r="AI430" s="97">
        <f ca="1">SUMIF(Группа!B:B,AB430,Группа!C:C)</f>
        <v>1</v>
      </c>
      <c r="AJ430" s="97">
        <f ca="1">SUMIF(Формы!A:A,D430,Формы!B:B)</f>
        <v>1</v>
      </c>
      <c r="AK430" s="97">
        <f ca="1">SUMIF(Материал!A:A,K430,Материал!B:B)</f>
        <v>1</v>
      </c>
      <c r="AL430" s="97">
        <f ca="1">SUMIF(Размеры!A:A,S430,Размеры!E:E)</f>
        <v>1</v>
      </c>
      <c r="AM430" s="97">
        <f ca="1">SUMIF(Сезон!A:A,F430,Сезон!B:B)</f>
        <v>1</v>
      </c>
      <c r="AN430" s="97">
        <f ca="1">SUMIF(Состав!A:A,J430,Состав!B:B)</f>
        <v>0</v>
      </c>
      <c r="AO430" s="97">
        <f ca="1">VLOOKUP(I430,ЦветПолный!A:C,3,0)</f>
        <v>1</v>
      </c>
      <c r="AP430" s="97">
        <f ca="1">SUMIF(Цвет!A:A,Z430,Цвет!B:B)</f>
        <v>1</v>
      </c>
      <c r="AQ430" s="97">
        <f ca="1">_xlfn.XLOOKUP(L430,Пол!A:A,Пол!B:B,0,0)</f>
        <v>1</v>
      </c>
      <c r="AR430" s="97">
        <f ca="1">SUMIF(Бренд!A:A,G430,Бренд!B:B)</f>
        <v>1</v>
      </c>
      <c r="AS430" s="97">
        <f ca="1">SUMIF(Страна!A:A,M430,Страна!B:B)</f>
        <v>1</v>
      </c>
      <c r="AT430" s="64" t="e">
        <f ca="1">IF(VLOOKUP(W430,Товары!A:B,2,FALSE)=A430,"Есть в 1С","ERR")</f>
        <v>#N/A</v>
      </c>
      <c r="AU430" s="65" t="e">
        <f ca="1">IF(VLOOKUP(A430,Товары!B:B,1,FALSE)=A430,"Есть в 1С","ERR")</f>
        <v>#N/A</v>
      </c>
      <c r="AV430" s="96" t="e">
        <f ca="1">VLOOKUP(W430,Товары!A:B,2,FALSE)</f>
        <v>#N/A</v>
      </c>
      <c r="AW430" s="94" t="e">
        <f ca="1">VLOOKUP(W430,Товары!A:B,1,FALSE)</f>
        <v>#N/A</v>
      </c>
    </row>
    <row r="431" spans="1:49" x14ac:dyDescent="0.25">
      <c r="A431" s="110" t="str">
        <f t="shared" ca="1" si="35"/>
        <v>95-001-47</v>
      </c>
      <c r="B431" s="107" t="str">
        <f ca="1">_xlfn.LET(_xlpm.CAPS,0,_xlpm.Style,TRIM(_xlfn.XLOOKUP($A431,Строчный!$A:$A,Строчный!B:B,"ERR",0)),IF(_xlpm.CAPS=0,_xlpm.Style,LOWER(_xlpm.Style)))</f>
        <v>3215</v>
      </c>
      <c r="C431" s="81" t="str">
        <f ca="1">TRIM(PROPER(_xlfn.XLOOKUP($A431,Строчный!$A:$A,Строчный!C:C,"ERR",0)))</f>
        <v>Бейсболки</v>
      </c>
      <c r="D431" s="81" t="str">
        <f ca="1">_xlfn.LET(_xlpm.DATA,TRIM(_xlfn.XLOOKUP($A431,Строчный!$A:$A,Строчный!D:D,"ERR",0)),UPPER(MID(_xlpm.DATA,1,1))&amp;LOWER(MID(_xlpm.DATA,2,LEN(_xlpm.DATA)-1)))</f>
        <v>Бейсболка</v>
      </c>
      <c r="E431" s="81" t="str">
        <f ca="1">PROPER(TRIM(_xlfn.XLOOKUP($A431,Строчный!$A:$A,Строчный!E:E,"ERR",0)))</f>
        <v>Fredrikson</v>
      </c>
      <c r="F431" s="81" t="str">
        <f ca="1">LOWER(TRIM(_xlfn.XLOOKUP($A431,Строчный!$A:$A,Строчный!F:F,"ERR",0)))</f>
        <v>всесезон</v>
      </c>
      <c r="G431" s="81" t="str">
        <f ca="1">UPPER(TRIM(_xlfn.XLOOKUP($A431,Строчный!$A:$A,Строчный!G:G,"ERR",0)))</f>
        <v>FREDRIKSON</v>
      </c>
      <c r="H431" s="81" t="str">
        <f ca="1">LOWER(TRIM(_xlfn.XLOOKUP($A431,Строчный!$A:$A,Строчный!H:H,"ERR",0)))</f>
        <v>641/76</v>
      </c>
      <c r="I431" s="81" t="str">
        <f ca="1">LOWER(TRIM(_xlfn.XLOOKUP($A431,Строчный!$A:$A,Строчный!I:I,"ERR",0)))</f>
        <v>серый / черный</v>
      </c>
      <c r="J431" s="81" t="str">
        <f ca="1">SUBSTITUTE(LOWER(TRIM(_xlfn.XLOOKUP($A431,Строчный!$A:$A,Строчный!J:J,"ERR",0))),"подклад","Подклад")</f>
        <v>80% шерсть - 20% полиамид / Подклад: 100% вискоза</v>
      </c>
      <c r="K431" s="81" t="str">
        <f ca="1">LOWER(TRIM(_xlfn.XLOOKUP($A431,Строчный!$A:$A,Строчный!K:K,"ERR",0)))</f>
        <v>шерстяные</v>
      </c>
      <c r="L431" s="81" t="str">
        <f ca="1">PROPER(TRIM(_xlfn.XLOOKUP($A431,Строчный!$A:$A,Строчный!L:L,"ERR",0)))</f>
        <v>Унисекс</v>
      </c>
      <c r="M431" s="113" t="str">
        <f ca="1">PROPER(TRIM(_xlfn.XLOOKUP($A431,Строчный!$A:$A,Строчный!M:M,"ERR",0)))</f>
        <v>Россия</v>
      </c>
      <c r="N431" s="81" t="str">
        <f ca="1">UPPER(TRIM(_xlfn.XLOOKUP($A431,Строчный!$A:$A,Строчный!O:O,"ERR",0)))</f>
        <v/>
      </c>
      <c r="O431" s="102" t="str">
        <f ca="1">PROPER(TRIM(_xlfn.XLOOKUP($A431,Строчный!$A:$A,Строчный!P:P,"ERR",0)))</f>
        <v/>
      </c>
      <c r="P431" s="81" t="str">
        <f ca="1">PROPER(TRIM(_xlfn.XLOOKUP($A431,Строчный!$A:$A,Строчный!R:R,"ERR",0)))</f>
        <v/>
      </c>
      <c r="Q431" s="90">
        <f ca="1">VALUE(_xlfn.XLOOKUP($A431,Строчный!$A:$A,Строчный!N:N,"ERR",0))</f>
        <v>975.8</v>
      </c>
      <c r="R431" s="89" t="str">
        <f ca="1">_xlfn.XLOOKUP($G431,Фабрика!A:A,Фабрика!B:B,"ERR",0)</f>
        <v>ООО "ФРЭДРИКСОН" Россия 192029, С-Петербург, пр. Обуховской обороны, д.86, лит М</v>
      </c>
      <c r="S431" s="80" t="str">
        <f ca="1">_xlfn.XLOOKUP(RIGHT(AA431,2),Размеры!D:D,Размеры!A:A,"ERR",0)</f>
        <v>57</v>
      </c>
      <c r="T431" s="80">
        <f ca="1">VALUE(_xlfn.XLOOKUP($AA431,Строчный!$S:$S,Строчный!U:U,"ERR",0))</f>
        <v>4</v>
      </c>
      <c r="U431" s="14" t="s">
        <v>265</v>
      </c>
      <c r="V431" s="101" t="str">
        <f t="shared" ca="1" si="36"/>
        <v>Бейсболка FREDRIKSON арт. 3215 (серый / черный)</v>
      </c>
      <c r="W431" s="100" t="str">
        <f t="shared" ca="1" si="37"/>
        <v>Бейсболка FREDRIKSON арт. 3215 (серый / черный) {641/76}</v>
      </c>
      <c r="X431" s="18" t="str">
        <f t="shared" ca="1" si="38"/>
        <v>серый</v>
      </c>
      <c r="Y431" s="18" t="str">
        <f t="shared" ca="1" si="39"/>
        <v>черный</v>
      </c>
      <c r="Z431" s="117" t="str">
        <f ca="1">_xlfn.LET(_xlpm.FormColors,_xlfn.XLOOKUP(A431,Строчный!A:A,Строчный!Q:Q,"",0),IF(_xlpm.FormColors=0,IFERROR(MID(I431,FIND("-",I431)+1,LEN(I431)),IFERROR(MID(I431,1,FIND("/",I431)-2),I431)),_xlpm.FormColors))</f>
        <v>серый</v>
      </c>
      <c r="AA431" s="73" t="str">
        <f ca="1"/>
        <v>95-001-47-57</v>
      </c>
      <c r="AB431" s="75" t="str">
        <f ca="1">VLOOKUP(C431,Группа!A:B,2,FALSE)</f>
        <v>Бейсболка</v>
      </c>
      <c r="AC431" s="97" t="str">
        <f ca="1">IFERROR(VLOOKUP(S431,Размеры!A:C,3,FALSE),"")</f>
        <v>57 M</v>
      </c>
      <c r="AD431" s="97" t="str">
        <f ca="1">VLOOKUP(I431,ЦветПолный!A:B,2,FALSE)</f>
        <v>47</v>
      </c>
      <c r="AE431" s="97" t="str">
        <f ca="1">IFERROR(VLOOKUP(S431,Размеры!A:D,4,FALSE),"")</f>
        <v>57</v>
      </c>
      <c r="AF431" s="97">
        <f ca="1">IF(LEFT(IFERROR(VLOOKUP(LOOKUP(2,1/SEARCH(B431,Товары!A:A),Товары!A:A),Товары!A:B,2,0),""),6)=MID(AA431,1,6),1,0)</f>
        <v>0</v>
      </c>
      <c r="AH431" s="97">
        <f ca="1">SUMIF(Группа!A:A,C431,Группа!C:C)</f>
        <v>1</v>
      </c>
      <c r="AI431" s="97">
        <f ca="1">SUMIF(Группа!B:B,AB431,Группа!C:C)</f>
        <v>1</v>
      </c>
      <c r="AJ431" s="97">
        <f ca="1">SUMIF(Формы!A:A,D431,Формы!B:B)</f>
        <v>1</v>
      </c>
      <c r="AK431" s="97">
        <f ca="1">SUMIF(Материал!A:A,K431,Материал!B:B)</f>
        <v>1</v>
      </c>
      <c r="AL431" s="97">
        <f ca="1">SUMIF(Размеры!A:A,S431,Размеры!E:E)</f>
        <v>1</v>
      </c>
      <c r="AM431" s="97">
        <f ca="1">SUMIF(Сезон!A:A,F431,Сезон!B:B)</f>
        <v>1</v>
      </c>
      <c r="AN431" s="97">
        <f ca="1">SUMIF(Состав!A:A,J431,Состав!B:B)</f>
        <v>0</v>
      </c>
      <c r="AO431" s="97">
        <f ca="1">VLOOKUP(I431,ЦветПолный!A:C,3,0)</f>
        <v>1</v>
      </c>
      <c r="AP431" s="97">
        <f ca="1">SUMIF(Цвет!A:A,Z431,Цвет!B:B)</f>
        <v>1</v>
      </c>
      <c r="AQ431" s="97">
        <f ca="1">_xlfn.XLOOKUP(L431,Пол!A:A,Пол!B:B,0,0)</f>
        <v>1</v>
      </c>
      <c r="AR431" s="97">
        <f ca="1">SUMIF(Бренд!A:A,G431,Бренд!B:B)</f>
        <v>1</v>
      </c>
      <c r="AS431" s="97">
        <f ca="1">SUMIF(Страна!A:A,M431,Страна!B:B)</f>
        <v>1</v>
      </c>
      <c r="AT431" s="64" t="e">
        <f ca="1">IF(VLOOKUP(W431,Товары!A:B,2,FALSE)=A431,"Есть в 1С","ERR")</f>
        <v>#N/A</v>
      </c>
      <c r="AU431" s="65" t="e">
        <f ca="1">IF(VLOOKUP(A431,Товары!B:B,1,FALSE)=A431,"Есть в 1С","ERR")</f>
        <v>#N/A</v>
      </c>
      <c r="AV431" s="96" t="e">
        <f ca="1">VLOOKUP(W431,Товары!A:B,2,FALSE)</f>
        <v>#N/A</v>
      </c>
      <c r="AW431" s="94" t="e">
        <f ca="1">VLOOKUP(W431,Товары!A:B,1,FALSE)</f>
        <v>#N/A</v>
      </c>
    </row>
    <row r="432" spans="1:49" x14ac:dyDescent="0.25">
      <c r="A432" s="110" t="str">
        <f t="shared" ca="1" si="35"/>
        <v>95-001-47</v>
      </c>
      <c r="B432" s="107" t="str">
        <f ca="1">_xlfn.LET(_xlpm.CAPS,0,_xlpm.Style,TRIM(_xlfn.XLOOKUP($A432,Строчный!$A:$A,Строчный!B:B,"ERR",0)),IF(_xlpm.CAPS=0,_xlpm.Style,LOWER(_xlpm.Style)))</f>
        <v>3215</v>
      </c>
      <c r="C432" s="81" t="str">
        <f ca="1">TRIM(PROPER(_xlfn.XLOOKUP($A432,Строчный!$A:$A,Строчный!C:C,"ERR",0)))</f>
        <v>Бейсболки</v>
      </c>
      <c r="D432" s="81" t="str">
        <f ca="1">_xlfn.LET(_xlpm.DATA,TRIM(_xlfn.XLOOKUP($A432,Строчный!$A:$A,Строчный!D:D,"ERR",0)),UPPER(MID(_xlpm.DATA,1,1))&amp;LOWER(MID(_xlpm.DATA,2,LEN(_xlpm.DATA)-1)))</f>
        <v>Бейсболка</v>
      </c>
      <c r="E432" s="81" t="str">
        <f ca="1">PROPER(TRIM(_xlfn.XLOOKUP($A432,Строчный!$A:$A,Строчный!E:E,"ERR",0)))</f>
        <v>Fredrikson</v>
      </c>
      <c r="F432" s="81" t="str">
        <f ca="1">LOWER(TRIM(_xlfn.XLOOKUP($A432,Строчный!$A:$A,Строчный!F:F,"ERR",0)))</f>
        <v>всесезон</v>
      </c>
      <c r="G432" s="81" t="str">
        <f ca="1">UPPER(TRIM(_xlfn.XLOOKUP($A432,Строчный!$A:$A,Строчный!G:G,"ERR",0)))</f>
        <v>FREDRIKSON</v>
      </c>
      <c r="H432" s="81" t="str">
        <f ca="1">LOWER(TRIM(_xlfn.XLOOKUP($A432,Строчный!$A:$A,Строчный!H:H,"ERR",0)))</f>
        <v>641/76</v>
      </c>
      <c r="I432" s="81" t="str">
        <f ca="1">LOWER(TRIM(_xlfn.XLOOKUP($A432,Строчный!$A:$A,Строчный!I:I,"ERR",0)))</f>
        <v>серый / черный</v>
      </c>
      <c r="J432" s="81" t="str">
        <f ca="1">SUBSTITUTE(LOWER(TRIM(_xlfn.XLOOKUP($A432,Строчный!$A:$A,Строчный!J:J,"ERR",0))),"подклад","Подклад")</f>
        <v>80% шерсть - 20% полиамид / Подклад: 100% вискоза</v>
      </c>
      <c r="K432" s="81" t="str">
        <f ca="1">LOWER(TRIM(_xlfn.XLOOKUP($A432,Строчный!$A:$A,Строчный!K:K,"ERR",0)))</f>
        <v>шерстяные</v>
      </c>
      <c r="L432" s="81" t="str">
        <f ca="1">PROPER(TRIM(_xlfn.XLOOKUP($A432,Строчный!$A:$A,Строчный!L:L,"ERR",0)))</f>
        <v>Унисекс</v>
      </c>
      <c r="M432" s="113" t="str">
        <f ca="1">PROPER(TRIM(_xlfn.XLOOKUP($A432,Строчный!$A:$A,Строчный!M:M,"ERR",0)))</f>
        <v>Россия</v>
      </c>
      <c r="N432" s="81" t="str">
        <f ca="1">UPPER(TRIM(_xlfn.XLOOKUP($A432,Строчный!$A:$A,Строчный!O:O,"ERR",0)))</f>
        <v/>
      </c>
      <c r="O432" s="102" t="str">
        <f ca="1">PROPER(TRIM(_xlfn.XLOOKUP($A432,Строчный!$A:$A,Строчный!P:P,"ERR",0)))</f>
        <v/>
      </c>
      <c r="P432" s="81" t="str">
        <f ca="1">PROPER(TRIM(_xlfn.XLOOKUP($A432,Строчный!$A:$A,Строчный!R:R,"ERR",0)))</f>
        <v/>
      </c>
      <c r="Q432" s="90">
        <f ca="1">VALUE(_xlfn.XLOOKUP($A432,Строчный!$A:$A,Строчный!N:N,"ERR",0))</f>
        <v>975.8</v>
      </c>
      <c r="R432" s="89" t="str">
        <f ca="1">_xlfn.XLOOKUP($G432,Фабрика!A:A,Фабрика!B:B,"ERR",0)</f>
        <v>ООО "ФРЭДРИКСОН" Россия 192029, С-Петербург, пр. Обуховской обороны, д.86, лит М</v>
      </c>
      <c r="S432" s="80" t="str">
        <f ca="1">_xlfn.XLOOKUP(RIGHT(AA432,2),Размеры!D:D,Размеры!A:A,"ERR",0)</f>
        <v>56</v>
      </c>
      <c r="T432" s="80">
        <f ca="1">VALUE(_xlfn.XLOOKUP($AA432,Строчный!$S:$S,Строчный!U:U,"ERR",0))</f>
        <v>2</v>
      </c>
      <c r="U432" s="14" t="s">
        <v>265</v>
      </c>
      <c r="V432" s="101" t="str">
        <f t="shared" ca="1" si="36"/>
        <v>Бейсболка FREDRIKSON арт. 3215 (серый / черный)</v>
      </c>
      <c r="W432" s="100" t="str">
        <f t="shared" ca="1" si="37"/>
        <v>Бейсболка FREDRIKSON арт. 3215 (серый / черный) {641/76}</v>
      </c>
      <c r="X432" s="18" t="str">
        <f t="shared" ca="1" si="38"/>
        <v>серый</v>
      </c>
      <c r="Y432" s="18" t="str">
        <f t="shared" ca="1" si="39"/>
        <v>черный</v>
      </c>
      <c r="Z432" s="117" t="str">
        <f ca="1">_xlfn.LET(_xlpm.FormColors,_xlfn.XLOOKUP(A432,Строчный!A:A,Строчный!Q:Q,"",0),IF(_xlpm.FormColors=0,IFERROR(MID(I432,FIND("-",I432)+1,LEN(I432)),IFERROR(MID(I432,1,FIND("/",I432)-2),I432)),_xlpm.FormColors))</f>
        <v>серый</v>
      </c>
      <c r="AA432" s="73" t="str">
        <f ca="1"/>
        <v>95-001-47-56</v>
      </c>
      <c r="AB432" s="75" t="str">
        <f ca="1">VLOOKUP(C432,Группа!A:B,2,FALSE)</f>
        <v>Бейсболка</v>
      </c>
      <c r="AC432" s="97" t="str">
        <f ca="1">IFERROR(VLOOKUP(S432,Размеры!A:C,3,FALSE),"")</f>
        <v>56 S/M</v>
      </c>
      <c r="AD432" s="97" t="str">
        <f ca="1">VLOOKUP(I432,ЦветПолный!A:B,2,FALSE)</f>
        <v>47</v>
      </c>
      <c r="AE432" s="97" t="str">
        <f ca="1">IFERROR(VLOOKUP(S432,Размеры!A:D,4,FALSE),"")</f>
        <v>56</v>
      </c>
      <c r="AF432" s="97">
        <f ca="1">IF(LEFT(IFERROR(VLOOKUP(LOOKUP(2,1/SEARCH(B432,Товары!A:A),Товары!A:A),Товары!A:B,2,0),""),6)=MID(AA432,1,6),1,0)</f>
        <v>0</v>
      </c>
      <c r="AH432" s="97">
        <f ca="1">SUMIF(Группа!A:A,C432,Группа!C:C)</f>
        <v>1</v>
      </c>
      <c r="AI432" s="97">
        <f ca="1">SUMIF(Группа!B:B,AB432,Группа!C:C)</f>
        <v>1</v>
      </c>
      <c r="AJ432" s="97">
        <f ca="1">SUMIF(Формы!A:A,D432,Формы!B:B)</f>
        <v>1</v>
      </c>
      <c r="AK432" s="97">
        <f ca="1">SUMIF(Материал!A:A,K432,Материал!B:B)</f>
        <v>1</v>
      </c>
      <c r="AL432" s="97">
        <f ca="1">SUMIF(Размеры!A:A,S432,Размеры!E:E)</f>
        <v>1</v>
      </c>
      <c r="AM432" s="97">
        <f ca="1">SUMIF(Сезон!A:A,F432,Сезон!B:B)</f>
        <v>1</v>
      </c>
      <c r="AN432" s="97">
        <f ca="1">SUMIF(Состав!A:A,J432,Состав!B:B)</f>
        <v>0</v>
      </c>
      <c r="AO432" s="97">
        <f ca="1">VLOOKUP(I432,ЦветПолный!A:C,3,0)</f>
        <v>1</v>
      </c>
      <c r="AP432" s="97">
        <f ca="1">SUMIF(Цвет!A:A,Z432,Цвет!B:B)</f>
        <v>1</v>
      </c>
      <c r="AQ432" s="97">
        <f ca="1">_xlfn.XLOOKUP(L432,Пол!A:A,Пол!B:B,0,0)</f>
        <v>1</v>
      </c>
      <c r="AR432" s="97">
        <f ca="1">SUMIF(Бренд!A:A,G432,Бренд!B:B)</f>
        <v>1</v>
      </c>
      <c r="AS432" s="97">
        <f ca="1">SUMIF(Страна!A:A,M432,Страна!B:B)</f>
        <v>1</v>
      </c>
      <c r="AT432" s="64" t="e">
        <f ca="1">IF(VLOOKUP(W432,Товары!A:B,2,FALSE)=A432,"Есть в 1С","ERR")</f>
        <v>#N/A</v>
      </c>
      <c r="AU432" s="65" t="e">
        <f ca="1">IF(VLOOKUP(A432,Товары!B:B,1,FALSE)=A432,"Есть в 1С","ERR")</f>
        <v>#N/A</v>
      </c>
      <c r="AV432" s="96" t="e">
        <f ca="1">VLOOKUP(W432,Товары!A:B,2,FALSE)</f>
        <v>#N/A</v>
      </c>
      <c r="AW432" s="94" t="e">
        <f ca="1">VLOOKUP(W432,Товары!A:B,1,FALSE)</f>
        <v>#N/A</v>
      </c>
    </row>
    <row r="433" spans="1:49" x14ac:dyDescent="0.25">
      <c r="A433" s="110" t="str">
        <f t="shared" ca="1" si="35"/>
        <v>95-001-16</v>
      </c>
      <c r="B433" s="107" t="str">
        <f ca="1">_xlfn.LET(_xlpm.CAPS,0,_xlpm.Style,TRIM(_xlfn.XLOOKUP($A433,Строчный!$A:$A,Строчный!B:B,"ERR",0)),IF(_xlpm.CAPS=0,_xlpm.Style,LOWER(_xlpm.Style)))</f>
        <v>3215</v>
      </c>
      <c r="C433" s="81" t="str">
        <f ca="1">TRIM(PROPER(_xlfn.XLOOKUP($A433,Строчный!$A:$A,Строчный!C:C,"ERR",0)))</f>
        <v>Бейсболки</v>
      </c>
      <c r="D433" s="81" t="str">
        <f ca="1">_xlfn.LET(_xlpm.DATA,TRIM(_xlfn.XLOOKUP($A433,Строчный!$A:$A,Строчный!D:D,"ERR",0)),UPPER(MID(_xlpm.DATA,1,1))&amp;LOWER(MID(_xlpm.DATA,2,LEN(_xlpm.DATA)-1)))</f>
        <v>Бейсболка</v>
      </c>
      <c r="E433" s="81" t="str">
        <f ca="1">PROPER(TRIM(_xlfn.XLOOKUP($A433,Строчный!$A:$A,Строчный!E:E,"ERR",0)))</f>
        <v>Fredrikson</v>
      </c>
      <c r="F433" s="81" t="str">
        <f ca="1">LOWER(TRIM(_xlfn.XLOOKUP($A433,Строчный!$A:$A,Строчный!F:F,"ERR",0)))</f>
        <v>всесезон</v>
      </c>
      <c r="G433" s="81" t="str">
        <f ca="1">UPPER(TRIM(_xlfn.XLOOKUP($A433,Строчный!$A:$A,Строчный!G:G,"ERR",0)))</f>
        <v>FREDRIKSON</v>
      </c>
      <c r="H433" s="81" t="str">
        <f ca="1">LOWER(TRIM(_xlfn.XLOOKUP($A433,Строчный!$A:$A,Строчный!H:H,"ERR",0)))</f>
        <v>625/20</v>
      </c>
      <c r="I433" s="81" t="str">
        <f ca="1">LOWER(TRIM(_xlfn.XLOOKUP($A433,Строчный!$A:$A,Строчный!I:I,"ERR",0)))</f>
        <v>темно-синий</v>
      </c>
      <c r="J433" s="81" t="str">
        <f ca="1">SUBSTITUTE(LOWER(TRIM(_xlfn.XLOOKUP($A433,Строчный!$A:$A,Строчный!J:J,"ERR",0))),"подклад","Подклад")</f>
        <v>80% шерсть - 20% полиамид / Подклад: 100% вискоза</v>
      </c>
      <c r="K433" s="81" t="str">
        <f ca="1">LOWER(TRIM(_xlfn.XLOOKUP($A433,Строчный!$A:$A,Строчный!K:K,"ERR",0)))</f>
        <v>шерстяные</v>
      </c>
      <c r="L433" s="81" t="str">
        <f ca="1">PROPER(TRIM(_xlfn.XLOOKUP($A433,Строчный!$A:$A,Строчный!L:L,"ERR",0)))</f>
        <v>Унисекс</v>
      </c>
      <c r="M433" s="113" t="str">
        <f ca="1">PROPER(TRIM(_xlfn.XLOOKUP($A433,Строчный!$A:$A,Строчный!M:M,"ERR",0)))</f>
        <v>Россия</v>
      </c>
      <c r="N433" s="81" t="str">
        <f ca="1">UPPER(TRIM(_xlfn.XLOOKUP($A433,Строчный!$A:$A,Строчный!O:O,"ERR",0)))</f>
        <v/>
      </c>
      <c r="O433" s="102" t="str">
        <f ca="1">PROPER(TRIM(_xlfn.XLOOKUP($A433,Строчный!$A:$A,Строчный!P:P,"ERR",0)))</f>
        <v/>
      </c>
      <c r="P433" s="81" t="str">
        <f ca="1">PROPER(TRIM(_xlfn.XLOOKUP($A433,Строчный!$A:$A,Строчный!R:R,"ERR",0)))</f>
        <v/>
      </c>
      <c r="Q433" s="90">
        <f ca="1">VALUE(_xlfn.XLOOKUP($A433,Строчный!$A:$A,Строчный!N:N,"ERR",0))</f>
        <v>975.8</v>
      </c>
      <c r="R433" s="89" t="str">
        <f ca="1">_xlfn.XLOOKUP($G433,Фабрика!A:A,Фабрика!B:B,"ERR",0)</f>
        <v>ООО "ФРЭДРИКСОН" Россия 192029, С-Петербург, пр. Обуховской обороны, д.86, лит М</v>
      </c>
      <c r="S433" s="80" t="str">
        <f ca="1">_xlfn.XLOOKUP(RIGHT(AA433,2),Размеры!D:D,Размеры!A:A,"ERR",0)</f>
        <v>62</v>
      </c>
      <c r="T433" s="80">
        <f ca="1">VALUE(_xlfn.XLOOKUP($AA433,Строчный!$S:$S,Строчный!U:U,"ERR",0))</f>
        <v>2</v>
      </c>
      <c r="U433" s="14" t="s">
        <v>265</v>
      </c>
      <c r="V433" s="101" t="str">
        <f t="shared" ca="1" si="36"/>
        <v>Бейсболка FREDRIKSON арт. 3215 (темно-синий)</v>
      </c>
      <c r="W433" s="100" t="str">
        <f t="shared" ca="1" si="37"/>
        <v>Бейсболка FREDRIKSON арт. 3215 (темно-синий) {625/20}</v>
      </c>
      <c r="X433" s="18" t="str">
        <f t="shared" ca="1" si="38"/>
        <v>синий</v>
      </c>
      <c r="Y433" s="18" t="str">
        <f t="shared" ca="1" si="39"/>
        <v>синий</v>
      </c>
      <c r="Z433" s="117" t="str">
        <f ca="1">_xlfn.LET(_xlpm.FormColors,_xlfn.XLOOKUP(A433,Строчный!A:A,Строчный!Q:Q,"",0),IF(_xlpm.FormColors=0,IFERROR(MID(I433,FIND("-",I433)+1,LEN(I433)),IFERROR(MID(I433,1,FIND("/",I433)-2),I433)),_xlpm.FormColors))</f>
        <v>синий</v>
      </c>
      <c r="AA433" s="73" t="str">
        <f ca="1"/>
        <v>95-001-16-62</v>
      </c>
      <c r="AB433" s="75" t="str">
        <f ca="1">VLOOKUP(C433,Группа!A:B,2,FALSE)</f>
        <v>Бейсболка</v>
      </c>
      <c r="AC433" s="97" t="str">
        <f ca="1">IFERROR(VLOOKUP(S433,Размеры!A:C,3,FALSE),"")</f>
        <v>62 XL/XXL</v>
      </c>
      <c r="AD433" s="97" t="str">
        <f ca="1">VLOOKUP(I433,ЦветПолный!A:B,2,FALSE)</f>
        <v>16</v>
      </c>
      <c r="AE433" s="97" t="str">
        <f ca="1">IFERROR(VLOOKUP(S433,Размеры!A:D,4,FALSE),"")</f>
        <v>62</v>
      </c>
      <c r="AF433" s="97">
        <f ca="1">IF(LEFT(IFERROR(VLOOKUP(LOOKUP(2,1/SEARCH(B433,Товары!A:A),Товары!A:A),Товары!A:B,2,0),""),6)=MID(AA433,1,6),1,0)</f>
        <v>0</v>
      </c>
      <c r="AH433" s="97">
        <f ca="1">SUMIF(Группа!A:A,C433,Группа!C:C)</f>
        <v>1</v>
      </c>
      <c r="AI433" s="97">
        <f ca="1">SUMIF(Группа!B:B,AB433,Группа!C:C)</f>
        <v>1</v>
      </c>
      <c r="AJ433" s="97">
        <f ca="1">SUMIF(Формы!A:A,D433,Формы!B:B)</f>
        <v>1</v>
      </c>
      <c r="AK433" s="97">
        <f ca="1">SUMIF(Материал!A:A,K433,Материал!B:B)</f>
        <v>1</v>
      </c>
      <c r="AL433" s="97">
        <f ca="1">SUMIF(Размеры!A:A,S433,Размеры!E:E)</f>
        <v>1</v>
      </c>
      <c r="AM433" s="97">
        <f ca="1">SUMIF(Сезон!A:A,F433,Сезон!B:B)</f>
        <v>1</v>
      </c>
      <c r="AN433" s="97">
        <f ca="1">SUMIF(Состав!A:A,J433,Состав!B:B)</f>
        <v>0</v>
      </c>
      <c r="AO433" s="97">
        <f ca="1">VLOOKUP(I433,ЦветПолный!A:C,3,0)</f>
        <v>1</v>
      </c>
      <c r="AP433" s="97">
        <f ca="1">SUMIF(Цвет!A:A,Z433,Цвет!B:B)</f>
        <v>1</v>
      </c>
      <c r="AQ433" s="97">
        <f ca="1">_xlfn.XLOOKUP(L433,Пол!A:A,Пол!B:B,0,0)</f>
        <v>1</v>
      </c>
      <c r="AR433" s="97">
        <f ca="1">SUMIF(Бренд!A:A,G433,Бренд!B:B)</f>
        <v>1</v>
      </c>
      <c r="AS433" s="97">
        <f ca="1">SUMIF(Страна!A:A,M433,Страна!B:B)</f>
        <v>1</v>
      </c>
      <c r="AT433" s="64" t="e">
        <f ca="1">IF(VLOOKUP(W433,Товары!A:B,2,FALSE)=A433,"Есть в 1С","ERR")</f>
        <v>#N/A</v>
      </c>
      <c r="AU433" s="65" t="e">
        <f ca="1">IF(VLOOKUP(A433,Товары!B:B,1,FALSE)=A433,"Есть в 1С","ERR")</f>
        <v>#N/A</v>
      </c>
      <c r="AV433" s="96" t="e">
        <f ca="1">VLOOKUP(W433,Товары!A:B,2,FALSE)</f>
        <v>#N/A</v>
      </c>
      <c r="AW433" s="94" t="e">
        <f ca="1">VLOOKUP(W433,Товары!A:B,1,FALSE)</f>
        <v>#N/A</v>
      </c>
    </row>
    <row r="434" spans="1:49" x14ac:dyDescent="0.25">
      <c r="A434" s="110" t="str">
        <f t="shared" ca="1" si="35"/>
        <v>95-001-16</v>
      </c>
      <c r="B434" s="107" t="str">
        <f ca="1">_xlfn.LET(_xlpm.CAPS,0,_xlpm.Style,TRIM(_xlfn.XLOOKUP($A434,Строчный!$A:$A,Строчный!B:B,"ERR",0)),IF(_xlpm.CAPS=0,_xlpm.Style,LOWER(_xlpm.Style)))</f>
        <v>3215</v>
      </c>
      <c r="C434" s="81" t="str">
        <f ca="1">TRIM(PROPER(_xlfn.XLOOKUP($A434,Строчный!$A:$A,Строчный!C:C,"ERR",0)))</f>
        <v>Бейсболки</v>
      </c>
      <c r="D434" s="81" t="str">
        <f ca="1">_xlfn.LET(_xlpm.DATA,TRIM(_xlfn.XLOOKUP($A434,Строчный!$A:$A,Строчный!D:D,"ERR",0)),UPPER(MID(_xlpm.DATA,1,1))&amp;LOWER(MID(_xlpm.DATA,2,LEN(_xlpm.DATA)-1)))</f>
        <v>Бейсболка</v>
      </c>
      <c r="E434" s="81" t="str">
        <f ca="1">PROPER(TRIM(_xlfn.XLOOKUP($A434,Строчный!$A:$A,Строчный!E:E,"ERR",0)))</f>
        <v>Fredrikson</v>
      </c>
      <c r="F434" s="81" t="str">
        <f ca="1">LOWER(TRIM(_xlfn.XLOOKUP($A434,Строчный!$A:$A,Строчный!F:F,"ERR",0)))</f>
        <v>всесезон</v>
      </c>
      <c r="G434" s="81" t="str">
        <f ca="1">UPPER(TRIM(_xlfn.XLOOKUP($A434,Строчный!$A:$A,Строчный!G:G,"ERR",0)))</f>
        <v>FREDRIKSON</v>
      </c>
      <c r="H434" s="81" t="str">
        <f ca="1">LOWER(TRIM(_xlfn.XLOOKUP($A434,Строчный!$A:$A,Строчный!H:H,"ERR",0)))</f>
        <v>625/20</v>
      </c>
      <c r="I434" s="81" t="str">
        <f ca="1">LOWER(TRIM(_xlfn.XLOOKUP($A434,Строчный!$A:$A,Строчный!I:I,"ERR",0)))</f>
        <v>темно-синий</v>
      </c>
      <c r="J434" s="81" t="str">
        <f ca="1">SUBSTITUTE(LOWER(TRIM(_xlfn.XLOOKUP($A434,Строчный!$A:$A,Строчный!J:J,"ERR",0))),"подклад","Подклад")</f>
        <v>80% шерсть - 20% полиамид / Подклад: 100% вискоза</v>
      </c>
      <c r="K434" s="81" t="str">
        <f ca="1">LOWER(TRIM(_xlfn.XLOOKUP($A434,Строчный!$A:$A,Строчный!K:K,"ERR",0)))</f>
        <v>шерстяные</v>
      </c>
      <c r="L434" s="81" t="str">
        <f ca="1">PROPER(TRIM(_xlfn.XLOOKUP($A434,Строчный!$A:$A,Строчный!L:L,"ERR",0)))</f>
        <v>Унисекс</v>
      </c>
      <c r="M434" s="113" t="str">
        <f ca="1">PROPER(TRIM(_xlfn.XLOOKUP($A434,Строчный!$A:$A,Строчный!M:M,"ERR",0)))</f>
        <v>Россия</v>
      </c>
      <c r="N434" s="81" t="str">
        <f ca="1">UPPER(TRIM(_xlfn.XLOOKUP($A434,Строчный!$A:$A,Строчный!O:O,"ERR",0)))</f>
        <v/>
      </c>
      <c r="O434" s="102" t="str">
        <f ca="1">PROPER(TRIM(_xlfn.XLOOKUP($A434,Строчный!$A:$A,Строчный!P:P,"ERR",0)))</f>
        <v/>
      </c>
      <c r="P434" s="81" t="str">
        <f ca="1">PROPER(TRIM(_xlfn.XLOOKUP($A434,Строчный!$A:$A,Строчный!R:R,"ERR",0)))</f>
        <v/>
      </c>
      <c r="Q434" s="90">
        <f ca="1">VALUE(_xlfn.XLOOKUP($A434,Строчный!$A:$A,Строчный!N:N,"ERR",0))</f>
        <v>975.8</v>
      </c>
      <c r="R434" s="89" t="str">
        <f ca="1">_xlfn.XLOOKUP($G434,Фабрика!A:A,Фабрика!B:B,"ERR",0)</f>
        <v>ООО "ФРЭДРИКСОН" Россия 192029, С-Петербург, пр. Обуховской обороны, д.86, лит М</v>
      </c>
      <c r="S434" s="80" t="str">
        <f ca="1">_xlfn.XLOOKUP(RIGHT(AA434,2),Размеры!D:D,Размеры!A:A,"ERR",0)</f>
        <v>61</v>
      </c>
      <c r="T434" s="80">
        <f ca="1">VALUE(_xlfn.XLOOKUP($AA434,Строчный!$S:$S,Строчный!U:U,"ERR",0))</f>
        <v>4</v>
      </c>
      <c r="U434" s="14" t="s">
        <v>265</v>
      </c>
      <c r="V434" s="101" t="str">
        <f t="shared" ca="1" si="36"/>
        <v>Бейсболка FREDRIKSON арт. 3215 (темно-синий)</v>
      </c>
      <c r="W434" s="100" t="str">
        <f t="shared" ca="1" si="37"/>
        <v>Бейсболка FREDRIKSON арт. 3215 (темно-синий) {625/20}</v>
      </c>
      <c r="X434" s="18" t="str">
        <f t="shared" ca="1" si="38"/>
        <v>синий</v>
      </c>
      <c r="Y434" s="18" t="str">
        <f t="shared" ca="1" si="39"/>
        <v>синий</v>
      </c>
      <c r="Z434" s="117" t="str">
        <f ca="1">_xlfn.LET(_xlpm.FormColors,_xlfn.XLOOKUP(A434,Строчный!A:A,Строчный!Q:Q,"",0),IF(_xlpm.FormColors=0,IFERROR(MID(I434,FIND("-",I434)+1,LEN(I434)),IFERROR(MID(I434,1,FIND("/",I434)-2),I434)),_xlpm.FormColors))</f>
        <v>синий</v>
      </c>
      <c r="AA434" s="73" t="str">
        <f ca="1"/>
        <v>95-001-16-61</v>
      </c>
      <c r="AB434" s="75" t="str">
        <f ca="1">VLOOKUP(C434,Группа!A:B,2,FALSE)</f>
        <v>Бейсболка</v>
      </c>
      <c r="AC434" s="97" t="str">
        <f ca="1">IFERROR(VLOOKUP(S434,Размеры!A:C,3,FALSE),"")</f>
        <v>61 XL</v>
      </c>
      <c r="AD434" s="97" t="str">
        <f ca="1">VLOOKUP(I434,ЦветПолный!A:B,2,FALSE)</f>
        <v>16</v>
      </c>
      <c r="AE434" s="97" t="str">
        <f ca="1">IFERROR(VLOOKUP(S434,Размеры!A:D,4,FALSE),"")</f>
        <v>61</v>
      </c>
      <c r="AF434" s="97">
        <f ca="1">IF(LEFT(IFERROR(VLOOKUP(LOOKUP(2,1/SEARCH(B434,Товары!A:A),Товары!A:A),Товары!A:B,2,0),""),6)=MID(AA434,1,6),1,0)</f>
        <v>0</v>
      </c>
      <c r="AH434" s="97">
        <f ca="1">SUMIF(Группа!A:A,C434,Группа!C:C)</f>
        <v>1</v>
      </c>
      <c r="AI434" s="97">
        <f ca="1">SUMIF(Группа!B:B,AB434,Группа!C:C)</f>
        <v>1</v>
      </c>
      <c r="AJ434" s="97">
        <f ca="1">SUMIF(Формы!A:A,D434,Формы!B:B)</f>
        <v>1</v>
      </c>
      <c r="AK434" s="97">
        <f ca="1">SUMIF(Материал!A:A,K434,Материал!B:B)</f>
        <v>1</v>
      </c>
      <c r="AL434" s="97">
        <f ca="1">SUMIF(Размеры!A:A,S434,Размеры!E:E)</f>
        <v>1</v>
      </c>
      <c r="AM434" s="97">
        <f ca="1">SUMIF(Сезон!A:A,F434,Сезон!B:B)</f>
        <v>1</v>
      </c>
      <c r="AN434" s="97">
        <f ca="1">SUMIF(Состав!A:A,J434,Состав!B:B)</f>
        <v>0</v>
      </c>
      <c r="AO434" s="97">
        <f ca="1">VLOOKUP(I434,ЦветПолный!A:C,3,0)</f>
        <v>1</v>
      </c>
      <c r="AP434" s="97">
        <f ca="1">SUMIF(Цвет!A:A,Z434,Цвет!B:B)</f>
        <v>1</v>
      </c>
      <c r="AQ434" s="97">
        <f ca="1">_xlfn.XLOOKUP(L434,Пол!A:A,Пол!B:B,0,0)</f>
        <v>1</v>
      </c>
      <c r="AR434" s="97">
        <f ca="1">SUMIF(Бренд!A:A,G434,Бренд!B:B)</f>
        <v>1</v>
      </c>
      <c r="AS434" s="97">
        <f ca="1">SUMIF(Страна!A:A,M434,Страна!B:B)</f>
        <v>1</v>
      </c>
      <c r="AT434" s="64" t="e">
        <f ca="1">IF(VLOOKUP(W434,Товары!A:B,2,FALSE)=A434,"Есть в 1С","ERR")</f>
        <v>#N/A</v>
      </c>
      <c r="AU434" s="65" t="e">
        <f ca="1">IF(VLOOKUP(A434,Товары!B:B,1,FALSE)=A434,"Есть в 1С","ERR")</f>
        <v>#N/A</v>
      </c>
      <c r="AV434" s="96" t="e">
        <f ca="1">VLOOKUP(W434,Товары!A:B,2,FALSE)</f>
        <v>#N/A</v>
      </c>
      <c r="AW434" s="94" t="e">
        <f ca="1">VLOOKUP(W434,Товары!A:B,1,FALSE)</f>
        <v>#N/A</v>
      </c>
    </row>
    <row r="435" spans="1:49" x14ac:dyDescent="0.25">
      <c r="A435" s="110" t="str">
        <f t="shared" ca="1" si="35"/>
        <v>95-001-16</v>
      </c>
      <c r="B435" s="107" t="str">
        <f ca="1">_xlfn.LET(_xlpm.CAPS,0,_xlpm.Style,TRIM(_xlfn.XLOOKUP($A435,Строчный!$A:$A,Строчный!B:B,"ERR",0)),IF(_xlpm.CAPS=0,_xlpm.Style,LOWER(_xlpm.Style)))</f>
        <v>3215</v>
      </c>
      <c r="C435" s="81" t="str">
        <f ca="1">TRIM(PROPER(_xlfn.XLOOKUP($A435,Строчный!$A:$A,Строчный!C:C,"ERR",0)))</f>
        <v>Бейсболки</v>
      </c>
      <c r="D435" s="81" t="str">
        <f ca="1">_xlfn.LET(_xlpm.DATA,TRIM(_xlfn.XLOOKUP($A435,Строчный!$A:$A,Строчный!D:D,"ERR",0)),UPPER(MID(_xlpm.DATA,1,1))&amp;LOWER(MID(_xlpm.DATA,2,LEN(_xlpm.DATA)-1)))</f>
        <v>Бейсболка</v>
      </c>
      <c r="E435" s="81" t="str">
        <f ca="1">PROPER(TRIM(_xlfn.XLOOKUP($A435,Строчный!$A:$A,Строчный!E:E,"ERR",0)))</f>
        <v>Fredrikson</v>
      </c>
      <c r="F435" s="81" t="str">
        <f ca="1">LOWER(TRIM(_xlfn.XLOOKUP($A435,Строчный!$A:$A,Строчный!F:F,"ERR",0)))</f>
        <v>всесезон</v>
      </c>
      <c r="G435" s="81" t="str">
        <f ca="1">UPPER(TRIM(_xlfn.XLOOKUP($A435,Строчный!$A:$A,Строчный!G:G,"ERR",0)))</f>
        <v>FREDRIKSON</v>
      </c>
      <c r="H435" s="81" t="str">
        <f ca="1">LOWER(TRIM(_xlfn.XLOOKUP($A435,Строчный!$A:$A,Строчный!H:H,"ERR",0)))</f>
        <v>625/20</v>
      </c>
      <c r="I435" s="81" t="str">
        <f ca="1">LOWER(TRIM(_xlfn.XLOOKUP($A435,Строчный!$A:$A,Строчный!I:I,"ERR",0)))</f>
        <v>темно-синий</v>
      </c>
      <c r="J435" s="81" t="str">
        <f ca="1">SUBSTITUTE(LOWER(TRIM(_xlfn.XLOOKUP($A435,Строчный!$A:$A,Строчный!J:J,"ERR",0))),"подклад","Подклад")</f>
        <v>80% шерсть - 20% полиамид / Подклад: 100% вискоза</v>
      </c>
      <c r="K435" s="81" t="str">
        <f ca="1">LOWER(TRIM(_xlfn.XLOOKUP($A435,Строчный!$A:$A,Строчный!K:K,"ERR",0)))</f>
        <v>шерстяные</v>
      </c>
      <c r="L435" s="81" t="str">
        <f ca="1">PROPER(TRIM(_xlfn.XLOOKUP($A435,Строчный!$A:$A,Строчный!L:L,"ERR",0)))</f>
        <v>Унисекс</v>
      </c>
      <c r="M435" s="113" t="str">
        <f ca="1">PROPER(TRIM(_xlfn.XLOOKUP($A435,Строчный!$A:$A,Строчный!M:M,"ERR",0)))</f>
        <v>Россия</v>
      </c>
      <c r="N435" s="81" t="str">
        <f ca="1">UPPER(TRIM(_xlfn.XLOOKUP($A435,Строчный!$A:$A,Строчный!O:O,"ERR",0)))</f>
        <v/>
      </c>
      <c r="O435" s="102" t="str">
        <f ca="1">PROPER(TRIM(_xlfn.XLOOKUP($A435,Строчный!$A:$A,Строчный!P:P,"ERR",0)))</f>
        <v/>
      </c>
      <c r="P435" s="81" t="str">
        <f ca="1">PROPER(TRIM(_xlfn.XLOOKUP($A435,Строчный!$A:$A,Строчный!R:R,"ERR",0)))</f>
        <v/>
      </c>
      <c r="Q435" s="90">
        <f ca="1">VALUE(_xlfn.XLOOKUP($A435,Строчный!$A:$A,Строчный!N:N,"ERR",0))</f>
        <v>975.8</v>
      </c>
      <c r="R435" s="89" t="str">
        <f ca="1">_xlfn.XLOOKUP($G435,Фабрика!A:A,Фабрика!B:B,"ERR",0)</f>
        <v>ООО "ФРЭДРИКСОН" Россия 192029, С-Петербург, пр. Обуховской обороны, д.86, лит М</v>
      </c>
      <c r="S435" s="80" t="str">
        <f ca="1">_xlfn.XLOOKUP(RIGHT(AA435,2),Размеры!D:D,Размеры!A:A,"ERR",0)</f>
        <v>60</v>
      </c>
      <c r="T435" s="80">
        <f ca="1">VALUE(_xlfn.XLOOKUP($AA435,Строчный!$S:$S,Строчный!U:U,"ERR",0))</f>
        <v>6</v>
      </c>
      <c r="U435" s="14" t="s">
        <v>265</v>
      </c>
      <c r="V435" s="101" t="str">
        <f t="shared" ca="1" si="36"/>
        <v>Бейсболка FREDRIKSON арт. 3215 (темно-синий)</v>
      </c>
      <c r="W435" s="100" t="str">
        <f t="shared" ca="1" si="37"/>
        <v>Бейсболка FREDRIKSON арт. 3215 (темно-синий) {625/20}</v>
      </c>
      <c r="X435" s="18" t="str">
        <f t="shared" ca="1" si="38"/>
        <v>синий</v>
      </c>
      <c r="Y435" s="18" t="str">
        <f t="shared" ca="1" si="39"/>
        <v>синий</v>
      </c>
      <c r="Z435" s="117" t="str">
        <f ca="1">_xlfn.LET(_xlpm.FormColors,_xlfn.XLOOKUP(A435,Строчный!A:A,Строчный!Q:Q,"",0),IF(_xlpm.FormColors=0,IFERROR(MID(I435,FIND("-",I435)+1,LEN(I435)),IFERROR(MID(I435,1,FIND("/",I435)-2),I435)),_xlpm.FormColors))</f>
        <v>синий</v>
      </c>
      <c r="AA435" s="73" t="str">
        <f ca="1"/>
        <v>95-001-16-60</v>
      </c>
      <c r="AB435" s="75" t="str">
        <f ca="1">VLOOKUP(C435,Группа!A:B,2,FALSE)</f>
        <v>Бейсболка</v>
      </c>
      <c r="AC435" s="97" t="str">
        <f ca="1">IFERROR(VLOOKUP(S435,Размеры!A:C,3,FALSE),"")</f>
        <v>60 L/XL</v>
      </c>
      <c r="AD435" s="97" t="str">
        <f ca="1">VLOOKUP(I435,ЦветПолный!A:B,2,FALSE)</f>
        <v>16</v>
      </c>
      <c r="AE435" s="97" t="str">
        <f ca="1">IFERROR(VLOOKUP(S435,Размеры!A:D,4,FALSE),"")</f>
        <v>60</v>
      </c>
      <c r="AF435" s="97">
        <f ca="1">IF(LEFT(IFERROR(VLOOKUP(LOOKUP(2,1/SEARCH(B435,Товары!A:A),Товары!A:A),Товары!A:B,2,0),""),6)=MID(AA435,1,6),1,0)</f>
        <v>0</v>
      </c>
      <c r="AH435" s="97">
        <f ca="1">SUMIF(Группа!A:A,C435,Группа!C:C)</f>
        <v>1</v>
      </c>
      <c r="AI435" s="97">
        <f ca="1">SUMIF(Группа!B:B,AB435,Группа!C:C)</f>
        <v>1</v>
      </c>
      <c r="AJ435" s="97">
        <f ca="1">SUMIF(Формы!A:A,D435,Формы!B:B)</f>
        <v>1</v>
      </c>
      <c r="AK435" s="97">
        <f ca="1">SUMIF(Материал!A:A,K435,Материал!B:B)</f>
        <v>1</v>
      </c>
      <c r="AL435" s="97">
        <f ca="1">SUMIF(Размеры!A:A,S435,Размеры!E:E)</f>
        <v>1</v>
      </c>
      <c r="AM435" s="97">
        <f ca="1">SUMIF(Сезон!A:A,F435,Сезон!B:B)</f>
        <v>1</v>
      </c>
      <c r="AN435" s="97">
        <f ca="1">SUMIF(Состав!A:A,J435,Состав!B:B)</f>
        <v>0</v>
      </c>
      <c r="AO435" s="97">
        <f ca="1">VLOOKUP(I435,ЦветПолный!A:C,3,0)</f>
        <v>1</v>
      </c>
      <c r="AP435" s="97">
        <f ca="1">SUMIF(Цвет!A:A,Z435,Цвет!B:B)</f>
        <v>1</v>
      </c>
      <c r="AQ435" s="97">
        <f ca="1">_xlfn.XLOOKUP(L435,Пол!A:A,Пол!B:B,0,0)</f>
        <v>1</v>
      </c>
      <c r="AR435" s="97">
        <f ca="1">SUMIF(Бренд!A:A,G435,Бренд!B:B)</f>
        <v>1</v>
      </c>
      <c r="AS435" s="97">
        <f ca="1">SUMIF(Страна!A:A,M435,Страна!B:B)</f>
        <v>1</v>
      </c>
      <c r="AT435" s="64" t="e">
        <f ca="1">IF(VLOOKUP(W435,Товары!A:B,2,FALSE)=A435,"Есть в 1С","ERR")</f>
        <v>#N/A</v>
      </c>
      <c r="AU435" s="65" t="e">
        <f ca="1">IF(VLOOKUP(A435,Товары!B:B,1,FALSE)=A435,"Есть в 1С","ERR")</f>
        <v>#N/A</v>
      </c>
      <c r="AV435" s="96" t="e">
        <f ca="1">VLOOKUP(W435,Товары!A:B,2,FALSE)</f>
        <v>#N/A</v>
      </c>
      <c r="AW435" s="94" t="e">
        <f ca="1">VLOOKUP(W435,Товары!A:B,1,FALSE)</f>
        <v>#N/A</v>
      </c>
    </row>
    <row r="436" spans="1:49" x14ac:dyDescent="0.25">
      <c r="A436" s="110" t="str">
        <f t="shared" ca="1" si="35"/>
        <v>95-001-16</v>
      </c>
      <c r="B436" s="107" t="str">
        <f ca="1">_xlfn.LET(_xlpm.CAPS,0,_xlpm.Style,TRIM(_xlfn.XLOOKUP($A436,Строчный!$A:$A,Строчный!B:B,"ERR",0)),IF(_xlpm.CAPS=0,_xlpm.Style,LOWER(_xlpm.Style)))</f>
        <v>3215</v>
      </c>
      <c r="C436" s="81" t="str">
        <f ca="1">TRIM(PROPER(_xlfn.XLOOKUP($A436,Строчный!$A:$A,Строчный!C:C,"ERR",0)))</f>
        <v>Бейсболки</v>
      </c>
      <c r="D436" s="81" t="str">
        <f ca="1">_xlfn.LET(_xlpm.DATA,TRIM(_xlfn.XLOOKUP($A436,Строчный!$A:$A,Строчный!D:D,"ERR",0)),UPPER(MID(_xlpm.DATA,1,1))&amp;LOWER(MID(_xlpm.DATA,2,LEN(_xlpm.DATA)-1)))</f>
        <v>Бейсболка</v>
      </c>
      <c r="E436" s="81" t="str">
        <f ca="1">PROPER(TRIM(_xlfn.XLOOKUP($A436,Строчный!$A:$A,Строчный!E:E,"ERR",0)))</f>
        <v>Fredrikson</v>
      </c>
      <c r="F436" s="81" t="str">
        <f ca="1">LOWER(TRIM(_xlfn.XLOOKUP($A436,Строчный!$A:$A,Строчный!F:F,"ERR",0)))</f>
        <v>всесезон</v>
      </c>
      <c r="G436" s="81" t="str">
        <f ca="1">UPPER(TRIM(_xlfn.XLOOKUP($A436,Строчный!$A:$A,Строчный!G:G,"ERR",0)))</f>
        <v>FREDRIKSON</v>
      </c>
      <c r="H436" s="81" t="str">
        <f ca="1">LOWER(TRIM(_xlfn.XLOOKUP($A436,Строчный!$A:$A,Строчный!H:H,"ERR",0)))</f>
        <v>625/20</v>
      </c>
      <c r="I436" s="81" t="str">
        <f ca="1">LOWER(TRIM(_xlfn.XLOOKUP($A436,Строчный!$A:$A,Строчный!I:I,"ERR",0)))</f>
        <v>темно-синий</v>
      </c>
      <c r="J436" s="81" t="str">
        <f ca="1">SUBSTITUTE(LOWER(TRIM(_xlfn.XLOOKUP($A436,Строчный!$A:$A,Строчный!J:J,"ERR",0))),"подклад","Подклад")</f>
        <v>80% шерсть - 20% полиамид / Подклад: 100% вискоза</v>
      </c>
      <c r="K436" s="81" t="str">
        <f ca="1">LOWER(TRIM(_xlfn.XLOOKUP($A436,Строчный!$A:$A,Строчный!K:K,"ERR",0)))</f>
        <v>шерстяные</v>
      </c>
      <c r="L436" s="81" t="str">
        <f ca="1">PROPER(TRIM(_xlfn.XLOOKUP($A436,Строчный!$A:$A,Строчный!L:L,"ERR",0)))</f>
        <v>Унисекс</v>
      </c>
      <c r="M436" s="113" t="str">
        <f ca="1">PROPER(TRIM(_xlfn.XLOOKUP($A436,Строчный!$A:$A,Строчный!M:M,"ERR",0)))</f>
        <v>Россия</v>
      </c>
      <c r="N436" s="81" t="str">
        <f ca="1">UPPER(TRIM(_xlfn.XLOOKUP($A436,Строчный!$A:$A,Строчный!O:O,"ERR",0)))</f>
        <v/>
      </c>
      <c r="O436" s="102" t="str">
        <f ca="1">PROPER(TRIM(_xlfn.XLOOKUP($A436,Строчный!$A:$A,Строчный!P:P,"ERR",0)))</f>
        <v/>
      </c>
      <c r="P436" s="81" t="str">
        <f ca="1">PROPER(TRIM(_xlfn.XLOOKUP($A436,Строчный!$A:$A,Строчный!R:R,"ERR",0)))</f>
        <v/>
      </c>
      <c r="Q436" s="90">
        <f ca="1">VALUE(_xlfn.XLOOKUP($A436,Строчный!$A:$A,Строчный!N:N,"ERR",0))</f>
        <v>975.8</v>
      </c>
      <c r="R436" s="89" t="str">
        <f ca="1">_xlfn.XLOOKUP($G436,Фабрика!A:A,Фабрика!B:B,"ERR",0)</f>
        <v>ООО "ФРЭДРИКСОН" Россия 192029, С-Петербург, пр. Обуховской обороны, д.86, лит М</v>
      </c>
      <c r="S436" s="80" t="str">
        <f ca="1">_xlfn.XLOOKUP(RIGHT(AA436,2),Размеры!D:D,Размеры!A:A,"ERR",0)</f>
        <v>59</v>
      </c>
      <c r="T436" s="80">
        <f ca="1">VALUE(_xlfn.XLOOKUP($AA436,Строчный!$S:$S,Строчный!U:U,"ERR",0))</f>
        <v>9</v>
      </c>
      <c r="U436" s="14" t="s">
        <v>265</v>
      </c>
      <c r="V436" s="101" t="str">
        <f t="shared" ca="1" si="36"/>
        <v>Бейсболка FREDRIKSON арт. 3215 (темно-синий)</v>
      </c>
      <c r="W436" s="100" t="str">
        <f t="shared" ca="1" si="37"/>
        <v>Бейсболка FREDRIKSON арт. 3215 (темно-синий) {625/20}</v>
      </c>
      <c r="X436" s="18" t="str">
        <f t="shared" ca="1" si="38"/>
        <v>синий</v>
      </c>
      <c r="Y436" s="18" t="str">
        <f t="shared" ca="1" si="39"/>
        <v>синий</v>
      </c>
      <c r="Z436" s="117" t="str">
        <f ca="1">_xlfn.LET(_xlpm.FormColors,_xlfn.XLOOKUP(A436,Строчный!A:A,Строчный!Q:Q,"",0),IF(_xlpm.FormColors=0,IFERROR(MID(I436,FIND("-",I436)+1,LEN(I436)),IFERROR(MID(I436,1,FIND("/",I436)-2),I436)),_xlpm.FormColors))</f>
        <v>синий</v>
      </c>
      <c r="AA436" s="73" t="str">
        <f ca="1"/>
        <v>95-001-16-59</v>
      </c>
      <c r="AB436" s="75" t="str">
        <f ca="1">VLOOKUP(C436,Группа!A:B,2,FALSE)</f>
        <v>Бейсболка</v>
      </c>
      <c r="AC436" s="97" t="str">
        <f ca="1">IFERROR(VLOOKUP(S436,Размеры!A:C,3,FALSE),"")</f>
        <v>59 L</v>
      </c>
      <c r="AD436" s="97" t="str">
        <f ca="1">VLOOKUP(I436,ЦветПолный!A:B,2,FALSE)</f>
        <v>16</v>
      </c>
      <c r="AE436" s="97" t="str">
        <f ca="1">IFERROR(VLOOKUP(S436,Размеры!A:D,4,FALSE),"")</f>
        <v>59</v>
      </c>
      <c r="AF436" s="97">
        <f ca="1">IF(LEFT(IFERROR(VLOOKUP(LOOKUP(2,1/SEARCH(B436,Товары!A:A),Товары!A:A),Товары!A:B,2,0),""),6)=MID(AA436,1,6),1,0)</f>
        <v>0</v>
      </c>
      <c r="AH436" s="97">
        <f ca="1">SUMIF(Группа!A:A,C436,Группа!C:C)</f>
        <v>1</v>
      </c>
      <c r="AI436" s="97">
        <f ca="1">SUMIF(Группа!B:B,AB436,Группа!C:C)</f>
        <v>1</v>
      </c>
      <c r="AJ436" s="97">
        <f ca="1">SUMIF(Формы!A:A,D436,Формы!B:B)</f>
        <v>1</v>
      </c>
      <c r="AK436" s="97">
        <f ca="1">SUMIF(Материал!A:A,K436,Материал!B:B)</f>
        <v>1</v>
      </c>
      <c r="AL436" s="97">
        <f ca="1">SUMIF(Размеры!A:A,S436,Размеры!E:E)</f>
        <v>1</v>
      </c>
      <c r="AM436" s="97">
        <f ca="1">SUMIF(Сезон!A:A,F436,Сезон!B:B)</f>
        <v>1</v>
      </c>
      <c r="AN436" s="97">
        <f ca="1">SUMIF(Состав!A:A,J436,Состав!B:B)</f>
        <v>0</v>
      </c>
      <c r="AO436" s="97">
        <f ca="1">VLOOKUP(I436,ЦветПолный!A:C,3,0)</f>
        <v>1</v>
      </c>
      <c r="AP436" s="97">
        <f ca="1">SUMIF(Цвет!A:A,Z436,Цвет!B:B)</f>
        <v>1</v>
      </c>
      <c r="AQ436" s="97">
        <f ca="1">_xlfn.XLOOKUP(L436,Пол!A:A,Пол!B:B,0,0)</f>
        <v>1</v>
      </c>
      <c r="AR436" s="97">
        <f ca="1">SUMIF(Бренд!A:A,G436,Бренд!B:B)</f>
        <v>1</v>
      </c>
      <c r="AS436" s="97">
        <f ca="1">SUMIF(Страна!A:A,M436,Страна!B:B)</f>
        <v>1</v>
      </c>
      <c r="AT436" s="64" t="e">
        <f ca="1">IF(VLOOKUP(W436,Товары!A:B,2,FALSE)=A436,"Есть в 1С","ERR")</f>
        <v>#N/A</v>
      </c>
      <c r="AU436" s="65" t="e">
        <f ca="1">IF(VLOOKUP(A436,Товары!B:B,1,FALSE)=A436,"Есть в 1С","ERR")</f>
        <v>#N/A</v>
      </c>
      <c r="AV436" s="96" t="e">
        <f ca="1">VLOOKUP(W436,Товары!A:B,2,FALSE)</f>
        <v>#N/A</v>
      </c>
      <c r="AW436" s="94" t="e">
        <f ca="1">VLOOKUP(W436,Товары!A:B,1,FALSE)</f>
        <v>#N/A</v>
      </c>
    </row>
    <row r="437" spans="1:49" x14ac:dyDescent="0.25">
      <c r="A437" s="110" t="str">
        <f t="shared" ca="1" si="35"/>
        <v>95-001-16</v>
      </c>
      <c r="B437" s="107" t="str">
        <f ca="1">_xlfn.LET(_xlpm.CAPS,0,_xlpm.Style,TRIM(_xlfn.XLOOKUP($A437,Строчный!$A:$A,Строчный!B:B,"ERR",0)),IF(_xlpm.CAPS=0,_xlpm.Style,LOWER(_xlpm.Style)))</f>
        <v>3215</v>
      </c>
      <c r="C437" s="81" t="str">
        <f ca="1">TRIM(PROPER(_xlfn.XLOOKUP($A437,Строчный!$A:$A,Строчный!C:C,"ERR",0)))</f>
        <v>Бейсболки</v>
      </c>
      <c r="D437" s="81" t="str">
        <f ca="1">_xlfn.LET(_xlpm.DATA,TRIM(_xlfn.XLOOKUP($A437,Строчный!$A:$A,Строчный!D:D,"ERR",0)),UPPER(MID(_xlpm.DATA,1,1))&amp;LOWER(MID(_xlpm.DATA,2,LEN(_xlpm.DATA)-1)))</f>
        <v>Бейсболка</v>
      </c>
      <c r="E437" s="81" t="str">
        <f ca="1">PROPER(TRIM(_xlfn.XLOOKUP($A437,Строчный!$A:$A,Строчный!E:E,"ERR",0)))</f>
        <v>Fredrikson</v>
      </c>
      <c r="F437" s="81" t="str">
        <f ca="1">LOWER(TRIM(_xlfn.XLOOKUP($A437,Строчный!$A:$A,Строчный!F:F,"ERR",0)))</f>
        <v>всесезон</v>
      </c>
      <c r="G437" s="81" t="str">
        <f ca="1">UPPER(TRIM(_xlfn.XLOOKUP($A437,Строчный!$A:$A,Строчный!G:G,"ERR",0)))</f>
        <v>FREDRIKSON</v>
      </c>
      <c r="H437" s="81" t="str">
        <f ca="1">LOWER(TRIM(_xlfn.XLOOKUP($A437,Строчный!$A:$A,Строчный!H:H,"ERR",0)))</f>
        <v>625/20</v>
      </c>
      <c r="I437" s="81" t="str">
        <f ca="1">LOWER(TRIM(_xlfn.XLOOKUP($A437,Строчный!$A:$A,Строчный!I:I,"ERR",0)))</f>
        <v>темно-синий</v>
      </c>
      <c r="J437" s="81" t="str">
        <f ca="1">SUBSTITUTE(LOWER(TRIM(_xlfn.XLOOKUP($A437,Строчный!$A:$A,Строчный!J:J,"ERR",0))),"подклад","Подклад")</f>
        <v>80% шерсть - 20% полиамид / Подклад: 100% вискоза</v>
      </c>
      <c r="K437" s="81" t="str">
        <f ca="1">LOWER(TRIM(_xlfn.XLOOKUP($A437,Строчный!$A:$A,Строчный!K:K,"ERR",0)))</f>
        <v>шерстяные</v>
      </c>
      <c r="L437" s="81" t="str">
        <f ca="1">PROPER(TRIM(_xlfn.XLOOKUP($A437,Строчный!$A:$A,Строчный!L:L,"ERR",0)))</f>
        <v>Унисекс</v>
      </c>
      <c r="M437" s="113" t="str">
        <f ca="1">PROPER(TRIM(_xlfn.XLOOKUP($A437,Строчный!$A:$A,Строчный!M:M,"ERR",0)))</f>
        <v>Россия</v>
      </c>
      <c r="N437" s="81" t="str">
        <f ca="1">UPPER(TRIM(_xlfn.XLOOKUP($A437,Строчный!$A:$A,Строчный!O:O,"ERR",0)))</f>
        <v/>
      </c>
      <c r="O437" s="102" t="str">
        <f ca="1">PROPER(TRIM(_xlfn.XLOOKUP($A437,Строчный!$A:$A,Строчный!P:P,"ERR",0)))</f>
        <v/>
      </c>
      <c r="P437" s="81" t="str">
        <f ca="1">PROPER(TRIM(_xlfn.XLOOKUP($A437,Строчный!$A:$A,Строчный!R:R,"ERR",0)))</f>
        <v/>
      </c>
      <c r="Q437" s="90">
        <f ca="1">VALUE(_xlfn.XLOOKUP($A437,Строчный!$A:$A,Строчный!N:N,"ERR",0))</f>
        <v>975.8</v>
      </c>
      <c r="R437" s="89" t="str">
        <f ca="1">_xlfn.XLOOKUP($G437,Фабрика!A:A,Фабрика!B:B,"ERR",0)</f>
        <v>ООО "ФРЭДРИКСОН" Россия 192029, С-Петербург, пр. Обуховской обороны, д.86, лит М</v>
      </c>
      <c r="S437" s="80" t="str">
        <f ca="1">_xlfn.XLOOKUP(RIGHT(AA437,2),Размеры!D:D,Размеры!A:A,"ERR",0)</f>
        <v>58</v>
      </c>
      <c r="T437" s="80">
        <f ca="1">VALUE(_xlfn.XLOOKUP($AA437,Строчный!$S:$S,Строчный!U:U,"ERR",0))</f>
        <v>6</v>
      </c>
      <c r="U437" s="14" t="s">
        <v>265</v>
      </c>
      <c r="V437" s="101" t="str">
        <f t="shared" ca="1" si="36"/>
        <v>Бейсболка FREDRIKSON арт. 3215 (темно-синий)</v>
      </c>
      <c r="W437" s="100" t="str">
        <f t="shared" ca="1" si="37"/>
        <v>Бейсболка FREDRIKSON арт. 3215 (темно-синий) {625/20}</v>
      </c>
      <c r="X437" s="18" t="str">
        <f t="shared" ca="1" si="38"/>
        <v>синий</v>
      </c>
      <c r="Y437" s="18" t="str">
        <f t="shared" ca="1" si="39"/>
        <v>синий</v>
      </c>
      <c r="Z437" s="117" t="str">
        <f ca="1">_xlfn.LET(_xlpm.FormColors,_xlfn.XLOOKUP(A437,Строчный!A:A,Строчный!Q:Q,"",0),IF(_xlpm.FormColors=0,IFERROR(MID(I437,FIND("-",I437)+1,LEN(I437)),IFERROR(MID(I437,1,FIND("/",I437)-2),I437)),_xlpm.FormColors))</f>
        <v>синий</v>
      </c>
      <c r="AA437" s="73" t="str">
        <f ca="1"/>
        <v>95-001-16-58</v>
      </c>
      <c r="AB437" s="75" t="str">
        <f ca="1">VLOOKUP(C437,Группа!A:B,2,FALSE)</f>
        <v>Бейсболка</v>
      </c>
      <c r="AC437" s="97" t="str">
        <f ca="1">IFERROR(VLOOKUP(S437,Размеры!A:C,3,FALSE),"")</f>
        <v>58 M/L</v>
      </c>
      <c r="AD437" s="97" t="str">
        <f ca="1">VLOOKUP(I437,ЦветПолный!A:B,2,FALSE)</f>
        <v>16</v>
      </c>
      <c r="AE437" s="97" t="str">
        <f ca="1">IFERROR(VLOOKUP(S437,Размеры!A:D,4,FALSE),"")</f>
        <v>58</v>
      </c>
      <c r="AF437" s="97">
        <f ca="1">IF(LEFT(IFERROR(VLOOKUP(LOOKUP(2,1/SEARCH(B437,Товары!A:A),Товары!A:A),Товары!A:B,2,0),""),6)=MID(AA437,1,6),1,0)</f>
        <v>0</v>
      </c>
      <c r="AH437" s="97">
        <f ca="1">SUMIF(Группа!A:A,C437,Группа!C:C)</f>
        <v>1</v>
      </c>
      <c r="AI437" s="97">
        <f ca="1">SUMIF(Группа!B:B,AB437,Группа!C:C)</f>
        <v>1</v>
      </c>
      <c r="AJ437" s="97">
        <f ca="1">SUMIF(Формы!A:A,D437,Формы!B:B)</f>
        <v>1</v>
      </c>
      <c r="AK437" s="97">
        <f ca="1">SUMIF(Материал!A:A,K437,Материал!B:B)</f>
        <v>1</v>
      </c>
      <c r="AL437" s="97">
        <f ca="1">SUMIF(Размеры!A:A,S437,Размеры!E:E)</f>
        <v>1</v>
      </c>
      <c r="AM437" s="97">
        <f ca="1">SUMIF(Сезон!A:A,F437,Сезон!B:B)</f>
        <v>1</v>
      </c>
      <c r="AN437" s="97">
        <f ca="1">SUMIF(Состав!A:A,J437,Состав!B:B)</f>
        <v>0</v>
      </c>
      <c r="AO437" s="97">
        <f ca="1">VLOOKUP(I437,ЦветПолный!A:C,3,0)</f>
        <v>1</v>
      </c>
      <c r="AP437" s="97">
        <f ca="1">SUMIF(Цвет!A:A,Z437,Цвет!B:B)</f>
        <v>1</v>
      </c>
      <c r="AQ437" s="97">
        <f ca="1">_xlfn.XLOOKUP(L437,Пол!A:A,Пол!B:B,0,0)</f>
        <v>1</v>
      </c>
      <c r="AR437" s="97">
        <f ca="1">SUMIF(Бренд!A:A,G437,Бренд!B:B)</f>
        <v>1</v>
      </c>
      <c r="AS437" s="97">
        <f ca="1">SUMIF(Страна!A:A,M437,Страна!B:B)</f>
        <v>1</v>
      </c>
      <c r="AT437" s="64" t="e">
        <f ca="1">IF(VLOOKUP(W437,Товары!A:B,2,FALSE)=A437,"Есть в 1С","ERR")</f>
        <v>#N/A</v>
      </c>
      <c r="AU437" s="65" t="e">
        <f ca="1">IF(VLOOKUP(A437,Товары!B:B,1,FALSE)=A437,"Есть в 1С","ERR")</f>
        <v>#N/A</v>
      </c>
      <c r="AV437" s="96" t="e">
        <f ca="1">VLOOKUP(W437,Товары!A:B,2,FALSE)</f>
        <v>#N/A</v>
      </c>
      <c r="AW437" s="94" t="e">
        <f ca="1">VLOOKUP(W437,Товары!A:B,1,FALSE)</f>
        <v>#N/A</v>
      </c>
    </row>
    <row r="438" spans="1:49" x14ac:dyDescent="0.25">
      <c r="A438" s="110" t="str">
        <f t="shared" ca="1" si="35"/>
        <v>95-001-16</v>
      </c>
      <c r="B438" s="107" t="str">
        <f ca="1">_xlfn.LET(_xlpm.CAPS,0,_xlpm.Style,TRIM(_xlfn.XLOOKUP($A438,Строчный!$A:$A,Строчный!B:B,"ERR",0)),IF(_xlpm.CAPS=0,_xlpm.Style,LOWER(_xlpm.Style)))</f>
        <v>3215</v>
      </c>
      <c r="C438" s="81" t="str">
        <f ca="1">TRIM(PROPER(_xlfn.XLOOKUP($A438,Строчный!$A:$A,Строчный!C:C,"ERR",0)))</f>
        <v>Бейсболки</v>
      </c>
      <c r="D438" s="81" t="str">
        <f ca="1">_xlfn.LET(_xlpm.DATA,TRIM(_xlfn.XLOOKUP($A438,Строчный!$A:$A,Строчный!D:D,"ERR",0)),UPPER(MID(_xlpm.DATA,1,1))&amp;LOWER(MID(_xlpm.DATA,2,LEN(_xlpm.DATA)-1)))</f>
        <v>Бейсболка</v>
      </c>
      <c r="E438" s="81" t="str">
        <f ca="1">PROPER(TRIM(_xlfn.XLOOKUP($A438,Строчный!$A:$A,Строчный!E:E,"ERR",0)))</f>
        <v>Fredrikson</v>
      </c>
      <c r="F438" s="81" t="str">
        <f ca="1">LOWER(TRIM(_xlfn.XLOOKUP($A438,Строчный!$A:$A,Строчный!F:F,"ERR",0)))</f>
        <v>всесезон</v>
      </c>
      <c r="G438" s="81" t="str">
        <f ca="1">UPPER(TRIM(_xlfn.XLOOKUP($A438,Строчный!$A:$A,Строчный!G:G,"ERR",0)))</f>
        <v>FREDRIKSON</v>
      </c>
      <c r="H438" s="81" t="str">
        <f ca="1">LOWER(TRIM(_xlfn.XLOOKUP($A438,Строчный!$A:$A,Строчный!H:H,"ERR",0)))</f>
        <v>625/20</v>
      </c>
      <c r="I438" s="81" t="str">
        <f ca="1">LOWER(TRIM(_xlfn.XLOOKUP($A438,Строчный!$A:$A,Строчный!I:I,"ERR",0)))</f>
        <v>темно-синий</v>
      </c>
      <c r="J438" s="81" t="str">
        <f ca="1">SUBSTITUTE(LOWER(TRIM(_xlfn.XLOOKUP($A438,Строчный!$A:$A,Строчный!J:J,"ERR",0))),"подклад","Подклад")</f>
        <v>80% шерсть - 20% полиамид / Подклад: 100% вискоза</v>
      </c>
      <c r="K438" s="81" t="str">
        <f ca="1">LOWER(TRIM(_xlfn.XLOOKUP($A438,Строчный!$A:$A,Строчный!K:K,"ERR",0)))</f>
        <v>шерстяные</v>
      </c>
      <c r="L438" s="81" t="str">
        <f ca="1">PROPER(TRIM(_xlfn.XLOOKUP($A438,Строчный!$A:$A,Строчный!L:L,"ERR",0)))</f>
        <v>Унисекс</v>
      </c>
      <c r="M438" s="113" t="str">
        <f ca="1">PROPER(TRIM(_xlfn.XLOOKUP($A438,Строчный!$A:$A,Строчный!M:M,"ERR",0)))</f>
        <v>Россия</v>
      </c>
      <c r="N438" s="81" t="str">
        <f ca="1">UPPER(TRIM(_xlfn.XLOOKUP($A438,Строчный!$A:$A,Строчный!O:O,"ERR",0)))</f>
        <v/>
      </c>
      <c r="O438" s="102" t="str">
        <f ca="1">PROPER(TRIM(_xlfn.XLOOKUP($A438,Строчный!$A:$A,Строчный!P:P,"ERR",0)))</f>
        <v/>
      </c>
      <c r="P438" s="81" t="str">
        <f ca="1">PROPER(TRIM(_xlfn.XLOOKUP($A438,Строчный!$A:$A,Строчный!R:R,"ERR",0)))</f>
        <v/>
      </c>
      <c r="Q438" s="90">
        <f ca="1">VALUE(_xlfn.XLOOKUP($A438,Строчный!$A:$A,Строчный!N:N,"ERR",0))</f>
        <v>975.8</v>
      </c>
      <c r="R438" s="89" t="str">
        <f ca="1">_xlfn.XLOOKUP($G438,Фабрика!A:A,Фабрика!B:B,"ERR",0)</f>
        <v>ООО "ФРЭДРИКСОН" Россия 192029, С-Петербург, пр. Обуховской обороны, д.86, лит М</v>
      </c>
      <c r="S438" s="80" t="str">
        <f ca="1">_xlfn.XLOOKUP(RIGHT(AA438,2),Размеры!D:D,Размеры!A:A,"ERR",0)</f>
        <v>57</v>
      </c>
      <c r="T438" s="80">
        <f ca="1">VALUE(_xlfn.XLOOKUP($AA438,Строчный!$S:$S,Строчный!U:U,"ERR",0))</f>
        <v>4</v>
      </c>
      <c r="U438" s="14" t="s">
        <v>265</v>
      </c>
      <c r="V438" s="101" t="str">
        <f t="shared" ca="1" si="36"/>
        <v>Бейсболка FREDRIKSON арт. 3215 (темно-синий)</v>
      </c>
      <c r="W438" s="100" t="str">
        <f t="shared" ca="1" si="37"/>
        <v>Бейсболка FREDRIKSON арт. 3215 (темно-синий) {625/20}</v>
      </c>
      <c r="X438" s="18" t="str">
        <f t="shared" ca="1" si="38"/>
        <v>синий</v>
      </c>
      <c r="Y438" s="18" t="str">
        <f t="shared" ca="1" si="39"/>
        <v>синий</v>
      </c>
      <c r="Z438" s="117" t="str">
        <f ca="1">_xlfn.LET(_xlpm.FormColors,_xlfn.XLOOKUP(A438,Строчный!A:A,Строчный!Q:Q,"",0),IF(_xlpm.FormColors=0,IFERROR(MID(I438,FIND("-",I438)+1,LEN(I438)),IFERROR(MID(I438,1,FIND("/",I438)-2),I438)),_xlpm.FormColors))</f>
        <v>синий</v>
      </c>
      <c r="AA438" s="73" t="str">
        <f ca="1"/>
        <v>95-001-16-57</v>
      </c>
      <c r="AB438" s="75" t="str">
        <f ca="1">VLOOKUP(C438,Группа!A:B,2,FALSE)</f>
        <v>Бейсболка</v>
      </c>
      <c r="AC438" s="97" t="str">
        <f ca="1">IFERROR(VLOOKUP(S438,Размеры!A:C,3,FALSE),"")</f>
        <v>57 M</v>
      </c>
      <c r="AD438" s="97" t="str">
        <f ca="1">VLOOKUP(I438,ЦветПолный!A:B,2,FALSE)</f>
        <v>16</v>
      </c>
      <c r="AE438" s="97" t="str">
        <f ca="1">IFERROR(VLOOKUP(S438,Размеры!A:D,4,FALSE),"")</f>
        <v>57</v>
      </c>
      <c r="AF438" s="97">
        <f ca="1">IF(LEFT(IFERROR(VLOOKUP(LOOKUP(2,1/SEARCH(B438,Товары!A:A),Товары!A:A),Товары!A:B,2,0),""),6)=MID(AA438,1,6),1,0)</f>
        <v>0</v>
      </c>
      <c r="AH438" s="97">
        <f ca="1">SUMIF(Группа!A:A,C438,Группа!C:C)</f>
        <v>1</v>
      </c>
      <c r="AI438" s="97">
        <f ca="1">SUMIF(Группа!B:B,AB438,Группа!C:C)</f>
        <v>1</v>
      </c>
      <c r="AJ438" s="97">
        <f ca="1">SUMIF(Формы!A:A,D438,Формы!B:B)</f>
        <v>1</v>
      </c>
      <c r="AK438" s="97">
        <f ca="1">SUMIF(Материал!A:A,K438,Материал!B:B)</f>
        <v>1</v>
      </c>
      <c r="AL438" s="97">
        <f ca="1">SUMIF(Размеры!A:A,S438,Размеры!E:E)</f>
        <v>1</v>
      </c>
      <c r="AM438" s="97">
        <f ca="1">SUMIF(Сезон!A:A,F438,Сезон!B:B)</f>
        <v>1</v>
      </c>
      <c r="AN438" s="97">
        <f ca="1">SUMIF(Состав!A:A,J438,Состав!B:B)</f>
        <v>0</v>
      </c>
      <c r="AO438" s="97">
        <f ca="1">VLOOKUP(I438,ЦветПолный!A:C,3,0)</f>
        <v>1</v>
      </c>
      <c r="AP438" s="97">
        <f ca="1">SUMIF(Цвет!A:A,Z438,Цвет!B:B)</f>
        <v>1</v>
      </c>
      <c r="AQ438" s="97">
        <f ca="1">_xlfn.XLOOKUP(L438,Пол!A:A,Пол!B:B,0,0)</f>
        <v>1</v>
      </c>
      <c r="AR438" s="97">
        <f ca="1">SUMIF(Бренд!A:A,G438,Бренд!B:B)</f>
        <v>1</v>
      </c>
      <c r="AS438" s="97">
        <f ca="1">SUMIF(Страна!A:A,M438,Страна!B:B)</f>
        <v>1</v>
      </c>
      <c r="AT438" s="64" t="e">
        <f ca="1">IF(VLOOKUP(W438,Товары!A:B,2,FALSE)=A438,"Есть в 1С","ERR")</f>
        <v>#N/A</v>
      </c>
      <c r="AU438" s="65" t="e">
        <f ca="1">IF(VLOOKUP(A438,Товары!B:B,1,FALSE)=A438,"Есть в 1С","ERR")</f>
        <v>#N/A</v>
      </c>
      <c r="AV438" s="96" t="e">
        <f ca="1">VLOOKUP(W438,Товары!A:B,2,FALSE)</f>
        <v>#N/A</v>
      </c>
      <c r="AW438" s="94" t="e">
        <f ca="1">VLOOKUP(W438,Товары!A:B,1,FALSE)</f>
        <v>#N/A</v>
      </c>
    </row>
    <row r="439" spans="1:49" x14ac:dyDescent="0.25">
      <c r="A439" s="110" t="str">
        <f t="shared" ca="1" si="35"/>
        <v>95-001-16</v>
      </c>
      <c r="B439" s="107" t="str">
        <f ca="1">_xlfn.LET(_xlpm.CAPS,0,_xlpm.Style,TRIM(_xlfn.XLOOKUP($A439,Строчный!$A:$A,Строчный!B:B,"ERR",0)),IF(_xlpm.CAPS=0,_xlpm.Style,LOWER(_xlpm.Style)))</f>
        <v>3215</v>
      </c>
      <c r="C439" s="81" t="str">
        <f ca="1">TRIM(PROPER(_xlfn.XLOOKUP($A439,Строчный!$A:$A,Строчный!C:C,"ERR",0)))</f>
        <v>Бейсболки</v>
      </c>
      <c r="D439" s="81" t="str">
        <f ca="1">_xlfn.LET(_xlpm.DATA,TRIM(_xlfn.XLOOKUP($A439,Строчный!$A:$A,Строчный!D:D,"ERR",0)),UPPER(MID(_xlpm.DATA,1,1))&amp;LOWER(MID(_xlpm.DATA,2,LEN(_xlpm.DATA)-1)))</f>
        <v>Бейсболка</v>
      </c>
      <c r="E439" s="81" t="str">
        <f ca="1">PROPER(TRIM(_xlfn.XLOOKUP($A439,Строчный!$A:$A,Строчный!E:E,"ERR",0)))</f>
        <v>Fredrikson</v>
      </c>
      <c r="F439" s="81" t="str">
        <f ca="1">LOWER(TRIM(_xlfn.XLOOKUP($A439,Строчный!$A:$A,Строчный!F:F,"ERR",0)))</f>
        <v>всесезон</v>
      </c>
      <c r="G439" s="81" t="str">
        <f ca="1">UPPER(TRIM(_xlfn.XLOOKUP($A439,Строчный!$A:$A,Строчный!G:G,"ERR",0)))</f>
        <v>FREDRIKSON</v>
      </c>
      <c r="H439" s="81" t="str">
        <f ca="1">LOWER(TRIM(_xlfn.XLOOKUP($A439,Строчный!$A:$A,Строчный!H:H,"ERR",0)))</f>
        <v>625/20</v>
      </c>
      <c r="I439" s="81" t="str">
        <f ca="1">LOWER(TRIM(_xlfn.XLOOKUP($A439,Строчный!$A:$A,Строчный!I:I,"ERR",0)))</f>
        <v>темно-синий</v>
      </c>
      <c r="J439" s="81" t="str">
        <f ca="1">SUBSTITUTE(LOWER(TRIM(_xlfn.XLOOKUP($A439,Строчный!$A:$A,Строчный!J:J,"ERR",0))),"подклад","Подклад")</f>
        <v>80% шерсть - 20% полиамид / Подклад: 100% вискоза</v>
      </c>
      <c r="K439" s="81" t="str">
        <f ca="1">LOWER(TRIM(_xlfn.XLOOKUP($A439,Строчный!$A:$A,Строчный!K:K,"ERR",0)))</f>
        <v>шерстяные</v>
      </c>
      <c r="L439" s="81" t="str">
        <f ca="1">PROPER(TRIM(_xlfn.XLOOKUP($A439,Строчный!$A:$A,Строчный!L:L,"ERR",0)))</f>
        <v>Унисекс</v>
      </c>
      <c r="M439" s="113" t="str">
        <f ca="1">PROPER(TRIM(_xlfn.XLOOKUP($A439,Строчный!$A:$A,Строчный!M:M,"ERR",0)))</f>
        <v>Россия</v>
      </c>
      <c r="N439" s="81" t="str">
        <f ca="1">UPPER(TRIM(_xlfn.XLOOKUP($A439,Строчный!$A:$A,Строчный!O:O,"ERR",0)))</f>
        <v/>
      </c>
      <c r="O439" s="102" t="str">
        <f ca="1">PROPER(TRIM(_xlfn.XLOOKUP($A439,Строчный!$A:$A,Строчный!P:P,"ERR",0)))</f>
        <v/>
      </c>
      <c r="P439" s="81" t="str">
        <f ca="1">PROPER(TRIM(_xlfn.XLOOKUP($A439,Строчный!$A:$A,Строчный!R:R,"ERR",0)))</f>
        <v/>
      </c>
      <c r="Q439" s="90">
        <f ca="1">VALUE(_xlfn.XLOOKUP($A439,Строчный!$A:$A,Строчный!N:N,"ERR",0))</f>
        <v>975.8</v>
      </c>
      <c r="R439" s="89" t="str">
        <f ca="1">_xlfn.XLOOKUP($G439,Фабрика!A:A,Фабрика!B:B,"ERR",0)</f>
        <v>ООО "ФРЭДРИКСОН" Россия 192029, С-Петербург, пр. Обуховской обороны, д.86, лит М</v>
      </c>
      <c r="S439" s="80" t="str">
        <f ca="1">_xlfn.XLOOKUP(RIGHT(AA439,2),Размеры!D:D,Размеры!A:A,"ERR",0)</f>
        <v>56</v>
      </c>
      <c r="T439" s="80">
        <f ca="1">VALUE(_xlfn.XLOOKUP($AA439,Строчный!$S:$S,Строчный!U:U,"ERR",0))</f>
        <v>2</v>
      </c>
      <c r="U439" s="14" t="s">
        <v>265</v>
      </c>
      <c r="V439" s="101" t="str">
        <f t="shared" ca="1" si="36"/>
        <v>Бейсболка FREDRIKSON арт. 3215 (темно-синий)</v>
      </c>
      <c r="W439" s="100" t="str">
        <f t="shared" ca="1" si="37"/>
        <v>Бейсболка FREDRIKSON арт. 3215 (темно-синий) {625/20}</v>
      </c>
      <c r="X439" s="18" t="str">
        <f t="shared" ca="1" si="38"/>
        <v>синий</v>
      </c>
      <c r="Y439" s="18" t="str">
        <f t="shared" ca="1" si="39"/>
        <v>синий</v>
      </c>
      <c r="Z439" s="117" t="str">
        <f ca="1">_xlfn.LET(_xlpm.FormColors,_xlfn.XLOOKUP(A439,Строчный!A:A,Строчный!Q:Q,"",0),IF(_xlpm.FormColors=0,IFERROR(MID(I439,FIND("-",I439)+1,LEN(I439)),IFERROR(MID(I439,1,FIND("/",I439)-2),I439)),_xlpm.FormColors))</f>
        <v>синий</v>
      </c>
      <c r="AA439" s="73" t="str">
        <f ca="1"/>
        <v>95-001-16-56</v>
      </c>
      <c r="AB439" s="75" t="str">
        <f ca="1">VLOOKUP(C439,Группа!A:B,2,FALSE)</f>
        <v>Бейсболка</v>
      </c>
      <c r="AC439" s="97" t="str">
        <f ca="1">IFERROR(VLOOKUP(S439,Размеры!A:C,3,FALSE),"")</f>
        <v>56 S/M</v>
      </c>
      <c r="AD439" s="97" t="str">
        <f ca="1">VLOOKUP(I439,ЦветПолный!A:B,2,FALSE)</f>
        <v>16</v>
      </c>
      <c r="AE439" s="97" t="str">
        <f ca="1">IFERROR(VLOOKUP(S439,Размеры!A:D,4,FALSE),"")</f>
        <v>56</v>
      </c>
      <c r="AF439" s="97">
        <f ca="1">IF(LEFT(IFERROR(VLOOKUP(LOOKUP(2,1/SEARCH(B439,Товары!A:A),Товары!A:A),Товары!A:B,2,0),""),6)=MID(AA439,1,6),1,0)</f>
        <v>0</v>
      </c>
      <c r="AH439" s="97">
        <f ca="1">SUMIF(Группа!A:A,C439,Группа!C:C)</f>
        <v>1</v>
      </c>
      <c r="AI439" s="97">
        <f ca="1">SUMIF(Группа!B:B,AB439,Группа!C:C)</f>
        <v>1</v>
      </c>
      <c r="AJ439" s="97">
        <f ca="1">SUMIF(Формы!A:A,D439,Формы!B:B)</f>
        <v>1</v>
      </c>
      <c r="AK439" s="97">
        <f ca="1">SUMIF(Материал!A:A,K439,Материал!B:B)</f>
        <v>1</v>
      </c>
      <c r="AL439" s="97">
        <f ca="1">SUMIF(Размеры!A:A,S439,Размеры!E:E)</f>
        <v>1</v>
      </c>
      <c r="AM439" s="97">
        <f ca="1">SUMIF(Сезон!A:A,F439,Сезон!B:B)</f>
        <v>1</v>
      </c>
      <c r="AN439" s="97">
        <f ca="1">SUMIF(Состав!A:A,J439,Состав!B:B)</f>
        <v>0</v>
      </c>
      <c r="AO439" s="97">
        <f ca="1">VLOOKUP(I439,ЦветПолный!A:C,3,0)</f>
        <v>1</v>
      </c>
      <c r="AP439" s="97">
        <f ca="1">SUMIF(Цвет!A:A,Z439,Цвет!B:B)</f>
        <v>1</v>
      </c>
      <c r="AQ439" s="97">
        <f ca="1">_xlfn.XLOOKUP(L439,Пол!A:A,Пол!B:B,0,0)</f>
        <v>1</v>
      </c>
      <c r="AR439" s="97">
        <f ca="1">SUMIF(Бренд!A:A,G439,Бренд!B:B)</f>
        <v>1</v>
      </c>
      <c r="AS439" s="97">
        <f ca="1">SUMIF(Страна!A:A,M439,Страна!B:B)</f>
        <v>1</v>
      </c>
      <c r="AT439" s="64" t="e">
        <f ca="1">IF(VLOOKUP(W439,Товары!A:B,2,FALSE)=A439,"Есть в 1С","ERR")</f>
        <v>#N/A</v>
      </c>
      <c r="AU439" s="65" t="e">
        <f ca="1">IF(VLOOKUP(A439,Товары!B:B,1,FALSE)=A439,"Есть в 1С","ERR")</f>
        <v>#N/A</v>
      </c>
      <c r="AV439" s="96" t="e">
        <f ca="1">VLOOKUP(W439,Товары!A:B,2,FALSE)</f>
        <v>#N/A</v>
      </c>
      <c r="AW439" s="94" t="e">
        <f ca="1">VLOOKUP(W439,Товары!A:B,1,FALSE)</f>
        <v>#N/A</v>
      </c>
    </row>
    <row r="440" spans="1:49" x14ac:dyDescent="0.25">
      <c r="A440" s="110" t="str">
        <f t="shared" ca="1" si="35"/>
        <v>95-001-10</v>
      </c>
      <c r="B440" s="107" t="str">
        <f ca="1">_xlfn.LET(_xlpm.CAPS,0,_xlpm.Style,TRIM(_xlfn.XLOOKUP($A440,Строчный!$A:$A,Строчный!B:B,"ERR",0)),IF(_xlpm.CAPS=0,_xlpm.Style,LOWER(_xlpm.Style)))</f>
        <v>3215</v>
      </c>
      <c r="C440" s="81" t="str">
        <f ca="1">TRIM(PROPER(_xlfn.XLOOKUP($A440,Строчный!$A:$A,Строчный!C:C,"ERR",0)))</f>
        <v>Бейсболки</v>
      </c>
      <c r="D440" s="81" t="str">
        <f ca="1">_xlfn.LET(_xlpm.DATA,TRIM(_xlfn.XLOOKUP($A440,Строчный!$A:$A,Строчный!D:D,"ERR",0)),UPPER(MID(_xlpm.DATA,1,1))&amp;LOWER(MID(_xlpm.DATA,2,LEN(_xlpm.DATA)-1)))</f>
        <v>Бейсболка</v>
      </c>
      <c r="E440" s="81" t="str">
        <f ca="1">PROPER(TRIM(_xlfn.XLOOKUP($A440,Строчный!$A:$A,Строчный!E:E,"ERR",0)))</f>
        <v>Fredrikson</v>
      </c>
      <c r="F440" s="81" t="str">
        <f ca="1">LOWER(TRIM(_xlfn.XLOOKUP($A440,Строчный!$A:$A,Строчный!F:F,"ERR",0)))</f>
        <v>всесезон</v>
      </c>
      <c r="G440" s="81" t="str">
        <f ca="1">UPPER(TRIM(_xlfn.XLOOKUP($A440,Строчный!$A:$A,Строчный!G:G,"ERR",0)))</f>
        <v>FREDRIKSON</v>
      </c>
      <c r="H440" s="81" t="str">
        <f ca="1">LOWER(TRIM(_xlfn.XLOOKUP($A440,Строчный!$A:$A,Строчный!H:H,"ERR",0)))</f>
        <v>644/74</v>
      </c>
      <c r="I440" s="81" t="str">
        <f ca="1">LOWER(TRIM(_xlfn.XLOOKUP($A440,Строчный!$A:$A,Строчный!I:I,"ERR",0)))</f>
        <v>черный / серый</v>
      </c>
      <c r="J440" s="81" t="str">
        <f ca="1">SUBSTITUTE(LOWER(TRIM(_xlfn.XLOOKUP($A440,Строчный!$A:$A,Строчный!J:J,"ERR",0))),"подклад","Подклад")</f>
        <v>80% шерсть - 20% полиамид / Подклад: 100% вискоза</v>
      </c>
      <c r="K440" s="81" t="str">
        <f ca="1">LOWER(TRIM(_xlfn.XLOOKUP($A440,Строчный!$A:$A,Строчный!K:K,"ERR",0)))</f>
        <v>шерстяные</v>
      </c>
      <c r="L440" s="81" t="str">
        <f ca="1">PROPER(TRIM(_xlfn.XLOOKUP($A440,Строчный!$A:$A,Строчный!L:L,"ERR",0)))</f>
        <v>Унисекс</v>
      </c>
      <c r="M440" s="113" t="str">
        <f ca="1">PROPER(TRIM(_xlfn.XLOOKUP($A440,Строчный!$A:$A,Строчный!M:M,"ERR",0)))</f>
        <v>Россия</v>
      </c>
      <c r="N440" s="81" t="str">
        <f ca="1">UPPER(TRIM(_xlfn.XLOOKUP($A440,Строчный!$A:$A,Строчный!O:O,"ERR",0)))</f>
        <v/>
      </c>
      <c r="O440" s="102" t="str">
        <f ca="1">PROPER(TRIM(_xlfn.XLOOKUP($A440,Строчный!$A:$A,Строчный!P:P,"ERR",0)))</f>
        <v/>
      </c>
      <c r="P440" s="81" t="str">
        <f ca="1">PROPER(TRIM(_xlfn.XLOOKUP($A440,Строчный!$A:$A,Строчный!R:R,"ERR",0)))</f>
        <v/>
      </c>
      <c r="Q440" s="90">
        <f ca="1">VALUE(_xlfn.XLOOKUP($A440,Строчный!$A:$A,Строчный!N:N,"ERR",0))</f>
        <v>975.8</v>
      </c>
      <c r="R440" s="89" t="str">
        <f ca="1">_xlfn.XLOOKUP($G440,Фабрика!A:A,Фабрика!B:B,"ERR",0)</f>
        <v>ООО "ФРЭДРИКСОН" Россия 192029, С-Петербург, пр. Обуховской обороны, д.86, лит М</v>
      </c>
      <c r="S440" s="80" t="str">
        <f ca="1">_xlfn.XLOOKUP(RIGHT(AA440,2),Размеры!D:D,Размеры!A:A,"ERR",0)</f>
        <v>62</v>
      </c>
      <c r="T440" s="80">
        <f ca="1">VALUE(_xlfn.XLOOKUP($AA440,Строчный!$S:$S,Строчный!U:U,"ERR",0))</f>
        <v>2</v>
      </c>
      <c r="U440" s="14" t="s">
        <v>265</v>
      </c>
      <c r="V440" s="101" t="str">
        <f t="shared" ca="1" si="36"/>
        <v>Бейсболка FREDRIKSON арт. 3215 (черный / серый)</v>
      </c>
      <c r="W440" s="100" t="str">
        <f t="shared" ca="1" si="37"/>
        <v>Бейсболка FREDRIKSON арт. 3215 (черный / серый) {644/74}</v>
      </c>
      <c r="X440" s="18" t="str">
        <f t="shared" ca="1" si="38"/>
        <v>черный</v>
      </c>
      <c r="Y440" s="18" t="str">
        <f t="shared" ca="1" si="39"/>
        <v>серый</v>
      </c>
      <c r="Z440" s="117" t="str">
        <f ca="1">_xlfn.LET(_xlpm.FormColors,_xlfn.XLOOKUP(A440,Строчный!A:A,Строчный!Q:Q,"",0),IF(_xlpm.FormColors=0,IFERROR(MID(I440,FIND("-",I440)+1,LEN(I440)),IFERROR(MID(I440,1,FIND("/",I440)-2),I440)),_xlpm.FormColors))</f>
        <v>черный</v>
      </c>
      <c r="AA440" s="73" t="str">
        <f ca="1"/>
        <v>95-001-10-62</v>
      </c>
      <c r="AB440" s="75" t="str">
        <f ca="1">VLOOKUP(C440,Группа!A:B,2,FALSE)</f>
        <v>Бейсболка</v>
      </c>
      <c r="AC440" s="97" t="str">
        <f ca="1">IFERROR(VLOOKUP(S440,Размеры!A:C,3,FALSE),"")</f>
        <v>62 XL/XXL</v>
      </c>
      <c r="AD440" s="97" t="str">
        <f ca="1">VLOOKUP(I440,ЦветПолный!A:B,2,FALSE)</f>
        <v>10</v>
      </c>
      <c r="AE440" s="97" t="str">
        <f ca="1">IFERROR(VLOOKUP(S440,Размеры!A:D,4,FALSE),"")</f>
        <v>62</v>
      </c>
      <c r="AF440" s="97">
        <f ca="1">IF(LEFT(IFERROR(VLOOKUP(LOOKUP(2,1/SEARCH(B440,Товары!A:A),Товары!A:A),Товары!A:B,2,0),""),6)=MID(AA440,1,6),1,0)</f>
        <v>0</v>
      </c>
      <c r="AH440" s="97">
        <f ca="1">SUMIF(Группа!A:A,C440,Группа!C:C)</f>
        <v>1</v>
      </c>
      <c r="AI440" s="97">
        <f ca="1">SUMIF(Группа!B:B,AB440,Группа!C:C)</f>
        <v>1</v>
      </c>
      <c r="AJ440" s="97">
        <f ca="1">SUMIF(Формы!A:A,D440,Формы!B:B)</f>
        <v>1</v>
      </c>
      <c r="AK440" s="97">
        <f ca="1">SUMIF(Материал!A:A,K440,Материал!B:B)</f>
        <v>1</v>
      </c>
      <c r="AL440" s="97">
        <f ca="1">SUMIF(Размеры!A:A,S440,Размеры!E:E)</f>
        <v>1</v>
      </c>
      <c r="AM440" s="97">
        <f ca="1">SUMIF(Сезон!A:A,F440,Сезон!B:B)</f>
        <v>1</v>
      </c>
      <c r="AN440" s="97">
        <f ca="1">SUMIF(Состав!A:A,J440,Состав!B:B)</f>
        <v>0</v>
      </c>
      <c r="AO440" s="97">
        <f ca="1">VLOOKUP(I440,ЦветПолный!A:C,3,0)</f>
        <v>1</v>
      </c>
      <c r="AP440" s="97">
        <f ca="1">SUMIF(Цвет!A:A,Z440,Цвет!B:B)</f>
        <v>1</v>
      </c>
      <c r="AQ440" s="97">
        <f ca="1">_xlfn.XLOOKUP(L440,Пол!A:A,Пол!B:B,0,0)</f>
        <v>1</v>
      </c>
      <c r="AR440" s="97">
        <f ca="1">SUMIF(Бренд!A:A,G440,Бренд!B:B)</f>
        <v>1</v>
      </c>
      <c r="AS440" s="97">
        <f ca="1">SUMIF(Страна!A:A,M440,Страна!B:B)</f>
        <v>1</v>
      </c>
      <c r="AT440" s="64" t="e">
        <f ca="1">IF(VLOOKUP(W440,Товары!A:B,2,FALSE)=A440,"Есть в 1С","ERR")</f>
        <v>#N/A</v>
      </c>
      <c r="AU440" s="65" t="e">
        <f ca="1">IF(VLOOKUP(A440,Товары!B:B,1,FALSE)=A440,"Есть в 1С","ERR")</f>
        <v>#N/A</v>
      </c>
      <c r="AV440" s="96" t="e">
        <f ca="1">VLOOKUP(W440,Товары!A:B,2,FALSE)</f>
        <v>#N/A</v>
      </c>
      <c r="AW440" s="94" t="e">
        <f ca="1">VLOOKUP(W440,Товары!A:B,1,FALSE)</f>
        <v>#N/A</v>
      </c>
    </row>
    <row r="441" spans="1:49" x14ac:dyDescent="0.25">
      <c r="A441" s="110" t="str">
        <f t="shared" ca="1" si="35"/>
        <v>95-001-10</v>
      </c>
      <c r="B441" s="107" t="str">
        <f ca="1">_xlfn.LET(_xlpm.CAPS,0,_xlpm.Style,TRIM(_xlfn.XLOOKUP($A441,Строчный!$A:$A,Строчный!B:B,"ERR",0)),IF(_xlpm.CAPS=0,_xlpm.Style,LOWER(_xlpm.Style)))</f>
        <v>3215</v>
      </c>
      <c r="C441" s="81" t="str">
        <f ca="1">TRIM(PROPER(_xlfn.XLOOKUP($A441,Строчный!$A:$A,Строчный!C:C,"ERR",0)))</f>
        <v>Бейсболки</v>
      </c>
      <c r="D441" s="81" t="str">
        <f ca="1">_xlfn.LET(_xlpm.DATA,TRIM(_xlfn.XLOOKUP($A441,Строчный!$A:$A,Строчный!D:D,"ERR",0)),UPPER(MID(_xlpm.DATA,1,1))&amp;LOWER(MID(_xlpm.DATA,2,LEN(_xlpm.DATA)-1)))</f>
        <v>Бейсболка</v>
      </c>
      <c r="E441" s="81" t="str">
        <f ca="1">PROPER(TRIM(_xlfn.XLOOKUP($A441,Строчный!$A:$A,Строчный!E:E,"ERR",0)))</f>
        <v>Fredrikson</v>
      </c>
      <c r="F441" s="81" t="str">
        <f ca="1">LOWER(TRIM(_xlfn.XLOOKUP($A441,Строчный!$A:$A,Строчный!F:F,"ERR",0)))</f>
        <v>всесезон</v>
      </c>
      <c r="G441" s="81" t="str">
        <f ca="1">UPPER(TRIM(_xlfn.XLOOKUP($A441,Строчный!$A:$A,Строчный!G:G,"ERR",0)))</f>
        <v>FREDRIKSON</v>
      </c>
      <c r="H441" s="81" t="str">
        <f ca="1">LOWER(TRIM(_xlfn.XLOOKUP($A441,Строчный!$A:$A,Строчный!H:H,"ERR",0)))</f>
        <v>644/74</v>
      </c>
      <c r="I441" s="81" t="str">
        <f ca="1">LOWER(TRIM(_xlfn.XLOOKUP($A441,Строчный!$A:$A,Строчный!I:I,"ERR",0)))</f>
        <v>черный / серый</v>
      </c>
      <c r="J441" s="81" t="str">
        <f ca="1">SUBSTITUTE(LOWER(TRIM(_xlfn.XLOOKUP($A441,Строчный!$A:$A,Строчный!J:J,"ERR",0))),"подклад","Подклад")</f>
        <v>80% шерсть - 20% полиамид / Подклад: 100% вискоза</v>
      </c>
      <c r="K441" s="81" t="str">
        <f ca="1">LOWER(TRIM(_xlfn.XLOOKUP($A441,Строчный!$A:$A,Строчный!K:K,"ERR",0)))</f>
        <v>шерстяные</v>
      </c>
      <c r="L441" s="81" t="str">
        <f ca="1">PROPER(TRIM(_xlfn.XLOOKUP($A441,Строчный!$A:$A,Строчный!L:L,"ERR",0)))</f>
        <v>Унисекс</v>
      </c>
      <c r="M441" s="113" t="str">
        <f ca="1">PROPER(TRIM(_xlfn.XLOOKUP($A441,Строчный!$A:$A,Строчный!M:M,"ERR",0)))</f>
        <v>Россия</v>
      </c>
      <c r="N441" s="81" t="str">
        <f ca="1">UPPER(TRIM(_xlfn.XLOOKUP($A441,Строчный!$A:$A,Строчный!O:O,"ERR",0)))</f>
        <v/>
      </c>
      <c r="O441" s="102" t="str">
        <f ca="1">PROPER(TRIM(_xlfn.XLOOKUP($A441,Строчный!$A:$A,Строчный!P:P,"ERR",0)))</f>
        <v/>
      </c>
      <c r="P441" s="81" t="str">
        <f ca="1">PROPER(TRIM(_xlfn.XLOOKUP($A441,Строчный!$A:$A,Строчный!R:R,"ERR",0)))</f>
        <v/>
      </c>
      <c r="Q441" s="90">
        <f ca="1">VALUE(_xlfn.XLOOKUP($A441,Строчный!$A:$A,Строчный!N:N,"ERR",0))</f>
        <v>975.8</v>
      </c>
      <c r="R441" s="89" t="str">
        <f ca="1">_xlfn.XLOOKUP($G441,Фабрика!A:A,Фабрика!B:B,"ERR",0)</f>
        <v>ООО "ФРЭДРИКСОН" Россия 192029, С-Петербург, пр. Обуховской обороны, д.86, лит М</v>
      </c>
      <c r="S441" s="80" t="str">
        <f ca="1">_xlfn.XLOOKUP(RIGHT(AA441,2),Размеры!D:D,Размеры!A:A,"ERR",0)</f>
        <v>61</v>
      </c>
      <c r="T441" s="80">
        <f ca="1">VALUE(_xlfn.XLOOKUP($AA441,Строчный!$S:$S,Строчный!U:U,"ERR",0))</f>
        <v>4</v>
      </c>
      <c r="U441" s="14" t="s">
        <v>265</v>
      </c>
      <c r="V441" s="101" t="str">
        <f t="shared" ca="1" si="36"/>
        <v>Бейсболка FREDRIKSON арт. 3215 (черный / серый)</v>
      </c>
      <c r="W441" s="100" t="str">
        <f t="shared" ca="1" si="37"/>
        <v>Бейсболка FREDRIKSON арт. 3215 (черный / серый) {644/74}</v>
      </c>
      <c r="X441" s="18" t="str">
        <f t="shared" ca="1" si="38"/>
        <v>черный</v>
      </c>
      <c r="Y441" s="18" t="str">
        <f t="shared" ca="1" si="39"/>
        <v>серый</v>
      </c>
      <c r="Z441" s="117" t="str">
        <f ca="1">_xlfn.LET(_xlpm.FormColors,_xlfn.XLOOKUP(A441,Строчный!A:A,Строчный!Q:Q,"",0),IF(_xlpm.FormColors=0,IFERROR(MID(I441,FIND("-",I441)+1,LEN(I441)),IFERROR(MID(I441,1,FIND("/",I441)-2),I441)),_xlpm.FormColors))</f>
        <v>черный</v>
      </c>
      <c r="AA441" s="73" t="str">
        <f ca="1"/>
        <v>95-001-10-61</v>
      </c>
      <c r="AB441" s="75" t="str">
        <f ca="1">VLOOKUP(C441,Группа!A:B,2,FALSE)</f>
        <v>Бейсболка</v>
      </c>
      <c r="AC441" s="97" t="str">
        <f ca="1">IFERROR(VLOOKUP(S441,Размеры!A:C,3,FALSE),"")</f>
        <v>61 XL</v>
      </c>
      <c r="AD441" s="97" t="str">
        <f ca="1">VLOOKUP(I441,ЦветПолный!A:B,2,FALSE)</f>
        <v>10</v>
      </c>
      <c r="AE441" s="97" t="str">
        <f ca="1">IFERROR(VLOOKUP(S441,Размеры!A:D,4,FALSE),"")</f>
        <v>61</v>
      </c>
      <c r="AF441" s="97">
        <f ca="1">IF(LEFT(IFERROR(VLOOKUP(LOOKUP(2,1/SEARCH(B441,Товары!A:A),Товары!A:A),Товары!A:B,2,0),""),6)=MID(AA441,1,6),1,0)</f>
        <v>0</v>
      </c>
      <c r="AH441" s="97">
        <f ca="1">SUMIF(Группа!A:A,C441,Группа!C:C)</f>
        <v>1</v>
      </c>
      <c r="AI441" s="97">
        <f ca="1">SUMIF(Группа!B:B,AB441,Группа!C:C)</f>
        <v>1</v>
      </c>
      <c r="AJ441" s="97">
        <f ca="1">SUMIF(Формы!A:A,D441,Формы!B:B)</f>
        <v>1</v>
      </c>
      <c r="AK441" s="97">
        <f ca="1">SUMIF(Материал!A:A,K441,Материал!B:B)</f>
        <v>1</v>
      </c>
      <c r="AL441" s="97">
        <f ca="1">SUMIF(Размеры!A:A,S441,Размеры!E:E)</f>
        <v>1</v>
      </c>
      <c r="AM441" s="97">
        <f ca="1">SUMIF(Сезон!A:A,F441,Сезон!B:B)</f>
        <v>1</v>
      </c>
      <c r="AN441" s="97">
        <f ca="1">SUMIF(Состав!A:A,J441,Состав!B:B)</f>
        <v>0</v>
      </c>
      <c r="AO441" s="97">
        <f ca="1">VLOOKUP(I441,ЦветПолный!A:C,3,0)</f>
        <v>1</v>
      </c>
      <c r="AP441" s="97">
        <f ca="1">SUMIF(Цвет!A:A,Z441,Цвет!B:B)</f>
        <v>1</v>
      </c>
      <c r="AQ441" s="97">
        <f ca="1">_xlfn.XLOOKUP(L441,Пол!A:A,Пол!B:B,0,0)</f>
        <v>1</v>
      </c>
      <c r="AR441" s="97">
        <f ca="1">SUMIF(Бренд!A:A,G441,Бренд!B:B)</f>
        <v>1</v>
      </c>
      <c r="AS441" s="97">
        <f ca="1">SUMIF(Страна!A:A,M441,Страна!B:B)</f>
        <v>1</v>
      </c>
      <c r="AT441" s="64" t="e">
        <f ca="1">IF(VLOOKUP(W441,Товары!A:B,2,FALSE)=A441,"Есть в 1С","ERR")</f>
        <v>#N/A</v>
      </c>
      <c r="AU441" s="65" t="e">
        <f ca="1">IF(VLOOKUP(A441,Товары!B:B,1,FALSE)=A441,"Есть в 1С","ERR")</f>
        <v>#N/A</v>
      </c>
      <c r="AV441" s="96" t="e">
        <f ca="1">VLOOKUP(W441,Товары!A:B,2,FALSE)</f>
        <v>#N/A</v>
      </c>
      <c r="AW441" s="94" t="e">
        <f ca="1">VLOOKUP(W441,Товары!A:B,1,FALSE)</f>
        <v>#N/A</v>
      </c>
    </row>
    <row r="442" spans="1:49" x14ac:dyDescent="0.25">
      <c r="A442" s="110" t="str">
        <f t="shared" ca="1" si="35"/>
        <v>95-001-10</v>
      </c>
      <c r="B442" s="107" t="str">
        <f ca="1">_xlfn.LET(_xlpm.CAPS,0,_xlpm.Style,TRIM(_xlfn.XLOOKUP($A442,Строчный!$A:$A,Строчный!B:B,"ERR",0)),IF(_xlpm.CAPS=0,_xlpm.Style,LOWER(_xlpm.Style)))</f>
        <v>3215</v>
      </c>
      <c r="C442" s="81" t="str">
        <f ca="1">TRIM(PROPER(_xlfn.XLOOKUP($A442,Строчный!$A:$A,Строчный!C:C,"ERR",0)))</f>
        <v>Бейсболки</v>
      </c>
      <c r="D442" s="81" t="str">
        <f ca="1">_xlfn.LET(_xlpm.DATA,TRIM(_xlfn.XLOOKUP($A442,Строчный!$A:$A,Строчный!D:D,"ERR",0)),UPPER(MID(_xlpm.DATA,1,1))&amp;LOWER(MID(_xlpm.DATA,2,LEN(_xlpm.DATA)-1)))</f>
        <v>Бейсболка</v>
      </c>
      <c r="E442" s="81" t="str">
        <f ca="1">PROPER(TRIM(_xlfn.XLOOKUP($A442,Строчный!$A:$A,Строчный!E:E,"ERR",0)))</f>
        <v>Fredrikson</v>
      </c>
      <c r="F442" s="81" t="str">
        <f ca="1">LOWER(TRIM(_xlfn.XLOOKUP($A442,Строчный!$A:$A,Строчный!F:F,"ERR",0)))</f>
        <v>всесезон</v>
      </c>
      <c r="G442" s="81" t="str">
        <f ca="1">UPPER(TRIM(_xlfn.XLOOKUP($A442,Строчный!$A:$A,Строчный!G:G,"ERR",0)))</f>
        <v>FREDRIKSON</v>
      </c>
      <c r="H442" s="81" t="str">
        <f ca="1">LOWER(TRIM(_xlfn.XLOOKUP($A442,Строчный!$A:$A,Строчный!H:H,"ERR",0)))</f>
        <v>644/74</v>
      </c>
      <c r="I442" s="81" t="str">
        <f ca="1">LOWER(TRIM(_xlfn.XLOOKUP($A442,Строчный!$A:$A,Строчный!I:I,"ERR",0)))</f>
        <v>черный / серый</v>
      </c>
      <c r="J442" s="81" t="str">
        <f ca="1">SUBSTITUTE(LOWER(TRIM(_xlfn.XLOOKUP($A442,Строчный!$A:$A,Строчный!J:J,"ERR",0))),"подклад","Подклад")</f>
        <v>80% шерсть - 20% полиамид / Подклад: 100% вискоза</v>
      </c>
      <c r="K442" s="81" t="str">
        <f ca="1">LOWER(TRIM(_xlfn.XLOOKUP($A442,Строчный!$A:$A,Строчный!K:K,"ERR",0)))</f>
        <v>шерстяные</v>
      </c>
      <c r="L442" s="81" t="str">
        <f ca="1">PROPER(TRIM(_xlfn.XLOOKUP($A442,Строчный!$A:$A,Строчный!L:L,"ERR",0)))</f>
        <v>Унисекс</v>
      </c>
      <c r="M442" s="113" t="str">
        <f ca="1">PROPER(TRIM(_xlfn.XLOOKUP($A442,Строчный!$A:$A,Строчный!M:M,"ERR",0)))</f>
        <v>Россия</v>
      </c>
      <c r="N442" s="81" t="str">
        <f ca="1">UPPER(TRIM(_xlfn.XLOOKUP($A442,Строчный!$A:$A,Строчный!O:O,"ERR",0)))</f>
        <v/>
      </c>
      <c r="O442" s="102" t="str">
        <f ca="1">PROPER(TRIM(_xlfn.XLOOKUP($A442,Строчный!$A:$A,Строчный!P:P,"ERR",0)))</f>
        <v/>
      </c>
      <c r="P442" s="81" t="str">
        <f ca="1">PROPER(TRIM(_xlfn.XLOOKUP($A442,Строчный!$A:$A,Строчный!R:R,"ERR",0)))</f>
        <v/>
      </c>
      <c r="Q442" s="90">
        <f ca="1">VALUE(_xlfn.XLOOKUP($A442,Строчный!$A:$A,Строчный!N:N,"ERR",0))</f>
        <v>975.8</v>
      </c>
      <c r="R442" s="89" t="str">
        <f ca="1">_xlfn.XLOOKUP($G442,Фабрика!A:A,Фабрика!B:B,"ERR",0)</f>
        <v>ООО "ФРЭДРИКСОН" Россия 192029, С-Петербург, пр. Обуховской обороны, д.86, лит М</v>
      </c>
      <c r="S442" s="80" t="str">
        <f ca="1">_xlfn.XLOOKUP(RIGHT(AA442,2),Размеры!D:D,Размеры!A:A,"ERR",0)</f>
        <v>60</v>
      </c>
      <c r="T442" s="80">
        <f ca="1">VALUE(_xlfn.XLOOKUP($AA442,Строчный!$S:$S,Строчный!U:U,"ERR",0))</f>
        <v>6</v>
      </c>
      <c r="U442" s="14" t="s">
        <v>265</v>
      </c>
      <c r="V442" s="101" t="str">
        <f t="shared" ca="1" si="36"/>
        <v>Бейсболка FREDRIKSON арт. 3215 (черный / серый)</v>
      </c>
      <c r="W442" s="100" t="str">
        <f t="shared" ca="1" si="37"/>
        <v>Бейсболка FREDRIKSON арт. 3215 (черный / серый) {644/74}</v>
      </c>
      <c r="X442" s="18" t="str">
        <f t="shared" ca="1" si="38"/>
        <v>черный</v>
      </c>
      <c r="Y442" s="18" t="str">
        <f t="shared" ca="1" si="39"/>
        <v>серый</v>
      </c>
      <c r="Z442" s="117" t="str">
        <f ca="1">_xlfn.LET(_xlpm.FormColors,_xlfn.XLOOKUP(A442,Строчный!A:A,Строчный!Q:Q,"",0),IF(_xlpm.FormColors=0,IFERROR(MID(I442,FIND("-",I442)+1,LEN(I442)),IFERROR(MID(I442,1,FIND("/",I442)-2),I442)),_xlpm.FormColors))</f>
        <v>черный</v>
      </c>
      <c r="AA442" s="73" t="str">
        <f ca="1"/>
        <v>95-001-10-60</v>
      </c>
      <c r="AB442" s="75" t="str">
        <f ca="1">VLOOKUP(C442,Группа!A:B,2,FALSE)</f>
        <v>Бейсболка</v>
      </c>
      <c r="AC442" s="97" t="str">
        <f ca="1">IFERROR(VLOOKUP(S442,Размеры!A:C,3,FALSE),"")</f>
        <v>60 L/XL</v>
      </c>
      <c r="AD442" s="97" t="str">
        <f ca="1">VLOOKUP(I442,ЦветПолный!A:B,2,FALSE)</f>
        <v>10</v>
      </c>
      <c r="AE442" s="97" t="str">
        <f ca="1">IFERROR(VLOOKUP(S442,Размеры!A:D,4,FALSE),"")</f>
        <v>60</v>
      </c>
      <c r="AF442" s="97">
        <f ca="1">IF(LEFT(IFERROR(VLOOKUP(LOOKUP(2,1/SEARCH(B442,Товары!A:A),Товары!A:A),Товары!A:B,2,0),""),6)=MID(AA442,1,6),1,0)</f>
        <v>0</v>
      </c>
      <c r="AH442" s="97">
        <f ca="1">SUMIF(Группа!A:A,C442,Группа!C:C)</f>
        <v>1</v>
      </c>
      <c r="AI442" s="97">
        <f ca="1">SUMIF(Группа!B:B,AB442,Группа!C:C)</f>
        <v>1</v>
      </c>
      <c r="AJ442" s="97">
        <f ca="1">SUMIF(Формы!A:A,D442,Формы!B:B)</f>
        <v>1</v>
      </c>
      <c r="AK442" s="97">
        <f ca="1">SUMIF(Материал!A:A,K442,Материал!B:B)</f>
        <v>1</v>
      </c>
      <c r="AL442" s="97">
        <f ca="1">SUMIF(Размеры!A:A,S442,Размеры!E:E)</f>
        <v>1</v>
      </c>
      <c r="AM442" s="97">
        <f ca="1">SUMIF(Сезон!A:A,F442,Сезон!B:B)</f>
        <v>1</v>
      </c>
      <c r="AN442" s="97">
        <f ca="1">SUMIF(Состав!A:A,J442,Состав!B:B)</f>
        <v>0</v>
      </c>
      <c r="AO442" s="97">
        <f ca="1">VLOOKUP(I442,ЦветПолный!A:C,3,0)</f>
        <v>1</v>
      </c>
      <c r="AP442" s="97">
        <f ca="1">SUMIF(Цвет!A:A,Z442,Цвет!B:B)</f>
        <v>1</v>
      </c>
      <c r="AQ442" s="97">
        <f ca="1">_xlfn.XLOOKUP(L442,Пол!A:A,Пол!B:B,0,0)</f>
        <v>1</v>
      </c>
      <c r="AR442" s="97">
        <f ca="1">SUMIF(Бренд!A:A,G442,Бренд!B:B)</f>
        <v>1</v>
      </c>
      <c r="AS442" s="97">
        <f ca="1">SUMIF(Страна!A:A,M442,Страна!B:B)</f>
        <v>1</v>
      </c>
      <c r="AT442" s="64" t="e">
        <f ca="1">IF(VLOOKUP(W442,Товары!A:B,2,FALSE)=A442,"Есть в 1С","ERR")</f>
        <v>#N/A</v>
      </c>
      <c r="AU442" s="65" t="e">
        <f ca="1">IF(VLOOKUP(A442,Товары!B:B,1,FALSE)=A442,"Есть в 1С","ERR")</f>
        <v>#N/A</v>
      </c>
      <c r="AV442" s="96" t="e">
        <f ca="1">VLOOKUP(W442,Товары!A:B,2,FALSE)</f>
        <v>#N/A</v>
      </c>
      <c r="AW442" s="94" t="e">
        <f ca="1">VLOOKUP(W442,Товары!A:B,1,FALSE)</f>
        <v>#N/A</v>
      </c>
    </row>
    <row r="443" spans="1:49" x14ac:dyDescent="0.25">
      <c r="A443" s="110" t="str">
        <f t="shared" ca="1" si="35"/>
        <v>95-001-10</v>
      </c>
      <c r="B443" s="107" t="str">
        <f ca="1">_xlfn.LET(_xlpm.CAPS,0,_xlpm.Style,TRIM(_xlfn.XLOOKUP($A443,Строчный!$A:$A,Строчный!B:B,"ERR",0)),IF(_xlpm.CAPS=0,_xlpm.Style,LOWER(_xlpm.Style)))</f>
        <v>3215</v>
      </c>
      <c r="C443" s="81" t="str">
        <f ca="1">TRIM(PROPER(_xlfn.XLOOKUP($A443,Строчный!$A:$A,Строчный!C:C,"ERR",0)))</f>
        <v>Бейсболки</v>
      </c>
      <c r="D443" s="81" t="str">
        <f ca="1">_xlfn.LET(_xlpm.DATA,TRIM(_xlfn.XLOOKUP($A443,Строчный!$A:$A,Строчный!D:D,"ERR",0)),UPPER(MID(_xlpm.DATA,1,1))&amp;LOWER(MID(_xlpm.DATA,2,LEN(_xlpm.DATA)-1)))</f>
        <v>Бейсболка</v>
      </c>
      <c r="E443" s="81" t="str">
        <f ca="1">PROPER(TRIM(_xlfn.XLOOKUP($A443,Строчный!$A:$A,Строчный!E:E,"ERR",0)))</f>
        <v>Fredrikson</v>
      </c>
      <c r="F443" s="81" t="str">
        <f ca="1">LOWER(TRIM(_xlfn.XLOOKUP($A443,Строчный!$A:$A,Строчный!F:F,"ERR",0)))</f>
        <v>всесезон</v>
      </c>
      <c r="G443" s="81" t="str">
        <f ca="1">UPPER(TRIM(_xlfn.XLOOKUP($A443,Строчный!$A:$A,Строчный!G:G,"ERR",0)))</f>
        <v>FREDRIKSON</v>
      </c>
      <c r="H443" s="81" t="str">
        <f ca="1">LOWER(TRIM(_xlfn.XLOOKUP($A443,Строчный!$A:$A,Строчный!H:H,"ERR",0)))</f>
        <v>644/74</v>
      </c>
      <c r="I443" s="81" t="str">
        <f ca="1">LOWER(TRIM(_xlfn.XLOOKUP($A443,Строчный!$A:$A,Строчный!I:I,"ERR",0)))</f>
        <v>черный / серый</v>
      </c>
      <c r="J443" s="81" t="str">
        <f ca="1">SUBSTITUTE(LOWER(TRIM(_xlfn.XLOOKUP($A443,Строчный!$A:$A,Строчный!J:J,"ERR",0))),"подклад","Подклад")</f>
        <v>80% шерсть - 20% полиамид / Подклад: 100% вискоза</v>
      </c>
      <c r="K443" s="81" t="str">
        <f ca="1">LOWER(TRIM(_xlfn.XLOOKUP($A443,Строчный!$A:$A,Строчный!K:K,"ERR",0)))</f>
        <v>шерстяные</v>
      </c>
      <c r="L443" s="81" t="str">
        <f ca="1">PROPER(TRIM(_xlfn.XLOOKUP($A443,Строчный!$A:$A,Строчный!L:L,"ERR",0)))</f>
        <v>Унисекс</v>
      </c>
      <c r="M443" s="113" t="str">
        <f ca="1">PROPER(TRIM(_xlfn.XLOOKUP($A443,Строчный!$A:$A,Строчный!M:M,"ERR",0)))</f>
        <v>Россия</v>
      </c>
      <c r="N443" s="81" t="str">
        <f ca="1">UPPER(TRIM(_xlfn.XLOOKUP($A443,Строчный!$A:$A,Строчный!O:O,"ERR",0)))</f>
        <v/>
      </c>
      <c r="O443" s="102" t="str">
        <f ca="1">PROPER(TRIM(_xlfn.XLOOKUP($A443,Строчный!$A:$A,Строчный!P:P,"ERR",0)))</f>
        <v/>
      </c>
      <c r="P443" s="81" t="str">
        <f ca="1">PROPER(TRIM(_xlfn.XLOOKUP($A443,Строчный!$A:$A,Строчный!R:R,"ERR",0)))</f>
        <v/>
      </c>
      <c r="Q443" s="90">
        <f ca="1">VALUE(_xlfn.XLOOKUP($A443,Строчный!$A:$A,Строчный!N:N,"ERR",0))</f>
        <v>975.8</v>
      </c>
      <c r="R443" s="89" t="str">
        <f ca="1">_xlfn.XLOOKUP($G443,Фабрика!A:A,Фабрика!B:B,"ERR",0)</f>
        <v>ООО "ФРЭДРИКСОН" Россия 192029, С-Петербург, пр. Обуховской обороны, д.86, лит М</v>
      </c>
      <c r="S443" s="80" t="str">
        <f ca="1">_xlfn.XLOOKUP(RIGHT(AA443,2),Размеры!D:D,Размеры!A:A,"ERR",0)</f>
        <v>59</v>
      </c>
      <c r="T443" s="80">
        <f ca="1">VALUE(_xlfn.XLOOKUP($AA443,Строчный!$S:$S,Строчный!U:U,"ERR",0))</f>
        <v>9</v>
      </c>
      <c r="U443" s="14" t="s">
        <v>265</v>
      </c>
      <c r="V443" s="101" t="str">
        <f t="shared" ca="1" si="36"/>
        <v>Бейсболка FREDRIKSON арт. 3215 (черный / серый)</v>
      </c>
      <c r="W443" s="100" t="str">
        <f t="shared" ca="1" si="37"/>
        <v>Бейсболка FREDRIKSON арт. 3215 (черный / серый) {644/74}</v>
      </c>
      <c r="X443" s="18" t="str">
        <f t="shared" ca="1" si="38"/>
        <v>черный</v>
      </c>
      <c r="Y443" s="18" t="str">
        <f t="shared" ca="1" si="39"/>
        <v>серый</v>
      </c>
      <c r="Z443" s="117" t="str">
        <f ca="1">_xlfn.LET(_xlpm.FormColors,_xlfn.XLOOKUP(A443,Строчный!A:A,Строчный!Q:Q,"",0),IF(_xlpm.FormColors=0,IFERROR(MID(I443,FIND("-",I443)+1,LEN(I443)),IFERROR(MID(I443,1,FIND("/",I443)-2),I443)),_xlpm.FormColors))</f>
        <v>черный</v>
      </c>
      <c r="AA443" s="73" t="str">
        <f ca="1"/>
        <v>95-001-10-59</v>
      </c>
      <c r="AB443" s="75" t="str">
        <f ca="1">VLOOKUP(C443,Группа!A:B,2,FALSE)</f>
        <v>Бейсболка</v>
      </c>
      <c r="AC443" s="97" t="str">
        <f ca="1">IFERROR(VLOOKUP(S443,Размеры!A:C,3,FALSE),"")</f>
        <v>59 L</v>
      </c>
      <c r="AD443" s="97" t="str">
        <f ca="1">VLOOKUP(I443,ЦветПолный!A:B,2,FALSE)</f>
        <v>10</v>
      </c>
      <c r="AE443" s="97" t="str">
        <f ca="1">IFERROR(VLOOKUP(S443,Размеры!A:D,4,FALSE),"")</f>
        <v>59</v>
      </c>
      <c r="AF443" s="97">
        <f ca="1">IF(LEFT(IFERROR(VLOOKUP(LOOKUP(2,1/SEARCH(B443,Товары!A:A),Товары!A:A),Товары!A:B,2,0),""),6)=MID(AA443,1,6),1,0)</f>
        <v>0</v>
      </c>
      <c r="AH443" s="97">
        <f ca="1">SUMIF(Группа!A:A,C443,Группа!C:C)</f>
        <v>1</v>
      </c>
      <c r="AI443" s="97">
        <f ca="1">SUMIF(Группа!B:B,AB443,Группа!C:C)</f>
        <v>1</v>
      </c>
      <c r="AJ443" s="97">
        <f ca="1">SUMIF(Формы!A:A,D443,Формы!B:B)</f>
        <v>1</v>
      </c>
      <c r="AK443" s="97">
        <f ca="1">SUMIF(Материал!A:A,K443,Материал!B:B)</f>
        <v>1</v>
      </c>
      <c r="AL443" s="97">
        <f ca="1">SUMIF(Размеры!A:A,S443,Размеры!E:E)</f>
        <v>1</v>
      </c>
      <c r="AM443" s="97">
        <f ca="1">SUMIF(Сезон!A:A,F443,Сезон!B:B)</f>
        <v>1</v>
      </c>
      <c r="AN443" s="97">
        <f ca="1">SUMIF(Состав!A:A,J443,Состав!B:B)</f>
        <v>0</v>
      </c>
      <c r="AO443" s="97">
        <f ca="1">VLOOKUP(I443,ЦветПолный!A:C,3,0)</f>
        <v>1</v>
      </c>
      <c r="AP443" s="97">
        <f ca="1">SUMIF(Цвет!A:A,Z443,Цвет!B:B)</f>
        <v>1</v>
      </c>
      <c r="AQ443" s="97">
        <f ca="1">_xlfn.XLOOKUP(L443,Пол!A:A,Пол!B:B,0,0)</f>
        <v>1</v>
      </c>
      <c r="AR443" s="97">
        <f ca="1">SUMIF(Бренд!A:A,G443,Бренд!B:B)</f>
        <v>1</v>
      </c>
      <c r="AS443" s="97">
        <f ca="1">SUMIF(Страна!A:A,M443,Страна!B:B)</f>
        <v>1</v>
      </c>
      <c r="AT443" s="64" t="e">
        <f ca="1">IF(VLOOKUP(W443,Товары!A:B,2,FALSE)=A443,"Есть в 1С","ERR")</f>
        <v>#N/A</v>
      </c>
      <c r="AU443" s="65" t="e">
        <f ca="1">IF(VLOOKUP(A443,Товары!B:B,1,FALSE)=A443,"Есть в 1С","ERR")</f>
        <v>#N/A</v>
      </c>
      <c r="AV443" s="96" t="e">
        <f ca="1">VLOOKUP(W443,Товары!A:B,2,FALSE)</f>
        <v>#N/A</v>
      </c>
      <c r="AW443" s="94" t="e">
        <f ca="1">VLOOKUP(W443,Товары!A:B,1,FALSE)</f>
        <v>#N/A</v>
      </c>
    </row>
    <row r="444" spans="1:49" x14ac:dyDescent="0.25">
      <c r="A444" s="110" t="str">
        <f t="shared" ca="1" si="35"/>
        <v>95-001-10</v>
      </c>
      <c r="B444" s="107" t="str">
        <f ca="1">_xlfn.LET(_xlpm.CAPS,0,_xlpm.Style,TRIM(_xlfn.XLOOKUP($A444,Строчный!$A:$A,Строчный!B:B,"ERR",0)),IF(_xlpm.CAPS=0,_xlpm.Style,LOWER(_xlpm.Style)))</f>
        <v>3215</v>
      </c>
      <c r="C444" s="81" t="str">
        <f ca="1">TRIM(PROPER(_xlfn.XLOOKUP($A444,Строчный!$A:$A,Строчный!C:C,"ERR",0)))</f>
        <v>Бейсболки</v>
      </c>
      <c r="D444" s="81" t="str">
        <f ca="1">_xlfn.LET(_xlpm.DATA,TRIM(_xlfn.XLOOKUP($A444,Строчный!$A:$A,Строчный!D:D,"ERR",0)),UPPER(MID(_xlpm.DATA,1,1))&amp;LOWER(MID(_xlpm.DATA,2,LEN(_xlpm.DATA)-1)))</f>
        <v>Бейсболка</v>
      </c>
      <c r="E444" s="81" t="str">
        <f ca="1">PROPER(TRIM(_xlfn.XLOOKUP($A444,Строчный!$A:$A,Строчный!E:E,"ERR",0)))</f>
        <v>Fredrikson</v>
      </c>
      <c r="F444" s="81" t="str">
        <f ca="1">LOWER(TRIM(_xlfn.XLOOKUP($A444,Строчный!$A:$A,Строчный!F:F,"ERR",0)))</f>
        <v>всесезон</v>
      </c>
      <c r="G444" s="81" t="str">
        <f ca="1">UPPER(TRIM(_xlfn.XLOOKUP($A444,Строчный!$A:$A,Строчный!G:G,"ERR",0)))</f>
        <v>FREDRIKSON</v>
      </c>
      <c r="H444" s="81" t="str">
        <f ca="1">LOWER(TRIM(_xlfn.XLOOKUP($A444,Строчный!$A:$A,Строчный!H:H,"ERR",0)))</f>
        <v>644/74</v>
      </c>
      <c r="I444" s="81" t="str">
        <f ca="1">LOWER(TRIM(_xlfn.XLOOKUP($A444,Строчный!$A:$A,Строчный!I:I,"ERR",0)))</f>
        <v>черный / серый</v>
      </c>
      <c r="J444" s="81" t="str">
        <f ca="1">SUBSTITUTE(LOWER(TRIM(_xlfn.XLOOKUP($A444,Строчный!$A:$A,Строчный!J:J,"ERR",0))),"подклад","Подклад")</f>
        <v>80% шерсть - 20% полиамид / Подклад: 100% вискоза</v>
      </c>
      <c r="K444" s="81" t="str">
        <f ca="1">LOWER(TRIM(_xlfn.XLOOKUP($A444,Строчный!$A:$A,Строчный!K:K,"ERR",0)))</f>
        <v>шерстяные</v>
      </c>
      <c r="L444" s="81" t="str">
        <f ca="1">PROPER(TRIM(_xlfn.XLOOKUP($A444,Строчный!$A:$A,Строчный!L:L,"ERR",0)))</f>
        <v>Унисекс</v>
      </c>
      <c r="M444" s="113" t="str">
        <f ca="1">PROPER(TRIM(_xlfn.XLOOKUP($A444,Строчный!$A:$A,Строчный!M:M,"ERR",0)))</f>
        <v>Россия</v>
      </c>
      <c r="N444" s="81" t="str">
        <f ca="1">UPPER(TRIM(_xlfn.XLOOKUP($A444,Строчный!$A:$A,Строчный!O:O,"ERR",0)))</f>
        <v/>
      </c>
      <c r="O444" s="102" t="str">
        <f ca="1">PROPER(TRIM(_xlfn.XLOOKUP($A444,Строчный!$A:$A,Строчный!P:P,"ERR",0)))</f>
        <v/>
      </c>
      <c r="P444" s="81" t="str">
        <f ca="1">PROPER(TRIM(_xlfn.XLOOKUP($A444,Строчный!$A:$A,Строчный!R:R,"ERR",0)))</f>
        <v/>
      </c>
      <c r="Q444" s="90">
        <f ca="1">VALUE(_xlfn.XLOOKUP($A444,Строчный!$A:$A,Строчный!N:N,"ERR",0))</f>
        <v>975.8</v>
      </c>
      <c r="R444" s="89" t="str">
        <f ca="1">_xlfn.XLOOKUP($G444,Фабрика!A:A,Фабрика!B:B,"ERR",0)</f>
        <v>ООО "ФРЭДРИКСОН" Россия 192029, С-Петербург, пр. Обуховской обороны, д.86, лит М</v>
      </c>
      <c r="S444" s="80" t="str">
        <f ca="1">_xlfn.XLOOKUP(RIGHT(AA444,2),Размеры!D:D,Размеры!A:A,"ERR",0)</f>
        <v>58</v>
      </c>
      <c r="T444" s="80">
        <f ca="1">VALUE(_xlfn.XLOOKUP($AA444,Строчный!$S:$S,Строчный!U:U,"ERR",0))</f>
        <v>6</v>
      </c>
      <c r="U444" s="14" t="s">
        <v>265</v>
      </c>
      <c r="V444" s="101" t="str">
        <f t="shared" ca="1" si="36"/>
        <v>Бейсболка FREDRIKSON арт. 3215 (черный / серый)</v>
      </c>
      <c r="W444" s="100" t="str">
        <f t="shared" ca="1" si="37"/>
        <v>Бейсболка FREDRIKSON арт. 3215 (черный / серый) {644/74}</v>
      </c>
      <c r="X444" s="18" t="str">
        <f t="shared" ca="1" si="38"/>
        <v>черный</v>
      </c>
      <c r="Y444" s="18" t="str">
        <f t="shared" ca="1" si="39"/>
        <v>серый</v>
      </c>
      <c r="Z444" s="117" t="str">
        <f ca="1">_xlfn.LET(_xlpm.FormColors,_xlfn.XLOOKUP(A444,Строчный!A:A,Строчный!Q:Q,"",0),IF(_xlpm.FormColors=0,IFERROR(MID(I444,FIND("-",I444)+1,LEN(I444)),IFERROR(MID(I444,1,FIND("/",I444)-2),I444)),_xlpm.FormColors))</f>
        <v>черный</v>
      </c>
      <c r="AA444" s="73" t="str">
        <f ca="1"/>
        <v>95-001-10-58</v>
      </c>
      <c r="AB444" s="75" t="str">
        <f ca="1">VLOOKUP(C444,Группа!A:B,2,FALSE)</f>
        <v>Бейсболка</v>
      </c>
      <c r="AC444" s="97" t="str">
        <f ca="1">IFERROR(VLOOKUP(S444,Размеры!A:C,3,FALSE),"")</f>
        <v>58 M/L</v>
      </c>
      <c r="AD444" s="97" t="str">
        <f ca="1">VLOOKUP(I444,ЦветПолный!A:B,2,FALSE)</f>
        <v>10</v>
      </c>
      <c r="AE444" s="97" t="str">
        <f ca="1">IFERROR(VLOOKUP(S444,Размеры!A:D,4,FALSE),"")</f>
        <v>58</v>
      </c>
      <c r="AF444" s="97">
        <f ca="1">IF(LEFT(IFERROR(VLOOKUP(LOOKUP(2,1/SEARCH(B444,Товары!A:A),Товары!A:A),Товары!A:B,2,0),""),6)=MID(AA444,1,6),1,0)</f>
        <v>0</v>
      </c>
      <c r="AH444" s="97">
        <f ca="1">SUMIF(Группа!A:A,C444,Группа!C:C)</f>
        <v>1</v>
      </c>
      <c r="AI444" s="97">
        <f ca="1">SUMIF(Группа!B:B,AB444,Группа!C:C)</f>
        <v>1</v>
      </c>
      <c r="AJ444" s="97">
        <f ca="1">SUMIF(Формы!A:A,D444,Формы!B:B)</f>
        <v>1</v>
      </c>
      <c r="AK444" s="97">
        <f ca="1">SUMIF(Материал!A:A,K444,Материал!B:B)</f>
        <v>1</v>
      </c>
      <c r="AL444" s="97">
        <f ca="1">SUMIF(Размеры!A:A,S444,Размеры!E:E)</f>
        <v>1</v>
      </c>
      <c r="AM444" s="97">
        <f ca="1">SUMIF(Сезон!A:A,F444,Сезон!B:B)</f>
        <v>1</v>
      </c>
      <c r="AN444" s="97">
        <f ca="1">SUMIF(Состав!A:A,J444,Состав!B:B)</f>
        <v>0</v>
      </c>
      <c r="AO444" s="97">
        <f ca="1">VLOOKUP(I444,ЦветПолный!A:C,3,0)</f>
        <v>1</v>
      </c>
      <c r="AP444" s="97">
        <f ca="1">SUMIF(Цвет!A:A,Z444,Цвет!B:B)</f>
        <v>1</v>
      </c>
      <c r="AQ444" s="97">
        <f ca="1">_xlfn.XLOOKUP(L444,Пол!A:A,Пол!B:B,0,0)</f>
        <v>1</v>
      </c>
      <c r="AR444" s="97">
        <f ca="1">SUMIF(Бренд!A:A,G444,Бренд!B:B)</f>
        <v>1</v>
      </c>
      <c r="AS444" s="97">
        <f ca="1">SUMIF(Страна!A:A,M444,Страна!B:B)</f>
        <v>1</v>
      </c>
      <c r="AT444" s="64" t="e">
        <f ca="1">IF(VLOOKUP(W444,Товары!A:B,2,FALSE)=A444,"Есть в 1С","ERR")</f>
        <v>#N/A</v>
      </c>
      <c r="AU444" s="65" t="e">
        <f ca="1">IF(VLOOKUP(A444,Товары!B:B,1,FALSE)=A444,"Есть в 1С","ERR")</f>
        <v>#N/A</v>
      </c>
      <c r="AV444" s="96" t="e">
        <f ca="1">VLOOKUP(W444,Товары!A:B,2,FALSE)</f>
        <v>#N/A</v>
      </c>
      <c r="AW444" s="94" t="e">
        <f ca="1">VLOOKUP(W444,Товары!A:B,1,FALSE)</f>
        <v>#N/A</v>
      </c>
    </row>
    <row r="445" spans="1:49" x14ac:dyDescent="0.25">
      <c r="A445" s="110" t="str">
        <f t="shared" ca="1" si="35"/>
        <v>95-001-10</v>
      </c>
      <c r="B445" s="107" t="str">
        <f ca="1">_xlfn.LET(_xlpm.CAPS,0,_xlpm.Style,TRIM(_xlfn.XLOOKUP($A445,Строчный!$A:$A,Строчный!B:B,"ERR",0)),IF(_xlpm.CAPS=0,_xlpm.Style,LOWER(_xlpm.Style)))</f>
        <v>3215</v>
      </c>
      <c r="C445" s="81" t="str">
        <f ca="1">TRIM(PROPER(_xlfn.XLOOKUP($A445,Строчный!$A:$A,Строчный!C:C,"ERR",0)))</f>
        <v>Бейсболки</v>
      </c>
      <c r="D445" s="81" t="str">
        <f ca="1">_xlfn.LET(_xlpm.DATA,TRIM(_xlfn.XLOOKUP($A445,Строчный!$A:$A,Строчный!D:D,"ERR",0)),UPPER(MID(_xlpm.DATA,1,1))&amp;LOWER(MID(_xlpm.DATA,2,LEN(_xlpm.DATA)-1)))</f>
        <v>Бейсболка</v>
      </c>
      <c r="E445" s="81" t="str">
        <f ca="1">PROPER(TRIM(_xlfn.XLOOKUP($A445,Строчный!$A:$A,Строчный!E:E,"ERR",0)))</f>
        <v>Fredrikson</v>
      </c>
      <c r="F445" s="81" t="str">
        <f ca="1">LOWER(TRIM(_xlfn.XLOOKUP($A445,Строчный!$A:$A,Строчный!F:F,"ERR",0)))</f>
        <v>всесезон</v>
      </c>
      <c r="G445" s="81" t="str">
        <f ca="1">UPPER(TRIM(_xlfn.XLOOKUP($A445,Строчный!$A:$A,Строчный!G:G,"ERR",0)))</f>
        <v>FREDRIKSON</v>
      </c>
      <c r="H445" s="81" t="str">
        <f ca="1">LOWER(TRIM(_xlfn.XLOOKUP($A445,Строчный!$A:$A,Строчный!H:H,"ERR",0)))</f>
        <v>644/74</v>
      </c>
      <c r="I445" s="81" t="str">
        <f ca="1">LOWER(TRIM(_xlfn.XLOOKUP($A445,Строчный!$A:$A,Строчный!I:I,"ERR",0)))</f>
        <v>черный / серый</v>
      </c>
      <c r="J445" s="81" t="str">
        <f ca="1">SUBSTITUTE(LOWER(TRIM(_xlfn.XLOOKUP($A445,Строчный!$A:$A,Строчный!J:J,"ERR",0))),"подклад","Подклад")</f>
        <v>80% шерсть - 20% полиамид / Подклад: 100% вискоза</v>
      </c>
      <c r="K445" s="81" t="str">
        <f ca="1">LOWER(TRIM(_xlfn.XLOOKUP($A445,Строчный!$A:$A,Строчный!K:K,"ERR",0)))</f>
        <v>шерстяные</v>
      </c>
      <c r="L445" s="81" t="str">
        <f ca="1">PROPER(TRIM(_xlfn.XLOOKUP($A445,Строчный!$A:$A,Строчный!L:L,"ERR",0)))</f>
        <v>Унисекс</v>
      </c>
      <c r="M445" s="113" t="str">
        <f ca="1">PROPER(TRIM(_xlfn.XLOOKUP($A445,Строчный!$A:$A,Строчный!M:M,"ERR",0)))</f>
        <v>Россия</v>
      </c>
      <c r="N445" s="81" t="str">
        <f ca="1">UPPER(TRIM(_xlfn.XLOOKUP($A445,Строчный!$A:$A,Строчный!O:O,"ERR",0)))</f>
        <v/>
      </c>
      <c r="O445" s="102" t="str">
        <f ca="1">PROPER(TRIM(_xlfn.XLOOKUP($A445,Строчный!$A:$A,Строчный!P:P,"ERR",0)))</f>
        <v/>
      </c>
      <c r="P445" s="81" t="str">
        <f ca="1">PROPER(TRIM(_xlfn.XLOOKUP($A445,Строчный!$A:$A,Строчный!R:R,"ERR",0)))</f>
        <v/>
      </c>
      <c r="Q445" s="90">
        <f ca="1">VALUE(_xlfn.XLOOKUP($A445,Строчный!$A:$A,Строчный!N:N,"ERR",0))</f>
        <v>975.8</v>
      </c>
      <c r="R445" s="89" t="str">
        <f ca="1">_xlfn.XLOOKUP($G445,Фабрика!A:A,Фабрика!B:B,"ERR",0)</f>
        <v>ООО "ФРЭДРИКСОН" Россия 192029, С-Петербург, пр. Обуховской обороны, д.86, лит М</v>
      </c>
      <c r="S445" s="80" t="str">
        <f ca="1">_xlfn.XLOOKUP(RIGHT(AA445,2),Размеры!D:D,Размеры!A:A,"ERR",0)</f>
        <v>57</v>
      </c>
      <c r="T445" s="80">
        <f ca="1">VALUE(_xlfn.XLOOKUP($AA445,Строчный!$S:$S,Строчный!U:U,"ERR",0))</f>
        <v>4</v>
      </c>
      <c r="U445" s="14" t="s">
        <v>265</v>
      </c>
      <c r="V445" s="101" t="str">
        <f t="shared" ca="1" si="36"/>
        <v>Бейсболка FREDRIKSON арт. 3215 (черный / серый)</v>
      </c>
      <c r="W445" s="100" t="str">
        <f t="shared" ca="1" si="37"/>
        <v>Бейсболка FREDRIKSON арт. 3215 (черный / серый) {644/74}</v>
      </c>
      <c r="X445" s="18" t="str">
        <f t="shared" ca="1" si="38"/>
        <v>черный</v>
      </c>
      <c r="Y445" s="18" t="str">
        <f t="shared" ca="1" si="39"/>
        <v>серый</v>
      </c>
      <c r="Z445" s="117" t="str">
        <f ca="1">_xlfn.LET(_xlpm.FormColors,_xlfn.XLOOKUP(A445,Строчный!A:A,Строчный!Q:Q,"",0),IF(_xlpm.FormColors=0,IFERROR(MID(I445,FIND("-",I445)+1,LEN(I445)),IFERROR(MID(I445,1,FIND("/",I445)-2),I445)),_xlpm.FormColors))</f>
        <v>черный</v>
      </c>
      <c r="AA445" s="73" t="str">
        <f ca="1"/>
        <v>95-001-10-57</v>
      </c>
      <c r="AB445" s="75" t="str">
        <f ca="1">VLOOKUP(C445,Группа!A:B,2,FALSE)</f>
        <v>Бейсболка</v>
      </c>
      <c r="AC445" s="97" t="str">
        <f ca="1">IFERROR(VLOOKUP(S445,Размеры!A:C,3,FALSE),"")</f>
        <v>57 M</v>
      </c>
      <c r="AD445" s="97" t="str">
        <f ca="1">VLOOKUP(I445,ЦветПолный!A:B,2,FALSE)</f>
        <v>10</v>
      </c>
      <c r="AE445" s="97" t="str">
        <f ca="1">IFERROR(VLOOKUP(S445,Размеры!A:D,4,FALSE),"")</f>
        <v>57</v>
      </c>
      <c r="AF445" s="97">
        <f ca="1">IF(LEFT(IFERROR(VLOOKUP(LOOKUP(2,1/SEARCH(B445,Товары!A:A),Товары!A:A),Товары!A:B,2,0),""),6)=MID(AA445,1,6),1,0)</f>
        <v>0</v>
      </c>
      <c r="AH445" s="97">
        <f ca="1">SUMIF(Группа!A:A,C445,Группа!C:C)</f>
        <v>1</v>
      </c>
      <c r="AI445" s="97">
        <f ca="1">SUMIF(Группа!B:B,AB445,Группа!C:C)</f>
        <v>1</v>
      </c>
      <c r="AJ445" s="97">
        <f ca="1">SUMIF(Формы!A:A,D445,Формы!B:B)</f>
        <v>1</v>
      </c>
      <c r="AK445" s="97">
        <f ca="1">SUMIF(Материал!A:A,K445,Материал!B:B)</f>
        <v>1</v>
      </c>
      <c r="AL445" s="97">
        <f ca="1">SUMIF(Размеры!A:A,S445,Размеры!E:E)</f>
        <v>1</v>
      </c>
      <c r="AM445" s="97">
        <f ca="1">SUMIF(Сезон!A:A,F445,Сезон!B:B)</f>
        <v>1</v>
      </c>
      <c r="AN445" s="97">
        <f ca="1">SUMIF(Состав!A:A,J445,Состав!B:B)</f>
        <v>0</v>
      </c>
      <c r="AO445" s="97">
        <f ca="1">VLOOKUP(I445,ЦветПолный!A:C,3,0)</f>
        <v>1</v>
      </c>
      <c r="AP445" s="97">
        <f ca="1">SUMIF(Цвет!A:A,Z445,Цвет!B:B)</f>
        <v>1</v>
      </c>
      <c r="AQ445" s="97">
        <f ca="1">_xlfn.XLOOKUP(L445,Пол!A:A,Пол!B:B,0,0)</f>
        <v>1</v>
      </c>
      <c r="AR445" s="97">
        <f ca="1">SUMIF(Бренд!A:A,G445,Бренд!B:B)</f>
        <v>1</v>
      </c>
      <c r="AS445" s="97">
        <f ca="1">SUMIF(Страна!A:A,M445,Страна!B:B)</f>
        <v>1</v>
      </c>
      <c r="AT445" s="64" t="e">
        <f ca="1">IF(VLOOKUP(W445,Товары!A:B,2,FALSE)=A445,"Есть в 1С","ERR")</f>
        <v>#N/A</v>
      </c>
      <c r="AU445" s="65" t="e">
        <f ca="1">IF(VLOOKUP(A445,Товары!B:B,1,FALSE)=A445,"Есть в 1С","ERR")</f>
        <v>#N/A</v>
      </c>
      <c r="AV445" s="96" t="e">
        <f ca="1">VLOOKUP(W445,Товары!A:B,2,FALSE)</f>
        <v>#N/A</v>
      </c>
      <c r="AW445" s="94" t="e">
        <f ca="1">VLOOKUP(W445,Товары!A:B,1,FALSE)</f>
        <v>#N/A</v>
      </c>
    </row>
    <row r="446" spans="1:49" x14ac:dyDescent="0.25">
      <c r="A446" s="110" t="str">
        <f t="shared" ca="1" si="35"/>
        <v>95-001-10</v>
      </c>
      <c r="B446" s="107" t="str">
        <f ca="1">_xlfn.LET(_xlpm.CAPS,0,_xlpm.Style,TRIM(_xlfn.XLOOKUP($A446,Строчный!$A:$A,Строчный!B:B,"ERR",0)),IF(_xlpm.CAPS=0,_xlpm.Style,LOWER(_xlpm.Style)))</f>
        <v>3215</v>
      </c>
      <c r="C446" s="81" t="str">
        <f ca="1">TRIM(PROPER(_xlfn.XLOOKUP($A446,Строчный!$A:$A,Строчный!C:C,"ERR",0)))</f>
        <v>Бейсболки</v>
      </c>
      <c r="D446" s="81" t="str">
        <f ca="1">_xlfn.LET(_xlpm.DATA,TRIM(_xlfn.XLOOKUP($A446,Строчный!$A:$A,Строчный!D:D,"ERR",0)),UPPER(MID(_xlpm.DATA,1,1))&amp;LOWER(MID(_xlpm.DATA,2,LEN(_xlpm.DATA)-1)))</f>
        <v>Бейсболка</v>
      </c>
      <c r="E446" s="81" t="str">
        <f ca="1">PROPER(TRIM(_xlfn.XLOOKUP($A446,Строчный!$A:$A,Строчный!E:E,"ERR",0)))</f>
        <v>Fredrikson</v>
      </c>
      <c r="F446" s="81" t="str">
        <f ca="1">LOWER(TRIM(_xlfn.XLOOKUP($A446,Строчный!$A:$A,Строчный!F:F,"ERR",0)))</f>
        <v>всесезон</v>
      </c>
      <c r="G446" s="81" t="str">
        <f ca="1">UPPER(TRIM(_xlfn.XLOOKUP($A446,Строчный!$A:$A,Строчный!G:G,"ERR",0)))</f>
        <v>FREDRIKSON</v>
      </c>
      <c r="H446" s="81" t="str">
        <f ca="1">LOWER(TRIM(_xlfn.XLOOKUP($A446,Строчный!$A:$A,Строчный!H:H,"ERR",0)))</f>
        <v>644/74</v>
      </c>
      <c r="I446" s="81" t="str">
        <f ca="1">LOWER(TRIM(_xlfn.XLOOKUP($A446,Строчный!$A:$A,Строчный!I:I,"ERR",0)))</f>
        <v>черный / серый</v>
      </c>
      <c r="J446" s="81" t="str">
        <f ca="1">SUBSTITUTE(LOWER(TRIM(_xlfn.XLOOKUP($A446,Строчный!$A:$A,Строчный!J:J,"ERR",0))),"подклад","Подклад")</f>
        <v>80% шерсть - 20% полиамид / Подклад: 100% вискоза</v>
      </c>
      <c r="K446" s="81" t="str">
        <f ca="1">LOWER(TRIM(_xlfn.XLOOKUP($A446,Строчный!$A:$A,Строчный!K:K,"ERR",0)))</f>
        <v>шерстяные</v>
      </c>
      <c r="L446" s="81" t="str">
        <f ca="1">PROPER(TRIM(_xlfn.XLOOKUP($A446,Строчный!$A:$A,Строчный!L:L,"ERR",0)))</f>
        <v>Унисекс</v>
      </c>
      <c r="M446" s="113" t="str">
        <f ca="1">PROPER(TRIM(_xlfn.XLOOKUP($A446,Строчный!$A:$A,Строчный!M:M,"ERR",0)))</f>
        <v>Россия</v>
      </c>
      <c r="N446" s="81" t="str">
        <f ca="1">UPPER(TRIM(_xlfn.XLOOKUP($A446,Строчный!$A:$A,Строчный!O:O,"ERR",0)))</f>
        <v/>
      </c>
      <c r="O446" s="102" t="str">
        <f ca="1">PROPER(TRIM(_xlfn.XLOOKUP($A446,Строчный!$A:$A,Строчный!P:P,"ERR",0)))</f>
        <v/>
      </c>
      <c r="P446" s="81" t="str">
        <f ca="1">PROPER(TRIM(_xlfn.XLOOKUP($A446,Строчный!$A:$A,Строчный!R:R,"ERR",0)))</f>
        <v/>
      </c>
      <c r="Q446" s="90">
        <f ca="1">VALUE(_xlfn.XLOOKUP($A446,Строчный!$A:$A,Строчный!N:N,"ERR",0))</f>
        <v>975.8</v>
      </c>
      <c r="R446" s="89" t="str">
        <f ca="1">_xlfn.XLOOKUP($G446,Фабрика!A:A,Фабрика!B:B,"ERR",0)</f>
        <v>ООО "ФРЭДРИКСОН" Россия 192029, С-Петербург, пр. Обуховской обороны, д.86, лит М</v>
      </c>
      <c r="S446" s="80" t="str">
        <f ca="1">_xlfn.XLOOKUP(RIGHT(AA446,2),Размеры!D:D,Размеры!A:A,"ERR",0)</f>
        <v>56</v>
      </c>
      <c r="T446" s="80">
        <f ca="1">VALUE(_xlfn.XLOOKUP($AA446,Строчный!$S:$S,Строчный!U:U,"ERR",0))</f>
        <v>2</v>
      </c>
      <c r="U446" s="14" t="s">
        <v>265</v>
      </c>
      <c r="V446" s="101" t="str">
        <f t="shared" ca="1" si="36"/>
        <v>Бейсболка FREDRIKSON арт. 3215 (черный / серый)</v>
      </c>
      <c r="W446" s="100" t="str">
        <f t="shared" ca="1" si="37"/>
        <v>Бейсболка FREDRIKSON арт. 3215 (черный / серый) {644/74}</v>
      </c>
      <c r="X446" s="18" t="str">
        <f t="shared" ca="1" si="38"/>
        <v>черный</v>
      </c>
      <c r="Y446" s="18" t="str">
        <f t="shared" ca="1" si="39"/>
        <v>серый</v>
      </c>
      <c r="Z446" s="117" t="str">
        <f ca="1">_xlfn.LET(_xlpm.FormColors,_xlfn.XLOOKUP(A446,Строчный!A:A,Строчный!Q:Q,"",0),IF(_xlpm.FormColors=0,IFERROR(MID(I446,FIND("-",I446)+1,LEN(I446)),IFERROR(MID(I446,1,FIND("/",I446)-2),I446)),_xlpm.FormColors))</f>
        <v>черный</v>
      </c>
      <c r="AA446" s="73" t="str">
        <f ca="1"/>
        <v>95-001-10-56</v>
      </c>
      <c r="AB446" s="75" t="str">
        <f ca="1">VLOOKUP(C446,Группа!A:B,2,FALSE)</f>
        <v>Бейсболка</v>
      </c>
      <c r="AC446" s="97" t="str">
        <f ca="1">IFERROR(VLOOKUP(S446,Размеры!A:C,3,FALSE),"")</f>
        <v>56 S/M</v>
      </c>
      <c r="AD446" s="97" t="str">
        <f ca="1">VLOOKUP(I446,ЦветПолный!A:B,2,FALSE)</f>
        <v>10</v>
      </c>
      <c r="AE446" s="97" t="str">
        <f ca="1">IFERROR(VLOOKUP(S446,Размеры!A:D,4,FALSE),"")</f>
        <v>56</v>
      </c>
      <c r="AF446" s="97">
        <f ca="1">IF(LEFT(IFERROR(VLOOKUP(LOOKUP(2,1/SEARCH(B446,Товары!A:A),Товары!A:A),Товары!A:B,2,0),""),6)=MID(AA446,1,6),1,0)</f>
        <v>0</v>
      </c>
      <c r="AH446" s="97">
        <f ca="1">SUMIF(Группа!A:A,C446,Группа!C:C)</f>
        <v>1</v>
      </c>
      <c r="AI446" s="97">
        <f ca="1">SUMIF(Группа!B:B,AB446,Группа!C:C)</f>
        <v>1</v>
      </c>
      <c r="AJ446" s="97">
        <f ca="1">SUMIF(Формы!A:A,D446,Формы!B:B)</f>
        <v>1</v>
      </c>
      <c r="AK446" s="97">
        <f ca="1">SUMIF(Материал!A:A,K446,Материал!B:B)</f>
        <v>1</v>
      </c>
      <c r="AL446" s="97">
        <f ca="1">SUMIF(Размеры!A:A,S446,Размеры!E:E)</f>
        <v>1</v>
      </c>
      <c r="AM446" s="97">
        <f ca="1">SUMIF(Сезон!A:A,F446,Сезон!B:B)</f>
        <v>1</v>
      </c>
      <c r="AN446" s="97">
        <f ca="1">SUMIF(Состав!A:A,J446,Состав!B:B)</f>
        <v>0</v>
      </c>
      <c r="AO446" s="97">
        <f ca="1">VLOOKUP(I446,ЦветПолный!A:C,3,0)</f>
        <v>1</v>
      </c>
      <c r="AP446" s="97">
        <f ca="1">SUMIF(Цвет!A:A,Z446,Цвет!B:B)</f>
        <v>1</v>
      </c>
      <c r="AQ446" s="97">
        <f ca="1">_xlfn.XLOOKUP(L446,Пол!A:A,Пол!B:B,0,0)</f>
        <v>1</v>
      </c>
      <c r="AR446" s="97">
        <f ca="1">SUMIF(Бренд!A:A,G446,Бренд!B:B)</f>
        <v>1</v>
      </c>
      <c r="AS446" s="97">
        <f ca="1">SUMIF(Страна!A:A,M446,Страна!B:B)</f>
        <v>1</v>
      </c>
      <c r="AT446" s="64" t="e">
        <f ca="1">IF(VLOOKUP(W446,Товары!A:B,2,FALSE)=A446,"Есть в 1С","ERR")</f>
        <v>#N/A</v>
      </c>
      <c r="AU446" s="65" t="e">
        <f ca="1">IF(VLOOKUP(A446,Товары!B:B,1,FALSE)=A446,"Есть в 1С","ERR")</f>
        <v>#N/A</v>
      </c>
      <c r="AV446" s="96" t="e">
        <f ca="1">VLOOKUP(W446,Товары!A:B,2,FALSE)</f>
        <v>#N/A</v>
      </c>
      <c r="AW446" s="94" t="e">
        <f ca="1">VLOOKUP(W446,Товары!A:B,1,FALSE)</f>
        <v>#N/A</v>
      </c>
    </row>
    <row r="447" spans="1:49" x14ac:dyDescent="0.25">
      <c r="A447" s="110" t="str">
        <f t="shared" ca="1" si="35"/>
        <v>95-001-09</v>
      </c>
      <c r="B447" s="107" t="str">
        <f ca="1">_xlfn.LET(_xlpm.CAPS,0,_xlpm.Style,TRIM(_xlfn.XLOOKUP($A447,Строчный!$A:$A,Строчный!B:B,"ERR",0)),IF(_xlpm.CAPS=0,_xlpm.Style,LOWER(_xlpm.Style)))</f>
        <v>3215</v>
      </c>
      <c r="C447" s="81" t="str">
        <f ca="1">TRIM(PROPER(_xlfn.XLOOKUP($A447,Строчный!$A:$A,Строчный!C:C,"ERR",0)))</f>
        <v>Бейсболки</v>
      </c>
      <c r="D447" s="81" t="str">
        <f ca="1">_xlfn.LET(_xlpm.DATA,TRIM(_xlfn.XLOOKUP($A447,Строчный!$A:$A,Строчный!D:D,"ERR",0)),UPPER(MID(_xlpm.DATA,1,1))&amp;LOWER(MID(_xlpm.DATA,2,LEN(_xlpm.DATA)-1)))</f>
        <v>Бейсболка</v>
      </c>
      <c r="E447" s="81" t="str">
        <f ca="1">PROPER(TRIM(_xlfn.XLOOKUP($A447,Строчный!$A:$A,Строчный!E:E,"ERR",0)))</f>
        <v>Fredrikson</v>
      </c>
      <c r="F447" s="81" t="str">
        <f ca="1">LOWER(TRIM(_xlfn.XLOOKUP($A447,Строчный!$A:$A,Строчный!F:F,"ERR",0)))</f>
        <v>всесезон</v>
      </c>
      <c r="G447" s="81" t="str">
        <f ca="1">UPPER(TRIM(_xlfn.XLOOKUP($A447,Строчный!$A:$A,Строчный!G:G,"ERR",0)))</f>
        <v>FREDRIKSON</v>
      </c>
      <c r="H447" s="81" t="str">
        <f ca="1">LOWER(TRIM(_xlfn.XLOOKUP($A447,Строчный!$A:$A,Строчный!H:H,"ERR",0)))</f>
        <v>624/91</v>
      </c>
      <c r="I447" s="81" t="str">
        <f ca="1">LOWER(TRIM(_xlfn.XLOOKUP($A447,Строчный!$A:$A,Строчный!I:I,"ERR",0)))</f>
        <v>черный</v>
      </c>
      <c r="J447" s="81" t="str">
        <f ca="1">SUBSTITUTE(LOWER(TRIM(_xlfn.XLOOKUP($A447,Строчный!$A:$A,Строчный!J:J,"ERR",0))),"подклад","Подклад")</f>
        <v>80% шерсть - 20% полиамид / Подклад: 100% вискоза</v>
      </c>
      <c r="K447" s="81" t="str">
        <f ca="1">LOWER(TRIM(_xlfn.XLOOKUP($A447,Строчный!$A:$A,Строчный!K:K,"ERR",0)))</f>
        <v>шерстяные</v>
      </c>
      <c r="L447" s="81" t="str">
        <f ca="1">PROPER(TRIM(_xlfn.XLOOKUP($A447,Строчный!$A:$A,Строчный!L:L,"ERR",0)))</f>
        <v>Унисекс</v>
      </c>
      <c r="M447" s="113" t="str">
        <f ca="1">PROPER(TRIM(_xlfn.XLOOKUP($A447,Строчный!$A:$A,Строчный!M:M,"ERR",0)))</f>
        <v>Россия</v>
      </c>
      <c r="N447" s="81" t="str">
        <f ca="1">UPPER(TRIM(_xlfn.XLOOKUP($A447,Строчный!$A:$A,Строчный!O:O,"ERR",0)))</f>
        <v/>
      </c>
      <c r="O447" s="102" t="str">
        <f ca="1">PROPER(TRIM(_xlfn.XLOOKUP($A447,Строчный!$A:$A,Строчный!P:P,"ERR",0)))</f>
        <v/>
      </c>
      <c r="P447" s="81" t="str">
        <f ca="1">PROPER(TRIM(_xlfn.XLOOKUP($A447,Строчный!$A:$A,Строчный!R:R,"ERR",0)))</f>
        <v/>
      </c>
      <c r="Q447" s="90">
        <f ca="1">VALUE(_xlfn.XLOOKUP($A447,Строчный!$A:$A,Строчный!N:N,"ERR",0))</f>
        <v>975.8</v>
      </c>
      <c r="R447" s="89" t="str">
        <f ca="1">_xlfn.XLOOKUP($G447,Фабрика!A:A,Фабрика!B:B,"ERR",0)</f>
        <v>ООО "ФРЭДРИКСОН" Россия 192029, С-Петербург, пр. Обуховской обороны, д.86, лит М</v>
      </c>
      <c r="S447" s="80" t="str">
        <f ca="1">_xlfn.XLOOKUP(RIGHT(AA447,2),Размеры!D:D,Размеры!A:A,"ERR",0)</f>
        <v>60</v>
      </c>
      <c r="T447" s="80">
        <f ca="1">VALUE(_xlfn.XLOOKUP($AA447,Строчный!$S:$S,Строчный!U:U,"ERR",0))</f>
        <v>7</v>
      </c>
      <c r="U447" s="14" t="s">
        <v>265</v>
      </c>
      <c r="V447" s="101" t="str">
        <f t="shared" ca="1" si="36"/>
        <v>Бейсболка FREDRIKSON арт. 3215 (черный)</v>
      </c>
      <c r="W447" s="100" t="str">
        <f t="shared" ca="1" si="37"/>
        <v>Бейсболка FREDRIKSON арт. 3215 (черный) {624/91}</v>
      </c>
      <c r="X447" s="18" t="str">
        <f t="shared" ca="1" si="38"/>
        <v>черный</v>
      </c>
      <c r="Y447" s="18" t="str">
        <f t="shared" ca="1" si="39"/>
        <v>черный</v>
      </c>
      <c r="Z447" s="117" t="str">
        <f ca="1">_xlfn.LET(_xlpm.FormColors,_xlfn.XLOOKUP(A447,Строчный!A:A,Строчный!Q:Q,"",0),IF(_xlpm.FormColors=0,IFERROR(MID(I447,FIND("-",I447)+1,LEN(I447)),IFERROR(MID(I447,1,FIND("/",I447)-2),I447)),_xlpm.FormColors))</f>
        <v>черный</v>
      </c>
      <c r="AA447" s="73" t="str">
        <f ca="1"/>
        <v>95-001-09-60</v>
      </c>
      <c r="AB447" s="75" t="str">
        <f ca="1">VLOOKUP(C447,Группа!A:B,2,FALSE)</f>
        <v>Бейсболка</v>
      </c>
      <c r="AC447" s="97" t="str">
        <f ca="1">IFERROR(VLOOKUP(S447,Размеры!A:C,3,FALSE),"")</f>
        <v>60 L/XL</v>
      </c>
      <c r="AD447" s="97" t="str">
        <f ca="1">VLOOKUP(I447,ЦветПолный!A:B,2,FALSE)</f>
        <v>09</v>
      </c>
      <c r="AE447" s="97" t="str">
        <f ca="1">IFERROR(VLOOKUP(S447,Размеры!A:D,4,FALSE),"")</f>
        <v>60</v>
      </c>
      <c r="AF447" s="97">
        <f ca="1">IF(LEFT(IFERROR(VLOOKUP(LOOKUP(2,1/SEARCH(B447,Товары!A:A),Товары!A:A),Товары!A:B,2,0),""),6)=MID(AA447,1,6),1,0)</f>
        <v>0</v>
      </c>
      <c r="AH447" s="97">
        <f ca="1">SUMIF(Группа!A:A,C447,Группа!C:C)</f>
        <v>1</v>
      </c>
      <c r="AI447" s="97">
        <f ca="1">SUMIF(Группа!B:B,AB447,Группа!C:C)</f>
        <v>1</v>
      </c>
      <c r="AJ447" s="97">
        <f ca="1">SUMIF(Формы!A:A,D447,Формы!B:B)</f>
        <v>1</v>
      </c>
      <c r="AK447" s="97">
        <f ca="1">SUMIF(Материал!A:A,K447,Материал!B:B)</f>
        <v>1</v>
      </c>
      <c r="AL447" s="97">
        <f ca="1">SUMIF(Размеры!A:A,S447,Размеры!E:E)</f>
        <v>1</v>
      </c>
      <c r="AM447" s="97">
        <f ca="1">SUMIF(Сезон!A:A,F447,Сезон!B:B)</f>
        <v>1</v>
      </c>
      <c r="AN447" s="97">
        <f ca="1">SUMIF(Состав!A:A,J447,Состав!B:B)</f>
        <v>0</v>
      </c>
      <c r="AO447" s="97">
        <f ca="1">VLOOKUP(I447,ЦветПолный!A:C,3,0)</f>
        <v>1</v>
      </c>
      <c r="AP447" s="97">
        <f ca="1">SUMIF(Цвет!A:A,Z447,Цвет!B:B)</f>
        <v>1</v>
      </c>
      <c r="AQ447" s="97">
        <f ca="1">_xlfn.XLOOKUP(L447,Пол!A:A,Пол!B:B,0,0)</f>
        <v>1</v>
      </c>
      <c r="AR447" s="97">
        <f ca="1">SUMIF(Бренд!A:A,G447,Бренд!B:B)</f>
        <v>1</v>
      </c>
      <c r="AS447" s="97">
        <f ca="1">SUMIF(Страна!A:A,M447,Страна!B:B)</f>
        <v>1</v>
      </c>
      <c r="AT447" s="64" t="e">
        <f ca="1">IF(VLOOKUP(W447,Товары!A:B,2,FALSE)=A447,"Есть в 1С","ERR")</f>
        <v>#N/A</v>
      </c>
      <c r="AU447" s="65" t="e">
        <f ca="1">IF(VLOOKUP(A447,Товары!B:B,1,FALSE)=A447,"Есть в 1С","ERR")</f>
        <v>#N/A</v>
      </c>
      <c r="AV447" s="96" t="e">
        <f ca="1">VLOOKUP(W447,Товары!A:B,2,FALSE)</f>
        <v>#N/A</v>
      </c>
      <c r="AW447" s="94" t="e">
        <f ca="1">VLOOKUP(W447,Товары!A:B,1,FALSE)</f>
        <v>#N/A</v>
      </c>
    </row>
    <row r="448" spans="1:49" x14ac:dyDescent="0.25">
      <c r="A448" s="110" t="str">
        <f t="shared" ca="1" si="35"/>
        <v>95-001-09</v>
      </c>
      <c r="B448" s="107" t="str">
        <f ca="1">_xlfn.LET(_xlpm.CAPS,0,_xlpm.Style,TRIM(_xlfn.XLOOKUP($A448,Строчный!$A:$A,Строчный!B:B,"ERR",0)),IF(_xlpm.CAPS=0,_xlpm.Style,LOWER(_xlpm.Style)))</f>
        <v>3215</v>
      </c>
      <c r="C448" s="81" t="str">
        <f ca="1">TRIM(PROPER(_xlfn.XLOOKUP($A448,Строчный!$A:$A,Строчный!C:C,"ERR",0)))</f>
        <v>Бейсболки</v>
      </c>
      <c r="D448" s="81" t="str">
        <f ca="1">_xlfn.LET(_xlpm.DATA,TRIM(_xlfn.XLOOKUP($A448,Строчный!$A:$A,Строчный!D:D,"ERR",0)),UPPER(MID(_xlpm.DATA,1,1))&amp;LOWER(MID(_xlpm.DATA,2,LEN(_xlpm.DATA)-1)))</f>
        <v>Бейсболка</v>
      </c>
      <c r="E448" s="81" t="str">
        <f ca="1">PROPER(TRIM(_xlfn.XLOOKUP($A448,Строчный!$A:$A,Строчный!E:E,"ERR",0)))</f>
        <v>Fredrikson</v>
      </c>
      <c r="F448" s="81" t="str">
        <f ca="1">LOWER(TRIM(_xlfn.XLOOKUP($A448,Строчный!$A:$A,Строчный!F:F,"ERR",0)))</f>
        <v>всесезон</v>
      </c>
      <c r="G448" s="81" t="str">
        <f ca="1">UPPER(TRIM(_xlfn.XLOOKUP($A448,Строчный!$A:$A,Строчный!G:G,"ERR",0)))</f>
        <v>FREDRIKSON</v>
      </c>
      <c r="H448" s="81" t="str">
        <f ca="1">LOWER(TRIM(_xlfn.XLOOKUP($A448,Строчный!$A:$A,Строчный!H:H,"ERR",0)))</f>
        <v>624/91</v>
      </c>
      <c r="I448" s="81" t="str">
        <f ca="1">LOWER(TRIM(_xlfn.XLOOKUP($A448,Строчный!$A:$A,Строчный!I:I,"ERR",0)))</f>
        <v>черный</v>
      </c>
      <c r="J448" s="81" t="str">
        <f ca="1">SUBSTITUTE(LOWER(TRIM(_xlfn.XLOOKUP($A448,Строчный!$A:$A,Строчный!J:J,"ERR",0))),"подклад","Подклад")</f>
        <v>80% шерсть - 20% полиамид / Подклад: 100% вискоза</v>
      </c>
      <c r="K448" s="81" t="str">
        <f ca="1">LOWER(TRIM(_xlfn.XLOOKUP($A448,Строчный!$A:$A,Строчный!K:K,"ERR",0)))</f>
        <v>шерстяные</v>
      </c>
      <c r="L448" s="81" t="str">
        <f ca="1">PROPER(TRIM(_xlfn.XLOOKUP($A448,Строчный!$A:$A,Строчный!L:L,"ERR",0)))</f>
        <v>Унисекс</v>
      </c>
      <c r="M448" s="113" t="str">
        <f ca="1">PROPER(TRIM(_xlfn.XLOOKUP($A448,Строчный!$A:$A,Строчный!M:M,"ERR",0)))</f>
        <v>Россия</v>
      </c>
      <c r="N448" s="81" t="str">
        <f ca="1">UPPER(TRIM(_xlfn.XLOOKUP($A448,Строчный!$A:$A,Строчный!O:O,"ERR",0)))</f>
        <v/>
      </c>
      <c r="O448" s="102" t="str">
        <f ca="1">PROPER(TRIM(_xlfn.XLOOKUP($A448,Строчный!$A:$A,Строчный!P:P,"ERR",0)))</f>
        <v/>
      </c>
      <c r="P448" s="81" t="str">
        <f ca="1">PROPER(TRIM(_xlfn.XLOOKUP($A448,Строчный!$A:$A,Строчный!R:R,"ERR",0)))</f>
        <v/>
      </c>
      <c r="Q448" s="90">
        <f ca="1">VALUE(_xlfn.XLOOKUP($A448,Строчный!$A:$A,Строчный!N:N,"ERR",0))</f>
        <v>975.8</v>
      </c>
      <c r="R448" s="89" t="str">
        <f ca="1">_xlfn.XLOOKUP($G448,Фабрика!A:A,Фабрика!B:B,"ERR",0)</f>
        <v>ООО "ФРЭДРИКСОН" Россия 192029, С-Петербург, пр. Обуховской обороны, д.86, лит М</v>
      </c>
      <c r="S448" s="80" t="str">
        <f ca="1">_xlfn.XLOOKUP(RIGHT(AA448,2),Размеры!D:D,Размеры!A:A,"ERR",0)</f>
        <v>59</v>
      </c>
      <c r="T448" s="80">
        <f ca="1">VALUE(_xlfn.XLOOKUP($AA448,Строчный!$S:$S,Строчный!U:U,"ERR",0))</f>
        <v>11</v>
      </c>
      <c r="U448" s="14" t="s">
        <v>265</v>
      </c>
      <c r="V448" s="101" t="str">
        <f t="shared" ca="1" si="36"/>
        <v>Бейсболка FREDRIKSON арт. 3215 (черный)</v>
      </c>
      <c r="W448" s="100" t="str">
        <f t="shared" ca="1" si="37"/>
        <v>Бейсболка FREDRIKSON арт. 3215 (черный) {624/91}</v>
      </c>
      <c r="X448" s="18" t="str">
        <f t="shared" ca="1" si="38"/>
        <v>черный</v>
      </c>
      <c r="Y448" s="18" t="str">
        <f t="shared" ca="1" si="39"/>
        <v>черный</v>
      </c>
      <c r="Z448" s="117" t="str">
        <f ca="1">_xlfn.LET(_xlpm.FormColors,_xlfn.XLOOKUP(A448,Строчный!A:A,Строчный!Q:Q,"",0),IF(_xlpm.FormColors=0,IFERROR(MID(I448,FIND("-",I448)+1,LEN(I448)),IFERROR(MID(I448,1,FIND("/",I448)-2),I448)),_xlpm.FormColors))</f>
        <v>черный</v>
      </c>
      <c r="AA448" s="73" t="str">
        <f ca="1"/>
        <v>95-001-09-59</v>
      </c>
      <c r="AB448" s="75" t="str">
        <f ca="1">VLOOKUP(C448,Группа!A:B,2,FALSE)</f>
        <v>Бейсболка</v>
      </c>
      <c r="AC448" s="97" t="str">
        <f ca="1">IFERROR(VLOOKUP(S448,Размеры!A:C,3,FALSE),"")</f>
        <v>59 L</v>
      </c>
      <c r="AD448" s="97" t="str">
        <f ca="1">VLOOKUP(I448,ЦветПолный!A:B,2,FALSE)</f>
        <v>09</v>
      </c>
      <c r="AE448" s="97" t="str">
        <f ca="1">IFERROR(VLOOKUP(S448,Размеры!A:D,4,FALSE),"")</f>
        <v>59</v>
      </c>
      <c r="AF448" s="97">
        <f ca="1">IF(LEFT(IFERROR(VLOOKUP(LOOKUP(2,1/SEARCH(B448,Товары!A:A),Товары!A:A),Товары!A:B,2,0),""),6)=MID(AA448,1,6),1,0)</f>
        <v>0</v>
      </c>
      <c r="AH448" s="97">
        <f ca="1">SUMIF(Группа!A:A,C448,Группа!C:C)</f>
        <v>1</v>
      </c>
      <c r="AI448" s="97">
        <f ca="1">SUMIF(Группа!B:B,AB448,Группа!C:C)</f>
        <v>1</v>
      </c>
      <c r="AJ448" s="97">
        <f ca="1">SUMIF(Формы!A:A,D448,Формы!B:B)</f>
        <v>1</v>
      </c>
      <c r="AK448" s="97">
        <f ca="1">SUMIF(Материал!A:A,K448,Материал!B:B)</f>
        <v>1</v>
      </c>
      <c r="AL448" s="97">
        <f ca="1">SUMIF(Размеры!A:A,S448,Размеры!E:E)</f>
        <v>1</v>
      </c>
      <c r="AM448" s="97">
        <f ca="1">SUMIF(Сезон!A:A,F448,Сезон!B:B)</f>
        <v>1</v>
      </c>
      <c r="AN448" s="97">
        <f ca="1">SUMIF(Состав!A:A,J448,Состав!B:B)</f>
        <v>0</v>
      </c>
      <c r="AO448" s="97">
        <f ca="1">VLOOKUP(I448,ЦветПолный!A:C,3,0)</f>
        <v>1</v>
      </c>
      <c r="AP448" s="97">
        <f ca="1">SUMIF(Цвет!A:A,Z448,Цвет!B:B)</f>
        <v>1</v>
      </c>
      <c r="AQ448" s="97">
        <f ca="1">_xlfn.XLOOKUP(L448,Пол!A:A,Пол!B:B,0,0)</f>
        <v>1</v>
      </c>
      <c r="AR448" s="97">
        <f ca="1">SUMIF(Бренд!A:A,G448,Бренд!B:B)</f>
        <v>1</v>
      </c>
      <c r="AS448" s="97">
        <f ca="1">SUMIF(Страна!A:A,M448,Страна!B:B)</f>
        <v>1</v>
      </c>
      <c r="AT448" s="64" t="e">
        <f ca="1">IF(VLOOKUP(W448,Товары!A:B,2,FALSE)=A448,"Есть в 1С","ERR")</f>
        <v>#N/A</v>
      </c>
      <c r="AU448" s="65" t="e">
        <f ca="1">IF(VLOOKUP(A448,Товары!B:B,1,FALSE)=A448,"Есть в 1С","ERR")</f>
        <v>#N/A</v>
      </c>
      <c r="AV448" s="96" t="e">
        <f ca="1">VLOOKUP(W448,Товары!A:B,2,FALSE)</f>
        <v>#N/A</v>
      </c>
      <c r="AW448" s="94" t="e">
        <f ca="1">VLOOKUP(W448,Товары!A:B,1,FALSE)</f>
        <v>#N/A</v>
      </c>
    </row>
    <row r="449" spans="1:49" x14ac:dyDescent="0.25">
      <c r="A449" s="110" t="str">
        <f t="shared" ca="1" si="35"/>
        <v>95-001-09</v>
      </c>
      <c r="B449" s="107" t="str">
        <f ca="1">_xlfn.LET(_xlpm.CAPS,0,_xlpm.Style,TRIM(_xlfn.XLOOKUP($A449,Строчный!$A:$A,Строчный!B:B,"ERR",0)),IF(_xlpm.CAPS=0,_xlpm.Style,LOWER(_xlpm.Style)))</f>
        <v>3215</v>
      </c>
      <c r="C449" s="81" t="str">
        <f ca="1">TRIM(PROPER(_xlfn.XLOOKUP($A449,Строчный!$A:$A,Строчный!C:C,"ERR",0)))</f>
        <v>Бейсболки</v>
      </c>
      <c r="D449" s="81" t="str">
        <f ca="1">_xlfn.LET(_xlpm.DATA,TRIM(_xlfn.XLOOKUP($A449,Строчный!$A:$A,Строчный!D:D,"ERR",0)),UPPER(MID(_xlpm.DATA,1,1))&amp;LOWER(MID(_xlpm.DATA,2,LEN(_xlpm.DATA)-1)))</f>
        <v>Бейсболка</v>
      </c>
      <c r="E449" s="81" t="str">
        <f ca="1">PROPER(TRIM(_xlfn.XLOOKUP($A449,Строчный!$A:$A,Строчный!E:E,"ERR",0)))</f>
        <v>Fredrikson</v>
      </c>
      <c r="F449" s="81" t="str">
        <f ca="1">LOWER(TRIM(_xlfn.XLOOKUP($A449,Строчный!$A:$A,Строчный!F:F,"ERR",0)))</f>
        <v>всесезон</v>
      </c>
      <c r="G449" s="81" t="str">
        <f ca="1">UPPER(TRIM(_xlfn.XLOOKUP($A449,Строчный!$A:$A,Строчный!G:G,"ERR",0)))</f>
        <v>FREDRIKSON</v>
      </c>
      <c r="H449" s="81" t="str">
        <f ca="1">LOWER(TRIM(_xlfn.XLOOKUP($A449,Строчный!$A:$A,Строчный!H:H,"ERR",0)))</f>
        <v>624/91</v>
      </c>
      <c r="I449" s="81" t="str">
        <f ca="1">LOWER(TRIM(_xlfn.XLOOKUP($A449,Строчный!$A:$A,Строчный!I:I,"ERR",0)))</f>
        <v>черный</v>
      </c>
      <c r="J449" s="81" t="str">
        <f ca="1">SUBSTITUTE(LOWER(TRIM(_xlfn.XLOOKUP($A449,Строчный!$A:$A,Строчный!J:J,"ERR",0))),"подклад","Подклад")</f>
        <v>80% шерсть - 20% полиамид / Подклад: 100% вискоза</v>
      </c>
      <c r="K449" s="81" t="str">
        <f ca="1">LOWER(TRIM(_xlfn.XLOOKUP($A449,Строчный!$A:$A,Строчный!K:K,"ERR",0)))</f>
        <v>шерстяные</v>
      </c>
      <c r="L449" s="81" t="str">
        <f ca="1">PROPER(TRIM(_xlfn.XLOOKUP($A449,Строчный!$A:$A,Строчный!L:L,"ERR",0)))</f>
        <v>Унисекс</v>
      </c>
      <c r="M449" s="113" t="str">
        <f ca="1">PROPER(TRIM(_xlfn.XLOOKUP($A449,Строчный!$A:$A,Строчный!M:M,"ERR",0)))</f>
        <v>Россия</v>
      </c>
      <c r="N449" s="81" t="str">
        <f ca="1">UPPER(TRIM(_xlfn.XLOOKUP($A449,Строчный!$A:$A,Строчный!O:O,"ERR",0)))</f>
        <v/>
      </c>
      <c r="O449" s="102" t="str">
        <f ca="1">PROPER(TRIM(_xlfn.XLOOKUP($A449,Строчный!$A:$A,Строчный!P:P,"ERR",0)))</f>
        <v/>
      </c>
      <c r="P449" s="81" t="str">
        <f ca="1">PROPER(TRIM(_xlfn.XLOOKUP($A449,Строчный!$A:$A,Строчный!R:R,"ERR",0)))</f>
        <v/>
      </c>
      <c r="Q449" s="90">
        <f ca="1">VALUE(_xlfn.XLOOKUP($A449,Строчный!$A:$A,Строчный!N:N,"ERR",0))</f>
        <v>975.8</v>
      </c>
      <c r="R449" s="89" t="str">
        <f ca="1">_xlfn.XLOOKUP($G449,Фабрика!A:A,Фабрика!B:B,"ERR",0)</f>
        <v>ООО "ФРЭДРИКСОН" Россия 192029, С-Петербург, пр. Обуховской обороны, д.86, лит М</v>
      </c>
      <c r="S449" s="80" t="str">
        <f ca="1">_xlfn.XLOOKUP(RIGHT(AA449,2),Размеры!D:D,Размеры!A:A,"ERR",0)</f>
        <v>58</v>
      </c>
      <c r="T449" s="80">
        <f ca="1">VALUE(_xlfn.XLOOKUP($AA449,Строчный!$S:$S,Строчный!U:U,"ERR",0))</f>
        <v>7</v>
      </c>
      <c r="U449" s="14" t="s">
        <v>265</v>
      </c>
      <c r="V449" s="101" t="str">
        <f t="shared" ca="1" si="36"/>
        <v>Бейсболка FREDRIKSON арт. 3215 (черный)</v>
      </c>
      <c r="W449" s="100" t="str">
        <f t="shared" ca="1" si="37"/>
        <v>Бейсболка FREDRIKSON арт. 3215 (черный) {624/91}</v>
      </c>
      <c r="X449" s="18" t="str">
        <f t="shared" ca="1" si="38"/>
        <v>черный</v>
      </c>
      <c r="Y449" s="18" t="str">
        <f t="shared" ca="1" si="39"/>
        <v>черный</v>
      </c>
      <c r="Z449" s="117" t="str">
        <f ca="1">_xlfn.LET(_xlpm.FormColors,_xlfn.XLOOKUP(A449,Строчный!A:A,Строчный!Q:Q,"",0),IF(_xlpm.FormColors=0,IFERROR(MID(I449,FIND("-",I449)+1,LEN(I449)),IFERROR(MID(I449,1,FIND("/",I449)-2),I449)),_xlpm.FormColors))</f>
        <v>черный</v>
      </c>
      <c r="AA449" s="73" t="str">
        <f ca="1"/>
        <v>95-001-09-58</v>
      </c>
      <c r="AB449" s="75" t="str">
        <f ca="1">VLOOKUP(C449,Группа!A:B,2,FALSE)</f>
        <v>Бейсболка</v>
      </c>
      <c r="AC449" s="97" t="str">
        <f ca="1">IFERROR(VLOOKUP(S449,Размеры!A:C,3,FALSE),"")</f>
        <v>58 M/L</v>
      </c>
      <c r="AD449" s="97" t="str">
        <f ca="1">VLOOKUP(I449,ЦветПолный!A:B,2,FALSE)</f>
        <v>09</v>
      </c>
      <c r="AE449" s="97" t="str">
        <f ca="1">IFERROR(VLOOKUP(S449,Размеры!A:D,4,FALSE),"")</f>
        <v>58</v>
      </c>
      <c r="AF449" s="97">
        <f ca="1">IF(LEFT(IFERROR(VLOOKUP(LOOKUP(2,1/SEARCH(B449,Товары!A:A),Товары!A:A),Товары!A:B,2,0),""),6)=MID(AA449,1,6),1,0)</f>
        <v>0</v>
      </c>
      <c r="AH449" s="97">
        <f ca="1">SUMIF(Группа!A:A,C449,Группа!C:C)</f>
        <v>1</v>
      </c>
      <c r="AI449" s="97">
        <f ca="1">SUMIF(Группа!B:B,AB449,Группа!C:C)</f>
        <v>1</v>
      </c>
      <c r="AJ449" s="97">
        <f ca="1">SUMIF(Формы!A:A,D449,Формы!B:B)</f>
        <v>1</v>
      </c>
      <c r="AK449" s="97">
        <f ca="1">SUMIF(Материал!A:A,K449,Материал!B:B)</f>
        <v>1</v>
      </c>
      <c r="AL449" s="97">
        <f ca="1">SUMIF(Размеры!A:A,S449,Размеры!E:E)</f>
        <v>1</v>
      </c>
      <c r="AM449" s="97">
        <f ca="1">SUMIF(Сезон!A:A,F449,Сезон!B:B)</f>
        <v>1</v>
      </c>
      <c r="AN449" s="97">
        <f ca="1">SUMIF(Состав!A:A,J449,Состав!B:B)</f>
        <v>0</v>
      </c>
      <c r="AO449" s="97">
        <f ca="1">VLOOKUP(I449,ЦветПолный!A:C,3,0)</f>
        <v>1</v>
      </c>
      <c r="AP449" s="97">
        <f ca="1">SUMIF(Цвет!A:A,Z449,Цвет!B:B)</f>
        <v>1</v>
      </c>
      <c r="AQ449" s="97">
        <f ca="1">_xlfn.XLOOKUP(L449,Пол!A:A,Пол!B:B,0,0)</f>
        <v>1</v>
      </c>
      <c r="AR449" s="97">
        <f ca="1">SUMIF(Бренд!A:A,G449,Бренд!B:B)</f>
        <v>1</v>
      </c>
      <c r="AS449" s="97">
        <f ca="1">SUMIF(Страна!A:A,M449,Страна!B:B)</f>
        <v>1</v>
      </c>
      <c r="AT449" s="64" t="e">
        <f ca="1">IF(VLOOKUP(W449,Товары!A:B,2,FALSE)=A449,"Есть в 1С","ERR")</f>
        <v>#N/A</v>
      </c>
      <c r="AU449" s="65" t="e">
        <f ca="1">IF(VLOOKUP(A449,Товары!B:B,1,FALSE)=A449,"Есть в 1С","ERR")</f>
        <v>#N/A</v>
      </c>
      <c r="AV449" s="96" t="e">
        <f ca="1">VLOOKUP(W449,Товары!A:B,2,FALSE)</f>
        <v>#N/A</v>
      </c>
      <c r="AW449" s="94" t="e">
        <f ca="1">VLOOKUP(W449,Товары!A:B,1,FALSE)</f>
        <v>#N/A</v>
      </c>
    </row>
    <row r="450" spans="1:49" x14ac:dyDescent="0.25">
      <c r="A450" s="110" t="str">
        <f t="shared" ca="1" si="35"/>
        <v>95-001-09</v>
      </c>
      <c r="B450" s="107" t="str">
        <f ca="1">_xlfn.LET(_xlpm.CAPS,0,_xlpm.Style,TRIM(_xlfn.XLOOKUP($A450,Строчный!$A:$A,Строчный!B:B,"ERR",0)),IF(_xlpm.CAPS=0,_xlpm.Style,LOWER(_xlpm.Style)))</f>
        <v>3215</v>
      </c>
      <c r="C450" s="81" t="str">
        <f ca="1">TRIM(PROPER(_xlfn.XLOOKUP($A450,Строчный!$A:$A,Строчный!C:C,"ERR",0)))</f>
        <v>Бейсболки</v>
      </c>
      <c r="D450" s="81" t="str">
        <f ca="1">_xlfn.LET(_xlpm.DATA,TRIM(_xlfn.XLOOKUP($A450,Строчный!$A:$A,Строчный!D:D,"ERR",0)),UPPER(MID(_xlpm.DATA,1,1))&amp;LOWER(MID(_xlpm.DATA,2,LEN(_xlpm.DATA)-1)))</f>
        <v>Бейсболка</v>
      </c>
      <c r="E450" s="81" t="str">
        <f ca="1">PROPER(TRIM(_xlfn.XLOOKUP($A450,Строчный!$A:$A,Строчный!E:E,"ERR",0)))</f>
        <v>Fredrikson</v>
      </c>
      <c r="F450" s="81" t="str">
        <f ca="1">LOWER(TRIM(_xlfn.XLOOKUP($A450,Строчный!$A:$A,Строчный!F:F,"ERR",0)))</f>
        <v>всесезон</v>
      </c>
      <c r="G450" s="81" t="str">
        <f ca="1">UPPER(TRIM(_xlfn.XLOOKUP($A450,Строчный!$A:$A,Строчный!G:G,"ERR",0)))</f>
        <v>FREDRIKSON</v>
      </c>
      <c r="H450" s="81" t="str">
        <f ca="1">LOWER(TRIM(_xlfn.XLOOKUP($A450,Строчный!$A:$A,Строчный!H:H,"ERR",0)))</f>
        <v>624/91</v>
      </c>
      <c r="I450" s="81" t="str">
        <f ca="1">LOWER(TRIM(_xlfn.XLOOKUP($A450,Строчный!$A:$A,Строчный!I:I,"ERR",0)))</f>
        <v>черный</v>
      </c>
      <c r="J450" s="81" t="str">
        <f ca="1">SUBSTITUTE(LOWER(TRIM(_xlfn.XLOOKUP($A450,Строчный!$A:$A,Строчный!J:J,"ERR",0))),"подклад","Подклад")</f>
        <v>80% шерсть - 20% полиамид / Подклад: 100% вискоза</v>
      </c>
      <c r="K450" s="81" t="str">
        <f ca="1">LOWER(TRIM(_xlfn.XLOOKUP($A450,Строчный!$A:$A,Строчный!K:K,"ERR",0)))</f>
        <v>шерстяные</v>
      </c>
      <c r="L450" s="81" t="str">
        <f ca="1">PROPER(TRIM(_xlfn.XLOOKUP($A450,Строчный!$A:$A,Строчный!L:L,"ERR",0)))</f>
        <v>Унисекс</v>
      </c>
      <c r="M450" s="113" t="str">
        <f ca="1">PROPER(TRIM(_xlfn.XLOOKUP($A450,Строчный!$A:$A,Строчный!M:M,"ERR",0)))</f>
        <v>Россия</v>
      </c>
      <c r="N450" s="81" t="str">
        <f ca="1">UPPER(TRIM(_xlfn.XLOOKUP($A450,Строчный!$A:$A,Строчный!O:O,"ERR",0)))</f>
        <v/>
      </c>
      <c r="O450" s="102" t="str">
        <f ca="1">PROPER(TRIM(_xlfn.XLOOKUP($A450,Строчный!$A:$A,Строчный!P:P,"ERR",0)))</f>
        <v/>
      </c>
      <c r="P450" s="81" t="str">
        <f ca="1">PROPER(TRIM(_xlfn.XLOOKUP($A450,Строчный!$A:$A,Строчный!R:R,"ERR",0)))</f>
        <v/>
      </c>
      <c r="Q450" s="90">
        <f ca="1">VALUE(_xlfn.XLOOKUP($A450,Строчный!$A:$A,Строчный!N:N,"ERR",0))</f>
        <v>975.8</v>
      </c>
      <c r="R450" s="89" t="str">
        <f ca="1">_xlfn.XLOOKUP($G450,Фабрика!A:A,Фабрика!B:B,"ERR",0)</f>
        <v>ООО "ФРЭДРИКСОН" Россия 192029, С-Петербург, пр. Обуховской обороны, д.86, лит М</v>
      </c>
      <c r="S450" s="80" t="str">
        <f ca="1">_xlfn.XLOOKUP(RIGHT(AA450,2),Размеры!D:D,Размеры!A:A,"ERR",0)</f>
        <v>57</v>
      </c>
      <c r="T450" s="80">
        <f ca="1">VALUE(_xlfn.XLOOKUP($AA450,Строчный!$S:$S,Строчный!U:U,"ERR",0))</f>
        <v>5</v>
      </c>
      <c r="U450" s="14" t="s">
        <v>265</v>
      </c>
      <c r="V450" s="101" t="str">
        <f t="shared" ca="1" si="36"/>
        <v>Бейсболка FREDRIKSON арт. 3215 (черный)</v>
      </c>
      <c r="W450" s="100" t="str">
        <f t="shared" ca="1" si="37"/>
        <v>Бейсболка FREDRIKSON арт. 3215 (черный) {624/91}</v>
      </c>
      <c r="X450" s="18" t="str">
        <f t="shared" ca="1" si="38"/>
        <v>черный</v>
      </c>
      <c r="Y450" s="18" t="str">
        <f t="shared" ca="1" si="39"/>
        <v>черный</v>
      </c>
      <c r="Z450" s="117" t="str">
        <f ca="1">_xlfn.LET(_xlpm.FormColors,_xlfn.XLOOKUP(A450,Строчный!A:A,Строчный!Q:Q,"",0),IF(_xlpm.FormColors=0,IFERROR(MID(I450,FIND("-",I450)+1,LEN(I450)),IFERROR(MID(I450,1,FIND("/",I450)-2),I450)),_xlpm.FormColors))</f>
        <v>черный</v>
      </c>
      <c r="AA450" s="73" t="str">
        <f ca="1"/>
        <v>95-001-09-57</v>
      </c>
      <c r="AB450" s="75" t="str">
        <f ca="1">VLOOKUP(C450,Группа!A:B,2,FALSE)</f>
        <v>Бейсболка</v>
      </c>
      <c r="AC450" s="97" t="str">
        <f ca="1">IFERROR(VLOOKUP(S450,Размеры!A:C,3,FALSE),"")</f>
        <v>57 M</v>
      </c>
      <c r="AD450" s="97" t="str">
        <f ca="1">VLOOKUP(I450,ЦветПолный!A:B,2,FALSE)</f>
        <v>09</v>
      </c>
      <c r="AE450" s="97" t="str">
        <f ca="1">IFERROR(VLOOKUP(S450,Размеры!A:D,4,FALSE),"")</f>
        <v>57</v>
      </c>
      <c r="AF450" s="97">
        <f ca="1">IF(LEFT(IFERROR(VLOOKUP(LOOKUP(2,1/SEARCH(B450,Товары!A:A),Товары!A:A),Товары!A:B,2,0),""),6)=MID(AA450,1,6),1,0)</f>
        <v>0</v>
      </c>
      <c r="AH450" s="97">
        <f ca="1">SUMIF(Группа!A:A,C450,Группа!C:C)</f>
        <v>1</v>
      </c>
      <c r="AI450" s="97">
        <f ca="1">SUMIF(Группа!B:B,AB450,Группа!C:C)</f>
        <v>1</v>
      </c>
      <c r="AJ450" s="97">
        <f ca="1">SUMIF(Формы!A:A,D450,Формы!B:B)</f>
        <v>1</v>
      </c>
      <c r="AK450" s="97">
        <f ca="1">SUMIF(Материал!A:A,K450,Материал!B:B)</f>
        <v>1</v>
      </c>
      <c r="AL450" s="97">
        <f ca="1">SUMIF(Размеры!A:A,S450,Размеры!E:E)</f>
        <v>1</v>
      </c>
      <c r="AM450" s="97">
        <f ca="1">SUMIF(Сезон!A:A,F450,Сезон!B:B)</f>
        <v>1</v>
      </c>
      <c r="AN450" s="97">
        <f ca="1">SUMIF(Состав!A:A,J450,Состав!B:B)</f>
        <v>0</v>
      </c>
      <c r="AO450" s="97">
        <f ca="1">VLOOKUP(I450,ЦветПолный!A:C,3,0)</f>
        <v>1</v>
      </c>
      <c r="AP450" s="97">
        <f ca="1">SUMIF(Цвет!A:A,Z450,Цвет!B:B)</f>
        <v>1</v>
      </c>
      <c r="AQ450" s="97">
        <f ca="1">_xlfn.XLOOKUP(L450,Пол!A:A,Пол!B:B,0,0)</f>
        <v>1</v>
      </c>
      <c r="AR450" s="97">
        <f ca="1">SUMIF(Бренд!A:A,G450,Бренд!B:B)</f>
        <v>1</v>
      </c>
      <c r="AS450" s="97">
        <f ca="1">SUMIF(Страна!A:A,M450,Страна!B:B)</f>
        <v>1</v>
      </c>
      <c r="AT450" s="64" t="e">
        <f ca="1">IF(VLOOKUP(W450,Товары!A:B,2,FALSE)=A450,"Есть в 1С","ERR")</f>
        <v>#N/A</v>
      </c>
      <c r="AU450" s="65" t="e">
        <f ca="1">IF(VLOOKUP(A450,Товары!B:B,1,FALSE)=A450,"Есть в 1С","ERR")</f>
        <v>#N/A</v>
      </c>
      <c r="AV450" s="96" t="e">
        <f ca="1">VLOOKUP(W450,Товары!A:B,2,FALSE)</f>
        <v>#N/A</v>
      </c>
      <c r="AW450" s="94" t="e">
        <f ca="1">VLOOKUP(W450,Товары!A:B,1,FALSE)</f>
        <v>#N/A</v>
      </c>
    </row>
    <row r="451" spans="1:49" x14ac:dyDescent="0.25">
      <c r="A451" s="110" t="str">
        <f t="shared" ca="1" si="35"/>
        <v>95-001-09</v>
      </c>
      <c r="B451" s="107" t="str">
        <f ca="1">_xlfn.LET(_xlpm.CAPS,0,_xlpm.Style,TRIM(_xlfn.XLOOKUP($A451,Строчный!$A:$A,Строчный!B:B,"ERR",0)),IF(_xlpm.CAPS=0,_xlpm.Style,LOWER(_xlpm.Style)))</f>
        <v>3215</v>
      </c>
      <c r="C451" s="81" t="str">
        <f ca="1">TRIM(PROPER(_xlfn.XLOOKUP($A451,Строчный!$A:$A,Строчный!C:C,"ERR",0)))</f>
        <v>Бейсболки</v>
      </c>
      <c r="D451" s="81" t="str">
        <f ca="1">_xlfn.LET(_xlpm.DATA,TRIM(_xlfn.XLOOKUP($A451,Строчный!$A:$A,Строчный!D:D,"ERR",0)),UPPER(MID(_xlpm.DATA,1,1))&amp;LOWER(MID(_xlpm.DATA,2,LEN(_xlpm.DATA)-1)))</f>
        <v>Бейсболка</v>
      </c>
      <c r="E451" s="81" t="str">
        <f ca="1">PROPER(TRIM(_xlfn.XLOOKUP($A451,Строчный!$A:$A,Строчный!E:E,"ERR",0)))</f>
        <v>Fredrikson</v>
      </c>
      <c r="F451" s="81" t="str">
        <f ca="1">LOWER(TRIM(_xlfn.XLOOKUP($A451,Строчный!$A:$A,Строчный!F:F,"ERR",0)))</f>
        <v>всесезон</v>
      </c>
      <c r="G451" s="81" t="str">
        <f ca="1">UPPER(TRIM(_xlfn.XLOOKUP($A451,Строчный!$A:$A,Строчный!G:G,"ERR",0)))</f>
        <v>FREDRIKSON</v>
      </c>
      <c r="H451" s="81" t="str">
        <f ca="1">LOWER(TRIM(_xlfn.XLOOKUP($A451,Строчный!$A:$A,Строчный!H:H,"ERR",0)))</f>
        <v>624/91</v>
      </c>
      <c r="I451" s="81" t="str">
        <f ca="1">LOWER(TRIM(_xlfn.XLOOKUP($A451,Строчный!$A:$A,Строчный!I:I,"ERR",0)))</f>
        <v>черный</v>
      </c>
      <c r="J451" s="81" t="str">
        <f ca="1">SUBSTITUTE(LOWER(TRIM(_xlfn.XLOOKUP($A451,Строчный!$A:$A,Строчный!J:J,"ERR",0))),"подклад","Подклад")</f>
        <v>80% шерсть - 20% полиамид / Подклад: 100% вискоза</v>
      </c>
      <c r="K451" s="81" t="str">
        <f ca="1">LOWER(TRIM(_xlfn.XLOOKUP($A451,Строчный!$A:$A,Строчный!K:K,"ERR",0)))</f>
        <v>шерстяные</v>
      </c>
      <c r="L451" s="81" t="str">
        <f ca="1">PROPER(TRIM(_xlfn.XLOOKUP($A451,Строчный!$A:$A,Строчный!L:L,"ERR",0)))</f>
        <v>Унисекс</v>
      </c>
      <c r="M451" s="113" t="str">
        <f ca="1">PROPER(TRIM(_xlfn.XLOOKUP($A451,Строчный!$A:$A,Строчный!M:M,"ERR",0)))</f>
        <v>Россия</v>
      </c>
      <c r="N451" s="81" t="str">
        <f ca="1">UPPER(TRIM(_xlfn.XLOOKUP($A451,Строчный!$A:$A,Строчный!O:O,"ERR",0)))</f>
        <v/>
      </c>
      <c r="O451" s="102" t="str">
        <f ca="1">PROPER(TRIM(_xlfn.XLOOKUP($A451,Строчный!$A:$A,Строчный!P:P,"ERR",0)))</f>
        <v/>
      </c>
      <c r="P451" s="81" t="str">
        <f ca="1">PROPER(TRIM(_xlfn.XLOOKUP($A451,Строчный!$A:$A,Строчный!R:R,"ERR",0)))</f>
        <v/>
      </c>
      <c r="Q451" s="90">
        <f ca="1">VALUE(_xlfn.XLOOKUP($A451,Строчный!$A:$A,Строчный!N:N,"ERR",0))</f>
        <v>975.8</v>
      </c>
      <c r="R451" s="89" t="str">
        <f ca="1">_xlfn.XLOOKUP($G451,Фабрика!A:A,Фабрика!B:B,"ERR",0)</f>
        <v>ООО "ФРЭДРИКСОН" Россия 192029, С-Петербург, пр. Обуховской обороны, д.86, лит М</v>
      </c>
      <c r="S451" s="80" t="str">
        <f ca="1">_xlfn.XLOOKUP(RIGHT(AA451,2),Размеры!D:D,Размеры!A:A,"ERR",0)</f>
        <v>56</v>
      </c>
      <c r="T451" s="80">
        <f ca="1">VALUE(_xlfn.XLOOKUP($AA451,Строчный!$S:$S,Строчный!U:U,"ERR",0))</f>
        <v>2</v>
      </c>
      <c r="U451" s="14" t="s">
        <v>265</v>
      </c>
      <c r="V451" s="101" t="str">
        <f t="shared" ca="1" si="36"/>
        <v>Бейсболка FREDRIKSON арт. 3215 (черный)</v>
      </c>
      <c r="W451" s="100" t="str">
        <f t="shared" ca="1" si="37"/>
        <v>Бейсболка FREDRIKSON арт. 3215 (черный) {624/91}</v>
      </c>
      <c r="X451" s="18" t="str">
        <f t="shared" ca="1" si="38"/>
        <v>черный</v>
      </c>
      <c r="Y451" s="18" t="str">
        <f t="shared" ca="1" si="39"/>
        <v>черный</v>
      </c>
      <c r="Z451" s="117" t="str">
        <f ca="1">_xlfn.LET(_xlpm.FormColors,_xlfn.XLOOKUP(A451,Строчный!A:A,Строчный!Q:Q,"",0),IF(_xlpm.FormColors=0,IFERROR(MID(I451,FIND("-",I451)+1,LEN(I451)),IFERROR(MID(I451,1,FIND("/",I451)-2),I451)),_xlpm.FormColors))</f>
        <v>черный</v>
      </c>
      <c r="AA451" s="73" t="str">
        <f ca="1"/>
        <v>95-001-09-56</v>
      </c>
      <c r="AB451" s="75" t="str">
        <f ca="1">VLOOKUP(C451,Группа!A:B,2,FALSE)</f>
        <v>Бейсболка</v>
      </c>
      <c r="AC451" s="97" t="str">
        <f ca="1">IFERROR(VLOOKUP(S451,Размеры!A:C,3,FALSE),"")</f>
        <v>56 S/M</v>
      </c>
      <c r="AD451" s="97" t="str">
        <f ca="1">VLOOKUP(I451,ЦветПолный!A:B,2,FALSE)</f>
        <v>09</v>
      </c>
      <c r="AE451" s="97" t="str">
        <f ca="1">IFERROR(VLOOKUP(S451,Размеры!A:D,4,FALSE),"")</f>
        <v>56</v>
      </c>
      <c r="AF451" s="97">
        <f ca="1">IF(LEFT(IFERROR(VLOOKUP(LOOKUP(2,1/SEARCH(B451,Товары!A:A),Товары!A:A),Товары!A:B,2,0),""),6)=MID(AA451,1,6),1,0)</f>
        <v>0</v>
      </c>
      <c r="AH451" s="97">
        <f ca="1">SUMIF(Группа!A:A,C451,Группа!C:C)</f>
        <v>1</v>
      </c>
      <c r="AI451" s="97">
        <f ca="1">SUMIF(Группа!B:B,AB451,Группа!C:C)</f>
        <v>1</v>
      </c>
      <c r="AJ451" s="97">
        <f ca="1">SUMIF(Формы!A:A,D451,Формы!B:B)</f>
        <v>1</v>
      </c>
      <c r="AK451" s="97">
        <f ca="1">SUMIF(Материал!A:A,K451,Материал!B:B)</f>
        <v>1</v>
      </c>
      <c r="AL451" s="97">
        <f ca="1">SUMIF(Размеры!A:A,S451,Размеры!E:E)</f>
        <v>1</v>
      </c>
      <c r="AM451" s="97">
        <f ca="1">SUMIF(Сезон!A:A,F451,Сезон!B:B)</f>
        <v>1</v>
      </c>
      <c r="AN451" s="97">
        <f ca="1">SUMIF(Состав!A:A,J451,Состав!B:B)</f>
        <v>0</v>
      </c>
      <c r="AO451" s="97">
        <f ca="1">VLOOKUP(I451,ЦветПолный!A:C,3,0)</f>
        <v>1</v>
      </c>
      <c r="AP451" s="97">
        <f ca="1">SUMIF(Цвет!A:A,Z451,Цвет!B:B)</f>
        <v>1</v>
      </c>
      <c r="AQ451" s="97">
        <f ca="1">_xlfn.XLOOKUP(L451,Пол!A:A,Пол!B:B,0,0)</f>
        <v>1</v>
      </c>
      <c r="AR451" s="97">
        <f ca="1">SUMIF(Бренд!A:A,G451,Бренд!B:B)</f>
        <v>1</v>
      </c>
      <c r="AS451" s="97">
        <f ca="1">SUMIF(Страна!A:A,M451,Страна!B:B)</f>
        <v>1</v>
      </c>
      <c r="AT451" s="64" t="e">
        <f ca="1">IF(VLOOKUP(W451,Товары!A:B,2,FALSE)=A451,"Есть в 1С","ERR")</f>
        <v>#N/A</v>
      </c>
      <c r="AU451" s="65" t="e">
        <f ca="1">IF(VLOOKUP(A451,Товары!B:B,1,FALSE)=A451,"Есть в 1С","ERR")</f>
        <v>#N/A</v>
      </c>
      <c r="AV451" s="96" t="e">
        <f ca="1">VLOOKUP(W451,Товары!A:B,2,FALSE)</f>
        <v>#N/A</v>
      </c>
      <c r="AW451" s="94" t="e">
        <f ca="1">VLOOKUP(W451,Товары!A:B,1,FALSE)</f>
        <v>#N/A</v>
      </c>
    </row>
    <row r="452" spans="1:49" x14ac:dyDescent="0.25">
      <c r="A452" s="110" t="str">
        <f t="shared" ca="1" si="35"/>
        <v>95-001-01</v>
      </c>
      <c r="B452" s="107" t="str">
        <f ca="1">_xlfn.LET(_xlpm.CAPS,0,_xlpm.Style,TRIM(_xlfn.XLOOKUP($A452,Строчный!$A:$A,Строчный!B:B,"ERR",0)),IF(_xlpm.CAPS=0,_xlpm.Style,LOWER(_xlpm.Style)))</f>
        <v>3215</v>
      </c>
      <c r="C452" s="81" t="str">
        <f ca="1">TRIM(PROPER(_xlfn.XLOOKUP($A452,Строчный!$A:$A,Строчный!C:C,"ERR",0)))</f>
        <v>Бейсболки</v>
      </c>
      <c r="D452" s="81" t="str">
        <f ca="1">_xlfn.LET(_xlpm.DATA,TRIM(_xlfn.XLOOKUP($A452,Строчный!$A:$A,Строчный!D:D,"ERR",0)),UPPER(MID(_xlpm.DATA,1,1))&amp;LOWER(MID(_xlpm.DATA,2,LEN(_xlpm.DATA)-1)))</f>
        <v>Бейсболка</v>
      </c>
      <c r="E452" s="81" t="str">
        <f ca="1">PROPER(TRIM(_xlfn.XLOOKUP($A452,Строчный!$A:$A,Строчный!E:E,"ERR",0)))</f>
        <v>Fredrikson</v>
      </c>
      <c r="F452" s="81" t="str">
        <f ca="1">LOWER(TRIM(_xlfn.XLOOKUP($A452,Строчный!$A:$A,Строчный!F:F,"ERR",0)))</f>
        <v>всесезон</v>
      </c>
      <c r="G452" s="81" t="str">
        <f ca="1">UPPER(TRIM(_xlfn.XLOOKUP($A452,Строчный!$A:$A,Строчный!G:G,"ERR",0)))</f>
        <v>FREDRIKSON</v>
      </c>
      <c r="H452" s="81" t="str">
        <f ca="1">LOWER(TRIM(_xlfn.XLOOKUP($A452,Строчный!$A:$A,Строчный!H:H,"ERR",0)))</f>
        <v>684/29</v>
      </c>
      <c r="I452" s="81" t="str">
        <f ca="1">LOWER(TRIM(_xlfn.XLOOKUP($A452,Строчный!$A:$A,Строчный!I:I,"ERR",0)))</f>
        <v>светло-серый / синий</v>
      </c>
      <c r="J452" s="81" t="str">
        <f ca="1">SUBSTITUTE(LOWER(TRIM(_xlfn.XLOOKUP($A452,Строчный!$A:$A,Строчный!J:J,"ERR",0))),"подклад","Подклад")</f>
        <v>80% шерсть - 20% полиамид / Подклад: 100% вискоза</v>
      </c>
      <c r="K452" s="81" t="str">
        <f ca="1">LOWER(TRIM(_xlfn.XLOOKUP($A452,Строчный!$A:$A,Строчный!K:K,"ERR",0)))</f>
        <v>шерстяные</v>
      </c>
      <c r="L452" s="81" t="str">
        <f ca="1">PROPER(TRIM(_xlfn.XLOOKUP($A452,Строчный!$A:$A,Строчный!L:L,"ERR",0)))</f>
        <v>Унисекс</v>
      </c>
      <c r="M452" s="113" t="str">
        <f ca="1">PROPER(TRIM(_xlfn.XLOOKUP($A452,Строчный!$A:$A,Строчный!M:M,"ERR",0)))</f>
        <v>Россия</v>
      </c>
      <c r="N452" s="81" t="str">
        <f ca="1">UPPER(TRIM(_xlfn.XLOOKUP($A452,Строчный!$A:$A,Строчный!O:O,"ERR",0)))</f>
        <v/>
      </c>
      <c r="O452" s="102" t="str">
        <f ca="1">PROPER(TRIM(_xlfn.XLOOKUP($A452,Строчный!$A:$A,Строчный!P:P,"ERR",0)))</f>
        <v/>
      </c>
      <c r="P452" s="81" t="str">
        <f ca="1">PROPER(TRIM(_xlfn.XLOOKUP($A452,Строчный!$A:$A,Строчный!R:R,"ERR",0)))</f>
        <v/>
      </c>
      <c r="Q452" s="90">
        <f ca="1">VALUE(_xlfn.XLOOKUP($A452,Строчный!$A:$A,Строчный!N:N,"ERR",0))</f>
        <v>975.8</v>
      </c>
      <c r="R452" s="89" t="str">
        <f ca="1">_xlfn.XLOOKUP($G452,Фабрика!A:A,Фабрика!B:B,"ERR",0)</f>
        <v>ООО "ФРЭДРИКСОН" Россия 192029, С-Петербург, пр. Обуховской обороны, д.86, лит М</v>
      </c>
      <c r="S452" s="80" t="str">
        <f ca="1">_xlfn.XLOOKUP(RIGHT(AA452,2),Размеры!D:D,Размеры!A:A,"ERR",0)</f>
        <v>61</v>
      </c>
      <c r="T452" s="80">
        <f ca="1">VALUE(_xlfn.XLOOKUP($AA452,Строчный!$S:$S,Строчный!U:U,"ERR",0))</f>
        <v>1</v>
      </c>
      <c r="U452" s="14" t="s">
        <v>265</v>
      </c>
      <c r="V452" s="101" t="str">
        <f t="shared" ca="1" si="36"/>
        <v>Бейсболка FREDRIKSON арт. 3215 (светло-серый / синий)</v>
      </c>
      <c r="W452" s="100" t="str">
        <f t="shared" ca="1" si="37"/>
        <v>Бейсболка FREDRIKSON арт. 3215 (светло-серый / синий) {684/29}</v>
      </c>
      <c r="X452" s="18" t="str">
        <f t="shared" ca="1" si="38"/>
        <v>серый / синий</v>
      </c>
      <c r="Y452" s="18" t="str">
        <f t="shared" ca="1" si="39"/>
        <v>серый / синий</v>
      </c>
      <c r="Z452" s="117" t="s">
        <v>28</v>
      </c>
      <c r="AA452" s="73" t="str">
        <f ca="1"/>
        <v>95-001-01-61</v>
      </c>
      <c r="AB452" s="75" t="str">
        <f ca="1">VLOOKUP(C452,Группа!A:B,2,FALSE)</f>
        <v>Бейсболка</v>
      </c>
      <c r="AC452" s="97" t="str">
        <f ca="1">IFERROR(VLOOKUP(S452,Размеры!A:C,3,FALSE),"")</f>
        <v>61 XL</v>
      </c>
      <c r="AD452" s="97" t="str">
        <f ca="1">VLOOKUP(I452,ЦветПолный!A:B,2,FALSE)</f>
        <v>01</v>
      </c>
      <c r="AE452" s="97" t="str">
        <f ca="1">IFERROR(VLOOKUP(S452,Размеры!A:D,4,FALSE),"")</f>
        <v>61</v>
      </c>
      <c r="AF452" s="97">
        <f ca="1">IF(LEFT(IFERROR(VLOOKUP(LOOKUP(2,1/SEARCH(B452,Товары!A:A),Товары!A:A),Товары!A:B,2,0),""),6)=MID(AA452,1,6),1,0)</f>
        <v>0</v>
      </c>
      <c r="AH452" s="97">
        <f ca="1">SUMIF(Группа!A:A,C452,Группа!C:C)</f>
        <v>1</v>
      </c>
      <c r="AI452" s="97">
        <f ca="1">SUMIF(Группа!B:B,AB452,Группа!C:C)</f>
        <v>1</v>
      </c>
      <c r="AJ452" s="97">
        <f ca="1">SUMIF(Формы!A:A,D452,Формы!B:B)</f>
        <v>1</v>
      </c>
      <c r="AK452" s="97">
        <f ca="1">SUMIF(Материал!A:A,K452,Материал!B:B)</f>
        <v>1</v>
      </c>
      <c r="AL452" s="97">
        <f ca="1">SUMIF(Размеры!A:A,S452,Размеры!E:E)</f>
        <v>1</v>
      </c>
      <c r="AM452" s="97">
        <f ca="1">SUMIF(Сезон!A:A,F452,Сезон!B:B)</f>
        <v>1</v>
      </c>
      <c r="AN452" s="97">
        <f ca="1">SUMIF(Состав!A:A,J452,Состав!B:B)</f>
        <v>0</v>
      </c>
      <c r="AO452" s="97">
        <f ca="1">VLOOKUP(I452,ЦветПолный!A:C,3,0)</f>
        <v>1</v>
      </c>
      <c r="AP452" s="97">
        <f>SUMIF(Цвет!A:A,Z452,Цвет!B:B)</f>
        <v>1</v>
      </c>
      <c r="AQ452" s="97">
        <f ca="1">_xlfn.XLOOKUP(L452,Пол!A:A,Пол!B:B,0,0)</f>
        <v>1</v>
      </c>
      <c r="AR452" s="97">
        <f ca="1">SUMIF(Бренд!A:A,G452,Бренд!B:B)</f>
        <v>1</v>
      </c>
      <c r="AS452" s="97">
        <f ca="1">SUMIF(Страна!A:A,M452,Страна!B:B)</f>
        <v>1</v>
      </c>
      <c r="AT452" s="64" t="e">
        <f ca="1">IF(VLOOKUP(W452,Товары!A:B,2,FALSE)=A452,"Есть в 1С","ERR")</f>
        <v>#N/A</v>
      </c>
      <c r="AU452" s="65" t="e">
        <f ca="1">IF(VLOOKUP(A452,Товары!B:B,1,FALSE)=A452,"Есть в 1С","ERR")</f>
        <v>#N/A</v>
      </c>
      <c r="AV452" s="96" t="e">
        <f ca="1">VLOOKUP(W452,Товары!A:B,2,FALSE)</f>
        <v>#N/A</v>
      </c>
      <c r="AW452" s="94" t="e">
        <f ca="1">VLOOKUP(W452,Товары!A:B,1,FALSE)</f>
        <v>#N/A</v>
      </c>
    </row>
    <row r="453" spans="1:49" x14ac:dyDescent="0.25">
      <c r="A453" s="110" t="str">
        <f t="shared" ca="1" si="35"/>
        <v>95-001-01</v>
      </c>
      <c r="B453" s="107" t="str">
        <f ca="1">_xlfn.LET(_xlpm.CAPS,0,_xlpm.Style,TRIM(_xlfn.XLOOKUP($A453,Строчный!$A:$A,Строчный!B:B,"ERR",0)),IF(_xlpm.CAPS=0,_xlpm.Style,LOWER(_xlpm.Style)))</f>
        <v>3215</v>
      </c>
      <c r="C453" s="81" t="str">
        <f ca="1">TRIM(PROPER(_xlfn.XLOOKUP($A453,Строчный!$A:$A,Строчный!C:C,"ERR",0)))</f>
        <v>Бейсболки</v>
      </c>
      <c r="D453" s="81" t="str">
        <f ca="1">_xlfn.LET(_xlpm.DATA,TRIM(_xlfn.XLOOKUP($A453,Строчный!$A:$A,Строчный!D:D,"ERR",0)),UPPER(MID(_xlpm.DATA,1,1))&amp;LOWER(MID(_xlpm.DATA,2,LEN(_xlpm.DATA)-1)))</f>
        <v>Бейсболка</v>
      </c>
      <c r="E453" s="81" t="str">
        <f ca="1">PROPER(TRIM(_xlfn.XLOOKUP($A453,Строчный!$A:$A,Строчный!E:E,"ERR",0)))</f>
        <v>Fredrikson</v>
      </c>
      <c r="F453" s="81" t="str">
        <f ca="1">LOWER(TRIM(_xlfn.XLOOKUP($A453,Строчный!$A:$A,Строчный!F:F,"ERR",0)))</f>
        <v>всесезон</v>
      </c>
      <c r="G453" s="81" t="str">
        <f ca="1">UPPER(TRIM(_xlfn.XLOOKUP($A453,Строчный!$A:$A,Строчный!G:G,"ERR",0)))</f>
        <v>FREDRIKSON</v>
      </c>
      <c r="H453" s="81" t="str">
        <f ca="1">LOWER(TRIM(_xlfn.XLOOKUP($A453,Строчный!$A:$A,Строчный!H:H,"ERR",0)))</f>
        <v>684/29</v>
      </c>
      <c r="I453" s="81" t="str">
        <f ca="1">LOWER(TRIM(_xlfn.XLOOKUP($A453,Строчный!$A:$A,Строчный!I:I,"ERR",0)))</f>
        <v>светло-серый / синий</v>
      </c>
      <c r="J453" s="81" t="str">
        <f ca="1">SUBSTITUTE(LOWER(TRIM(_xlfn.XLOOKUP($A453,Строчный!$A:$A,Строчный!J:J,"ERR",0))),"подклад","Подклад")</f>
        <v>80% шерсть - 20% полиамид / Подклад: 100% вискоза</v>
      </c>
      <c r="K453" s="81" t="str">
        <f ca="1">LOWER(TRIM(_xlfn.XLOOKUP($A453,Строчный!$A:$A,Строчный!K:K,"ERR",0)))</f>
        <v>шерстяные</v>
      </c>
      <c r="L453" s="81" t="str">
        <f ca="1">PROPER(TRIM(_xlfn.XLOOKUP($A453,Строчный!$A:$A,Строчный!L:L,"ERR",0)))</f>
        <v>Унисекс</v>
      </c>
      <c r="M453" s="113" t="str">
        <f ca="1">PROPER(TRIM(_xlfn.XLOOKUP($A453,Строчный!$A:$A,Строчный!M:M,"ERR",0)))</f>
        <v>Россия</v>
      </c>
      <c r="N453" s="81" t="str">
        <f ca="1">UPPER(TRIM(_xlfn.XLOOKUP($A453,Строчный!$A:$A,Строчный!O:O,"ERR",0)))</f>
        <v/>
      </c>
      <c r="O453" s="102" t="str">
        <f ca="1">PROPER(TRIM(_xlfn.XLOOKUP($A453,Строчный!$A:$A,Строчный!P:P,"ERR",0)))</f>
        <v/>
      </c>
      <c r="P453" s="81" t="str">
        <f ca="1">PROPER(TRIM(_xlfn.XLOOKUP($A453,Строчный!$A:$A,Строчный!R:R,"ERR",0)))</f>
        <v/>
      </c>
      <c r="Q453" s="90">
        <f ca="1">VALUE(_xlfn.XLOOKUP($A453,Строчный!$A:$A,Строчный!N:N,"ERR",0))</f>
        <v>975.8</v>
      </c>
      <c r="R453" s="89" t="str">
        <f ca="1">_xlfn.XLOOKUP($G453,Фабрика!A:A,Фабрика!B:B,"ERR",0)</f>
        <v>ООО "ФРЭДРИКСОН" Россия 192029, С-Петербург, пр. Обуховской обороны, д.86, лит М</v>
      </c>
      <c r="S453" s="80" t="str">
        <f ca="1">_xlfn.XLOOKUP(RIGHT(AA453,2),Размеры!D:D,Размеры!A:A,"ERR",0)</f>
        <v>60</v>
      </c>
      <c r="T453" s="80">
        <f ca="1">VALUE(_xlfn.XLOOKUP($AA453,Строчный!$S:$S,Строчный!U:U,"ERR",0))</f>
        <v>1</v>
      </c>
      <c r="U453" s="14" t="s">
        <v>265</v>
      </c>
      <c r="V453" s="101" t="str">
        <f t="shared" ca="1" si="36"/>
        <v>Бейсболка FREDRIKSON арт. 3215 (светло-серый / синий)</v>
      </c>
      <c r="W453" s="100" t="str">
        <f t="shared" ca="1" si="37"/>
        <v>Бейсболка FREDRIKSON арт. 3215 (светло-серый / синий) {684/29}</v>
      </c>
      <c r="X453" s="18" t="str">
        <f t="shared" ca="1" si="38"/>
        <v>серый / синий</v>
      </c>
      <c r="Y453" s="18" t="str">
        <f t="shared" ca="1" si="39"/>
        <v>серый / синий</v>
      </c>
      <c r="Z453" s="117" t="s">
        <v>28</v>
      </c>
      <c r="AA453" s="73" t="str">
        <f ca="1"/>
        <v>95-001-01-60</v>
      </c>
      <c r="AB453" s="75" t="str">
        <f ca="1">VLOOKUP(C453,Группа!A:B,2,FALSE)</f>
        <v>Бейсболка</v>
      </c>
      <c r="AC453" s="97" t="str">
        <f ca="1">IFERROR(VLOOKUP(S453,Размеры!A:C,3,FALSE),"")</f>
        <v>60 L/XL</v>
      </c>
      <c r="AD453" s="97" t="str">
        <f ca="1">VLOOKUP(I453,ЦветПолный!A:B,2,FALSE)</f>
        <v>01</v>
      </c>
      <c r="AE453" s="97" t="str">
        <f ca="1">IFERROR(VLOOKUP(S453,Размеры!A:D,4,FALSE),"")</f>
        <v>60</v>
      </c>
      <c r="AF453" s="97">
        <f ca="1">IF(LEFT(IFERROR(VLOOKUP(LOOKUP(2,1/SEARCH(B453,Товары!A:A),Товары!A:A),Товары!A:B,2,0),""),6)=MID(AA453,1,6),1,0)</f>
        <v>0</v>
      </c>
      <c r="AH453" s="97">
        <f ca="1">SUMIF(Группа!A:A,C453,Группа!C:C)</f>
        <v>1</v>
      </c>
      <c r="AI453" s="97">
        <f ca="1">SUMIF(Группа!B:B,AB453,Группа!C:C)</f>
        <v>1</v>
      </c>
      <c r="AJ453" s="97">
        <f ca="1">SUMIF(Формы!A:A,D453,Формы!B:B)</f>
        <v>1</v>
      </c>
      <c r="AK453" s="97">
        <f ca="1">SUMIF(Материал!A:A,K453,Материал!B:B)</f>
        <v>1</v>
      </c>
      <c r="AL453" s="97">
        <f ca="1">SUMIF(Размеры!A:A,S453,Размеры!E:E)</f>
        <v>1</v>
      </c>
      <c r="AM453" s="97">
        <f ca="1">SUMIF(Сезон!A:A,F453,Сезон!B:B)</f>
        <v>1</v>
      </c>
      <c r="AN453" s="97">
        <f ca="1">SUMIF(Состав!A:A,J453,Состав!B:B)</f>
        <v>0</v>
      </c>
      <c r="AO453" s="97">
        <f ca="1">VLOOKUP(I453,ЦветПолный!A:C,3,0)</f>
        <v>1</v>
      </c>
      <c r="AP453" s="97">
        <f>SUMIF(Цвет!A:A,Z453,Цвет!B:B)</f>
        <v>1</v>
      </c>
      <c r="AQ453" s="97">
        <f ca="1">_xlfn.XLOOKUP(L453,Пол!A:A,Пол!B:B,0,0)</f>
        <v>1</v>
      </c>
      <c r="AR453" s="97">
        <f ca="1">SUMIF(Бренд!A:A,G453,Бренд!B:B)</f>
        <v>1</v>
      </c>
      <c r="AS453" s="97">
        <f ca="1">SUMIF(Страна!A:A,M453,Страна!B:B)</f>
        <v>1</v>
      </c>
      <c r="AT453" s="64" t="e">
        <f ca="1">IF(VLOOKUP(W453,Товары!A:B,2,FALSE)=A453,"Есть в 1С","ERR")</f>
        <v>#N/A</v>
      </c>
      <c r="AU453" s="65" t="e">
        <f ca="1">IF(VLOOKUP(A453,Товары!B:B,1,FALSE)=A453,"Есть в 1С","ERR")</f>
        <v>#N/A</v>
      </c>
      <c r="AV453" s="96" t="e">
        <f ca="1">VLOOKUP(W453,Товары!A:B,2,FALSE)</f>
        <v>#N/A</v>
      </c>
      <c r="AW453" s="94" t="e">
        <f ca="1">VLOOKUP(W453,Товары!A:B,1,FALSE)</f>
        <v>#N/A</v>
      </c>
    </row>
    <row r="454" spans="1:49" x14ac:dyDescent="0.25">
      <c r="A454" s="110" t="str">
        <f t="shared" ca="1" si="35"/>
        <v>95-001-01</v>
      </c>
      <c r="B454" s="107" t="str">
        <f ca="1">_xlfn.LET(_xlpm.CAPS,0,_xlpm.Style,TRIM(_xlfn.XLOOKUP($A454,Строчный!$A:$A,Строчный!B:B,"ERR",0)),IF(_xlpm.CAPS=0,_xlpm.Style,LOWER(_xlpm.Style)))</f>
        <v>3215</v>
      </c>
      <c r="C454" s="81" t="str">
        <f ca="1">TRIM(PROPER(_xlfn.XLOOKUP($A454,Строчный!$A:$A,Строчный!C:C,"ERR",0)))</f>
        <v>Бейсболки</v>
      </c>
      <c r="D454" s="81" t="str">
        <f ca="1">_xlfn.LET(_xlpm.DATA,TRIM(_xlfn.XLOOKUP($A454,Строчный!$A:$A,Строчный!D:D,"ERR",0)),UPPER(MID(_xlpm.DATA,1,1))&amp;LOWER(MID(_xlpm.DATA,2,LEN(_xlpm.DATA)-1)))</f>
        <v>Бейсболка</v>
      </c>
      <c r="E454" s="81" t="str">
        <f ca="1">PROPER(TRIM(_xlfn.XLOOKUP($A454,Строчный!$A:$A,Строчный!E:E,"ERR",0)))</f>
        <v>Fredrikson</v>
      </c>
      <c r="F454" s="81" t="str">
        <f ca="1">LOWER(TRIM(_xlfn.XLOOKUP($A454,Строчный!$A:$A,Строчный!F:F,"ERR",0)))</f>
        <v>всесезон</v>
      </c>
      <c r="G454" s="81" t="str">
        <f ca="1">UPPER(TRIM(_xlfn.XLOOKUP($A454,Строчный!$A:$A,Строчный!G:G,"ERR",0)))</f>
        <v>FREDRIKSON</v>
      </c>
      <c r="H454" s="81" t="str">
        <f ca="1">LOWER(TRIM(_xlfn.XLOOKUP($A454,Строчный!$A:$A,Строчный!H:H,"ERR",0)))</f>
        <v>684/29</v>
      </c>
      <c r="I454" s="81" t="str">
        <f ca="1">LOWER(TRIM(_xlfn.XLOOKUP($A454,Строчный!$A:$A,Строчный!I:I,"ERR",0)))</f>
        <v>светло-серый / синий</v>
      </c>
      <c r="J454" s="81" t="str">
        <f ca="1">SUBSTITUTE(LOWER(TRIM(_xlfn.XLOOKUP($A454,Строчный!$A:$A,Строчный!J:J,"ERR",0))),"подклад","Подклад")</f>
        <v>80% шерсть - 20% полиамид / Подклад: 100% вискоза</v>
      </c>
      <c r="K454" s="81" t="str">
        <f ca="1">LOWER(TRIM(_xlfn.XLOOKUP($A454,Строчный!$A:$A,Строчный!K:K,"ERR",0)))</f>
        <v>шерстяные</v>
      </c>
      <c r="L454" s="81" t="str">
        <f ca="1">PROPER(TRIM(_xlfn.XLOOKUP($A454,Строчный!$A:$A,Строчный!L:L,"ERR",0)))</f>
        <v>Унисекс</v>
      </c>
      <c r="M454" s="113" t="str">
        <f ca="1">PROPER(TRIM(_xlfn.XLOOKUP($A454,Строчный!$A:$A,Строчный!M:M,"ERR",0)))</f>
        <v>Россия</v>
      </c>
      <c r="N454" s="81" t="str">
        <f ca="1">UPPER(TRIM(_xlfn.XLOOKUP($A454,Строчный!$A:$A,Строчный!O:O,"ERR",0)))</f>
        <v/>
      </c>
      <c r="O454" s="102" t="str">
        <f ca="1">PROPER(TRIM(_xlfn.XLOOKUP($A454,Строчный!$A:$A,Строчный!P:P,"ERR",0)))</f>
        <v/>
      </c>
      <c r="P454" s="81" t="str">
        <f ca="1">PROPER(TRIM(_xlfn.XLOOKUP($A454,Строчный!$A:$A,Строчный!R:R,"ERR",0)))</f>
        <v/>
      </c>
      <c r="Q454" s="90">
        <f ca="1">VALUE(_xlfn.XLOOKUP($A454,Строчный!$A:$A,Строчный!N:N,"ERR",0))</f>
        <v>975.8</v>
      </c>
      <c r="R454" s="89" t="str">
        <f ca="1">_xlfn.XLOOKUP($G454,Фабрика!A:A,Фабрика!B:B,"ERR",0)</f>
        <v>ООО "ФРЭДРИКСОН" Россия 192029, С-Петербург, пр. Обуховской обороны, д.86, лит М</v>
      </c>
      <c r="S454" s="80" t="str">
        <f ca="1">_xlfn.XLOOKUP(RIGHT(AA454,2),Размеры!D:D,Размеры!A:A,"ERR",0)</f>
        <v>59</v>
      </c>
      <c r="T454" s="80">
        <f ca="1">VALUE(_xlfn.XLOOKUP($AA454,Строчный!$S:$S,Строчный!U:U,"ERR",0))</f>
        <v>2</v>
      </c>
      <c r="U454" s="14" t="s">
        <v>265</v>
      </c>
      <c r="V454" s="101" t="str">
        <f t="shared" ca="1" si="36"/>
        <v>Бейсболка FREDRIKSON арт. 3215 (светло-серый / синий)</v>
      </c>
      <c r="W454" s="100" t="str">
        <f t="shared" ca="1" si="37"/>
        <v>Бейсболка FREDRIKSON арт. 3215 (светло-серый / синий) {684/29}</v>
      </c>
      <c r="X454" s="18" t="str">
        <f t="shared" ca="1" si="38"/>
        <v>серый / синий</v>
      </c>
      <c r="Y454" s="18" t="str">
        <f t="shared" ca="1" si="39"/>
        <v>серый / синий</v>
      </c>
      <c r="Z454" s="117" t="s">
        <v>28</v>
      </c>
      <c r="AA454" s="73" t="str">
        <f ca="1"/>
        <v>95-001-01-59</v>
      </c>
      <c r="AB454" s="75" t="str">
        <f ca="1">VLOOKUP(C454,Группа!A:B,2,FALSE)</f>
        <v>Бейсболка</v>
      </c>
      <c r="AC454" s="97" t="str">
        <f ca="1">IFERROR(VLOOKUP(S454,Размеры!A:C,3,FALSE),"")</f>
        <v>59 L</v>
      </c>
      <c r="AD454" s="97" t="str">
        <f ca="1">VLOOKUP(I454,ЦветПолный!A:B,2,FALSE)</f>
        <v>01</v>
      </c>
      <c r="AE454" s="97" t="str">
        <f ca="1">IFERROR(VLOOKUP(S454,Размеры!A:D,4,FALSE),"")</f>
        <v>59</v>
      </c>
      <c r="AF454" s="97">
        <f ca="1">IF(LEFT(IFERROR(VLOOKUP(LOOKUP(2,1/SEARCH(B454,Товары!A:A),Товары!A:A),Товары!A:B,2,0),""),6)=MID(AA454,1,6),1,0)</f>
        <v>0</v>
      </c>
      <c r="AH454" s="97">
        <f ca="1">SUMIF(Группа!A:A,C454,Группа!C:C)</f>
        <v>1</v>
      </c>
      <c r="AI454" s="97">
        <f ca="1">SUMIF(Группа!B:B,AB454,Группа!C:C)</f>
        <v>1</v>
      </c>
      <c r="AJ454" s="97">
        <f ca="1">SUMIF(Формы!A:A,D454,Формы!B:B)</f>
        <v>1</v>
      </c>
      <c r="AK454" s="97">
        <f ca="1">SUMIF(Материал!A:A,K454,Материал!B:B)</f>
        <v>1</v>
      </c>
      <c r="AL454" s="97">
        <f ca="1">SUMIF(Размеры!A:A,S454,Размеры!E:E)</f>
        <v>1</v>
      </c>
      <c r="AM454" s="97">
        <f ca="1">SUMIF(Сезон!A:A,F454,Сезон!B:B)</f>
        <v>1</v>
      </c>
      <c r="AN454" s="97">
        <f ca="1">SUMIF(Состав!A:A,J454,Состав!B:B)</f>
        <v>0</v>
      </c>
      <c r="AO454" s="97">
        <f ca="1">VLOOKUP(I454,ЦветПолный!A:C,3,0)</f>
        <v>1</v>
      </c>
      <c r="AP454" s="97">
        <f>SUMIF(Цвет!A:A,Z454,Цвет!B:B)</f>
        <v>1</v>
      </c>
      <c r="AQ454" s="97">
        <f ca="1">_xlfn.XLOOKUP(L454,Пол!A:A,Пол!B:B,0,0)</f>
        <v>1</v>
      </c>
      <c r="AR454" s="97">
        <f ca="1">SUMIF(Бренд!A:A,G454,Бренд!B:B)</f>
        <v>1</v>
      </c>
      <c r="AS454" s="97">
        <f ca="1">SUMIF(Страна!A:A,M454,Страна!B:B)</f>
        <v>1</v>
      </c>
      <c r="AT454" s="64" t="e">
        <f ca="1">IF(VLOOKUP(W454,Товары!A:B,2,FALSE)=A454,"Есть в 1С","ERR")</f>
        <v>#N/A</v>
      </c>
      <c r="AU454" s="65" t="e">
        <f ca="1">IF(VLOOKUP(A454,Товары!B:B,1,FALSE)=A454,"Есть в 1С","ERR")</f>
        <v>#N/A</v>
      </c>
      <c r="AV454" s="96" t="e">
        <f ca="1">VLOOKUP(W454,Товары!A:B,2,FALSE)</f>
        <v>#N/A</v>
      </c>
      <c r="AW454" s="94" t="e">
        <f ca="1">VLOOKUP(W454,Товары!A:B,1,FALSE)</f>
        <v>#N/A</v>
      </c>
    </row>
    <row r="455" spans="1:49" x14ac:dyDescent="0.25">
      <c r="A455" s="110" t="str">
        <f t="shared" ca="1" si="35"/>
        <v>95-001-01</v>
      </c>
      <c r="B455" s="107" t="str">
        <f ca="1">_xlfn.LET(_xlpm.CAPS,0,_xlpm.Style,TRIM(_xlfn.XLOOKUP($A455,Строчный!$A:$A,Строчный!B:B,"ERR",0)),IF(_xlpm.CAPS=0,_xlpm.Style,LOWER(_xlpm.Style)))</f>
        <v>3215</v>
      </c>
      <c r="C455" s="81" t="str">
        <f ca="1">TRIM(PROPER(_xlfn.XLOOKUP($A455,Строчный!$A:$A,Строчный!C:C,"ERR",0)))</f>
        <v>Бейсболки</v>
      </c>
      <c r="D455" s="81" t="str">
        <f ca="1">_xlfn.LET(_xlpm.DATA,TRIM(_xlfn.XLOOKUP($A455,Строчный!$A:$A,Строчный!D:D,"ERR",0)),UPPER(MID(_xlpm.DATA,1,1))&amp;LOWER(MID(_xlpm.DATA,2,LEN(_xlpm.DATA)-1)))</f>
        <v>Бейсболка</v>
      </c>
      <c r="E455" s="81" t="str">
        <f ca="1">PROPER(TRIM(_xlfn.XLOOKUP($A455,Строчный!$A:$A,Строчный!E:E,"ERR",0)))</f>
        <v>Fredrikson</v>
      </c>
      <c r="F455" s="81" t="str">
        <f ca="1">LOWER(TRIM(_xlfn.XLOOKUP($A455,Строчный!$A:$A,Строчный!F:F,"ERR",0)))</f>
        <v>всесезон</v>
      </c>
      <c r="G455" s="81" t="str">
        <f ca="1">UPPER(TRIM(_xlfn.XLOOKUP($A455,Строчный!$A:$A,Строчный!G:G,"ERR",0)))</f>
        <v>FREDRIKSON</v>
      </c>
      <c r="H455" s="81" t="str">
        <f ca="1">LOWER(TRIM(_xlfn.XLOOKUP($A455,Строчный!$A:$A,Строчный!H:H,"ERR",0)))</f>
        <v>684/29</v>
      </c>
      <c r="I455" s="81" t="str">
        <f ca="1">LOWER(TRIM(_xlfn.XLOOKUP($A455,Строчный!$A:$A,Строчный!I:I,"ERR",0)))</f>
        <v>светло-серый / синий</v>
      </c>
      <c r="J455" s="81" t="str">
        <f ca="1">SUBSTITUTE(LOWER(TRIM(_xlfn.XLOOKUP($A455,Строчный!$A:$A,Строчный!J:J,"ERR",0))),"подклад","Подклад")</f>
        <v>80% шерсть - 20% полиамид / Подклад: 100% вискоза</v>
      </c>
      <c r="K455" s="81" t="str">
        <f ca="1">LOWER(TRIM(_xlfn.XLOOKUP($A455,Строчный!$A:$A,Строчный!K:K,"ERR",0)))</f>
        <v>шерстяные</v>
      </c>
      <c r="L455" s="81" t="str">
        <f ca="1">PROPER(TRIM(_xlfn.XLOOKUP($A455,Строчный!$A:$A,Строчный!L:L,"ERR",0)))</f>
        <v>Унисекс</v>
      </c>
      <c r="M455" s="113" t="str">
        <f ca="1">PROPER(TRIM(_xlfn.XLOOKUP($A455,Строчный!$A:$A,Строчный!M:M,"ERR",0)))</f>
        <v>Россия</v>
      </c>
      <c r="N455" s="81" t="str">
        <f ca="1">UPPER(TRIM(_xlfn.XLOOKUP($A455,Строчный!$A:$A,Строчный!O:O,"ERR",0)))</f>
        <v/>
      </c>
      <c r="O455" s="102" t="str">
        <f ca="1">PROPER(TRIM(_xlfn.XLOOKUP($A455,Строчный!$A:$A,Строчный!P:P,"ERR",0)))</f>
        <v/>
      </c>
      <c r="P455" s="81" t="str">
        <f ca="1">PROPER(TRIM(_xlfn.XLOOKUP($A455,Строчный!$A:$A,Строчный!R:R,"ERR",0)))</f>
        <v/>
      </c>
      <c r="Q455" s="90">
        <f ca="1">VALUE(_xlfn.XLOOKUP($A455,Строчный!$A:$A,Строчный!N:N,"ERR",0))</f>
        <v>975.8</v>
      </c>
      <c r="R455" s="89" t="str">
        <f ca="1">_xlfn.XLOOKUP($G455,Фабрика!A:A,Фабрика!B:B,"ERR",0)</f>
        <v>ООО "ФРЭДРИКСОН" Россия 192029, С-Петербург, пр. Обуховской обороны, д.86, лит М</v>
      </c>
      <c r="S455" s="80" t="str">
        <f ca="1">_xlfn.XLOOKUP(RIGHT(AA455,2),Размеры!D:D,Размеры!A:A,"ERR",0)</f>
        <v>58</v>
      </c>
      <c r="T455" s="80">
        <f ca="1">VALUE(_xlfn.XLOOKUP($AA455,Строчный!$S:$S,Строчный!U:U,"ERR",0))</f>
        <v>1</v>
      </c>
      <c r="U455" s="14" t="s">
        <v>265</v>
      </c>
      <c r="V455" s="101" t="str">
        <f t="shared" ca="1" si="36"/>
        <v>Бейсболка FREDRIKSON арт. 3215 (светло-серый / синий)</v>
      </c>
      <c r="W455" s="100" t="str">
        <f t="shared" ca="1" si="37"/>
        <v>Бейсболка FREDRIKSON арт. 3215 (светло-серый / синий) {684/29}</v>
      </c>
      <c r="X455" s="18" t="str">
        <f t="shared" ca="1" si="38"/>
        <v>серый / синий</v>
      </c>
      <c r="Y455" s="18" t="str">
        <f t="shared" ca="1" si="39"/>
        <v>серый / синий</v>
      </c>
      <c r="Z455" s="117" t="s">
        <v>28</v>
      </c>
      <c r="AA455" s="73" t="str">
        <f ca="1"/>
        <v>95-001-01-58</v>
      </c>
      <c r="AB455" s="75" t="str">
        <f ca="1">VLOOKUP(C455,Группа!A:B,2,FALSE)</f>
        <v>Бейсболка</v>
      </c>
      <c r="AC455" s="97" t="str">
        <f ca="1">IFERROR(VLOOKUP(S455,Размеры!A:C,3,FALSE),"")</f>
        <v>58 M/L</v>
      </c>
      <c r="AD455" s="97" t="str">
        <f ca="1">VLOOKUP(I455,ЦветПолный!A:B,2,FALSE)</f>
        <v>01</v>
      </c>
      <c r="AE455" s="97" t="str">
        <f ca="1">IFERROR(VLOOKUP(S455,Размеры!A:D,4,FALSE),"")</f>
        <v>58</v>
      </c>
      <c r="AF455" s="97">
        <f ca="1">IF(LEFT(IFERROR(VLOOKUP(LOOKUP(2,1/SEARCH(B455,Товары!A:A),Товары!A:A),Товары!A:B,2,0),""),6)=MID(AA455,1,6),1,0)</f>
        <v>0</v>
      </c>
      <c r="AH455" s="97">
        <f ca="1">SUMIF(Группа!A:A,C455,Группа!C:C)</f>
        <v>1</v>
      </c>
      <c r="AI455" s="97">
        <f ca="1">SUMIF(Группа!B:B,AB455,Группа!C:C)</f>
        <v>1</v>
      </c>
      <c r="AJ455" s="97">
        <f ca="1">SUMIF(Формы!A:A,D455,Формы!B:B)</f>
        <v>1</v>
      </c>
      <c r="AK455" s="97">
        <f ca="1">SUMIF(Материал!A:A,K455,Материал!B:B)</f>
        <v>1</v>
      </c>
      <c r="AL455" s="97">
        <f ca="1">SUMIF(Размеры!A:A,S455,Размеры!E:E)</f>
        <v>1</v>
      </c>
      <c r="AM455" s="97">
        <f ca="1">SUMIF(Сезон!A:A,F455,Сезон!B:B)</f>
        <v>1</v>
      </c>
      <c r="AN455" s="97">
        <f ca="1">SUMIF(Состав!A:A,J455,Состав!B:B)</f>
        <v>0</v>
      </c>
      <c r="AO455" s="97">
        <f ca="1">VLOOKUP(I455,ЦветПолный!A:C,3,0)</f>
        <v>1</v>
      </c>
      <c r="AP455" s="97">
        <f>SUMIF(Цвет!A:A,Z455,Цвет!B:B)</f>
        <v>1</v>
      </c>
      <c r="AQ455" s="97">
        <f ca="1">_xlfn.XLOOKUP(L455,Пол!A:A,Пол!B:B,0,0)</f>
        <v>1</v>
      </c>
      <c r="AR455" s="97">
        <f ca="1">SUMIF(Бренд!A:A,G455,Бренд!B:B)</f>
        <v>1</v>
      </c>
      <c r="AS455" s="97">
        <f ca="1">SUMIF(Страна!A:A,M455,Страна!B:B)</f>
        <v>1</v>
      </c>
      <c r="AT455" s="64" t="e">
        <f ca="1">IF(VLOOKUP(W455,Товары!A:B,2,FALSE)=A455,"Есть в 1С","ERR")</f>
        <v>#N/A</v>
      </c>
      <c r="AU455" s="65" t="e">
        <f ca="1">IF(VLOOKUP(A455,Товары!B:B,1,FALSE)=A455,"Есть в 1С","ERR")</f>
        <v>#N/A</v>
      </c>
      <c r="AV455" s="96" t="e">
        <f ca="1">VLOOKUP(W455,Товары!A:B,2,FALSE)</f>
        <v>#N/A</v>
      </c>
      <c r="AW455" s="94" t="e">
        <f ca="1">VLOOKUP(W455,Товары!A:B,1,FALSE)</f>
        <v>#N/A</v>
      </c>
    </row>
    <row r="456" spans="1:49" x14ac:dyDescent="0.25">
      <c r="A456" s="110" t="str">
        <f t="shared" ca="1" si="35"/>
        <v>95-001-01</v>
      </c>
      <c r="B456" s="107" t="str">
        <f ca="1">_xlfn.LET(_xlpm.CAPS,0,_xlpm.Style,TRIM(_xlfn.XLOOKUP($A456,Строчный!$A:$A,Строчный!B:B,"ERR",0)),IF(_xlpm.CAPS=0,_xlpm.Style,LOWER(_xlpm.Style)))</f>
        <v>3215</v>
      </c>
      <c r="C456" s="81" t="str">
        <f ca="1">TRIM(PROPER(_xlfn.XLOOKUP($A456,Строчный!$A:$A,Строчный!C:C,"ERR",0)))</f>
        <v>Бейсболки</v>
      </c>
      <c r="D456" s="81" t="str">
        <f ca="1">_xlfn.LET(_xlpm.DATA,TRIM(_xlfn.XLOOKUP($A456,Строчный!$A:$A,Строчный!D:D,"ERR",0)),UPPER(MID(_xlpm.DATA,1,1))&amp;LOWER(MID(_xlpm.DATA,2,LEN(_xlpm.DATA)-1)))</f>
        <v>Бейсболка</v>
      </c>
      <c r="E456" s="81" t="str">
        <f ca="1">PROPER(TRIM(_xlfn.XLOOKUP($A456,Строчный!$A:$A,Строчный!E:E,"ERR",0)))</f>
        <v>Fredrikson</v>
      </c>
      <c r="F456" s="81" t="str">
        <f ca="1">LOWER(TRIM(_xlfn.XLOOKUP($A456,Строчный!$A:$A,Строчный!F:F,"ERR",0)))</f>
        <v>всесезон</v>
      </c>
      <c r="G456" s="81" t="str">
        <f ca="1">UPPER(TRIM(_xlfn.XLOOKUP($A456,Строчный!$A:$A,Строчный!G:G,"ERR",0)))</f>
        <v>FREDRIKSON</v>
      </c>
      <c r="H456" s="81" t="str">
        <f ca="1">LOWER(TRIM(_xlfn.XLOOKUP($A456,Строчный!$A:$A,Строчный!H:H,"ERR",0)))</f>
        <v>684/29</v>
      </c>
      <c r="I456" s="81" t="str">
        <f ca="1">LOWER(TRIM(_xlfn.XLOOKUP($A456,Строчный!$A:$A,Строчный!I:I,"ERR",0)))</f>
        <v>светло-серый / синий</v>
      </c>
      <c r="J456" s="81" t="str">
        <f ca="1">SUBSTITUTE(LOWER(TRIM(_xlfn.XLOOKUP($A456,Строчный!$A:$A,Строчный!J:J,"ERR",0))),"подклад","Подклад")</f>
        <v>80% шерсть - 20% полиамид / Подклад: 100% вискоза</v>
      </c>
      <c r="K456" s="81" t="str">
        <f ca="1">LOWER(TRIM(_xlfn.XLOOKUP($A456,Строчный!$A:$A,Строчный!K:K,"ERR",0)))</f>
        <v>шерстяные</v>
      </c>
      <c r="L456" s="81" t="str">
        <f ca="1">PROPER(TRIM(_xlfn.XLOOKUP($A456,Строчный!$A:$A,Строчный!L:L,"ERR",0)))</f>
        <v>Унисекс</v>
      </c>
      <c r="M456" s="113" t="str">
        <f ca="1">PROPER(TRIM(_xlfn.XLOOKUP($A456,Строчный!$A:$A,Строчный!M:M,"ERR",0)))</f>
        <v>Россия</v>
      </c>
      <c r="N456" s="81" t="str">
        <f ca="1">UPPER(TRIM(_xlfn.XLOOKUP($A456,Строчный!$A:$A,Строчный!O:O,"ERR",0)))</f>
        <v/>
      </c>
      <c r="O456" s="102" t="str">
        <f ca="1">PROPER(TRIM(_xlfn.XLOOKUP($A456,Строчный!$A:$A,Строчный!P:P,"ERR",0)))</f>
        <v/>
      </c>
      <c r="P456" s="81" t="str">
        <f ca="1">PROPER(TRIM(_xlfn.XLOOKUP($A456,Строчный!$A:$A,Строчный!R:R,"ERR",0)))</f>
        <v/>
      </c>
      <c r="Q456" s="90">
        <f ca="1">VALUE(_xlfn.XLOOKUP($A456,Строчный!$A:$A,Строчный!N:N,"ERR",0))</f>
        <v>975.8</v>
      </c>
      <c r="R456" s="89" t="str">
        <f ca="1">_xlfn.XLOOKUP($G456,Фабрика!A:A,Фабрика!B:B,"ERR",0)</f>
        <v>ООО "ФРЭДРИКСОН" Россия 192029, С-Петербург, пр. Обуховской обороны, д.86, лит М</v>
      </c>
      <c r="S456" s="80" t="str">
        <f ca="1">_xlfn.XLOOKUP(RIGHT(AA456,2),Размеры!D:D,Размеры!A:A,"ERR",0)</f>
        <v>57</v>
      </c>
      <c r="T456" s="80">
        <f ca="1">VALUE(_xlfn.XLOOKUP($AA456,Строчный!$S:$S,Строчный!U:U,"ERR",0))</f>
        <v>1</v>
      </c>
      <c r="U456" s="14" t="s">
        <v>265</v>
      </c>
      <c r="V456" s="101" t="str">
        <f t="shared" ca="1" si="36"/>
        <v>Бейсболка FREDRIKSON арт. 3215 (светло-серый / синий)</v>
      </c>
      <c r="W456" s="100" t="str">
        <f t="shared" ca="1" si="37"/>
        <v>Бейсболка FREDRIKSON арт. 3215 (светло-серый / синий) {684/29}</v>
      </c>
      <c r="X456" s="18" t="str">
        <f t="shared" ca="1" si="38"/>
        <v>серый / синий</v>
      </c>
      <c r="Y456" s="18" t="str">
        <f t="shared" ca="1" si="39"/>
        <v>серый / синий</v>
      </c>
      <c r="Z456" s="117" t="s">
        <v>28</v>
      </c>
      <c r="AA456" s="73" t="str">
        <f ca="1"/>
        <v>95-001-01-57</v>
      </c>
      <c r="AB456" s="75" t="str">
        <f ca="1">VLOOKUP(C456,Группа!A:B,2,FALSE)</f>
        <v>Бейсболка</v>
      </c>
      <c r="AC456" s="97" t="str">
        <f ca="1">IFERROR(VLOOKUP(S456,Размеры!A:C,3,FALSE),"")</f>
        <v>57 M</v>
      </c>
      <c r="AD456" s="97" t="str">
        <f ca="1">VLOOKUP(I456,ЦветПолный!A:B,2,FALSE)</f>
        <v>01</v>
      </c>
      <c r="AE456" s="97" t="str">
        <f ca="1">IFERROR(VLOOKUP(S456,Размеры!A:D,4,FALSE),"")</f>
        <v>57</v>
      </c>
      <c r="AF456" s="97">
        <f ca="1">IF(LEFT(IFERROR(VLOOKUP(LOOKUP(2,1/SEARCH(B456,Товары!A:A),Товары!A:A),Товары!A:B,2,0),""),6)=MID(AA456,1,6),1,0)</f>
        <v>0</v>
      </c>
      <c r="AH456" s="97">
        <f ca="1">SUMIF(Группа!A:A,C456,Группа!C:C)</f>
        <v>1</v>
      </c>
      <c r="AI456" s="97">
        <f ca="1">SUMIF(Группа!B:B,AB456,Группа!C:C)</f>
        <v>1</v>
      </c>
      <c r="AJ456" s="97">
        <f ca="1">SUMIF(Формы!A:A,D456,Формы!B:B)</f>
        <v>1</v>
      </c>
      <c r="AK456" s="97">
        <f ca="1">SUMIF(Материал!A:A,K456,Материал!B:B)</f>
        <v>1</v>
      </c>
      <c r="AL456" s="97">
        <f ca="1">SUMIF(Размеры!A:A,S456,Размеры!E:E)</f>
        <v>1</v>
      </c>
      <c r="AM456" s="97">
        <f ca="1">SUMIF(Сезон!A:A,F456,Сезон!B:B)</f>
        <v>1</v>
      </c>
      <c r="AN456" s="97">
        <f ca="1">SUMIF(Состав!A:A,J456,Состав!B:B)</f>
        <v>0</v>
      </c>
      <c r="AO456" s="97">
        <f ca="1">VLOOKUP(I456,ЦветПолный!A:C,3,0)</f>
        <v>1</v>
      </c>
      <c r="AP456" s="97">
        <f>SUMIF(Цвет!A:A,Z456,Цвет!B:B)</f>
        <v>1</v>
      </c>
      <c r="AQ456" s="97">
        <f ca="1">_xlfn.XLOOKUP(L456,Пол!A:A,Пол!B:B,0,0)</f>
        <v>1</v>
      </c>
      <c r="AR456" s="97">
        <f ca="1">SUMIF(Бренд!A:A,G456,Бренд!B:B)</f>
        <v>1</v>
      </c>
      <c r="AS456" s="97">
        <f ca="1">SUMIF(Страна!A:A,M456,Страна!B:B)</f>
        <v>1</v>
      </c>
      <c r="AT456" s="64" t="e">
        <f ca="1">IF(VLOOKUP(W456,Товары!A:B,2,FALSE)=A456,"Есть в 1С","ERR")</f>
        <v>#N/A</v>
      </c>
      <c r="AU456" s="65" t="e">
        <f ca="1">IF(VLOOKUP(A456,Товары!B:B,1,FALSE)=A456,"Есть в 1С","ERR")</f>
        <v>#N/A</v>
      </c>
      <c r="AV456" s="96" t="e">
        <f ca="1">VLOOKUP(W456,Товары!A:B,2,FALSE)</f>
        <v>#N/A</v>
      </c>
      <c r="AW456" s="94" t="e">
        <f ca="1">VLOOKUP(W456,Товары!A:B,1,FALSE)</f>
        <v>#N/A</v>
      </c>
    </row>
  </sheetData>
  <autoFilter ref="G1:AW456" xr:uid="{00000000-0009-0000-0000-000000000000}"/>
  <conditionalFormatting sqref="AT2">
    <cfRule type="expression" dxfId="51" priority="36">
      <formula>IFERROR(AT2,TRUE)</formula>
    </cfRule>
  </conditionalFormatting>
  <conditionalFormatting sqref="AT3:AT456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456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456 AQ3:AQ456">
    <cfRule type="cellIs" dxfId="46" priority="31" operator="lessThan">
      <formula>1</formula>
    </cfRule>
  </conditionalFormatting>
  <conditionalFormatting sqref="AC3:AN456 AP3:AP456 AR3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456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456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456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28416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28417</v>
      </c>
      <c r="C26" s="119" t="s">
        <v>28417</v>
      </c>
      <c r="D26" s="119" t="s">
        <v>28417</v>
      </c>
      <c r="E26" s="119">
        <v>1</v>
      </c>
    </row>
    <row r="27" spans="1:5" x14ac:dyDescent="0.2">
      <c r="A27" s="119" t="s">
        <v>28418</v>
      </c>
      <c r="C27" s="119" t="s">
        <v>28418</v>
      </c>
      <c r="D27" s="119" t="s">
        <v>28229</v>
      </c>
      <c r="E27" s="119">
        <v>1</v>
      </c>
    </row>
    <row r="28" spans="1:5" x14ac:dyDescent="0.2">
      <c r="A28" s="119" t="s">
        <v>28419</v>
      </c>
      <c r="C28" s="119" t="s">
        <v>28419</v>
      </c>
      <c r="D28" s="119" t="s">
        <v>25331</v>
      </c>
      <c r="E28" s="119">
        <v>1</v>
      </c>
    </row>
    <row r="29" spans="1:5" x14ac:dyDescent="0.2">
      <c r="A29" s="119" t="s">
        <v>28420</v>
      </c>
      <c r="C29" s="119" t="s">
        <v>28420</v>
      </c>
      <c r="D29" s="119" t="s">
        <v>28252</v>
      </c>
      <c r="E29" s="119">
        <v>1</v>
      </c>
    </row>
    <row r="30" spans="1:5" x14ac:dyDescent="0.2">
      <c r="A30" s="119" t="s">
        <v>28421</v>
      </c>
      <c r="C30" s="119" t="s">
        <v>28421</v>
      </c>
      <c r="D30" s="119" t="s">
        <v>25332</v>
      </c>
      <c r="E30" s="119">
        <v>1</v>
      </c>
    </row>
    <row r="31" spans="1:5" x14ac:dyDescent="0.2">
      <c r="A31" s="119" t="s">
        <v>28422</v>
      </c>
      <c r="C31" s="119" t="s">
        <v>28422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28425</v>
      </c>
      <c r="D32" s="119" t="s">
        <v>25333</v>
      </c>
      <c r="E32" s="119">
        <v>1</v>
      </c>
    </row>
    <row r="33" spans="1:5" ht="12.6" customHeight="1" x14ac:dyDescent="0.2">
      <c r="A33" s="119" t="s">
        <v>28423</v>
      </c>
      <c r="C33" s="119" t="s">
        <v>28423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28424</v>
      </c>
      <c r="C35" s="119" t="s">
        <v>28424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28416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28519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28426</v>
      </c>
      <c r="B177" s="125" t="s">
        <v>25307</v>
      </c>
      <c r="C177" s="125">
        <v>1</v>
      </c>
    </row>
    <row r="178" spans="1:3" x14ac:dyDescent="0.25">
      <c r="A178" s="125" t="s">
        <v>28428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28429</v>
      </c>
      <c r="B387" s="125" t="s">
        <v>28221</v>
      </c>
      <c r="C387" s="125">
        <v>1</v>
      </c>
    </row>
    <row r="388" spans="1:3" x14ac:dyDescent="0.25">
      <c r="A388" s="125" t="s">
        <v>28427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28521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28522</v>
      </c>
      <c r="B831" s="125" t="s">
        <v>28232</v>
      </c>
      <c r="C831" s="125">
        <v>1</v>
      </c>
    </row>
    <row r="832" spans="1:3" x14ac:dyDescent="0.25">
      <c r="A832" s="125" t="s">
        <v>29665</v>
      </c>
      <c r="B832" s="125" t="s">
        <v>28276</v>
      </c>
      <c r="C832" s="125">
        <v>1</v>
      </c>
    </row>
    <row r="833" spans="1:3" x14ac:dyDescent="0.25">
      <c r="A833" s="125" t="s">
        <v>29667</v>
      </c>
      <c r="B833" s="125" t="s">
        <v>28269</v>
      </c>
      <c r="C833" s="125">
        <v>1</v>
      </c>
    </row>
    <row r="834" spans="1:3" x14ac:dyDescent="0.25">
      <c r="A834" s="125" t="s">
        <v>29669</v>
      </c>
      <c r="B834" s="125" t="s">
        <v>28353</v>
      </c>
      <c r="C834" s="125">
        <v>1</v>
      </c>
    </row>
    <row r="835" spans="1:3" x14ac:dyDescent="0.25">
      <c r="A835" s="125" t="s">
        <v>29672</v>
      </c>
      <c r="B835" s="125" t="s">
        <v>28395</v>
      </c>
      <c r="C835" s="125">
        <v>1</v>
      </c>
    </row>
    <row r="836" spans="1:3" x14ac:dyDescent="0.25">
      <c r="A836" s="125" t="s">
        <v>29678</v>
      </c>
      <c r="B836" s="125" t="s">
        <v>28232</v>
      </c>
      <c r="C836" s="125">
        <v>1</v>
      </c>
    </row>
    <row r="837" spans="1:3" x14ac:dyDescent="0.25">
      <c r="A837" s="125" t="s">
        <v>29681</v>
      </c>
      <c r="B837" s="125" t="s">
        <v>28272</v>
      </c>
      <c r="C837" s="125">
        <v>1</v>
      </c>
    </row>
    <row r="838" spans="1:3" x14ac:dyDescent="0.25">
      <c r="A838" s="125" t="s">
        <v>29684</v>
      </c>
      <c r="B838" s="125" t="s">
        <v>28354</v>
      </c>
      <c r="C838" s="125">
        <v>1</v>
      </c>
    </row>
    <row r="839" spans="1:3" x14ac:dyDescent="0.25">
      <c r="A839" s="125" t="s">
        <v>29688</v>
      </c>
      <c r="B839" s="125" t="s">
        <v>28236</v>
      </c>
      <c r="C839" s="125">
        <v>1</v>
      </c>
    </row>
    <row r="840" spans="1:3" x14ac:dyDescent="0.25">
      <c r="A840" s="125" t="s">
        <v>29692</v>
      </c>
      <c r="B840" s="125" t="s">
        <v>28399</v>
      </c>
      <c r="C840" s="125">
        <v>1</v>
      </c>
    </row>
    <row r="841" spans="1:3" x14ac:dyDescent="0.25">
      <c r="A841" s="125" t="s">
        <v>29694</v>
      </c>
      <c r="B841" s="125" t="s">
        <v>28283</v>
      </c>
      <c r="C841" s="125">
        <v>1</v>
      </c>
    </row>
    <row r="842" spans="1:3" x14ac:dyDescent="0.25">
      <c r="A842" s="125" t="s">
        <v>29697</v>
      </c>
      <c r="B842" s="125" t="s">
        <v>28258</v>
      </c>
      <c r="C842" s="125">
        <v>1</v>
      </c>
    </row>
    <row r="843" spans="1:3" x14ac:dyDescent="0.25">
      <c r="A843" s="125" t="s">
        <v>29703</v>
      </c>
      <c r="B843" s="125" t="s">
        <v>28317</v>
      </c>
      <c r="C843" s="125">
        <v>1</v>
      </c>
    </row>
    <row r="844" spans="1:3" x14ac:dyDescent="0.25">
      <c r="A844" s="125" t="s">
        <v>29707</v>
      </c>
      <c r="B844" s="125" t="s">
        <v>28382</v>
      </c>
      <c r="C844" s="125">
        <v>1</v>
      </c>
    </row>
    <row r="845" spans="1:3" x14ac:dyDescent="0.25">
      <c r="A845" s="125" t="s">
        <v>29709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5"/>
  <sheetViews>
    <sheetView showGridLines="0" workbookViewId="0">
      <selection activeCell="D25" sqref="D25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28518</v>
      </c>
      <c r="B23" s="135">
        <v>1</v>
      </c>
    </row>
    <row r="24" spans="1:2" x14ac:dyDescent="0.25">
      <c r="A24" s="136" t="s">
        <v>29713</v>
      </c>
      <c r="B24" s="135">
        <v>1</v>
      </c>
    </row>
    <row r="25" spans="1:2" x14ac:dyDescent="0.25">
      <c r="A25" s="136" t="s">
        <v>28407</v>
      </c>
      <c r="B25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4"/>
  <sheetViews>
    <sheetView showGridLines="0" workbookViewId="0">
      <selection activeCell="B29" sqref="B2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28518</v>
      </c>
      <c r="B22" s="34" t="s">
        <v>28520</v>
      </c>
    </row>
    <row r="23" spans="1:2" x14ac:dyDescent="0.25">
      <c r="A23" s="34" t="s">
        <v>29713</v>
      </c>
      <c r="B23" s="34" t="s">
        <v>29714</v>
      </c>
    </row>
    <row r="24" spans="1:2" x14ac:dyDescent="0.25">
      <c r="A24" s="34" t="s">
        <v>28407</v>
      </c>
      <c r="B24" s="34" t="s">
        <v>28431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A25" sqref="A25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26671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I1" workbookViewId="0">
      <pane ySplit="1" topLeftCell="A2" activePane="bottomLeft" state="frozen"/>
      <selection pane="bottomLeft" activeCell="M15" sqref="M15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28430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29565</v>
      </c>
      <c r="B2" s="80" t="s">
        <v>29645</v>
      </c>
      <c r="C2" s="80" t="s">
        <v>31</v>
      </c>
      <c r="D2" s="80" t="s">
        <v>39</v>
      </c>
      <c r="E2" s="80" t="s">
        <v>29661</v>
      </c>
      <c r="F2" s="80" t="s">
        <v>91</v>
      </c>
      <c r="G2" s="80" t="s">
        <v>29661</v>
      </c>
      <c r="H2" s="80" t="s">
        <v>29662</v>
      </c>
      <c r="I2" s="80" t="s">
        <v>28228</v>
      </c>
      <c r="J2" s="83" t="s">
        <v>29710</v>
      </c>
      <c r="K2" s="80" t="s">
        <v>264</v>
      </c>
      <c r="L2" s="80" t="s">
        <v>25606</v>
      </c>
      <c r="M2" s="80" t="s">
        <v>26662</v>
      </c>
      <c r="N2" s="80">
        <v>975.8</v>
      </c>
      <c r="O2" s="80"/>
      <c r="P2" s="80"/>
      <c r="Q2" s="80"/>
      <c r="R2" s="146"/>
      <c r="S2" s="103" t="str">
        <f>A2&amp;"-"&amp;T2</f>
        <v>95-008-65-</v>
      </c>
      <c r="AB2" s="81">
        <v>5</v>
      </c>
      <c r="AC2" s="81">
        <v>8</v>
      </c>
      <c r="AD2" s="81">
        <v>5</v>
      </c>
      <c r="AE2" s="81">
        <v>5</v>
      </c>
    </row>
    <row r="3" spans="1:45" ht="15" customHeight="1" x14ac:dyDescent="0.2">
      <c r="A3" s="81" t="s">
        <v>29566</v>
      </c>
      <c r="B3" s="81" t="s">
        <v>29646</v>
      </c>
      <c r="C3" s="81" t="s">
        <v>31</v>
      </c>
      <c r="D3" s="81" t="s">
        <v>39</v>
      </c>
      <c r="E3" s="81" t="s">
        <v>29661</v>
      </c>
      <c r="F3" s="81" t="s">
        <v>91</v>
      </c>
      <c r="G3" s="81" t="s">
        <v>29661</v>
      </c>
      <c r="H3" s="81" t="s">
        <v>29663</v>
      </c>
      <c r="I3" s="81" t="s">
        <v>28259</v>
      </c>
      <c r="J3" s="84" t="s">
        <v>29710</v>
      </c>
      <c r="K3" s="81" t="s">
        <v>264</v>
      </c>
      <c r="L3" s="81" t="s">
        <v>25606</v>
      </c>
      <c r="M3" s="81" t="s">
        <v>26662</v>
      </c>
      <c r="N3" s="81">
        <v>975.8</v>
      </c>
      <c r="Q3" s="80"/>
      <c r="R3" s="146"/>
      <c r="S3" s="103" t="str">
        <f t="shared" ref="S3:S66" si="0">A3&amp;"-"&amp;T3</f>
        <v>95-004-89-</v>
      </c>
      <c r="Z3" s="81">
        <v>2</v>
      </c>
      <c r="AA3" s="81">
        <v>4</v>
      </c>
      <c r="AB3" s="81">
        <v>6</v>
      </c>
      <c r="AC3" s="81">
        <v>8</v>
      </c>
      <c r="AD3" s="81">
        <v>6</v>
      </c>
      <c r="AE3" s="81">
        <v>4</v>
      </c>
      <c r="AF3" s="81">
        <v>1</v>
      </c>
    </row>
    <row r="4" spans="1:45" ht="15" customHeight="1" x14ac:dyDescent="0.2">
      <c r="A4" s="81" t="s">
        <v>29567</v>
      </c>
      <c r="B4" s="81" t="s">
        <v>29647</v>
      </c>
      <c r="C4" s="81" t="s">
        <v>31</v>
      </c>
      <c r="D4" s="81" t="s">
        <v>25558</v>
      </c>
      <c r="E4" s="81" t="s">
        <v>29661</v>
      </c>
      <c r="F4" s="81" t="s">
        <v>91</v>
      </c>
      <c r="G4" s="81" t="s">
        <v>29661</v>
      </c>
      <c r="H4" s="81" t="s">
        <v>29664</v>
      </c>
      <c r="I4" s="81" t="s">
        <v>29665</v>
      </c>
      <c r="J4" s="84" t="s">
        <v>29710</v>
      </c>
      <c r="K4" s="81" t="s">
        <v>264</v>
      </c>
      <c r="L4" s="81" t="s">
        <v>25606</v>
      </c>
      <c r="M4" s="81" t="s">
        <v>26662</v>
      </c>
      <c r="N4" s="81">
        <v>975.8</v>
      </c>
      <c r="Q4" s="80"/>
      <c r="R4" s="146"/>
      <c r="S4" s="103" t="str">
        <f t="shared" si="0"/>
        <v>95-010-55-</v>
      </c>
      <c r="Z4" s="81">
        <v>4</v>
      </c>
      <c r="AA4" s="81">
        <v>8</v>
      </c>
      <c r="AB4" s="81">
        <v>9</v>
      </c>
      <c r="AC4" s="81">
        <v>12</v>
      </c>
      <c r="AD4" s="81">
        <v>10</v>
      </c>
      <c r="AE4" s="81">
        <v>8</v>
      </c>
      <c r="AF4" s="81">
        <v>4</v>
      </c>
    </row>
    <row r="5" spans="1:45" ht="15" customHeight="1" x14ac:dyDescent="0.2">
      <c r="A5" s="81" t="s">
        <v>29568</v>
      </c>
      <c r="B5" s="81" t="s">
        <v>29645</v>
      </c>
      <c r="C5" s="81" t="s">
        <v>31</v>
      </c>
      <c r="D5" s="81" t="s">
        <v>39</v>
      </c>
      <c r="E5" s="81" t="s">
        <v>29661</v>
      </c>
      <c r="F5" s="81" t="s">
        <v>91</v>
      </c>
      <c r="G5" s="81" t="s">
        <v>29661</v>
      </c>
      <c r="H5" s="81" t="s">
        <v>29664</v>
      </c>
      <c r="I5" s="81" t="s">
        <v>29665</v>
      </c>
      <c r="J5" s="84" t="s">
        <v>29710</v>
      </c>
      <c r="K5" s="81" t="s">
        <v>264</v>
      </c>
      <c r="L5" s="81" t="s">
        <v>25606</v>
      </c>
      <c r="M5" s="81" t="s">
        <v>26662</v>
      </c>
      <c r="N5" s="81">
        <v>975.8</v>
      </c>
      <c r="Q5" s="80"/>
      <c r="R5" s="146"/>
      <c r="S5" s="103" t="str">
        <f t="shared" si="0"/>
        <v>95-008-55-</v>
      </c>
      <c r="Z5" s="81">
        <v>7</v>
      </c>
      <c r="AA5" s="81">
        <v>20</v>
      </c>
      <c r="AB5" s="81">
        <v>30</v>
      </c>
      <c r="AC5" s="81">
        <v>40</v>
      </c>
      <c r="AD5" s="81">
        <v>30</v>
      </c>
      <c r="AE5" s="81" t="s">
        <v>29712</v>
      </c>
      <c r="AF5" s="81" t="s">
        <v>29712</v>
      </c>
    </row>
    <row r="6" spans="1:45" ht="15" customHeight="1" x14ac:dyDescent="0.2">
      <c r="A6" s="81" t="s">
        <v>29569</v>
      </c>
      <c r="B6" s="81" t="s">
        <v>29645</v>
      </c>
      <c r="C6" s="81" t="s">
        <v>31</v>
      </c>
      <c r="D6" s="81" t="s">
        <v>39</v>
      </c>
      <c r="E6" s="81" t="s">
        <v>29661</v>
      </c>
      <c r="F6" s="81" t="s">
        <v>91</v>
      </c>
      <c r="G6" s="81" t="s">
        <v>29661</v>
      </c>
      <c r="H6" s="81" t="s">
        <v>29666</v>
      </c>
      <c r="I6" s="81" t="s">
        <v>29667</v>
      </c>
      <c r="J6" s="84" t="s">
        <v>29711</v>
      </c>
      <c r="K6" s="81" t="s">
        <v>264</v>
      </c>
      <c r="L6" s="81" t="s">
        <v>25606</v>
      </c>
      <c r="M6" s="81" t="s">
        <v>26662</v>
      </c>
      <c r="N6" s="81">
        <v>975.8</v>
      </c>
      <c r="Q6" s="80"/>
      <c r="R6" s="146"/>
      <c r="S6" s="103" t="str">
        <f t="shared" si="0"/>
        <v>95-008-56-</v>
      </c>
      <c r="AA6" s="81">
        <v>7</v>
      </c>
      <c r="AB6" s="81">
        <v>1</v>
      </c>
      <c r="AC6" s="81">
        <v>10</v>
      </c>
      <c r="AD6" s="81">
        <v>7</v>
      </c>
    </row>
    <row r="7" spans="1:45" ht="15" customHeight="1" x14ac:dyDescent="0.2">
      <c r="A7" s="81" t="s">
        <v>29570</v>
      </c>
      <c r="B7" s="81" t="s">
        <v>29647</v>
      </c>
      <c r="C7" s="81" t="s">
        <v>31</v>
      </c>
      <c r="D7" s="81" t="s">
        <v>25558</v>
      </c>
      <c r="E7" s="81" t="s">
        <v>29661</v>
      </c>
      <c r="F7" s="81" t="s">
        <v>91</v>
      </c>
      <c r="G7" s="81" t="s">
        <v>29661</v>
      </c>
      <c r="H7" s="81" t="s">
        <v>29666</v>
      </c>
      <c r="I7" s="81" t="s">
        <v>29667</v>
      </c>
      <c r="J7" s="84" t="s">
        <v>29711</v>
      </c>
      <c r="K7" s="81" t="s">
        <v>264</v>
      </c>
      <c r="L7" s="81" t="s">
        <v>25606</v>
      </c>
      <c r="M7" s="81" t="s">
        <v>26662</v>
      </c>
      <c r="N7" s="81">
        <v>975.8</v>
      </c>
      <c r="Q7" s="80"/>
      <c r="R7" s="146"/>
      <c r="S7" s="103" t="str">
        <f t="shared" si="0"/>
        <v>95-010-56-</v>
      </c>
      <c r="AA7" s="81">
        <v>2</v>
      </c>
      <c r="AB7" s="81">
        <v>3</v>
      </c>
      <c r="AC7" s="81">
        <v>4</v>
      </c>
      <c r="AD7" s="81">
        <v>3</v>
      </c>
      <c r="AE7" s="81">
        <v>2</v>
      </c>
      <c r="AF7" s="81">
        <v>1</v>
      </c>
    </row>
    <row r="8" spans="1:45" ht="15" customHeight="1" x14ac:dyDescent="0.2">
      <c r="A8" s="81" t="s">
        <v>29571</v>
      </c>
      <c r="B8" s="81" t="s">
        <v>29648</v>
      </c>
      <c r="C8" s="81" t="s">
        <v>31</v>
      </c>
      <c r="D8" s="81" t="s">
        <v>37</v>
      </c>
      <c r="E8" s="81" t="s">
        <v>29661</v>
      </c>
      <c r="F8" s="81" t="s">
        <v>91</v>
      </c>
      <c r="G8" s="81" t="s">
        <v>29661</v>
      </c>
      <c r="H8" s="81" t="s">
        <v>29668</v>
      </c>
      <c r="I8" s="81" t="s">
        <v>29669</v>
      </c>
      <c r="J8" s="84" t="s">
        <v>29710</v>
      </c>
      <c r="K8" s="81" t="s">
        <v>264</v>
      </c>
      <c r="L8" s="81" t="s">
        <v>25606</v>
      </c>
      <c r="M8" s="81" t="s">
        <v>26662</v>
      </c>
      <c r="N8" s="81">
        <v>975.8</v>
      </c>
      <c r="Q8" s="80"/>
      <c r="R8" s="146"/>
      <c r="S8" s="103" t="str">
        <f t="shared" si="0"/>
        <v>95-006-57-</v>
      </c>
      <c r="AA8" s="81">
        <v>1</v>
      </c>
      <c r="AB8" s="81">
        <v>1</v>
      </c>
      <c r="AC8" s="81">
        <v>2</v>
      </c>
      <c r="AD8" s="81">
        <v>1</v>
      </c>
      <c r="AE8" s="81">
        <v>1</v>
      </c>
    </row>
    <row r="9" spans="1:45" ht="15" customHeight="1" x14ac:dyDescent="0.2">
      <c r="A9" s="81" t="s">
        <v>29572</v>
      </c>
      <c r="B9" s="81" t="s">
        <v>29645</v>
      </c>
      <c r="C9" s="81" t="s">
        <v>31</v>
      </c>
      <c r="D9" s="81" t="s">
        <v>39</v>
      </c>
      <c r="E9" s="81" t="s">
        <v>29661</v>
      </c>
      <c r="F9" s="81" t="s">
        <v>91</v>
      </c>
      <c r="G9" s="81" t="s">
        <v>29661</v>
      </c>
      <c r="H9" s="81" t="s">
        <v>29668</v>
      </c>
      <c r="I9" s="81" t="s">
        <v>29669</v>
      </c>
      <c r="J9" s="84" t="s">
        <v>29710</v>
      </c>
      <c r="K9" s="81" t="s">
        <v>264</v>
      </c>
      <c r="L9" s="81" t="s">
        <v>25606</v>
      </c>
      <c r="M9" s="81" t="s">
        <v>26662</v>
      </c>
      <c r="N9" s="81">
        <v>975.8</v>
      </c>
      <c r="Q9" s="80"/>
      <c r="R9" s="146"/>
      <c r="S9" s="103" t="str">
        <f t="shared" si="0"/>
        <v>95-008-57-</v>
      </c>
      <c r="AA9" s="81">
        <v>1</v>
      </c>
      <c r="AB9" s="81">
        <v>1</v>
      </c>
      <c r="AC9" s="81">
        <v>2</v>
      </c>
      <c r="AD9" s="81">
        <v>1</v>
      </c>
      <c r="AE9" s="81">
        <v>1</v>
      </c>
    </row>
    <row r="10" spans="1:45" ht="15" customHeight="1" x14ac:dyDescent="0.2">
      <c r="A10" s="81" t="s">
        <v>29573</v>
      </c>
      <c r="B10" s="81" t="s">
        <v>29646</v>
      </c>
      <c r="C10" s="81" t="s">
        <v>31</v>
      </c>
      <c r="D10" s="81" t="s">
        <v>39</v>
      </c>
      <c r="E10" s="81" t="s">
        <v>29661</v>
      </c>
      <c r="F10" s="81" t="s">
        <v>91</v>
      </c>
      <c r="G10" s="81" t="s">
        <v>29661</v>
      </c>
      <c r="H10" s="81" t="s">
        <v>29670</v>
      </c>
      <c r="I10" s="81" t="s">
        <v>25386</v>
      </c>
      <c r="J10" s="84" t="s">
        <v>29710</v>
      </c>
      <c r="K10" s="81" t="s">
        <v>264</v>
      </c>
      <c r="L10" s="81" t="s">
        <v>25606</v>
      </c>
      <c r="M10" s="81" t="s">
        <v>26662</v>
      </c>
      <c r="N10" s="81">
        <v>975.8</v>
      </c>
      <c r="Q10" s="80"/>
      <c r="R10" s="146"/>
      <c r="S10" s="103" t="str">
        <f t="shared" si="0"/>
        <v>95-004-19-</v>
      </c>
      <c r="AA10" s="81">
        <v>1</v>
      </c>
      <c r="AB10" s="81">
        <v>1</v>
      </c>
      <c r="AC10" s="81">
        <v>2</v>
      </c>
      <c r="AD10" s="81">
        <v>1</v>
      </c>
      <c r="AE10" s="81">
        <v>1</v>
      </c>
    </row>
    <row r="11" spans="1:45" ht="15" customHeight="1" x14ac:dyDescent="0.2">
      <c r="A11" s="81" t="s">
        <v>29574</v>
      </c>
      <c r="B11" s="81" t="s">
        <v>29645</v>
      </c>
      <c r="C11" s="81" t="s">
        <v>31</v>
      </c>
      <c r="D11" s="81" t="s">
        <v>39</v>
      </c>
      <c r="E11" s="81" t="s">
        <v>29661</v>
      </c>
      <c r="F11" s="81" t="s">
        <v>91</v>
      </c>
      <c r="G11" s="81" t="s">
        <v>29661</v>
      </c>
      <c r="H11" s="81" t="s">
        <v>29670</v>
      </c>
      <c r="I11" s="81" t="s">
        <v>25386</v>
      </c>
      <c r="J11" s="84" t="s">
        <v>29710</v>
      </c>
      <c r="K11" s="81" t="s">
        <v>264</v>
      </c>
      <c r="L11" s="81" t="s">
        <v>25606</v>
      </c>
      <c r="M11" s="81" t="s">
        <v>26662</v>
      </c>
      <c r="N11" s="81">
        <v>975.8</v>
      </c>
      <c r="Q11" s="80"/>
      <c r="R11" s="146"/>
      <c r="S11" s="103" t="str">
        <f t="shared" si="0"/>
        <v>95-008-19-</v>
      </c>
      <c r="AA11" s="81">
        <v>1</v>
      </c>
      <c r="AB11" s="81">
        <v>1</v>
      </c>
      <c r="AC11" s="81">
        <v>2</v>
      </c>
      <c r="AD11" s="81">
        <v>1</v>
      </c>
    </row>
    <row r="12" spans="1:45" ht="15" customHeight="1" x14ac:dyDescent="0.2">
      <c r="A12" s="81" t="s">
        <v>29575</v>
      </c>
      <c r="B12" s="81" t="s">
        <v>29646</v>
      </c>
      <c r="C12" s="81" t="s">
        <v>31</v>
      </c>
      <c r="D12" s="81" t="s">
        <v>39</v>
      </c>
      <c r="E12" s="81" t="s">
        <v>29661</v>
      </c>
      <c r="F12" s="81" t="s">
        <v>91</v>
      </c>
      <c r="G12" s="81" t="s">
        <v>29661</v>
      </c>
      <c r="H12" s="81" t="s">
        <v>29671</v>
      </c>
      <c r="I12" s="81" t="s">
        <v>29672</v>
      </c>
      <c r="J12" s="84" t="s">
        <v>29710</v>
      </c>
      <c r="K12" s="81" t="s">
        <v>264</v>
      </c>
      <c r="L12" s="81" t="s">
        <v>25606</v>
      </c>
      <c r="M12" s="81" t="s">
        <v>26662</v>
      </c>
      <c r="N12" s="81">
        <v>975.8</v>
      </c>
      <c r="Q12" s="80"/>
      <c r="R12" s="146"/>
      <c r="S12" s="103" t="str">
        <f t="shared" si="0"/>
        <v>95-004-58-</v>
      </c>
      <c r="AB12" s="81">
        <v>2</v>
      </c>
      <c r="AC12" s="81">
        <v>3</v>
      </c>
      <c r="AD12" s="81">
        <v>2</v>
      </c>
      <c r="AE12" s="81">
        <v>1</v>
      </c>
      <c r="AF12" s="81">
        <v>1</v>
      </c>
    </row>
    <row r="13" spans="1:45" ht="15" customHeight="1" x14ac:dyDescent="0.2">
      <c r="A13" s="80" t="s">
        <v>29576</v>
      </c>
      <c r="B13" s="81" t="s">
        <v>29649</v>
      </c>
      <c r="C13" s="81" t="s">
        <v>46</v>
      </c>
      <c r="D13" s="81" t="s">
        <v>47</v>
      </c>
      <c r="E13" s="81" t="s">
        <v>29661</v>
      </c>
      <c r="F13" s="81" t="s">
        <v>91</v>
      </c>
      <c r="G13" s="81" t="s">
        <v>29661</v>
      </c>
      <c r="H13" s="81" t="s">
        <v>29673</v>
      </c>
      <c r="I13" s="80" t="s">
        <v>25472</v>
      </c>
      <c r="J13" s="84" t="s">
        <v>29710</v>
      </c>
      <c r="K13" s="81" t="s">
        <v>264</v>
      </c>
      <c r="L13" s="81" t="s">
        <v>25606</v>
      </c>
      <c r="M13" s="81" t="s">
        <v>26662</v>
      </c>
      <c r="N13" s="81">
        <v>975.8</v>
      </c>
      <c r="Q13" s="80"/>
      <c r="R13" s="146"/>
      <c r="S13" s="103" t="str">
        <f t="shared" si="0"/>
        <v>95-001-01-</v>
      </c>
      <c r="AA13" s="81">
        <v>1</v>
      </c>
      <c r="AB13" s="81">
        <v>1</v>
      </c>
      <c r="AC13" s="81">
        <v>2</v>
      </c>
      <c r="AD13" s="81">
        <v>1</v>
      </c>
      <c r="AE13" s="81">
        <v>1</v>
      </c>
    </row>
    <row r="14" spans="1:45" ht="15" customHeight="1" x14ac:dyDescent="0.2">
      <c r="A14" s="81" t="s">
        <v>29577</v>
      </c>
      <c r="B14" s="81" t="s">
        <v>29645</v>
      </c>
      <c r="C14" s="81" t="s">
        <v>31</v>
      </c>
      <c r="D14" s="81" t="s">
        <v>39</v>
      </c>
      <c r="E14" s="81" t="s">
        <v>29661</v>
      </c>
      <c r="F14" s="81" t="s">
        <v>91</v>
      </c>
      <c r="G14" s="81" t="s">
        <v>29661</v>
      </c>
      <c r="H14" s="81" t="s">
        <v>29673</v>
      </c>
      <c r="I14" s="81" t="s">
        <v>25472</v>
      </c>
      <c r="J14" s="84" t="s">
        <v>29710</v>
      </c>
      <c r="K14" s="81" t="s">
        <v>264</v>
      </c>
      <c r="L14" s="81" t="s">
        <v>25606</v>
      </c>
      <c r="M14" s="81" t="s">
        <v>26662</v>
      </c>
      <c r="N14" s="81">
        <v>975.8</v>
      </c>
      <c r="Q14" s="80"/>
      <c r="R14" s="146"/>
      <c r="S14" s="103" t="str">
        <f t="shared" si="0"/>
        <v>95-008-01-</v>
      </c>
      <c r="AA14" s="81">
        <v>1</v>
      </c>
      <c r="AB14" s="81">
        <v>1</v>
      </c>
      <c r="AC14" s="81">
        <v>2</v>
      </c>
      <c r="AD14" s="81">
        <v>1</v>
      </c>
      <c r="AE14" s="81">
        <v>1</v>
      </c>
    </row>
    <row r="15" spans="1:45" ht="15" customHeight="1" x14ac:dyDescent="0.2">
      <c r="A15" s="81" t="s">
        <v>29578</v>
      </c>
      <c r="B15" s="81" t="s">
        <v>29647</v>
      </c>
      <c r="C15" s="81" t="s">
        <v>31</v>
      </c>
      <c r="D15" s="81" t="s">
        <v>25558</v>
      </c>
      <c r="E15" s="81" t="s">
        <v>29661</v>
      </c>
      <c r="F15" s="81" t="s">
        <v>91</v>
      </c>
      <c r="G15" s="81" t="s">
        <v>29661</v>
      </c>
      <c r="H15" s="81" t="s">
        <v>29674</v>
      </c>
      <c r="I15" s="81" t="s">
        <v>28287</v>
      </c>
      <c r="J15" s="84" t="s">
        <v>29710</v>
      </c>
      <c r="K15" s="81" t="s">
        <v>264</v>
      </c>
      <c r="L15" s="81" t="s">
        <v>25606</v>
      </c>
      <c r="M15" s="81" t="s">
        <v>26662</v>
      </c>
      <c r="N15" s="81">
        <v>975.8</v>
      </c>
      <c r="Q15" s="80"/>
      <c r="R15" s="146"/>
      <c r="S15" s="103" t="str">
        <f t="shared" si="0"/>
        <v>95-010-16-</v>
      </c>
      <c r="Z15" s="81">
        <v>1</v>
      </c>
      <c r="AA15" s="81">
        <v>2</v>
      </c>
      <c r="AB15" s="81">
        <v>3</v>
      </c>
      <c r="AC15" s="81">
        <v>4</v>
      </c>
      <c r="AD15" s="81">
        <v>3</v>
      </c>
    </row>
    <row r="16" spans="1:45" ht="15" customHeight="1" x14ac:dyDescent="0.2">
      <c r="A16" s="81" t="s">
        <v>29579</v>
      </c>
      <c r="B16" s="81" t="s">
        <v>29646</v>
      </c>
      <c r="C16" s="81" t="s">
        <v>31</v>
      </c>
      <c r="D16" s="81" t="s">
        <v>39</v>
      </c>
      <c r="E16" s="81" t="s">
        <v>29661</v>
      </c>
      <c r="F16" s="81" t="s">
        <v>91</v>
      </c>
      <c r="G16" s="81" t="s">
        <v>29661</v>
      </c>
      <c r="H16" s="81" t="s">
        <v>29675</v>
      </c>
      <c r="I16" s="81" t="s">
        <v>25345</v>
      </c>
      <c r="J16" s="84" t="s">
        <v>29710</v>
      </c>
      <c r="K16" s="81" t="s">
        <v>264</v>
      </c>
      <c r="L16" s="81" t="s">
        <v>25606</v>
      </c>
      <c r="M16" s="81" t="s">
        <v>26662</v>
      </c>
      <c r="N16" s="81">
        <v>975.8</v>
      </c>
      <c r="Q16" s="80"/>
      <c r="R16" s="146"/>
      <c r="S16" s="103" t="str">
        <f t="shared" si="0"/>
        <v>95-004-73-</v>
      </c>
      <c r="Z16" s="81">
        <v>4</v>
      </c>
      <c r="AA16" s="81">
        <v>8</v>
      </c>
      <c r="AB16" s="81">
        <v>12</v>
      </c>
      <c r="AC16" s="81">
        <v>14</v>
      </c>
      <c r="AD16" s="81">
        <v>11</v>
      </c>
      <c r="AE16" s="81">
        <v>6</v>
      </c>
      <c r="AF16" s="81">
        <v>3</v>
      </c>
    </row>
    <row r="17" spans="1:32" ht="15" customHeight="1" x14ac:dyDescent="0.2">
      <c r="A17" s="81" t="s">
        <v>29580</v>
      </c>
      <c r="B17" s="81" t="s">
        <v>29650</v>
      </c>
      <c r="C17" s="81" t="s">
        <v>31</v>
      </c>
      <c r="D17" s="81" t="s">
        <v>39</v>
      </c>
      <c r="E17" s="81" t="s">
        <v>29661</v>
      </c>
      <c r="F17" s="81" t="s">
        <v>91</v>
      </c>
      <c r="G17" s="81" t="s">
        <v>29661</v>
      </c>
      <c r="H17" s="81" t="s">
        <v>29675</v>
      </c>
      <c r="I17" s="81" t="s">
        <v>25345</v>
      </c>
      <c r="J17" s="84" t="s">
        <v>29710</v>
      </c>
      <c r="K17" s="81" t="s">
        <v>264</v>
      </c>
      <c r="L17" s="81" t="s">
        <v>25606</v>
      </c>
      <c r="M17" s="81" t="s">
        <v>26662</v>
      </c>
      <c r="N17" s="81">
        <v>975.8</v>
      </c>
      <c r="Q17" s="80"/>
      <c r="R17" s="146"/>
      <c r="S17" s="103" t="str">
        <f t="shared" si="0"/>
        <v>95-005-73-</v>
      </c>
      <c r="Z17" s="81">
        <v>5</v>
      </c>
      <c r="AA17" s="81">
        <v>10</v>
      </c>
      <c r="AB17" s="81">
        <v>15</v>
      </c>
      <c r="AC17" s="81">
        <v>20</v>
      </c>
      <c r="AD17" s="81">
        <v>15</v>
      </c>
      <c r="AE17" s="81">
        <v>10</v>
      </c>
      <c r="AF17" s="81">
        <v>5</v>
      </c>
    </row>
    <row r="18" spans="1:32" ht="15" customHeight="1" x14ac:dyDescent="0.2">
      <c r="A18" s="81" t="s">
        <v>29581</v>
      </c>
      <c r="B18" s="81" t="s">
        <v>29647</v>
      </c>
      <c r="C18" s="81" t="s">
        <v>31</v>
      </c>
      <c r="D18" s="81" t="s">
        <v>25558</v>
      </c>
      <c r="E18" s="81" t="s">
        <v>29661</v>
      </c>
      <c r="F18" s="81" t="s">
        <v>91</v>
      </c>
      <c r="G18" s="81" t="s">
        <v>29661</v>
      </c>
      <c r="H18" s="81" t="s">
        <v>29675</v>
      </c>
      <c r="I18" s="81" t="s">
        <v>25345</v>
      </c>
      <c r="J18" s="84" t="s">
        <v>29710</v>
      </c>
      <c r="K18" s="81" t="s">
        <v>264</v>
      </c>
      <c r="L18" s="81" t="s">
        <v>25606</v>
      </c>
      <c r="M18" s="81" t="s">
        <v>26662</v>
      </c>
      <c r="N18" s="81">
        <v>975.8</v>
      </c>
      <c r="Q18" s="80"/>
      <c r="R18" s="146"/>
      <c r="S18" s="103" t="str">
        <f t="shared" si="0"/>
        <v>95-010-73-</v>
      </c>
      <c r="Z18" s="81">
        <v>1</v>
      </c>
      <c r="AA18" s="81">
        <v>8</v>
      </c>
      <c r="AB18" s="81">
        <v>12</v>
      </c>
      <c r="AC18" s="81">
        <v>16</v>
      </c>
      <c r="AD18" s="81">
        <v>12</v>
      </c>
      <c r="AE18" s="81">
        <v>4</v>
      </c>
      <c r="AF18" s="81">
        <v>2</v>
      </c>
    </row>
    <row r="19" spans="1:32" ht="15" customHeight="1" x14ac:dyDescent="0.2">
      <c r="A19" s="81" t="s">
        <v>29582</v>
      </c>
      <c r="B19" s="81" t="s">
        <v>29649</v>
      </c>
      <c r="C19" s="81" t="s">
        <v>46</v>
      </c>
      <c r="D19" s="81" t="s">
        <v>47</v>
      </c>
      <c r="E19" s="81" t="s">
        <v>29661</v>
      </c>
      <c r="F19" s="81" t="s">
        <v>91</v>
      </c>
      <c r="G19" s="81" t="s">
        <v>29661</v>
      </c>
      <c r="H19" s="81" t="s">
        <v>29676</v>
      </c>
      <c r="I19" s="81" t="s">
        <v>25543</v>
      </c>
      <c r="J19" s="84" t="s">
        <v>29710</v>
      </c>
      <c r="K19" s="81" t="s">
        <v>264</v>
      </c>
      <c r="L19" s="81" t="s">
        <v>25606</v>
      </c>
      <c r="M19" s="81" t="s">
        <v>26662</v>
      </c>
      <c r="N19" s="81">
        <v>975.8</v>
      </c>
      <c r="Q19" s="80"/>
      <c r="R19" s="146"/>
      <c r="S19" s="103" t="str">
        <f t="shared" si="0"/>
        <v>95-001-61-</v>
      </c>
      <c r="AA19" s="81">
        <v>1</v>
      </c>
      <c r="AB19" s="81">
        <v>1</v>
      </c>
      <c r="AC19" s="81">
        <v>2</v>
      </c>
      <c r="AD19" s="81">
        <v>1</v>
      </c>
    </row>
    <row r="20" spans="1:32" ht="15" customHeight="1" x14ac:dyDescent="0.2">
      <c r="A20" s="81" t="s">
        <v>29583</v>
      </c>
      <c r="B20" s="81" t="s">
        <v>29651</v>
      </c>
      <c r="C20" s="81" t="s">
        <v>31</v>
      </c>
      <c r="D20" s="81" t="s">
        <v>39</v>
      </c>
      <c r="E20" s="81" t="s">
        <v>29661</v>
      </c>
      <c r="F20" s="81" t="s">
        <v>91</v>
      </c>
      <c r="G20" s="81" t="s">
        <v>29661</v>
      </c>
      <c r="H20" s="81" t="s">
        <v>29677</v>
      </c>
      <c r="I20" s="81" t="s">
        <v>29678</v>
      </c>
      <c r="J20" s="84" t="s">
        <v>29710</v>
      </c>
      <c r="K20" s="81" t="s">
        <v>264</v>
      </c>
      <c r="L20" s="81" t="s">
        <v>25606</v>
      </c>
      <c r="M20" s="81" t="s">
        <v>26662</v>
      </c>
      <c r="N20" s="81">
        <v>975.8</v>
      </c>
      <c r="Q20" s="80"/>
      <c r="R20" s="146"/>
      <c r="S20" s="103" t="str">
        <f t="shared" si="0"/>
        <v>95-007-70-</v>
      </c>
      <c r="Z20" s="81">
        <v>4</v>
      </c>
      <c r="AA20" s="81">
        <v>8</v>
      </c>
      <c r="AB20" s="81">
        <v>13</v>
      </c>
      <c r="AC20" s="81">
        <v>18</v>
      </c>
      <c r="AD20" s="81">
        <v>13</v>
      </c>
      <c r="AE20" s="81">
        <v>3</v>
      </c>
      <c r="AF20" s="81">
        <v>2</v>
      </c>
    </row>
    <row r="21" spans="1:32" ht="15" customHeight="1" x14ac:dyDescent="0.2">
      <c r="A21" s="81" t="s">
        <v>29584</v>
      </c>
      <c r="B21" s="81" t="s">
        <v>29645</v>
      </c>
      <c r="C21" s="81" t="s">
        <v>31</v>
      </c>
      <c r="D21" s="81" t="s">
        <v>39</v>
      </c>
      <c r="E21" s="81" t="s">
        <v>29661</v>
      </c>
      <c r="F21" s="81" t="s">
        <v>91</v>
      </c>
      <c r="G21" s="81" t="s">
        <v>29661</v>
      </c>
      <c r="H21" s="81" t="s">
        <v>29677</v>
      </c>
      <c r="I21" s="81" t="s">
        <v>29678</v>
      </c>
      <c r="J21" s="84" t="s">
        <v>29710</v>
      </c>
      <c r="K21" s="81" t="s">
        <v>264</v>
      </c>
      <c r="L21" s="81" t="s">
        <v>25606</v>
      </c>
      <c r="M21" s="81" t="s">
        <v>26662</v>
      </c>
      <c r="N21" s="81">
        <v>975.8</v>
      </c>
      <c r="Q21" s="80"/>
      <c r="R21" s="146"/>
      <c r="S21" s="103" t="str">
        <f t="shared" si="0"/>
        <v>95-008-70-</v>
      </c>
      <c r="Z21" s="81">
        <v>2</v>
      </c>
      <c r="AA21" s="81">
        <v>4</v>
      </c>
      <c r="AB21" s="81">
        <v>6</v>
      </c>
      <c r="AC21" s="81">
        <v>8</v>
      </c>
      <c r="AD21" s="81">
        <v>6</v>
      </c>
      <c r="AE21" s="81">
        <v>3</v>
      </c>
      <c r="AF21" s="81">
        <v>2</v>
      </c>
    </row>
    <row r="22" spans="1:32" ht="15" customHeight="1" x14ac:dyDescent="0.2">
      <c r="A22" s="81" t="s">
        <v>29585</v>
      </c>
      <c r="B22" s="81" t="s">
        <v>29647</v>
      </c>
      <c r="C22" s="81" t="s">
        <v>31</v>
      </c>
      <c r="D22" s="81" t="s">
        <v>25558</v>
      </c>
      <c r="E22" s="81" t="s">
        <v>29661</v>
      </c>
      <c r="F22" s="81" t="s">
        <v>91</v>
      </c>
      <c r="G22" s="81" t="s">
        <v>29661</v>
      </c>
      <c r="H22" s="81" t="s">
        <v>29677</v>
      </c>
      <c r="I22" s="81" t="s">
        <v>29678</v>
      </c>
      <c r="J22" s="84" t="s">
        <v>29710</v>
      </c>
      <c r="K22" s="81" t="s">
        <v>264</v>
      </c>
      <c r="L22" s="81" t="s">
        <v>25606</v>
      </c>
      <c r="M22" s="81" t="s">
        <v>26662</v>
      </c>
      <c r="N22" s="81">
        <v>975.8</v>
      </c>
      <c r="Q22" s="80"/>
      <c r="R22" s="146"/>
      <c r="S22" s="103" t="str">
        <f t="shared" si="0"/>
        <v>95-010-70-</v>
      </c>
      <c r="AA22" s="81">
        <v>1</v>
      </c>
      <c r="AB22" s="81">
        <v>2</v>
      </c>
      <c r="AC22" s="81">
        <v>3</v>
      </c>
      <c r="AD22" s="81">
        <v>2</v>
      </c>
      <c r="AE22" s="81">
        <v>1</v>
      </c>
      <c r="AF22" s="81">
        <v>1</v>
      </c>
    </row>
    <row r="23" spans="1:32" ht="15" customHeight="1" x14ac:dyDescent="0.2">
      <c r="A23" s="81" t="s">
        <v>29586</v>
      </c>
      <c r="B23" s="81" t="s">
        <v>29649</v>
      </c>
      <c r="C23" s="81" t="s">
        <v>46</v>
      </c>
      <c r="D23" s="81" t="s">
        <v>47</v>
      </c>
      <c r="E23" s="81" t="s">
        <v>29661</v>
      </c>
      <c r="F23" s="81" t="s">
        <v>91</v>
      </c>
      <c r="G23" s="81" t="s">
        <v>29661</v>
      </c>
      <c r="H23" s="81" t="s">
        <v>29679</v>
      </c>
      <c r="I23" s="81" t="s">
        <v>171</v>
      </c>
      <c r="J23" s="84" t="s">
        <v>29710</v>
      </c>
      <c r="K23" s="81" t="s">
        <v>264</v>
      </c>
      <c r="L23" s="81" t="s">
        <v>25606</v>
      </c>
      <c r="M23" s="81" t="s">
        <v>26662</v>
      </c>
      <c r="N23" s="81">
        <v>975.8</v>
      </c>
      <c r="Q23" s="80"/>
      <c r="R23" s="146"/>
      <c r="S23" s="103" t="str">
        <f t="shared" si="0"/>
        <v>95-001-72-</v>
      </c>
      <c r="AA23" s="81">
        <v>1</v>
      </c>
      <c r="AB23" s="81">
        <v>1</v>
      </c>
      <c r="AC23" s="81">
        <v>2</v>
      </c>
      <c r="AD23" s="81">
        <v>1</v>
      </c>
      <c r="AE23" s="81">
        <v>1</v>
      </c>
      <c r="AF23" s="81">
        <v>1</v>
      </c>
    </row>
    <row r="24" spans="1:32" ht="15" customHeight="1" x14ac:dyDescent="0.2">
      <c r="A24" s="81" t="s">
        <v>29587</v>
      </c>
      <c r="B24" s="81" t="s">
        <v>29645</v>
      </c>
      <c r="C24" s="81" t="s">
        <v>31</v>
      </c>
      <c r="D24" s="81" t="s">
        <v>39</v>
      </c>
      <c r="E24" s="81" t="s">
        <v>29661</v>
      </c>
      <c r="F24" s="81" t="s">
        <v>91</v>
      </c>
      <c r="G24" s="81" t="s">
        <v>29661</v>
      </c>
      <c r="H24" s="81" t="s">
        <v>29679</v>
      </c>
      <c r="I24" s="81" t="s">
        <v>171</v>
      </c>
      <c r="J24" s="84" t="s">
        <v>29710</v>
      </c>
      <c r="K24" s="81" t="s">
        <v>264</v>
      </c>
      <c r="L24" s="81" t="s">
        <v>25606</v>
      </c>
      <c r="M24" s="81" t="s">
        <v>26662</v>
      </c>
      <c r="N24" s="81">
        <v>975.8</v>
      </c>
      <c r="Q24" s="80"/>
      <c r="R24" s="146"/>
      <c r="S24" s="103" t="str">
        <f t="shared" si="0"/>
        <v>95-008-72-</v>
      </c>
      <c r="AB24" s="81">
        <v>8</v>
      </c>
      <c r="AC24" s="81">
        <v>10</v>
      </c>
    </row>
    <row r="25" spans="1:32" ht="15" customHeight="1" x14ac:dyDescent="0.2">
      <c r="A25" s="81" t="s">
        <v>29588</v>
      </c>
      <c r="B25" s="81" t="s">
        <v>29650</v>
      </c>
      <c r="C25" s="81" t="s">
        <v>31</v>
      </c>
      <c r="D25" s="81" t="s">
        <v>39</v>
      </c>
      <c r="E25" s="81" t="s">
        <v>29661</v>
      </c>
      <c r="F25" s="81" t="s">
        <v>91</v>
      </c>
      <c r="G25" s="81" t="s">
        <v>29661</v>
      </c>
      <c r="H25" s="81" t="s">
        <v>29680</v>
      </c>
      <c r="I25" s="81" t="s">
        <v>29681</v>
      </c>
      <c r="J25" s="84" t="s">
        <v>29710</v>
      </c>
      <c r="K25" s="81" t="s">
        <v>264</v>
      </c>
      <c r="L25" s="81" t="s">
        <v>25606</v>
      </c>
      <c r="M25" s="81" t="s">
        <v>26662</v>
      </c>
      <c r="N25" s="81">
        <v>975.8</v>
      </c>
      <c r="Q25" s="80"/>
      <c r="R25" s="146"/>
      <c r="S25" s="103" t="str">
        <f t="shared" si="0"/>
        <v>95-005-60-</v>
      </c>
      <c r="Z25" s="81">
        <v>2</v>
      </c>
      <c r="AA25" s="81">
        <v>4</v>
      </c>
      <c r="AB25" s="81">
        <v>6</v>
      </c>
      <c r="AC25" s="81">
        <v>8</v>
      </c>
      <c r="AD25" s="81">
        <v>6</v>
      </c>
      <c r="AE25" s="81">
        <v>4</v>
      </c>
    </row>
    <row r="26" spans="1:32" ht="15" customHeight="1" x14ac:dyDescent="0.2">
      <c r="A26" s="81" t="s">
        <v>29589</v>
      </c>
      <c r="B26" s="81" t="s">
        <v>29652</v>
      </c>
      <c r="C26" s="81" t="s">
        <v>31</v>
      </c>
      <c r="D26" s="81" t="s">
        <v>39</v>
      </c>
      <c r="E26" s="81" t="s">
        <v>29661</v>
      </c>
      <c r="F26" s="81" t="s">
        <v>91</v>
      </c>
      <c r="G26" s="81" t="s">
        <v>29661</v>
      </c>
      <c r="H26" s="81" t="s">
        <v>29682</v>
      </c>
      <c r="I26" s="81" t="s">
        <v>25536</v>
      </c>
      <c r="J26" s="84" t="s">
        <v>29710</v>
      </c>
      <c r="K26" s="81" t="s">
        <v>264</v>
      </c>
      <c r="L26" s="81" t="s">
        <v>25606</v>
      </c>
      <c r="M26" s="81" t="s">
        <v>26662</v>
      </c>
      <c r="N26" s="81">
        <v>975.8</v>
      </c>
      <c r="Q26" s="80"/>
      <c r="R26" s="146"/>
      <c r="S26" s="103" t="str">
        <f t="shared" si="0"/>
        <v>95-003-10-</v>
      </c>
      <c r="Z26" s="81">
        <v>1</v>
      </c>
      <c r="AA26" s="81">
        <v>3</v>
      </c>
      <c r="AB26" s="81">
        <v>5</v>
      </c>
      <c r="AC26" s="81">
        <v>5</v>
      </c>
      <c r="AD26" s="81">
        <v>3</v>
      </c>
      <c r="AE26" s="81">
        <v>2</v>
      </c>
      <c r="AF26" s="81" t="s">
        <v>29712</v>
      </c>
    </row>
    <row r="27" spans="1:32" ht="15" customHeight="1" x14ac:dyDescent="0.2">
      <c r="A27" s="81" t="s">
        <v>29590</v>
      </c>
      <c r="B27" s="81" t="s">
        <v>29646</v>
      </c>
      <c r="C27" s="81" t="s">
        <v>31</v>
      </c>
      <c r="D27" s="81" t="s">
        <v>39</v>
      </c>
      <c r="E27" s="81" t="s">
        <v>29661</v>
      </c>
      <c r="F27" s="81" t="s">
        <v>91</v>
      </c>
      <c r="G27" s="81" t="s">
        <v>29661</v>
      </c>
      <c r="H27" s="81" t="s">
        <v>29682</v>
      </c>
      <c r="I27" s="81" t="s">
        <v>25536</v>
      </c>
      <c r="J27" s="84" t="s">
        <v>29710</v>
      </c>
      <c r="K27" s="81" t="s">
        <v>264</v>
      </c>
      <c r="L27" s="81" t="s">
        <v>25606</v>
      </c>
      <c r="M27" s="81" t="s">
        <v>26662</v>
      </c>
      <c r="N27" s="81">
        <v>975.8</v>
      </c>
      <c r="Q27" s="80"/>
      <c r="R27" s="146"/>
      <c r="S27" s="103" t="str">
        <f t="shared" si="0"/>
        <v>95-004-10-</v>
      </c>
      <c r="Z27" s="81">
        <v>2</v>
      </c>
      <c r="AA27" s="81">
        <v>9</v>
      </c>
      <c r="AB27" s="81">
        <v>6</v>
      </c>
      <c r="AC27" s="81">
        <v>10</v>
      </c>
      <c r="AD27" s="81">
        <v>15</v>
      </c>
      <c r="AE27" s="81" t="s">
        <v>29712</v>
      </c>
      <c r="AF27" s="81" t="s">
        <v>29712</v>
      </c>
    </row>
    <row r="28" spans="1:32" ht="15" customHeight="1" x14ac:dyDescent="0.2">
      <c r="A28" s="81" t="s">
        <v>29591</v>
      </c>
      <c r="B28" s="81" t="s">
        <v>29649</v>
      </c>
      <c r="C28" s="81" t="s">
        <v>46</v>
      </c>
      <c r="D28" s="81" t="s">
        <v>47</v>
      </c>
      <c r="E28" s="81" t="s">
        <v>29661</v>
      </c>
      <c r="F28" s="81" t="s">
        <v>91</v>
      </c>
      <c r="G28" s="81" t="s">
        <v>29661</v>
      </c>
      <c r="H28" s="81" t="s">
        <v>29682</v>
      </c>
      <c r="I28" s="81" t="s">
        <v>25536</v>
      </c>
      <c r="J28" s="84" t="s">
        <v>29710</v>
      </c>
      <c r="K28" s="81" t="s">
        <v>264</v>
      </c>
      <c r="L28" s="81" t="s">
        <v>25606</v>
      </c>
      <c r="M28" s="81" t="s">
        <v>26662</v>
      </c>
      <c r="N28" s="81">
        <v>975.8</v>
      </c>
      <c r="Q28" s="80"/>
      <c r="R28" s="146"/>
      <c r="S28" s="103" t="str">
        <f t="shared" si="0"/>
        <v>95-001-10-</v>
      </c>
      <c r="Z28" s="81">
        <v>2</v>
      </c>
      <c r="AA28" s="81">
        <v>4</v>
      </c>
      <c r="AB28" s="81">
        <v>6</v>
      </c>
      <c r="AC28" s="81">
        <v>9</v>
      </c>
      <c r="AD28" s="81">
        <v>6</v>
      </c>
      <c r="AE28" s="81">
        <v>4</v>
      </c>
      <c r="AF28" s="81">
        <v>2</v>
      </c>
    </row>
    <row r="29" spans="1:32" ht="15" customHeight="1" x14ac:dyDescent="0.2">
      <c r="A29" s="81" t="s">
        <v>29592</v>
      </c>
      <c r="B29" s="81" t="s">
        <v>29653</v>
      </c>
      <c r="C29" s="81" t="s">
        <v>31</v>
      </c>
      <c r="D29" s="81" t="s">
        <v>39</v>
      </c>
      <c r="E29" s="81" t="s">
        <v>29661</v>
      </c>
      <c r="F29" s="81" t="s">
        <v>91</v>
      </c>
      <c r="G29" s="81" t="s">
        <v>29661</v>
      </c>
      <c r="H29" s="81" t="s">
        <v>29683</v>
      </c>
      <c r="I29" s="81" t="s">
        <v>29684</v>
      </c>
      <c r="J29" s="84" t="s">
        <v>29711</v>
      </c>
      <c r="K29" s="81" t="s">
        <v>264</v>
      </c>
      <c r="L29" s="81" t="s">
        <v>25606</v>
      </c>
      <c r="M29" s="81" t="s">
        <v>26662</v>
      </c>
      <c r="N29" s="81">
        <v>975.8</v>
      </c>
      <c r="Q29" s="80"/>
      <c r="R29" s="146"/>
      <c r="S29" s="103" t="str">
        <f t="shared" si="0"/>
        <v>95-011-61-</v>
      </c>
      <c r="Z29" s="81" t="s">
        <v>29712</v>
      </c>
      <c r="AA29" s="81">
        <v>8</v>
      </c>
      <c r="AB29" s="81" t="s">
        <v>29712</v>
      </c>
      <c r="AC29" s="81">
        <v>16</v>
      </c>
      <c r="AD29" s="81" t="s">
        <v>29712</v>
      </c>
      <c r="AE29" s="81" t="s">
        <v>29712</v>
      </c>
      <c r="AF29" s="81" t="s">
        <v>29712</v>
      </c>
    </row>
    <row r="30" spans="1:32" ht="15" customHeight="1" x14ac:dyDescent="0.2">
      <c r="A30" s="81" t="s">
        <v>29593</v>
      </c>
      <c r="B30" s="81" t="s">
        <v>29648</v>
      </c>
      <c r="C30" s="81" t="s">
        <v>31</v>
      </c>
      <c r="D30" s="81" t="s">
        <v>37</v>
      </c>
      <c r="E30" s="81" t="s">
        <v>29661</v>
      </c>
      <c r="F30" s="81" t="s">
        <v>91</v>
      </c>
      <c r="G30" s="81" t="s">
        <v>29661</v>
      </c>
      <c r="H30" s="81" t="s">
        <v>29685</v>
      </c>
      <c r="I30" s="81" t="s">
        <v>42</v>
      </c>
      <c r="J30" s="84" t="s">
        <v>29710</v>
      </c>
      <c r="K30" s="81" t="s">
        <v>264</v>
      </c>
      <c r="L30" s="81" t="s">
        <v>25606</v>
      </c>
      <c r="M30" s="81" t="s">
        <v>26662</v>
      </c>
      <c r="N30" s="81">
        <v>975.8</v>
      </c>
      <c r="Q30" s="80"/>
      <c r="R30" s="146"/>
      <c r="S30" s="103" t="str">
        <f t="shared" si="0"/>
        <v>95-006-53-</v>
      </c>
      <c r="Z30" s="81">
        <v>2</v>
      </c>
      <c r="AA30" s="81">
        <v>6</v>
      </c>
      <c r="AB30" s="81">
        <v>12</v>
      </c>
      <c r="AC30" s="81">
        <v>15</v>
      </c>
      <c r="AD30" s="81">
        <v>12</v>
      </c>
      <c r="AE30" s="81" t="s">
        <v>29712</v>
      </c>
      <c r="AF30" s="81" t="s">
        <v>29712</v>
      </c>
    </row>
    <row r="31" spans="1:32" ht="15" customHeight="1" x14ac:dyDescent="0.2">
      <c r="A31" s="81" t="s">
        <v>29594</v>
      </c>
      <c r="B31" s="81" t="s">
        <v>29648</v>
      </c>
      <c r="C31" s="81" t="s">
        <v>31</v>
      </c>
      <c r="D31" s="81" t="s">
        <v>37</v>
      </c>
      <c r="E31" s="81" t="s">
        <v>29661</v>
      </c>
      <c r="F31" s="81" t="s">
        <v>91</v>
      </c>
      <c r="G31" s="81" t="s">
        <v>29661</v>
      </c>
      <c r="H31" s="81" t="s">
        <v>29686</v>
      </c>
      <c r="I31" s="81" t="s">
        <v>25485</v>
      </c>
      <c r="J31" s="84" t="s">
        <v>29710</v>
      </c>
      <c r="K31" s="81" t="s">
        <v>264</v>
      </c>
      <c r="L31" s="81" t="s">
        <v>25606</v>
      </c>
      <c r="M31" s="81" t="s">
        <v>26662</v>
      </c>
      <c r="N31" s="81">
        <v>975.8</v>
      </c>
      <c r="Q31" s="80"/>
      <c r="R31" s="146"/>
      <c r="S31" s="103" t="str">
        <f t="shared" si="0"/>
        <v>95-006-47-</v>
      </c>
      <c r="Z31" s="81">
        <v>1</v>
      </c>
      <c r="AA31" s="81">
        <v>2</v>
      </c>
      <c r="AB31" s="81">
        <v>3</v>
      </c>
      <c r="AC31" s="81">
        <v>4</v>
      </c>
      <c r="AD31" s="81">
        <v>3</v>
      </c>
    </row>
    <row r="32" spans="1:32" ht="15" customHeight="1" x14ac:dyDescent="0.2">
      <c r="A32" s="81" t="s">
        <v>29595</v>
      </c>
      <c r="B32" s="81" t="s">
        <v>29654</v>
      </c>
      <c r="C32" s="81" t="s">
        <v>31</v>
      </c>
      <c r="D32" s="81" t="s">
        <v>39</v>
      </c>
      <c r="E32" s="81" t="s">
        <v>29661</v>
      </c>
      <c r="F32" s="81" t="s">
        <v>91</v>
      </c>
      <c r="G32" s="81" t="s">
        <v>29661</v>
      </c>
      <c r="H32" s="81" t="s">
        <v>29686</v>
      </c>
      <c r="I32" s="81" t="s">
        <v>25485</v>
      </c>
      <c r="J32" s="84" t="s">
        <v>29710</v>
      </c>
      <c r="K32" s="81" t="s">
        <v>264</v>
      </c>
      <c r="L32" s="81" t="s">
        <v>25606</v>
      </c>
      <c r="M32" s="81" t="s">
        <v>26662</v>
      </c>
      <c r="N32" s="81">
        <v>975.8</v>
      </c>
      <c r="Q32" s="80"/>
      <c r="R32" s="146"/>
      <c r="S32" s="103" t="str">
        <f t="shared" si="0"/>
        <v>95-002-47-</v>
      </c>
      <c r="Z32" s="81">
        <v>2</v>
      </c>
      <c r="AA32" s="81">
        <v>3</v>
      </c>
      <c r="AB32" s="81">
        <v>4</v>
      </c>
      <c r="AC32" s="81">
        <v>6</v>
      </c>
      <c r="AD32" s="81">
        <v>4</v>
      </c>
      <c r="AE32" s="81">
        <v>3</v>
      </c>
      <c r="AF32" s="81">
        <v>2</v>
      </c>
    </row>
    <row r="33" spans="1:32" ht="15" customHeight="1" x14ac:dyDescent="0.2">
      <c r="A33" s="81" t="s">
        <v>29596</v>
      </c>
      <c r="B33" s="81" t="s">
        <v>29652</v>
      </c>
      <c r="C33" s="81" t="s">
        <v>31</v>
      </c>
      <c r="D33" s="81" t="s">
        <v>39</v>
      </c>
      <c r="E33" s="81" t="s">
        <v>29661</v>
      </c>
      <c r="F33" s="81" t="s">
        <v>91</v>
      </c>
      <c r="G33" s="81" t="s">
        <v>29661</v>
      </c>
      <c r="H33" s="81" t="s">
        <v>29686</v>
      </c>
      <c r="I33" s="81" t="s">
        <v>25485</v>
      </c>
      <c r="J33" s="84" t="s">
        <v>29710</v>
      </c>
      <c r="K33" s="81" t="s">
        <v>264</v>
      </c>
      <c r="L33" s="81" t="s">
        <v>25606</v>
      </c>
      <c r="M33" s="81" t="s">
        <v>26662</v>
      </c>
      <c r="N33" s="81">
        <v>975.8</v>
      </c>
      <c r="Q33" s="80"/>
      <c r="R33" s="146"/>
      <c r="S33" s="103" t="str">
        <f t="shared" si="0"/>
        <v>95-003-47-</v>
      </c>
      <c r="Z33" s="81">
        <v>1</v>
      </c>
      <c r="AA33" s="81">
        <v>2</v>
      </c>
      <c r="AB33" s="81">
        <v>3</v>
      </c>
      <c r="AC33" s="81">
        <v>4</v>
      </c>
      <c r="AD33" s="81">
        <v>3</v>
      </c>
      <c r="AE33" s="81">
        <v>2</v>
      </c>
      <c r="AF33" s="81">
        <v>1</v>
      </c>
    </row>
    <row r="34" spans="1:32" ht="15" customHeight="1" x14ac:dyDescent="0.2">
      <c r="A34" s="81" t="s">
        <v>29597</v>
      </c>
      <c r="B34" s="81" t="s">
        <v>29653</v>
      </c>
      <c r="C34" s="81" t="s">
        <v>31</v>
      </c>
      <c r="D34" s="81" t="s">
        <v>39</v>
      </c>
      <c r="E34" s="81" t="s">
        <v>29661</v>
      </c>
      <c r="F34" s="81" t="s">
        <v>91</v>
      </c>
      <c r="G34" s="81" t="s">
        <v>29661</v>
      </c>
      <c r="H34" s="81" t="s">
        <v>29686</v>
      </c>
      <c r="I34" s="81" t="s">
        <v>25485</v>
      </c>
      <c r="J34" s="84" t="s">
        <v>29710</v>
      </c>
      <c r="K34" s="81" t="s">
        <v>264</v>
      </c>
      <c r="L34" s="81" t="s">
        <v>25606</v>
      </c>
      <c r="M34" s="81" t="s">
        <v>26662</v>
      </c>
      <c r="N34" s="81">
        <v>975.8</v>
      </c>
      <c r="Q34" s="80"/>
      <c r="R34" s="146"/>
      <c r="S34" s="103" t="str">
        <f t="shared" si="0"/>
        <v>95-011-47-</v>
      </c>
      <c r="Z34" s="81" t="s">
        <v>29712</v>
      </c>
      <c r="AA34" s="81">
        <v>6</v>
      </c>
      <c r="AB34" s="81" t="s">
        <v>29712</v>
      </c>
      <c r="AC34" s="81">
        <v>12</v>
      </c>
      <c r="AD34" s="81" t="s">
        <v>29712</v>
      </c>
      <c r="AE34" s="81" t="s">
        <v>29712</v>
      </c>
      <c r="AF34" s="81" t="s">
        <v>29712</v>
      </c>
    </row>
    <row r="35" spans="1:32" ht="15" customHeight="1" x14ac:dyDescent="0.2">
      <c r="A35" s="81" t="s">
        <v>29598</v>
      </c>
      <c r="B35" s="81" t="s">
        <v>29647</v>
      </c>
      <c r="C35" s="81" t="s">
        <v>31</v>
      </c>
      <c r="D35" s="81" t="s">
        <v>25558</v>
      </c>
      <c r="E35" s="81" t="s">
        <v>29661</v>
      </c>
      <c r="F35" s="81" t="s">
        <v>91</v>
      </c>
      <c r="G35" s="81" t="s">
        <v>29661</v>
      </c>
      <c r="H35" s="81" t="s">
        <v>29686</v>
      </c>
      <c r="I35" s="81" t="s">
        <v>25485</v>
      </c>
      <c r="J35" s="84" t="s">
        <v>29710</v>
      </c>
      <c r="K35" s="81" t="s">
        <v>264</v>
      </c>
      <c r="L35" s="81" t="s">
        <v>25606</v>
      </c>
      <c r="M35" s="81" t="s">
        <v>26662</v>
      </c>
      <c r="N35" s="81">
        <v>975.8</v>
      </c>
      <c r="Q35" s="80"/>
      <c r="R35" s="146"/>
      <c r="S35" s="103" t="str">
        <f t="shared" si="0"/>
        <v>95-010-47-</v>
      </c>
      <c r="Z35" s="81">
        <v>1</v>
      </c>
      <c r="AA35" s="81">
        <v>2</v>
      </c>
      <c r="AB35" s="81">
        <v>3</v>
      </c>
      <c r="AC35" s="81">
        <v>4</v>
      </c>
      <c r="AD35" s="81">
        <v>3</v>
      </c>
      <c r="AE35" s="81" t="s">
        <v>29712</v>
      </c>
      <c r="AF35" s="81">
        <v>1</v>
      </c>
    </row>
    <row r="36" spans="1:32" ht="15" customHeight="1" x14ac:dyDescent="0.2">
      <c r="A36" s="81" t="s">
        <v>29599</v>
      </c>
      <c r="B36" s="81" t="s">
        <v>29655</v>
      </c>
      <c r="C36" s="81" t="s">
        <v>31</v>
      </c>
      <c r="D36" s="81" t="s">
        <v>25556</v>
      </c>
      <c r="E36" s="81" t="s">
        <v>29661</v>
      </c>
      <c r="F36" s="81" t="s">
        <v>91</v>
      </c>
      <c r="G36" s="81" t="s">
        <v>29661</v>
      </c>
      <c r="H36" s="81" t="s">
        <v>29686</v>
      </c>
      <c r="I36" s="81" t="s">
        <v>25485</v>
      </c>
      <c r="J36" s="84" t="s">
        <v>29710</v>
      </c>
      <c r="K36" s="81" t="s">
        <v>264</v>
      </c>
      <c r="L36" s="81" t="s">
        <v>25606</v>
      </c>
      <c r="M36" s="81" t="s">
        <v>26662</v>
      </c>
      <c r="N36" s="81">
        <v>975.8</v>
      </c>
      <c r="Q36" s="80"/>
      <c r="R36" s="146"/>
      <c r="S36" s="103" t="str">
        <f t="shared" si="0"/>
        <v>95-012-47-</v>
      </c>
      <c r="Z36" s="81">
        <v>3</v>
      </c>
      <c r="AA36" s="81">
        <v>5</v>
      </c>
      <c r="AB36" s="81">
        <v>8</v>
      </c>
      <c r="AC36" s="81">
        <v>9</v>
      </c>
      <c r="AD36" s="81">
        <v>7</v>
      </c>
      <c r="AE36" s="81">
        <v>4</v>
      </c>
      <c r="AF36" s="81">
        <v>2</v>
      </c>
    </row>
    <row r="37" spans="1:32" ht="15" customHeight="1" x14ac:dyDescent="0.2">
      <c r="A37" s="81" t="s">
        <v>29600</v>
      </c>
      <c r="B37" s="81" t="s">
        <v>29649</v>
      </c>
      <c r="C37" s="81" t="s">
        <v>46</v>
      </c>
      <c r="D37" s="81" t="s">
        <v>47</v>
      </c>
      <c r="E37" s="81" t="s">
        <v>29661</v>
      </c>
      <c r="F37" s="81" t="s">
        <v>91</v>
      </c>
      <c r="G37" s="81" t="s">
        <v>29661</v>
      </c>
      <c r="H37" s="81" t="s">
        <v>29686</v>
      </c>
      <c r="I37" s="81" t="s">
        <v>25485</v>
      </c>
      <c r="J37" s="84" t="s">
        <v>29710</v>
      </c>
      <c r="K37" s="81" t="s">
        <v>264</v>
      </c>
      <c r="L37" s="81" t="s">
        <v>25606</v>
      </c>
      <c r="M37" s="81" t="s">
        <v>26662</v>
      </c>
      <c r="N37" s="81">
        <v>975.8</v>
      </c>
      <c r="Q37" s="80"/>
      <c r="R37" s="146"/>
      <c r="S37" s="103" t="str">
        <f t="shared" si="0"/>
        <v>95-001-47-</v>
      </c>
      <c r="Z37" s="81">
        <v>2</v>
      </c>
      <c r="AA37" s="81">
        <v>4</v>
      </c>
      <c r="AB37" s="81">
        <v>6</v>
      </c>
      <c r="AC37" s="81">
        <v>9</v>
      </c>
      <c r="AD37" s="81">
        <v>6</v>
      </c>
      <c r="AE37" s="81">
        <v>4</v>
      </c>
      <c r="AF37" s="81">
        <v>2</v>
      </c>
    </row>
    <row r="38" spans="1:32" ht="15" customHeight="1" x14ac:dyDescent="0.2">
      <c r="A38" s="81" t="s">
        <v>29601</v>
      </c>
      <c r="B38" s="81" t="s">
        <v>29656</v>
      </c>
      <c r="C38" s="81" t="s">
        <v>31</v>
      </c>
      <c r="D38" s="81" t="s">
        <v>25555</v>
      </c>
      <c r="E38" s="81" t="s">
        <v>29661</v>
      </c>
      <c r="F38" s="81" t="s">
        <v>91</v>
      </c>
      <c r="G38" s="81" t="s">
        <v>29661</v>
      </c>
      <c r="H38" s="81" t="s">
        <v>29686</v>
      </c>
      <c r="I38" s="81" t="s">
        <v>25485</v>
      </c>
      <c r="J38" s="84" t="s">
        <v>29710</v>
      </c>
      <c r="K38" s="81" t="s">
        <v>264</v>
      </c>
      <c r="L38" s="81" t="s">
        <v>25606</v>
      </c>
      <c r="M38" s="81" t="s">
        <v>26662</v>
      </c>
      <c r="N38" s="81">
        <v>975.8</v>
      </c>
      <c r="Q38" s="80"/>
      <c r="R38" s="146"/>
      <c r="S38" s="103" t="str">
        <f t="shared" si="0"/>
        <v>95-014-47-</v>
      </c>
      <c r="Z38" s="81" t="s">
        <v>29712</v>
      </c>
      <c r="AA38" s="81">
        <v>1</v>
      </c>
      <c r="AB38" s="81">
        <v>2</v>
      </c>
      <c r="AC38" s="81">
        <v>3</v>
      </c>
      <c r="AD38" s="81">
        <v>1</v>
      </c>
      <c r="AE38" s="81" t="s">
        <v>29712</v>
      </c>
      <c r="AF38" s="81">
        <v>1</v>
      </c>
    </row>
    <row r="39" spans="1:32" ht="15" customHeight="1" x14ac:dyDescent="0.2">
      <c r="A39" s="81" t="s">
        <v>29602</v>
      </c>
      <c r="B39" s="81" t="s">
        <v>29657</v>
      </c>
      <c r="C39" s="81" t="s">
        <v>198</v>
      </c>
      <c r="D39" s="81" t="s">
        <v>199</v>
      </c>
      <c r="E39" s="81" t="s">
        <v>29661</v>
      </c>
      <c r="F39" s="81" t="s">
        <v>91</v>
      </c>
      <c r="G39" s="81" t="s">
        <v>29661</v>
      </c>
      <c r="H39" s="81" t="s">
        <v>29686</v>
      </c>
      <c r="I39" s="81" t="s">
        <v>25485</v>
      </c>
      <c r="J39" s="84" t="s">
        <v>29710</v>
      </c>
      <c r="K39" s="81" t="s">
        <v>264</v>
      </c>
      <c r="L39" s="81" t="s">
        <v>25606</v>
      </c>
      <c r="M39" s="81" t="s">
        <v>26662</v>
      </c>
      <c r="N39" s="81">
        <v>975.8</v>
      </c>
      <c r="Q39" s="80"/>
      <c r="R39" s="146"/>
      <c r="S39" s="103" t="str">
        <f t="shared" si="0"/>
        <v>95-016-47-</v>
      </c>
      <c r="Z39" s="81">
        <v>1</v>
      </c>
      <c r="AA39" s="81">
        <v>3</v>
      </c>
      <c r="AB39" s="81">
        <v>5</v>
      </c>
      <c r="AC39" s="81">
        <v>7</v>
      </c>
      <c r="AD39" s="81">
        <v>5</v>
      </c>
      <c r="AE39" s="81">
        <v>3</v>
      </c>
      <c r="AF39" s="81">
        <v>1</v>
      </c>
    </row>
    <row r="40" spans="1:32" ht="15" customHeight="1" x14ac:dyDescent="0.2">
      <c r="A40" s="81" t="s">
        <v>29603</v>
      </c>
      <c r="B40" s="81" t="s">
        <v>29658</v>
      </c>
      <c r="C40" s="81" t="s">
        <v>31</v>
      </c>
      <c r="D40" s="81" t="s">
        <v>25558</v>
      </c>
      <c r="E40" s="81" t="s">
        <v>29661</v>
      </c>
      <c r="F40" s="81" t="s">
        <v>91</v>
      </c>
      <c r="G40" s="81" t="s">
        <v>29661</v>
      </c>
      <c r="H40" s="81" t="s">
        <v>29687</v>
      </c>
      <c r="I40" s="81" t="s">
        <v>29688</v>
      </c>
      <c r="J40" s="84" t="s">
        <v>29710</v>
      </c>
      <c r="K40" s="81" t="s">
        <v>264</v>
      </c>
      <c r="L40" s="81" t="s">
        <v>25606</v>
      </c>
      <c r="M40" s="81" t="s">
        <v>26662</v>
      </c>
      <c r="N40" s="81">
        <v>975.8</v>
      </c>
      <c r="Q40" s="80"/>
      <c r="R40" s="146"/>
      <c r="S40" s="103" t="str">
        <f t="shared" si="0"/>
        <v>95-009-62-</v>
      </c>
      <c r="AA40" s="81">
        <v>1</v>
      </c>
      <c r="AB40" s="81">
        <v>2</v>
      </c>
      <c r="AC40" s="81">
        <v>3</v>
      </c>
      <c r="AD40" s="81">
        <v>2</v>
      </c>
      <c r="AE40" s="81">
        <v>1</v>
      </c>
      <c r="AF40" s="81">
        <v>1</v>
      </c>
    </row>
    <row r="41" spans="1:32" ht="15" customHeight="1" x14ac:dyDescent="0.2">
      <c r="A41" s="81" t="s">
        <v>29604</v>
      </c>
      <c r="B41" s="81" t="s">
        <v>29653</v>
      </c>
      <c r="C41" s="81" t="s">
        <v>31</v>
      </c>
      <c r="D41" s="81" t="s">
        <v>39</v>
      </c>
      <c r="E41" s="81" t="s">
        <v>29661</v>
      </c>
      <c r="F41" s="81" t="s">
        <v>91</v>
      </c>
      <c r="G41" s="81" t="s">
        <v>29661</v>
      </c>
      <c r="H41" s="81" t="s">
        <v>29689</v>
      </c>
      <c r="I41" s="81" t="s">
        <v>28519</v>
      </c>
      <c r="J41" s="84" t="s">
        <v>29710</v>
      </c>
      <c r="K41" s="81" t="s">
        <v>264</v>
      </c>
      <c r="L41" s="81" t="s">
        <v>25606</v>
      </c>
      <c r="M41" s="81" t="s">
        <v>26662</v>
      </c>
      <c r="N41" s="81">
        <v>975.8</v>
      </c>
      <c r="Q41" s="80"/>
      <c r="R41" s="146"/>
      <c r="S41" s="103" t="str">
        <f t="shared" si="0"/>
        <v>95-011-11-</v>
      </c>
      <c r="Z41" s="81" t="s">
        <v>29712</v>
      </c>
      <c r="AA41" s="81">
        <v>4</v>
      </c>
      <c r="AB41" s="81" t="s">
        <v>29712</v>
      </c>
      <c r="AC41" s="81">
        <v>8</v>
      </c>
      <c r="AD41" s="81" t="s">
        <v>29712</v>
      </c>
      <c r="AE41" s="81" t="s">
        <v>29712</v>
      </c>
      <c r="AF41" s="81" t="s">
        <v>29712</v>
      </c>
    </row>
    <row r="42" spans="1:32" ht="15" customHeight="1" x14ac:dyDescent="0.2">
      <c r="A42" s="81" t="s">
        <v>29605</v>
      </c>
      <c r="B42" s="81" t="s">
        <v>29648</v>
      </c>
      <c r="C42" s="81" t="s">
        <v>31</v>
      </c>
      <c r="D42" s="81" t="s">
        <v>37</v>
      </c>
      <c r="E42" s="81" t="s">
        <v>29661</v>
      </c>
      <c r="F42" s="81" t="s">
        <v>91</v>
      </c>
      <c r="G42" s="81" t="s">
        <v>29661</v>
      </c>
      <c r="H42" s="81" t="s">
        <v>29689</v>
      </c>
      <c r="I42" s="81" t="s">
        <v>28519</v>
      </c>
      <c r="J42" s="84" t="s">
        <v>29710</v>
      </c>
      <c r="K42" s="81" t="s">
        <v>264</v>
      </c>
      <c r="L42" s="81" t="s">
        <v>25606</v>
      </c>
      <c r="M42" s="81" t="s">
        <v>26662</v>
      </c>
      <c r="N42" s="81">
        <v>975.8</v>
      </c>
      <c r="Q42" s="80"/>
      <c r="R42" s="146"/>
      <c r="S42" s="103" t="str">
        <f t="shared" si="0"/>
        <v>95-006-11-</v>
      </c>
      <c r="Z42" s="81">
        <v>2</v>
      </c>
      <c r="AA42" s="81">
        <v>6</v>
      </c>
      <c r="AB42" s="81">
        <v>9</v>
      </c>
      <c r="AC42" s="81">
        <v>12</v>
      </c>
      <c r="AD42" s="81">
        <v>9</v>
      </c>
      <c r="AE42" s="81">
        <v>4</v>
      </c>
      <c r="AF42" s="81" t="s">
        <v>29712</v>
      </c>
    </row>
    <row r="43" spans="1:32" ht="15" customHeight="1" x14ac:dyDescent="0.2">
      <c r="A43" s="81" t="s">
        <v>29606</v>
      </c>
      <c r="B43" s="81" t="s">
        <v>29645</v>
      </c>
      <c r="C43" s="81" t="s">
        <v>31</v>
      </c>
      <c r="D43" s="81" t="s">
        <v>39</v>
      </c>
      <c r="E43" s="81" t="s">
        <v>29661</v>
      </c>
      <c r="F43" s="81" t="s">
        <v>91</v>
      </c>
      <c r="G43" s="81" t="s">
        <v>29661</v>
      </c>
      <c r="H43" s="81" t="s">
        <v>29689</v>
      </c>
      <c r="I43" s="81" t="s">
        <v>28519</v>
      </c>
      <c r="J43" s="84" t="s">
        <v>29710</v>
      </c>
      <c r="K43" s="81" t="s">
        <v>264</v>
      </c>
      <c r="L43" s="81" t="s">
        <v>25606</v>
      </c>
      <c r="M43" s="81" t="s">
        <v>26662</v>
      </c>
      <c r="N43" s="81">
        <v>975.8</v>
      </c>
      <c r="Q43" s="80"/>
      <c r="R43" s="146"/>
      <c r="S43" s="103" t="str">
        <f t="shared" si="0"/>
        <v>95-008-11-</v>
      </c>
      <c r="Z43" s="81">
        <v>4</v>
      </c>
      <c r="AA43" s="81">
        <v>8</v>
      </c>
      <c r="AB43" s="81">
        <v>12</v>
      </c>
      <c r="AC43" s="81">
        <v>18</v>
      </c>
      <c r="AD43" s="81">
        <v>12</v>
      </c>
      <c r="AE43" s="81">
        <v>8</v>
      </c>
      <c r="AF43" s="81">
        <v>4</v>
      </c>
    </row>
    <row r="44" spans="1:32" ht="15" customHeight="1" x14ac:dyDescent="0.2">
      <c r="A44" s="81" t="s">
        <v>29607</v>
      </c>
      <c r="B44" s="81" t="s">
        <v>29647</v>
      </c>
      <c r="C44" s="81" t="s">
        <v>31</v>
      </c>
      <c r="D44" s="81" t="s">
        <v>25558</v>
      </c>
      <c r="E44" s="81" t="s">
        <v>29661</v>
      </c>
      <c r="F44" s="81" t="s">
        <v>91</v>
      </c>
      <c r="G44" s="81" t="s">
        <v>29661</v>
      </c>
      <c r="H44" s="81" t="s">
        <v>29690</v>
      </c>
      <c r="I44" s="81" t="s">
        <v>25542</v>
      </c>
      <c r="J44" s="84" t="s">
        <v>29710</v>
      </c>
      <c r="K44" s="81" t="s">
        <v>264</v>
      </c>
      <c r="L44" s="81" t="s">
        <v>25606</v>
      </c>
      <c r="M44" s="81" t="s">
        <v>26662</v>
      </c>
      <c r="N44" s="81">
        <v>975.8</v>
      </c>
      <c r="Q44" s="80"/>
      <c r="R44" s="146"/>
      <c r="S44" s="103" t="str">
        <f t="shared" si="0"/>
        <v>95-010-71-</v>
      </c>
      <c r="AA44" s="81">
        <v>1</v>
      </c>
      <c r="AB44" s="81">
        <v>2</v>
      </c>
      <c r="AC44" s="81">
        <v>3</v>
      </c>
      <c r="AD44" s="81">
        <v>2</v>
      </c>
      <c r="AE44" s="81">
        <v>1</v>
      </c>
      <c r="AF44" s="81">
        <v>1</v>
      </c>
    </row>
    <row r="45" spans="1:32" ht="15" customHeight="1" x14ac:dyDescent="0.2">
      <c r="A45" s="81" t="s">
        <v>29608</v>
      </c>
      <c r="B45" s="81" t="s">
        <v>29652</v>
      </c>
      <c r="C45" s="81" t="s">
        <v>31</v>
      </c>
      <c r="D45" s="81" t="s">
        <v>39</v>
      </c>
      <c r="E45" s="81" t="s">
        <v>29661</v>
      </c>
      <c r="F45" s="81" t="s">
        <v>91</v>
      </c>
      <c r="G45" s="81" t="s">
        <v>29661</v>
      </c>
      <c r="H45" s="81" t="s">
        <v>29691</v>
      </c>
      <c r="I45" s="81" t="s">
        <v>29692</v>
      </c>
      <c r="J45" s="84" t="s">
        <v>29710</v>
      </c>
      <c r="K45" s="81" t="s">
        <v>264</v>
      </c>
      <c r="L45" s="81" t="s">
        <v>25606</v>
      </c>
      <c r="M45" s="81" t="s">
        <v>26662</v>
      </c>
      <c r="N45" s="81">
        <v>975.8</v>
      </c>
      <c r="Q45" s="80"/>
      <c r="R45" s="146"/>
      <c r="S45" s="103" t="str">
        <f t="shared" si="0"/>
        <v>95-003-63-</v>
      </c>
      <c r="Z45" s="81">
        <v>2</v>
      </c>
      <c r="AA45" s="81">
        <v>3</v>
      </c>
      <c r="AB45" s="81">
        <v>5</v>
      </c>
      <c r="AC45" s="81">
        <v>5</v>
      </c>
      <c r="AD45" s="81">
        <v>4</v>
      </c>
      <c r="AE45" s="81">
        <v>2</v>
      </c>
      <c r="AF45" s="81">
        <v>1</v>
      </c>
    </row>
    <row r="46" spans="1:32" ht="15" customHeight="1" x14ac:dyDescent="0.2">
      <c r="A46" s="81" t="s">
        <v>29609</v>
      </c>
      <c r="B46" s="81" t="s">
        <v>29646</v>
      </c>
      <c r="C46" s="81" t="s">
        <v>31</v>
      </c>
      <c r="D46" s="81" t="s">
        <v>39</v>
      </c>
      <c r="E46" s="81" t="s">
        <v>29661</v>
      </c>
      <c r="F46" s="81" t="s">
        <v>91</v>
      </c>
      <c r="G46" s="81" t="s">
        <v>29661</v>
      </c>
      <c r="H46" s="81" t="s">
        <v>29691</v>
      </c>
      <c r="I46" s="81" t="s">
        <v>29692</v>
      </c>
      <c r="J46" s="84" t="s">
        <v>29710</v>
      </c>
      <c r="K46" s="81" t="s">
        <v>264</v>
      </c>
      <c r="L46" s="81" t="s">
        <v>25606</v>
      </c>
      <c r="M46" s="81" t="s">
        <v>26662</v>
      </c>
      <c r="N46" s="81">
        <v>975.8</v>
      </c>
      <c r="Q46" s="80"/>
      <c r="R46" s="146"/>
      <c r="S46" s="103" t="str">
        <f t="shared" si="0"/>
        <v>95-004-63-</v>
      </c>
      <c r="Z46" s="81">
        <v>7</v>
      </c>
      <c r="AA46" s="81">
        <v>14</v>
      </c>
      <c r="AB46" s="81">
        <v>21</v>
      </c>
      <c r="AC46" s="81">
        <v>28</v>
      </c>
      <c r="AD46" s="81">
        <v>21</v>
      </c>
      <c r="AE46" s="81">
        <v>1</v>
      </c>
      <c r="AF46" s="81">
        <v>2</v>
      </c>
    </row>
    <row r="47" spans="1:32" ht="15" customHeight="1" x14ac:dyDescent="0.2">
      <c r="A47" s="81" t="s">
        <v>29610</v>
      </c>
      <c r="B47" s="81" t="s">
        <v>29650</v>
      </c>
      <c r="C47" s="81" t="s">
        <v>31</v>
      </c>
      <c r="D47" s="81" t="s">
        <v>39</v>
      </c>
      <c r="E47" s="81" t="s">
        <v>29661</v>
      </c>
      <c r="F47" s="81" t="s">
        <v>91</v>
      </c>
      <c r="G47" s="81" t="s">
        <v>29661</v>
      </c>
      <c r="H47" s="81" t="s">
        <v>29691</v>
      </c>
      <c r="I47" s="81" t="s">
        <v>29692</v>
      </c>
      <c r="J47" s="84" t="s">
        <v>29710</v>
      </c>
      <c r="K47" s="81" t="s">
        <v>264</v>
      </c>
      <c r="L47" s="81" t="s">
        <v>25606</v>
      </c>
      <c r="M47" s="81" t="s">
        <v>26662</v>
      </c>
      <c r="N47" s="81">
        <v>975.8</v>
      </c>
      <c r="Q47" s="80"/>
      <c r="R47" s="146"/>
      <c r="S47" s="103" t="str">
        <f t="shared" si="0"/>
        <v>95-005-63-</v>
      </c>
      <c r="Z47" s="81">
        <v>10</v>
      </c>
      <c r="AA47" s="81">
        <v>20</v>
      </c>
      <c r="AB47" s="81">
        <v>30</v>
      </c>
      <c r="AC47" s="81">
        <v>40</v>
      </c>
      <c r="AD47" s="81">
        <v>30</v>
      </c>
      <c r="AE47" s="81">
        <v>16</v>
      </c>
      <c r="AF47" s="81">
        <v>10</v>
      </c>
    </row>
    <row r="48" spans="1:32" ht="15" customHeight="1" x14ac:dyDescent="0.2">
      <c r="A48" s="81" t="s">
        <v>29611</v>
      </c>
      <c r="B48" s="81" t="s">
        <v>29647</v>
      </c>
      <c r="C48" s="81" t="s">
        <v>31</v>
      </c>
      <c r="D48" s="81" t="s">
        <v>25558</v>
      </c>
      <c r="E48" s="81" t="s">
        <v>29661</v>
      </c>
      <c r="F48" s="81" t="s">
        <v>91</v>
      </c>
      <c r="G48" s="81" t="s">
        <v>29661</v>
      </c>
      <c r="H48" s="81" t="s">
        <v>29691</v>
      </c>
      <c r="I48" s="81" t="s">
        <v>29692</v>
      </c>
      <c r="J48" s="84" t="s">
        <v>29710</v>
      </c>
      <c r="K48" s="81" t="s">
        <v>264</v>
      </c>
      <c r="L48" s="81" t="s">
        <v>25606</v>
      </c>
      <c r="M48" s="81" t="s">
        <v>26662</v>
      </c>
      <c r="N48" s="81">
        <v>975.8</v>
      </c>
      <c r="Q48" s="80"/>
      <c r="R48" s="146"/>
      <c r="S48" s="103" t="str">
        <f t="shared" si="0"/>
        <v>95-010-63-</v>
      </c>
      <c r="Z48" s="81">
        <v>4</v>
      </c>
      <c r="AA48" s="81">
        <v>8</v>
      </c>
      <c r="AB48" s="81">
        <v>12</v>
      </c>
      <c r="AC48" s="81">
        <v>16</v>
      </c>
      <c r="AD48" s="81">
        <v>12</v>
      </c>
      <c r="AE48" s="81">
        <v>8</v>
      </c>
      <c r="AF48" s="81">
        <v>4</v>
      </c>
    </row>
    <row r="49" spans="1:32" ht="15" customHeight="1" x14ac:dyDescent="0.2">
      <c r="A49" s="81" t="s">
        <v>29612</v>
      </c>
      <c r="B49" s="81" t="s">
        <v>29654</v>
      </c>
      <c r="C49" s="81" t="s">
        <v>31</v>
      </c>
      <c r="D49" s="81" t="s">
        <v>39</v>
      </c>
      <c r="E49" s="81" t="s">
        <v>29661</v>
      </c>
      <c r="F49" s="81" t="s">
        <v>91</v>
      </c>
      <c r="G49" s="81" t="s">
        <v>29661</v>
      </c>
      <c r="H49" s="81" t="s">
        <v>29693</v>
      </c>
      <c r="I49" s="81" t="s">
        <v>29694</v>
      </c>
      <c r="J49" s="84" t="s">
        <v>29710</v>
      </c>
      <c r="K49" s="81" t="s">
        <v>264</v>
      </c>
      <c r="L49" s="81" t="s">
        <v>25606</v>
      </c>
      <c r="M49" s="81" t="s">
        <v>26662</v>
      </c>
      <c r="N49" s="81">
        <v>975.8</v>
      </c>
      <c r="Q49" s="80"/>
      <c r="R49" s="146"/>
      <c r="S49" s="103" t="str">
        <f t="shared" si="0"/>
        <v>95-002-64-</v>
      </c>
      <c r="AA49" s="81">
        <v>2</v>
      </c>
      <c r="AB49" s="81">
        <v>2</v>
      </c>
      <c r="AC49" s="81">
        <v>2</v>
      </c>
      <c r="AD49" s="81">
        <v>2</v>
      </c>
      <c r="AE49" s="81">
        <v>2</v>
      </c>
      <c r="AF49" s="81">
        <v>2</v>
      </c>
    </row>
    <row r="50" spans="1:32" ht="15" customHeight="1" x14ac:dyDescent="0.2">
      <c r="A50" s="81" t="s">
        <v>29613</v>
      </c>
      <c r="B50" s="81" t="s">
        <v>29657</v>
      </c>
      <c r="C50" s="81" t="s">
        <v>198</v>
      </c>
      <c r="D50" s="81" t="s">
        <v>199</v>
      </c>
      <c r="E50" s="81" t="s">
        <v>29661</v>
      </c>
      <c r="F50" s="81" t="s">
        <v>91</v>
      </c>
      <c r="G50" s="81" t="s">
        <v>29661</v>
      </c>
      <c r="H50" s="81" t="s">
        <v>29693</v>
      </c>
      <c r="I50" s="81" t="s">
        <v>29694</v>
      </c>
      <c r="J50" s="84" t="s">
        <v>29710</v>
      </c>
      <c r="K50" s="81" t="s">
        <v>264</v>
      </c>
      <c r="L50" s="81" t="s">
        <v>25606</v>
      </c>
      <c r="M50" s="81" t="s">
        <v>26662</v>
      </c>
      <c r="N50" s="81">
        <v>975.8</v>
      </c>
      <c r="Q50" s="80"/>
      <c r="R50" s="146"/>
      <c r="S50" s="103" t="str">
        <f t="shared" si="0"/>
        <v>95-016-64-</v>
      </c>
      <c r="Z50" s="81">
        <v>1</v>
      </c>
      <c r="AA50" s="81">
        <v>1</v>
      </c>
      <c r="AB50" s="81">
        <v>2</v>
      </c>
      <c r="AC50" s="81">
        <v>4</v>
      </c>
      <c r="AD50" s="81">
        <v>1</v>
      </c>
      <c r="AE50" s="81">
        <v>1</v>
      </c>
      <c r="AF50" s="81" t="s">
        <v>29712</v>
      </c>
    </row>
    <row r="51" spans="1:32" ht="15" customHeight="1" x14ac:dyDescent="0.2">
      <c r="A51" s="81" t="s">
        <v>29614</v>
      </c>
      <c r="B51" s="81" t="s">
        <v>29656</v>
      </c>
      <c r="C51" s="81" t="s">
        <v>31</v>
      </c>
      <c r="D51" s="81" t="s">
        <v>25555</v>
      </c>
      <c r="E51" s="81" t="s">
        <v>29661</v>
      </c>
      <c r="F51" s="81" t="s">
        <v>91</v>
      </c>
      <c r="G51" s="81" t="s">
        <v>29661</v>
      </c>
      <c r="H51" s="81" t="s">
        <v>29695</v>
      </c>
      <c r="I51" s="81" t="s">
        <v>1</v>
      </c>
      <c r="J51" s="84" t="s">
        <v>29710</v>
      </c>
      <c r="K51" s="81" t="s">
        <v>264</v>
      </c>
      <c r="L51" s="81" t="s">
        <v>25606</v>
      </c>
      <c r="M51" s="81" t="s">
        <v>26662</v>
      </c>
      <c r="N51" s="81">
        <v>975.8</v>
      </c>
      <c r="Q51" s="80"/>
      <c r="R51" s="146"/>
      <c r="S51" s="103" t="str">
        <f t="shared" si="0"/>
        <v>95-014-09-</v>
      </c>
      <c r="Z51" s="81" t="s">
        <v>29712</v>
      </c>
      <c r="AA51" s="81">
        <v>1</v>
      </c>
      <c r="AB51" s="81">
        <v>2</v>
      </c>
      <c r="AC51" s="81">
        <v>4</v>
      </c>
      <c r="AD51" s="81">
        <v>2</v>
      </c>
      <c r="AE51" s="81">
        <v>1</v>
      </c>
      <c r="AF51" s="81">
        <v>1</v>
      </c>
    </row>
    <row r="52" spans="1:32" ht="15" customHeight="1" x14ac:dyDescent="0.2">
      <c r="A52" s="81" t="s">
        <v>29615</v>
      </c>
      <c r="B52" s="81" t="s">
        <v>29649</v>
      </c>
      <c r="C52" s="81" t="s">
        <v>46</v>
      </c>
      <c r="D52" s="81" t="s">
        <v>47</v>
      </c>
      <c r="E52" s="81" t="s">
        <v>29661</v>
      </c>
      <c r="F52" s="81" t="s">
        <v>91</v>
      </c>
      <c r="G52" s="81" t="s">
        <v>29661</v>
      </c>
      <c r="H52" s="81" t="s">
        <v>29696</v>
      </c>
      <c r="I52" s="81" t="s">
        <v>29697</v>
      </c>
      <c r="J52" s="84" t="s">
        <v>29710</v>
      </c>
      <c r="K52" s="81" t="s">
        <v>264</v>
      </c>
      <c r="L52" s="81" t="s">
        <v>25606</v>
      </c>
      <c r="M52" s="81" t="s">
        <v>26662</v>
      </c>
      <c r="N52" s="81">
        <v>975.8</v>
      </c>
      <c r="Q52" s="80"/>
      <c r="R52" s="146"/>
      <c r="S52" s="103" t="str">
        <f t="shared" si="0"/>
        <v>95-001-69-</v>
      </c>
      <c r="AA52" s="81">
        <v>1</v>
      </c>
      <c r="AB52" s="81">
        <v>1</v>
      </c>
      <c r="AC52" s="81">
        <v>2</v>
      </c>
      <c r="AD52" s="81">
        <v>1</v>
      </c>
      <c r="AE52" s="81">
        <v>1</v>
      </c>
      <c r="AF52" s="81">
        <v>1</v>
      </c>
    </row>
    <row r="53" spans="1:32" ht="15" customHeight="1" x14ac:dyDescent="0.2">
      <c r="A53" s="81" t="s">
        <v>29616</v>
      </c>
      <c r="B53" s="81" t="s">
        <v>29645</v>
      </c>
      <c r="C53" s="81" t="s">
        <v>31</v>
      </c>
      <c r="D53" s="81" t="s">
        <v>39</v>
      </c>
      <c r="E53" s="81" t="s">
        <v>29661</v>
      </c>
      <c r="F53" s="81" t="s">
        <v>91</v>
      </c>
      <c r="G53" s="81" t="s">
        <v>29661</v>
      </c>
      <c r="H53" s="81" t="s">
        <v>29696</v>
      </c>
      <c r="I53" s="81" t="s">
        <v>29697</v>
      </c>
      <c r="J53" s="84" t="s">
        <v>29710</v>
      </c>
      <c r="K53" s="81" t="s">
        <v>264</v>
      </c>
      <c r="L53" s="81" t="s">
        <v>25606</v>
      </c>
      <c r="M53" s="81" t="s">
        <v>26662</v>
      </c>
      <c r="N53" s="81">
        <v>975.8</v>
      </c>
      <c r="Q53" s="80"/>
      <c r="R53" s="146"/>
      <c r="S53" s="103" t="str">
        <f t="shared" si="0"/>
        <v>95-008-69-</v>
      </c>
      <c r="AA53" s="81">
        <v>1</v>
      </c>
      <c r="AB53" s="81">
        <v>2</v>
      </c>
      <c r="AC53" s="81">
        <v>3</v>
      </c>
      <c r="AD53" s="81">
        <v>2</v>
      </c>
      <c r="AE53" s="81">
        <v>1</v>
      </c>
      <c r="AF53" s="81">
        <v>1</v>
      </c>
    </row>
    <row r="54" spans="1:32" ht="15" customHeight="1" x14ac:dyDescent="0.2">
      <c r="A54" s="81" t="s">
        <v>29617</v>
      </c>
      <c r="B54" s="81" t="s">
        <v>29647</v>
      </c>
      <c r="C54" s="81" t="s">
        <v>31</v>
      </c>
      <c r="D54" s="81" t="s">
        <v>25558</v>
      </c>
      <c r="E54" s="81" t="s">
        <v>29661</v>
      </c>
      <c r="F54" s="81" t="s">
        <v>91</v>
      </c>
      <c r="G54" s="81" t="s">
        <v>29661</v>
      </c>
      <c r="H54" s="81" t="s">
        <v>29696</v>
      </c>
      <c r="I54" s="81" t="s">
        <v>29697</v>
      </c>
      <c r="J54" s="84" t="s">
        <v>29710</v>
      </c>
      <c r="K54" s="81" t="s">
        <v>264</v>
      </c>
      <c r="L54" s="81" t="s">
        <v>25606</v>
      </c>
      <c r="M54" s="81" t="s">
        <v>26662</v>
      </c>
      <c r="N54" s="81">
        <v>975.8</v>
      </c>
      <c r="Q54" s="80"/>
      <c r="R54" s="146"/>
      <c r="S54" s="103" t="str">
        <f t="shared" si="0"/>
        <v>95-010-69-</v>
      </c>
      <c r="AA54" s="81">
        <v>1</v>
      </c>
      <c r="AB54" s="81">
        <v>1</v>
      </c>
      <c r="AC54" s="81">
        <v>2</v>
      </c>
      <c r="AD54" s="81">
        <v>1</v>
      </c>
      <c r="AE54" s="81">
        <v>1</v>
      </c>
      <c r="AF54" s="81">
        <v>1</v>
      </c>
    </row>
    <row r="55" spans="1:32" ht="15" customHeight="1" x14ac:dyDescent="0.2">
      <c r="A55" s="81" t="s">
        <v>29618</v>
      </c>
      <c r="B55" s="81" t="s">
        <v>29652</v>
      </c>
      <c r="C55" s="81" t="s">
        <v>31</v>
      </c>
      <c r="D55" s="81" t="s">
        <v>39</v>
      </c>
      <c r="E55" s="81" t="s">
        <v>29661</v>
      </c>
      <c r="F55" s="81" t="s">
        <v>91</v>
      </c>
      <c r="G55" s="81" t="s">
        <v>29661</v>
      </c>
      <c r="H55" s="81" t="s">
        <v>29698</v>
      </c>
      <c r="I55" s="81" t="s">
        <v>41</v>
      </c>
      <c r="J55" s="84" t="s">
        <v>29710</v>
      </c>
      <c r="K55" s="81" t="s">
        <v>264</v>
      </c>
      <c r="L55" s="81" t="s">
        <v>25606</v>
      </c>
      <c r="M55" s="81" t="s">
        <v>26662</v>
      </c>
      <c r="N55" s="81">
        <v>975.8</v>
      </c>
      <c r="Q55" s="80"/>
      <c r="R55" s="146"/>
      <c r="S55" s="103" t="str">
        <f t="shared" si="0"/>
        <v>95-003-89-</v>
      </c>
      <c r="AA55" s="81">
        <v>2</v>
      </c>
      <c r="AB55" s="81">
        <v>3</v>
      </c>
      <c r="AC55" s="81">
        <v>4</v>
      </c>
      <c r="AD55" s="81">
        <v>3</v>
      </c>
      <c r="AE55" s="81">
        <v>1</v>
      </c>
    </row>
    <row r="56" spans="1:32" ht="15" customHeight="1" x14ac:dyDescent="0.2">
      <c r="A56" s="81" t="s">
        <v>29619</v>
      </c>
      <c r="B56" s="81" t="s">
        <v>29654</v>
      </c>
      <c r="C56" s="81" t="s">
        <v>31</v>
      </c>
      <c r="D56" s="81" t="s">
        <v>39</v>
      </c>
      <c r="E56" s="81" t="s">
        <v>29661</v>
      </c>
      <c r="F56" s="81" t="s">
        <v>91</v>
      </c>
      <c r="G56" s="81" t="s">
        <v>29661</v>
      </c>
      <c r="H56" s="81" t="s">
        <v>29698</v>
      </c>
      <c r="I56" s="81" t="s">
        <v>41</v>
      </c>
      <c r="J56" s="84" t="s">
        <v>29710</v>
      </c>
      <c r="K56" s="81" t="s">
        <v>264</v>
      </c>
      <c r="L56" s="81" t="s">
        <v>25606</v>
      </c>
      <c r="M56" s="81" t="s">
        <v>26662</v>
      </c>
      <c r="N56" s="81">
        <v>975.8</v>
      </c>
      <c r="Q56" s="80"/>
      <c r="R56" s="146"/>
      <c r="S56" s="103" t="str">
        <f t="shared" si="0"/>
        <v>95-002-89-</v>
      </c>
      <c r="Z56" s="81" t="s">
        <v>29712</v>
      </c>
      <c r="AA56" s="81">
        <v>2</v>
      </c>
      <c r="AB56" s="81" t="s">
        <v>29712</v>
      </c>
      <c r="AC56" s="81">
        <v>5</v>
      </c>
      <c r="AD56" s="81">
        <v>5</v>
      </c>
      <c r="AE56" s="81">
        <v>2</v>
      </c>
      <c r="AF56" s="81">
        <v>1</v>
      </c>
    </row>
    <row r="57" spans="1:32" ht="15" customHeight="1" x14ac:dyDescent="0.2">
      <c r="A57" s="81" t="s">
        <v>29620</v>
      </c>
      <c r="B57" s="81" t="s">
        <v>29655</v>
      </c>
      <c r="C57" s="81" t="s">
        <v>31</v>
      </c>
      <c r="D57" s="81" t="s">
        <v>25556</v>
      </c>
      <c r="E57" s="81" t="s">
        <v>29661</v>
      </c>
      <c r="F57" s="81" t="s">
        <v>91</v>
      </c>
      <c r="G57" s="81" t="s">
        <v>29661</v>
      </c>
      <c r="H57" s="81" t="s">
        <v>29698</v>
      </c>
      <c r="I57" s="81" t="s">
        <v>41</v>
      </c>
      <c r="J57" s="84" t="s">
        <v>29710</v>
      </c>
      <c r="K57" s="81" t="s">
        <v>264</v>
      </c>
      <c r="L57" s="81" t="s">
        <v>25606</v>
      </c>
      <c r="M57" s="81" t="s">
        <v>26662</v>
      </c>
      <c r="N57" s="81">
        <v>975.8</v>
      </c>
      <c r="Q57" s="80"/>
      <c r="R57" s="146"/>
      <c r="S57" s="103" t="str">
        <f t="shared" si="0"/>
        <v>95-012-89-</v>
      </c>
      <c r="Z57" s="81" t="s">
        <v>29712</v>
      </c>
      <c r="AA57" s="81">
        <v>1</v>
      </c>
      <c r="AB57" s="81" t="s">
        <v>29712</v>
      </c>
      <c r="AC57" s="81">
        <v>3</v>
      </c>
      <c r="AD57" s="81">
        <v>3</v>
      </c>
      <c r="AE57" s="81">
        <v>2</v>
      </c>
      <c r="AF57" s="81" t="s">
        <v>29712</v>
      </c>
    </row>
    <row r="58" spans="1:32" ht="15" customHeight="1" x14ac:dyDescent="0.2">
      <c r="A58" s="81" t="s">
        <v>29621</v>
      </c>
      <c r="B58" s="81" t="s">
        <v>29645</v>
      </c>
      <c r="C58" s="81" t="s">
        <v>31</v>
      </c>
      <c r="D58" s="81" t="s">
        <v>39</v>
      </c>
      <c r="E58" s="81" t="s">
        <v>29661</v>
      </c>
      <c r="F58" s="81" t="s">
        <v>91</v>
      </c>
      <c r="G58" s="81" t="s">
        <v>29661</v>
      </c>
      <c r="H58" s="81" t="s">
        <v>29698</v>
      </c>
      <c r="I58" s="81" t="s">
        <v>41</v>
      </c>
      <c r="J58" s="84" t="s">
        <v>29710</v>
      </c>
      <c r="K58" s="81" t="s">
        <v>264</v>
      </c>
      <c r="L58" s="81" t="s">
        <v>25606</v>
      </c>
      <c r="M58" s="81" t="s">
        <v>26662</v>
      </c>
      <c r="N58" s="81">
        <v>975.8</v>
      </c>
      <c r="Q58" s="80"/>
      <c r="R58" s="146"/>
      <c r="S58" s="103" t="str">
        <f t="shared" si="0"/>
        <v>95-008-89-</v>
      </c>
      <c r="Z58" s="81">
        <v>10</v>
      </c>
      <c r="AA58" s="81">
        <v>20</v>
      </c>
      <c r="AB58" s="81">
        <v>30</v>
      </c>
      <c r="AC58" s="81">
        <v>36</v>
      </c>
      <c r="AD58" s="81">
        <v>30</v>
      </c>
      <c r="AE58" s="81">
        <v>16</v>
      </c>
      <c r="AF58" s="81">
        <v>9</v>
      </c>
    </row>
    <row r="59" spans="1:32" ht="15" customHeight="1" x14ac:dyDescent="0.2">
      <c r="A59" s="81" t="s">
        <v>29622</v>
      </c>
      <c r="B59" s="81" t="s">
        <v>29649</v>
      </c>
      <c r="C59" s="81" t="s">
        <v>46</v>
      </c>
      <c r="D59" s="81" t="s">
        <v>47</v>
      </c>
      <c r="E59" s="81" t="s">
        <v>29661</v>
      </c>
      <c r="F59" s="81" t="s">
        <v>91</v>
      </c>
      <c r="G59" s="81" t="s">
        <v>29661</v>
      </c>
      <c r="H59" s="81" t="s">
        <v>29698</v>
      </c>
      <c r="I59" s="81" t="s">
        <v>41</v>
      </c>
      <c r="J59" s="84" t="s">
        <v>29710</v>
      </c>
      <c r="K59" s="81" t="s">
        <v>264</v>
      </c>
      <c r="L59" s="81" t="s">
        <v>25606</v>
      </c>
      <c r="M59" s="81" t="s">
        <v>26662</v>
      </c>
      <c r="N59" s="81">
        <v>975.8</v>
      </c>
      <c r="Q59" s="80"/>
      <c r="R59" s="146"/>
      <c r="S59" s="103" t="str">
        <f t="shared" si="0"/>
        <v>95-001-89-</v>
      </c>
      <c r="Z59" s="81">
        <v>2</v>
      </c>
      <c r="AA59" s="81">
        <v>4</v>
      </c>
      <c r="AB59" s="81">
        <v>6</v>
      </c>
      <c r="AC59" s="81">
        <v>9</v>
      </c>
      <c r="AD59" s="81">
        <v>6</v>
      </c>
      <c r="AE59" s="81">
        <v>4</v>
      </c>
      <c r="AF59" s="81">
        <v>2</v>
      </c>
    </row>
    <row r="60" spans="1:32" ht="15" customHeight="1" x14ac:dyDescent="0.2">
      <c r="A60" s="81" t="s">
        <v>29623</v>
      </c>
      <c r="B60" s="81" t="s">
        <v>29657</v>
      </c>
      <c r="C60" s="81" t="s">
        <v>198</v>
      </c>
      <c r="D60" s="81" t="s">
        <v>199</v>
      </c>
      <c r="E60" s="81" t="s">
        <v>29661</v>
      </c>
      <c r="F60" s="81" t="s">
        <v>91</v>
      </c>
      <c r="G60" s="81" t="s">
        <v>29661</v>
      </c>
      <c r="H60" s="81" t="s">
        <v>29698</v>
      </c>
      <c r="I60" s="81" t="s">
        <v>41</v>
      </c>
      <c r="J60" s="84" t="s">
        <v>29710</v>
      </c>
      <c r="K60" s="81" t="s">
        <v>264</v>
      </c>
      <c r="L60" s="81" t="s">
        <v>25606</v>
      </c>
      <c r="M60" s="81" t="s">
        <v>26662</v>
      </c>
      <c r="N60" s="81">
        <v>975.8</v>
      </c>
      <c r="Q60" s="80"/>
      <c r="R60" s="146"/>
      <c r="S60" s="103" t="str">
        <f t="shared" si="0"/>
        <v>95-016-89-</v>
      </c>
      <c r="Z60" s="81">
        <v>1</v>
      </c>
      <c r="AA60" s="81">
        <v>3</v>
      </c>
      <c r="AB60" s="81">
        <v>5</v>
      </c>
      <c r="AC60" s="81">
        <v>7</v>
      </c>
      <c r="AD60" s="81">
        <v>5</v>
      </c>
      <c r="AE60" s="81">
        <v>3</v>
      </c>
      <c r="AF60" s="81" t="s">
        <v>29712</v>
      </c>
    </row>
    <row r="61" spans="1:32" ht="15" customHeight="1" x14ac:dyDescent="0.2">
      <c r="A61" s="81" t="s">
        <v>29624</v>
      </c>
      <c r="B61" s="81" t="s">
        <v>29648</v>
      </c>
      <c r="C61" s="81" t="s">
        <v>31</v>
      </c>
      <c r="D61" s="81" t="s">
        <v>37</v>
      </c>
      <c r="E61" s="81" t="s">
        <v>29661</v>
      </c>
      <c r="F61" s="81" t="s">
        <v>91</v>
      </c>
      <c r="G61" s="81" t="s">
        <v>29661</v>
      </c>
      <c r="H61" s="81" t="s">
        <v>29699</v>
      </c>
      <c r="I61" s="81" t="s">
        <v>28400</v>
      </c>
      <c r="J61" s="84" t="s">
        <v>29710</v>
      </c>
      <c r="K61" s="81" t="s">
        <v>264</v>
      </c>
      <c r="L61" s="81" t="s">
        <v>25606</v>
      </c>
      <c r="M61" s="81" t="s">
        <v>26662</v>
      </c>
      <c r="N61" s="81">
        <v>975.8</v>
      </c>
      <c r="Q61" s="80"/>
      <c r="R61" s="146"/>
      <c r="S61" s="103" t="str">
        <f t="shared" si="0"/>
        <v>95-006-16-</v>
      </c>
      <c r="AA61" s="81">
        <v>2</v>
      </c>
      <c r="AB61" s="81">
        <v>3</v>
      </c>
      <c r="AC61" s="81">
        <v>4</v>
      </c>
      <c r="AD61" s="81">
        <v>3</v>
      </c>
    </row>
    <row r="62" spans="1:32" ht="15" customHeight="1" x14ac:dyDescent="0.2">
      <c r="A62" s="81" t="s">
        <v>29625</v>
      </c>
      <c r="B62" s="81" t="s">
        <v>29649</v>
      </c>
      <c r="C62" s="81" t="s">
        <v>46</v>
      </c>
      <c r="D62" s="81" t="s">
        <v>47</v>
      </c>
      <c r="E62" s="81" t="s">
        <v>29661</v>
      </c>
      <c r="F62" s="81" t="s">
        <v>91</v>
      </c>
      <c r="G62" s="81" t="s">
        <v>29661</v>
      </c>
      <c r="H62" s="81" t="s">
        <v>29700</v>
      </c>
      <c r="I62" s="81" t="s">
        <v>23</v>
      </c>
      <c r="J62" s="84" t="s">
        <v>29710</v>
      </c>
      <c r="K62" s="81" t="s">
        <v>264</v>
      </c>
      <c r="L62" s="81" t="s">
        <v>25606</v>
      </c>
      <c r="M62" s="81" t="s">
        <v>26662</v>
      </c>
      <c r="N62" s="81">
        <v>975.8</v>
      </c>
      <c r="Q62" s="80"/>
      <c r="R62" s="146"/>
      <c r="S62" s="103" t="str">
        <f t="shared" si="0"/>
        <v>95-001-16-</v>
      </c>
      <c r="Z62" s="81">
        <v>2</v>
      </c>
      <c r="AA62" s="81">
        <v>4</v>
      </c>
      <c r="AB62" s="81">
        <v>6</v>
      </c>
      <c r="AC62" s="81">
        <v>9</v>
      </c>
      <c r="AD62" s="81">
        <v>6</v>
      </c>
      <c r="AE62" s="81">
        <v>4</v>
      </c>
      <c r="AF62" s="81">
        <v>2</v>
      </c>
    </row>
    <row r="63" spans="1:32" ht="15" customHeight="1" x14ac:dyDescent="0.2">
      <c r="A63" s="81" t="s">
        <v>29626</v>
      </c>
      <c r="B63" s="81" t="s">
        <v>29659</v>
      </c>
      <c r="C63" s="81" t="s">
        <v>46</v>
      </c>
      <c r="D63" s="81" t="s">
        <v>47</v>
      </c>
      <c r="E63" s="81" t="s">
        <v>29661</v>
      </c>
      <c r="F63" s="81" t="s">
        <v>91</v>
      </c>
      <c r="G63" s="81" t="s">
        <v>29661</v>
      </c>
      <c r="H63" s="81" t="s">
        <v>29700</v>
      </c>
      <c r="I63" s="81" t="s">
        <v>23</v>
      </c>
      <c r="J63" s="84" t="s">
        <v>29710</v>
      </c>
      <c r="K63" s="81" t="s">
        <v>264</v>
      </c>
      <c r="L63" s="81" t="s">
        <v>25606</v>
      </c>
      <c r="M63" s="81" t="s">
        <v>26662</v>
      </c>
      <c r="N63" s="81">
        <v>975.8</v>
      </c>
      <c r="Q63" s="80"/>
      <c r="R63" s="146"/>
      <c r="S63" s="103" t="str">
        <f t="shared" si="0"/>
        <v>95-013-16-</v>
      </c>
      <c r="Z63" s="81" t="s">
        <v>29712</v>
      </c>
      <c r="AA63" s="81">
        <v>2</v>
      </c>
      <c r="AB63" s="81">
        <v>4</v>
      </c>
      <c r="AC63" s="81">
        <v>5</v>
      </c>
      <c r="AD63" s="81">
        <v>4</v>
      </c>
      <c r="AE63" s="81" t="s">
        <v>29712</v>
      </c>
      <c r="AF63" s="81" t="s">
        <v>29712</v>
      </c>
    </row>
    <row r="64" spans="1:32" ht="15" customHeight="1" x14ac:dyDescent="0.2">
      <c r="A64" s="81" t="s">
        <v>29627</v>
      </c>
      <c r="B64" s="81" t="s">
        <v>29657</v>
      </c>
      <c r="C64" s="81" t="s">
        <v>198</v>
      </c>
      <c r="D64" s="81" t="s">
        <v>199</v>
      </c>
      <c r="E64" s="81" t="s">
        <v>29661</v>
      </c>
      <c r="F64" s="81" t="s">
        <v>91</v>
      </c>
      <c r="G64" s="81" t="s">
        <v>29661</v>
      </c>
      <c r="H64" s="81" t="s">
        <v>29700</v>
      </c>
      <c r="I64" s="81" t="s">
        <v>23</v>
      </c>
      <c r="J64" s="84" t="s">
        <v>29710</v>
      </c>
      <c r="K64" s="81" t="s">
        <v>264</v>
      </c>
      <c r="L64" s="81" t="s">
        <v>25606</v>
      </c>
      <c r="M64" s="81" t="s">
        <v>26662</v>
      </c>
      <c r="N64" s="81">
        <v>975.8</v>
      </c>
      <c r="Q64" s="80"/>
      <c r="R64" s="146"/>
      <c r="S64" s="103" t="str">
        <f t="shared" si="0"/>
        <v>95-016-16-</v>
      </c>
      <c r="Z64" s="81">
        <v>2</v>
      </c>
      <c r="AA64" s="81">
        <v>3</v>
      </c>
      <c r="AB64" s="81">
        <v>6</v>
      </c>
      <c r="AC64" s="81">
        <v>6</v>
      </c>
      <c r="AD64" s="81">
        <v>5</v>
      </c>
      <c r="AE64" s="81">
        <v>2</v>
      </c>
      <c r="AF64" s="81">
        <v>1</v>
      </c>
    </row>
    <row r="65" spans="1:32" ht="15" customHeight="1" x14ac:dyDescent="0.2">
      <c r="A65" s="81" t="s">
        <v>29628</v>
      </c>
      <c r="B65" s="81" t="s">
        <v>29646</v>
      </c>
      <c r="C65" s="81" t="s">
        <v>31</v>
      </c>
      <c r="D65" s="81" t="s">
        <v>39</v>
      </c>
      <c r="E65" s="81" t="s">
        <v>29661</v>
      </c>
      <c r="F65" s="81" t="s">
        <v>91</v>
      </c>
      <c r="G65" s="81" t="s">
        <v>29661</v>
      </c>
      <c r="H65" s="81" t="s">
        <v>29701</v>
      </c>
      <c r="I65" s="81" t="s">
        <v>1</v>
      </c>
      <c r="J65" s="84" t="s">
        <v>29710</v>
      </c>
      <c r="K65" s="81" t="s">
        <v>264</v>
      </c>
      <c r="L65" s="81" t="s">
        <v>25606</v>
      </c>
      <c r="M65" s="81" t="s">
        <v>26662</v>
      </c>
      <c r="N65" s="81">
        <v>975.8</v>
      </c>
      <c r="Q65" s="80"/>
      <c r="R65" s="146"/>
      <c r="S65" s="103" t="str">
        <f t="shared" si="0"/>
        <v>95-004-09-</v>
      </c>
      <c r="Z65" s="81">
        <v>5</v>
      </c>
      <c r="AA65" s="81">
        <v>10</v>
      </c>
      <c r="AB65" s="81">
        <v>15</v>
      </c>
      <c r="AC65" s="81">
        <v>20</v>
      </c>
      <c r="AD65" s="81">
        <v>15</v>
      </c>
      <c r="AE65" s="81">
        <v>10</v>
      </c>
      <c r="AF65" s="81">
        <v>5</v>
      </c>
    </row>
    <row r="66" spans="1:32" ht="15" customHeight="1" x14ac:dyDescent="0.2">
      <c r="A66" s="81" t="s">
        <v>29629</v>
      </c>
      <c r="B66" s="81" t="s">
        <v>29658</v>
      </c>
      <c r="C66" s="81" t="s">
        <v>31</v>
      </c>
      <c r="D66" s="81" t="s">
        <v>25558</v>
      </c>
      <c r="E66" s="81" t="s">
        <v>29661</v>
      </c>
      <c r="F66" s="81" t="s">
        <v>91</v>
      </c>
      <c r="G66" s="81" t="s">
        <v>29661</v>
      </c>
      <c r="H66" s="81" t="s">
        <v>29701</v>
      </c>
      <c r="I66" s="81" t="s">
        <v>1</v>
      </c>
      <c r="J66" s="84" t="s">
        <v>29710</v>
      </c>
      <c r="K66" s="81" t="s">
        <v>264</v>
      </c>
      <c r="L66" s="81" t="s">
        <v>25606</v>
      </c>
      <c r="M66" s="81" t="s">
        <v>26662</v>
      </c>
      <c r="N66" s="81">
        <v>975.8</v>
      </c>
      <c r="Q66" s="80"/>
      <c r="R66" s="146"/>
      <c r="S66" s="103" t="str">
        <f t="shared" si="0"/>
        <v>95-009-09-</v>
      </c>
      <c r="Z66" s="81">
        <v>1</v>
      </c>
      <c r="AA66" s="81">
        <v>2</v>
      </c>
      <c r="AB66" s="81">
        <v>3</v>
      </c>
      <c r="AC66" s="81">
        <v>4</v>
      </c>
      <c r="AD66" s="81">
        <v>3</v>
      </c>
      <c r="AE66" s="81">
        <v>2</v>
      </c>
      <c r="AF66" s="81">
        <v>1</v>
      </c>
    </row>
    <row r="67" spans="1:32" ht="15" customHeight="1" x14ac:dyDescent="0.2">
      <c r="A67" s="81" t="s">
        <v>29630</v>
      </c>
      <c r="B67" s="81" t="s">
        <v>29655</v>
      </c>
      <c r="C67" s="81" t="s">
        <v>31</v>
      </c>
      <c r="D67" s="81" t="s">
        <v>25556</v>
      </c>
      <c r="E67" s="81" t="s">
        <v>29661</v>
      </c>
      <c r="F67" s="81" t="s">
        <v>91</v>
      </c>
      <c r="G67" s="81" t="s">
        <v>29661</v>
      </c>
      <c r="H67" s="81" t="s">
        <v>29701</v>
      </c>
      <c r="I67" s="81" t="s">
        <v>1</v>
      </c>
      <c r="J67" s="84" t="s">
        <v>29710</v>
      </c>
      <c r="K67" s="81" t="s">
        <v>264</v>
      </c>
      <c r="L67" s="81" t="s">
        <v>25606</v>
      </c>
      <c r="M67" s="81" t="s">
        <v>26662</v>
      </c>
      <c r="N67" s="81">
        <v>975.8</v>
      </c>
      <c r="Q67" s="80"/>
      <c r="R67" s="146"/>
      <c r="S67" s="103" t="str">
        <f t="shared" ref="S67:S81" si="1">A67&amp;"-"&amp;T67</f>
        <v>95-012-09-</v>
      </c>
      <c r="Z67" s="81">
        <v>2</v>
      </c>
      <c r="AA67" s="81">
        <v>4</v>
      </c>
      <c r="AB67" s="81">
        <v>5</v>
      </c>
      <c r="AC67" s="81">
        <v>8</v>
      </c>
      <c r="AD67" s="81">
        <v>5</v>
      </c>
      <c r="AE67" s="81">
        <v>4</v>
      </c>
      <c r="AF67" s="81">
        <v>2</v>
      </c>
    </row>
    <row r="68" spans="1:32" ht="15" customHeight="1" x14ac:dyDescent="0.2">
      <c r="A68" s="81" t="s">
        <v>29631</v>
      </c>
      <c r="B68" s="81" t="s">
        <v>29645</v>
      </c>
      <c r="C68" s="81" t="s">
        <v>31</v>
      </c>
      <c r="D68" s="81" t="s">
        <v>39</v>
      </c>
      <c r="E68" s="81" t="s">
        <v>29661</v>
      </c>
      <c r="F68" s="81" t="s">
        <v>91</v>
      </c>
      <c r="G68" s="81" t="s">
        <v>29661</v>
      </c>
      <c r="H68" s="81" t="s">
        <v>29701</v>
      </c>
      <c r="I68" s="81" t="s">
        <v>1</v>
      </c>
      <c r="J68" s="84" t="s">
        <v>29710</v>
      </c>
      <c r="K68" s="81" t="s">
        <v>264</v>
      </c>
      <c r="L68" s="81" t="s">
        <v>25606</v>
      </c>
      <c r="M68" s="81" t="s">
        <v>26662</v>
      </c>
      <c r="N68" s="81">
        <v>975.8</v>
      </c>
      <c r="Q68" s="80"/>
      <c r="R68" s="146"/>
      <c r="S68" s="103" t="str">
        <f t="shared" si="1"/>
        <v>95-008-09-</v>
      </c>
      <c r="Z68" s="81">
        <v>10</v>
      </c>
      <c r="AA68" s="81">
        <v>20</v>
      </c>
      <c r="AB68" s="81">
        <v>30</v>
      </c>
      <c r="AC68" s="81">
        <v>40</v>
      </c>
      <c r="AD68" s="81">
        <v>30</v>
      </c>
      <c r="AE68" s="81">
        <v>15</v>
      </c>
      <c r="AF68" s="81">
        <v>2</v>
      </c>
    </row>
    <row r="69" spans="1:32" ht="15" customHeight="1" x14ac:dyDescent="0.2">
      <c r="A69" s="81" t="s">
        <v>29632</v>
      </c>
      <c r="B69" s="81" t="s">
        <v>29649</v>
      </c>
      <c r="C69" s="81" t="s">
        <v>46</v>
      </c>
      <c r="D69" s="81" t="s">
        <v>47</v>
      </c>
      <c r="E69" s="81" t="s">
        <v>29661</v>
      </c>
      <c r="F69" s="81" t="s">
        <v>91</v>
      </c>
      <c r="G69" s="81" t="s">
        <v>29661</v>
      </c>
      <c r="H69" s="81" t="s">
        <v>29701</v>
      </c>
      <c r="I69" s="81" t="s">
        <v>1</v>
      </c>
      <c r="J69" s="84" t="s">
        <v>29710</v>
      </c>
      <c r="K69" s="81" t="s">
        <v>264</v>
      </c>
      <c r="L69" s="81" t="s">
        <v>25606</v>
      </c>
      <c r="M69" s="81" t="s">
        <v>26662</v>
      </c>
      <c r="N69" s="81">
        <v>975.8</v>
      </c>
      <c r="Q69" s="80"/>
      <c r="R69" s="146"/>
      <c r="S69" s="103" t="str">
        <f t="shared" si="1"/>
        <v>95-001-09-</v>
      </c>
      <c r="Z69" s="81">
        <v>2</v>
      </c>
      <c r="AA69" s="81">
        <v>5</v>
      </c>
      <c r="AB69" s="81">
        <v>7</v>
      </c>
      <c r="AC69" s="81">
        <v>11</v>
      </c>
      <c r="AD69" s="81">
        <v>7</v>
      </c>
      <c r="AE69" s="81" t="s">
        <v>29712</v>
      </c>
      <c r="AF69" s="81" t="s">
        <v>29712</v>
      </c>
    </row>
    <row r="70" spans="1:32" ht="15" customHeight="1" x14ac:dyDescent="0.2">
      <c r="A70" s="81" t="s">
        <v>29633</v>
      </c>
      <c r="B70" s="81" t="s">
        <v>29656</v>
      </c>
      <c r="C70" s="81" t="s">
        <v>31</v>
      </c>
      <c r="D70" s="81" t="s">
        <v>25555</v>
      </c>
      <c r="E70" s="81" t="s">
        <v>29661</v>
      </c>
      <c r="F70" s="81" t="s">
        <v>91</v>
      </c>
      <c r="G70" s="81" t="s">
        <v>29661</v>
      </c>
      <c r="H70" s="81" t="s">
        <v>29701</v>
      </c>
      <c r="I70" s="81" t="s">
        <v>28351</v>
      </c>
      <c r="J70" s="84" t="s">
        <v>29710</v>
      </c>
      <c r="K70" s="81" t="s">
        <v>264</v>
      </c>
      <c r="L70" s="81" t="s">
        <v>25606</v>
      </c>
      <c r="M70" s="81" t="s">
        <v>26662</v>
      </c>
      <c r="N70" s="81">
        <v>975.8</v>
      </c>
      <c r="Q70" s="80"/>
      <c r="R70" s="146"/>
      <c r="S70" s="103" t="str">
        <f t="shared" si="1"/>
        <v>95-014-48-</v>
      </c>
      <c r="Z70" s="81" t="s">
        <v>29712</v>
      </c>
      <c r="AA70" s="81">
        <v>2</v>
      </c>
      <c r="AB70" s="81">
        <v>4</v>
      </c>
      <c r="AC70" s="81">
        <v>6</v>
      </c>
      <c r="AD70" s="81" t="s">
        <v>29712</v>
      </c>
      <c r="AE70" s="81" t="s">
        <v>29712</v>
      </c>
      <c r="AF70" s="81" t="s">
        <v>29712</v>
      </c>
    </row>
    <row r="71" spans="1:32" ht="15" customHeight="1" x14ac:dyDescent="0.2">
      <c r="A71" s="81" t="s">
        <v>29634</v>
      </c>
      <c r="B71" s="81" t="s">
        <v>29660</v>
      </c>
      <c r="C71" s="81" t="s">
        <v>46</v>
      </c>
      <c r="D71" s="81" t="s">
        <v>47</v>
      </c>
      <c r="E71" s="81" t="s">
        <v>29661</v>
      </c>
      <c r="F71" s="81" t="s">
        <v>91</v>
      </c>
      <c r="G71" s="81" t="s">
        <v>29661</v>
      </c>
      <c r="H71" s="81" t="s">
        <v>29701</v>
      </c>
      <c r="I71" s="81" t="s">
        <v>1</v>
      </c>
      <c r="J71" s="84" t="s">
        <v>29710</v>
      </c>
      <c r="K71" s="81" t="s">
        <v>264</v>
      </c>
      <c r="L71" s="81" t="s">
        <v>25606</v>
      </c>
      <c r="M71" s="81" t="s">
        <v>26662</v>
      </c>
      <c r="N71" s="81">
        <v>975.8</v>
      </c>
      <c r="Q71" s="80"/>
      <c r="R71" s="146"/>
      <c r="S71" s="103" t="str">
        <f t="shared" si="1"/>
        <v>95-015-09-</v>
      </c>
      <c r="Z71" s="81" t="s">
        <v>29712</v>
      </c>
      <c r="AA71" s="81">
        <v>2</v>
      </c>
      <c r="AB71" s="81">
        <v>4</v>
      </c>
      <c r="AC71" s="81">
        <v>5</v>
      </c>
      <c r="AD71" s="81">
        <v>4</v>
      </c>
      <c r="AE71" s="81">
        <v>2</v>
      </c>
      <c r="AF71" s="81" t="s">
        <v>29712</v>
      </c>
    </row>
    <row r="72" spans="1:32" ht="15" customHeight="1" x14ac:dyDescent="0.2">
      <c r="A72" s="81" t="s">
        <v>29635</v>
      </c>
      <c r="B72" s="81" t="s">
        <v>29657</v>
      </c>
      <c r="C72" s="81" t="s">
        <v>198</v>
      </c>
      <c r="D72" s="81" t="s">
        <v>199</v>
      </c>
      <c r="E72" s="81" t="s">
        <v>29661</v>
      </c>
      <c r="F72" s="81" t="s">
        <v>91</v>
      </c>
      <c r="G72" s="81" t="s">
        <v>29661</v>
      </c>
      <c r="H72" s="81" t="s">
        <v>29701</v>
      </c>
      <c r="I72" s="81" t="s">
        <v>1</v>
      </c>
      <c r="J72" s="84" t="s">
        <v>29710</v>
      </c>
      <c r="K72" s="81" t="s">
        <v>264</v>
      </c>
      <c r="L72" s="81" t="s">
        <v>25606</v>
      </c>
      <c r="M72" s="81" t="s">
        <v>26662</v>
      </c>
      <c r="N72" s="81">
        <v>975.8</v>
      </c>
      <c r="Q72" s="80"/>
      <c r="R72" s="146"/>
      <c r="S72" s="103" t="str">
        <f t="shared" si="1"/>
        <v>95-016-09-</v>
      </c>
      <c r="Z72" s="81">
        <v>1</v>
      </c>
      <c r="AA72" s="81">
        <v>1</v>
      </c>
      <c r="AB72" s="81">
        <v>1</v>
      </c>
      <c r="AC72" s="81">
        <v>2</v>
      </c>
      <c r="AD72" s="81" t="s">
        <v>29712</v>
      </c>
      <c r="AE72" s="81">
        <v>1</v>
      </c>
      <c r="AF72" s="81" t="s">
        <v>29712</v>
      </c>
    </row>
    <row r="73" spans="1:32" ht="15" customHeight="1" x14ac:dyDescent="0.2">
      <c r="A73" s="81" t="s">
        <v>29636</v>
      </c>
      <c r="B73" s="81" t="s">
        <v>29649</v>
      </c>
      <c r="C73" s="81" t="s">
        <v>46</v>
      </c>
      <c r="D73" s="81" t="s">
        <v>47</v>
      </c>
      <c r="E73" s="81" t="s">
        <v>29661</v>
      </c>
      <c r="F73" s="81" t="s">
        <v>91</v>
      </c>
      <c r="G73" s="81" t="s">
        <v>29661</v>
      </c>
      <c r="H73" s="81" t="s">
        <v>29702</v>
      </c>
      <c r="I73" s="81" t="s">
        <v>29703</v>
      </c>
      <c r="J73" s="84" t="s">
        <v>29710</v>
      </c>
      <c r="K73" s="81" t="s">
        <v>264</v>
      </c>
      <c r="L73" s="81" t="s">
        <v>25606</v>
      </c>
      <c r="M73" s="81" t="s">
        <v>26662</v>
      </c>
      <c r="N73" s="81">
        <v>975.8</v>
      </c>
      <c r="Q73" s="80"/>
      <c r="R73" s="146"/>
      <c r="S73" s="103" t="str">
        <f t="shared" si="1"/>
        <v>95-001-66-</v>
      </c>
      <c r="AA73" s="81">
        <v>1</v>
      </c>
      <c r="AB73" s="81">
        <v>1</v>
      </c>
      <c r="AC73" s="81">
        <v>2</v>
      </c>
      <c r="AD73" s="81">
        <v>1</v>
      </c>
      <c r="AE73" s="81">
        <v>1</v>
      </c>
    </row>
    <row r="74" spans="1:32" ht="15" customHeight="1" x14ac:dyDescent="0.2">
      <c r="A74" s="81" t="s">
        <v>29637</v>
      </c>
      <c r="B74" s="81" t="s">
        <v>29651</v>
      </c>
      <c r="C74" s="81" t="s">
        <v>31</v>
      </c>
      <c r="D74" s="81" t="s">
        <v>39</v>
      </c>
      <c r="E74" s="81" t="s">
        <v>29661</v>
      </c>
      <c r="F74" s="81" t="s">
        <v>91</v>
      </c>
      <c r="G74" s="81" t="s">
        <v>29661</v>
      </c>
      <c r="H74" s="81" t="s">
        <v>29702</v>
      </c>
      <c r="I74" s="81" t="s">
        <v>29703</v>
      </c>
      <c r="J74" s="84" t="s">
        <v>29710</v>
      </c>
      <c r="K74" s="81" t="s">
        <v>264</v>
      </c>
      <c r="L74" s="81" t="s">
        <v>25606</v>
      </c>
      <c r="M74" s="81" t="s">
        <v>26662</v>
      </c>
      <c r="N74" s="81">
        <v>975.8</v>
      </c>
      <c r="Q74" s="80"/>
      <c r="R74" s="146"/>
      <c r="S74" s="103" t="str">
        <f t="shared" si="1"/>
        <v>95-007-66-</v>
      </c>
      <c r="Z74" s="81">
        <v>2</v>
      </c>
      <c r="AA74" s="81">
        <v>4</v>
      </c>
      <c r="AB74" s="81">
        <v>6</v>
      </c>
      <c r="AC74" s="81">
        <v>8</v>
      </c>
      <c r="AD74" s="81">
        <v>6</v>
      </c>
      <c r="AE74" s="81">
        <v>4</v>
      </c>
      <c r="AF74" s="81">
        <v>1</v>
      </c>
    </row>
    <row r="75" spans="1:32" ht="15" customHeight="1" x14ac:dyDescent="0.2">
      <c r="A75" s="81" t="s">
        <v>29638</v>
      </c>
      <c r="B75" s="81" t="s">
        <v>29646</v>
      </c>
      <c r="C75" s="81" t="s">
        <v>31</v>
      </c>
      <c r="D75" s="81" t="s">
        <v>39</v>
      </c>
      <c r="E75" s="81" t="s">
        <v>29661</v>
      </c>
      <c r="F75" s="81" t="s">
        <v>91</v>
      </c>
      <c r="G75" s="81" t="s">
        <v>29661</v>
      </c>
      <c r="H75" s="81" t="s">
        <v>29704</v>
      </c>
      <c r="I75" s="81" t="s">
        <v>28351</v>
      </c>
      <c r="J75" s="84" t="s">
        <v>29710</v>
      </c>
      <c r="K75" s="81" t="s">
        <v>264</v>
      </c>
      <c r="L75" s="81" t="s">
        <v>25606</v>
      </c>
      <c r="M75" s="81" t="s">
        <v>26662</v>
      </c>
      <c r="N75" s="81">
        <v>975.8</v>
      </c>
      <c r="Q75" s="80"/>
      <c r="R75" s="146"/>
      <c r="S75" s="103" t="str">
        <f t="shared" si="1"/>
        <v>95-004-48-</v>
      </c>
      <c r="Z75" s="81">
        <v>1</v>
      </c>
      <c r="AA75" s="81">
        <v>3</v>
      </c>
      <c r="AB75" s="81">
        <v>4</v>
      </c>
      <c r="AC75" s="81">
        <v>6</v>
      </c>
      <c r="AD75" s="81">
        <v>4</v>
      </c>
      <c r="AE75" s="81">
        <v>3</v>
      </c>
      <c r="AF75" s="81">
        <v>2</v>
      </c>
    </row>
    <row r="76" spans="1:32" ht="15" customHeight="1" x14ac:dyDescent="0.2">
      <c r="A76" s="81" t="s">
        <v>29639</v>
      </c>
      <c r="B76" s="81" t="s">
        <v>29647</v>
      </c>
      <c r="C76" s="81" t="s">
        <v>31</v>
      </c>
      <c r="D76" s="81" t="s">
        <v>25558</v>
      </c>
      <c r="E76" s="81" t="s">
        <v>29661</v>
      </c>
      <c r="F76" s="81" t="s">
        <v>91</v>
      </c>
      <c r="G76" s="81" t="s">
        <v>29661</v>
      </c>
      <c r="H76" s="81" t="s">
        <v>29704</v>
      </c>
      <c r="I76" s="81" t="s">
        <v>1</v>
      </c>
      <c r="J76" s="84" t="s">
        <v>29710</v>
      </c>
      <c r="K76" s="81" t="s">
        <v>264</v>
      </c>
      <c r="L76" s="81" t="s">
        <v>25606</v>
      </c>
      <c r="M76" s="81" t="s">
        <v>26662</v>
      </c>
      <c r="N76" s="81">
        <v>975.8</v>
      </c>
      <c r="Q76" s="80"/>
      <c r="R76" s="146"/>
      <c r="S76" s="103" t="str">
        <f t="shared" si="1"/>
        <v>95-010-09-</v>
      </c>
      <c r="AA76" s="81">
        <v>1</v>
      </c>
      <c r="AB76" s="81">
        <v>1</v>
      </c>
      <c r="AC76" s="81">
        <v>2</v>
      </c>
      <c r="AD76" s="81">
        <v>1</v>
      </c>
      <c r="AE76" s="81">
        <v>1</v>
      </c>
      <c r="AF76" s="81">
        <v>1</v>
      </c>
    </row>
    <row r="77" spans="1:32" ht="15" customHeight="1" x14ac:dyDescent="0.2">
      <c r="A77" s="81" t="s">
        <v>29640</v>
      </c>
      <c r="B77" s="81" t="s">
        <v>29650</v>
      </c>
      <c r="C77" s="81" t="s">
        <v>31</v>
      </c>
      <c r="D77" s="81" t="s">
        <v>39</v>
      </c>
      <c r="E77" s="81" t="s">
        <v>29661</v>
      </c>
      <c r="F77" s="81" t="s">
        <v>91</v>
      </c>
      <c r="G77" s="81" t="s">
        <v>29661</v>
      </c>
      <c r="H77" s="81" t="s">
        <v>29705</v>
      </c>
      <c r="I77" s="81" t="s">
        <v>25518</v>
      </c>
      <c r="J77" s="84" t="s">
        <v>29710</v>
      </c>
      <c r="K77" s="81" t="s">
        <v>264</v>
      </c>
      <c r="L77" s="81" t="s">
        <v>25606</v>
      </c>
      <c r="M77" s="81" t="s">
        <v>26662</v>
      </c>
      <c r="N77" s="81">
        <v>975.8</v>
      </c>
      <c r="Q77" s="80"/>
      <c r="R77" s="146"/>
      <c r="S77" s="103" t="str">
        <f t="shared" si="1"/>
        <v>95-005-86-</v>
      </c>
      <c r="Z77" s="81">
        <v>1</v>
      </c>
      <c r="AA77" s="81">
        <v>3</v>
      </c>
      <c r="AB77" s="81">
        <v>5</v>
      </c>
      <c r="AC77" s="81">
        <v>7</v>
      </c>
      <c r="AD77" s="81">
        <v>5</v>
      </c>
      <c r="AE77" s="81" t="s">
        <v>29712</v>
      </c>
      <c r="AF77" s="81" t="s">
        <v>29712</v>
      </c>
    </row>
    <row r="78" spans="1:32" ht="15" customHeight="1" x14ac:dyDescent="0.2">
      <c r="A78" s="81" t="s">
        <v>29641</v>
      </c>
      <c r="B78" s="81" t="s">
        <v>29647</v>
      </c>
      <c r="C78" s="81" t="s">
        <v>31</v>
      </c>
      <c r="D78" s="81" t="s">
        <v>25558</v>
      </c>
      <c r="E78" s="81" t="s">
        <v>29661</v>
      </c>
      <c r="F78" s="81" t="s">
        <v>91</v>
      </c>
      <c r="G78" s="81" t="s">
        <v>29661</v>
      </c>
      <c r="H78" s="81" t="s">
        <v>29706</v>
      </c>
      <c r="I78" s="81" t="s">
        <v>29707</v>
      </c>
      <c r="J78" s="84" t="s">
        <v>29710</v>
      </c>
      <c r="K78" s="81" t="s">
        <v>264</v>
      </c>
      <c r="L78" s="81" t="s">
        <v>25606</v>
      </c>
      <c r="M78" s="81" t="s">
        <v>26662</v>
      </c>
      <c r="N78" s="81">
        <v>975.8</v>
      </c>
      <c r="Q78" s="80"/>
      <c r="R78" s="146"/>
      <c r="S78" s="103" t="str">
        <f t="shared" si="1"/>
        <v>95-010-67-</v>
      </c>
      <c r="AA78" s="81">
        <v>1</v>
      </c>
      <c r="AB78" s="81">
        <v>2</v>
      </c>
      <c r="AC78" s="81">
        <v>3</v>
      </c>
      <c r="AD78" s="81">
        <v>2</v>
      </c>
      <c r="AE78" s="81">
        <v>1</v>
      </c>
      <c r="AF78" s="81">
        <v>1</v>
      </c>
    </row>
    <row r="79" spans="1:32" ht="15" customHeight="1" x14ac:dyDescent="0.2">
      <c r="A79" s="81" t="s">
        <v>29642</v>
      </c>
      <c r="B79" s="81" t="s">
        <v>29648</v>
      </c>
      <c r="C79" s="81" t="s">
        <v>31</v>
      </c>
      <c r="D79" s="81" t="s">
        <v>37</v>
      </c>
      <c r="E79" s="81" t="s">
        <v>29661</v>
      </c>
      <c r="F79" s="81" t="s">
        <v>91</v>
      </c>
      <c r="G79" s="81" t="s">
        <v>29661</v>
      </c>
      <c r="H79" s="81" t="s">
        <v>29708</v>
      </c>
      <c r="I79" s="81" t="s">
        <v>28411</v>
      </c>
      <c r="J79" s="84" t="s">
        <v>29710</v>
      </c>
      <c r="K79" s="81" t="s">
        <v>264</v>
      </c>
      <c r="L79" s="81" t="s">
        <v>25606</v>
      </c>
      <c r="M79" s="81" t="s">
        <v>26662</v>
      </c>
      <c r="N79" s="81">
        <v>975.8</v>
      </c>
      <c r="Q79" s="80"/>
      <c r="R79" s="146"/>
      <c r="S79" s="103" t="str">
        <f t="shared" si="1"/>
        <v>95-006-04-</v>
      </c>
      <c r="AA79" s="81">
        <v>1</v>
      </c>
      <c r="AB79" s="81">
        <v>2</v>
      </c>
      <c r="AC79" s="81">
        <v>3</v>
      </c>
      <c r="AD79" s="81">
        <v>2</v>
      </c>
      <c r="AE79" s="81">
        <v>1</v>
      </c>
      <c r="AF79" s="81">
        <v>1</v>
      </c>
    </row>
    <row r="80" spans="1:32" ht="15" customHeight="1" x14ac:dyDescent="0.2">
      <c r="A80" s="81" t="s">
        <v>29643</v>
      </c>
      <c r="B80" s="81" t="s">
        <v>29645</v>
      </c>
      <c r="C80" s="81" t="s">
        <v>31</v>
      </c>
      <c r="D80" s="81" t="s">
        <v>39</v>
      </c>
      <c r="E80" s="81" t="s">
        <v>29661</v>
      </c>
      <c r="F80" s="81" t="s">
        <v>91</v>
      </c>
      <c r="G80" s="81" t="s">
        <v>29661</v>
      </c>
      <c r="H80" s="81" t="s">
        <v>29708</v>
      </c>
      <c r="I80" s="81" t="s">
        <v>28411</v>
      </c>
      <c r="J80" s="84" t="s">
        <v>29710</v>
      </c>
      <c r="K80" s="81" t="s">
        <v>264</v>
      </c>
      <c r="L80" s="81" t="s">
        <v>25606</v>
      </c>
      <c r="M80" s="81" t="s">
        <v>26662</v>
      </c>
      <c r="N80" s="81">
        <v>975.8</v>
      </c>
      <c r="Q80" s="80"/>
      <c r="R80" s="146"/>
      <c r="S80" s="103" t="str">
        <f t="shared" si="1"/>
        <v>95-008-04-</v>
      </c>
      <c r="AA80" s="81">
        <v>1</v>
      </c>
      <c r="AB80" s="81">
        <v>2</v>
      </c>
      <c r="AC80" s="81">
        <v>3</v>
      </c>
      <c r="AD80" s="81">
        <v>2</v>
      </c>
      <c r="AE80" s="81">
        <v>1</v>
      </c>
    </row>
    <row r="81" spans="1:32" ht="15" customHeight="1" x14ac:dyDescent="0.2">
      <c r="A81" s="81" t="s">
        <v>29644</v>
      </c>
      <c r="B81" s="81" t="s">
        <v>29645</v>
      </c>
      <c r="C81" s="81" t="s">
        <v>31</v>
      </c>
      <c r="D81" s="81" t="s">
        <v>39</v>
      </c>
      <c r="E81" s="81" t="s">
        <v>29661</v>
      </c>
      <c r="F81" s="81" t="s">
        <v>91</v>
      </c>
      <c r="G81" s="81" t="s">
        <v>29661</v>
      </c>
      <c r="H81" s="81">
        <v>79</v>
      </c>
      <c r="I81" s="81" t="s">
        <v>29709</v>
      </c>
      <c r="J81" s="84" t="s">
        <v>29710</v>
      </c>
      <c r="K81" s="81" t="s">
        <v>264</v>
      </c>
      <c r="L81" s="81" t="s">
        <v>25606</v>
      </c>
      <c r="M81" s="81" t="s">
        <v>26662</v>
      </c>
      <c r="N81" s="81">
        <v>975.8</v>
      </c>
      <c r="Q81" s="80"/>
      <c r="R81" s="146"/>
      <c r="S81" s="103" t="str">
        <f t="shared" si="1"/>
        <v>95-008-68-</v>
      </c>
      <c r="AA81" s="81">
        <v>3</v>
      </c>
      <c r="AB81" s="81">
        <v>5</v>
      </c>
      <c r="AC81" s="81">
        <v>7</v>
      </c>
      <c r="AD81" s="81">
        <v>5</v>
      </c>
      <c r="AE81" s="81">
        <v>3</v>
      </c>
      <c r="AF81" s="81">
        <v>2</v>
      </c>
    </row>
    <row r="82" spans="1:32" ht="15" customHeight="1" x14ac:dyDescent="0.2">
      <c r="Q82" s="80"/>
      <c r="R82" s="146"/>
    </row>
    <row r="83" spans="1:32" ht="15" customHeight="1" x14ac:dyDescent="0.2">
      <c r="Q83" s="80"/>
      <c r="R83" s="146"/>
    </row>
    <row r="84" spans="1:32" ht="15" customHeight="1" x14ac:dyDescent="0.2">
      <c r="Q84" s="80"/>
      <c r="R84" s="146"/>
    </row>
    <row r="85" spans="1:32" ht="15" customHeight="1" x14ac:dyDescent="0.2">
      <c r="Q85" s="80"/>
      <c r="R85" s="146"/>
    </row>
    <row r="86" spans="1:32" ht="15" customHeight="1" x14ac:dyDescent="0.2">
      <c r="Q86" s="80"/>
      <c r="R86" s="146"/>
    </row>
    <row r="87" spans="1:32" ht="15" customHeight="1" x14ac:dyDescent="0.2">
      <c r="Q87" s="80"/>
      <c r="R87" s="146"/>
    </row>
    <row r="88" spans="1:32" ht="15" customHeight="1" x14ac:dyDescent="0.2">
      <c r="Q88" s="80"/>
      <c r="R88" s="146"/>
    </row>
    <row r="89" spans="1:32" ht="15" customHeight="1" x14ac:dyDescent="0.2">
      <c r="Q89" s="80"/>
      <c r="R89" s="146"/>
    </row>
    <row r="90" spans="1:32" ht="15" customHeight="1" x14ac:dyDescent="0.2">
      <c r="Q90" s="80"/>
      <c r="R90" s="146"/>
    </row>
    <row r="91" spans="1:32" ht="15" customHeight="1" x14ac:dyDescent="0.2">
      <c r="Q91" s="80"/>
      <c r="R91" s="146"/>
    </row>
    <row r="92" spans="1:32" ht="15" customHeight="1" x14ac:dyDescent="0.2">
      <c r="Q92" s="80"/>
      <c r="R92" s="146"/>
    </row>
    <row r="93" spans="1:32" ht="15" customHeight="1" x14ac:dyDescent="0.2">
      <c r="Q93" s="80"/>
      <c r="R93" s="146"/>
    </row>
    <row r="94" spans="1:32" ht="15" customHeight="1" x14ac:dyDescent="0.2">
      <c r="Q94" s="80"/>
      <c r="R94" s="146"/>
    </row>
    <row r="95" spans="1:32" ht="15" customHeight="1" x14ac:dyDescent="0.2">
      <c r="Q95" s="80"/>
      <c r="R95" s="146"/>
    </row>
    <row r="96" spans="1:32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456"/>
  <sheetViews>
    <sheetView topLeftCell="C1" workbookViewId="0">
      <pane ySplit="1" topLeftCell="A93" activePane="bottomLeft" state="frozen"/>
      <selection activeCell="C1" sqref="C1"/>
      <selection pane="bottomLeft" activeCell="A1898" sqref="A1898:S192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27584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28413</v>
      </c>
      <c r="P1" t="s">
        <v>28414</v>
      </c>
      <c r="Q1" t="s">
        <v>2</v>
      </c>
      <c r="R1" t="s">
        <v>28430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29565</v>
      </c>
      <c r="B2" s="102" t="s">
        <v>29645</v>
      </c>
      <c r="C2" s="102" t="s">
        <v>31</v>
      </c>
      <c r="D2" s="102" t="s">
        <v>39</v>
      </c>
      <c r="E2" s="102" t="s">
        <v>29661</v>
      </c>
      <c r="F2" s="102" t="s">
        <v>91</v>
      </c>
      <c r="G2" s="102" t="s">
        <v>29661</v>
      </c>
      <c r="H2" s="102" t="s">
        <v>29662</v>
      </c>
      <c r="I2" s="102" t="s">
        <v>28228</v>
      </c>
      <c r="J2" s="102" t="s">
        <v>29710</v>
      </c>
      <c r="K2" s="102" t="s">
        <v>264</v>
      </c>
      <c r="L2" s="102" t="s">
        <v>25606</v>
      </c>
      <c r="M2" s="102" t="s">
        <v>26662</v>
      </c>
      <c r="N2" s="102">
        <v>975.8</v>
      </c>
      <c r="S2" t="str">
        <f>A2&amp;"-"&amp;T2</f>
        <v>95-008-65-58</v>
      </c>
      <c r="T2" s="129" t="s">
        <v>28395</v>
      </c>
      <c r="U2" s="112">
        <v>5</v>
      </c>
    </row>
    <row r="3" spans="1:21" x14ac:dyDescent="0.2">
      <c r="A3" s="102" t="s">
        <v>29565</v>
      </c>
      <c r="B3" s="102" t="s">
        <v>29645</v>
      </c>
      <c r="C3" s="102" t="s">
        <v>31</v>
      </c>
      <c r="D3" s="102" t="s">
        <v>39</v>
      </c>
      <c r="E3" s="102" t="s">
        <v>29661</v>
      </c>
      <c r="F3" s="102" t="s">
        <v>91</v>
      </c>
      <c r="G3" s="102" t="s">
        <v>29661</v>
      </c>
      <c r="H3" s="102" t="s">
        <v>29662</v>
      </c>
      <c r="I3" s="102" t="s">
        <v>28228</v>
      </c>
      <c r="J3" s="102" t="s">
        <v>29710</v>
      </c>
      <c r="K3" s="102" t="s">
        <v>264</v>
      </c>
      <c r="L3" s="102" t="s">
        <v>25606</v>
      </c>
      <c r="M3" s="102" t="s">
        <v>26662</v>
      </c>
      <c r="N3" s="102">
        <v>975.8</v>
      </c>
      <c r="S3" t="str">
        <f>A3&amp;"-"&amp;T3</f>
        <v>95-008-65-59</v>
      </c>
      <c r="T3" s="129" t="s">
        <v>28349</v>
      </c>
      <c r="U3" s="112">
        <v>8</v>
      </c>
    </row>
    <row r="4" spans="1:21" x14ac:dyDescent="0.2">
      <c r="A4" s="102" t="s">
        <v>29565</v>
      </c>
      <c r="B4" s="102" t="s">
        <v>29645</v>
      </c>
      <c r="C4" s="102" t="s">
        <v>31</v>
      </c>
      <c r="D4" s="102" t="s">
        <v>39</v>
      </c>
      <c r="E4" s="102" t="s">
        <v>29661</v>
      </c>
      <c r="F4" s="102" t="s">
        <v>91</v>
      </c>
      <c r="G4" s="102" t="s">
        <v>29661</v>
      </c>
      <c r="H4" s="102" t="s">
        <v>29662</v>
      </c>
      <c r="I4" s="102" t="s">
        <v>28228</v>
      </c>
      <c r="J4" s="102" t="s">
        <v>29710</v>
      </c>
      <c r="K4" s="102" t="s">
        <v>264</v>
      </c>
      <c r="L4" s="102" t="s">
        <v>25606</v>
      </c>
      <c r="M4" s="102" t="s">
        <v>26662</v>
      </c>
      <c r="N4" s="102">
        <v>975.8</v>
      </c>
      <c r="S4" t="str">
        <f>A4&amp;"-"&amp;T4</f>
        <v>95-008-65-60</v>
      </c>
      <c r="T4" s="129" t="s">
        <v>28272</v>
      </c>
      <c r="U4" s="112">
        <v>5</v>
      </c>
    </row>
    <row r="5" spans="1:21" x14ac:dyDescent="0.2">
      <c r="A5" s="102" t="s">
        <v>29565</v>
      </c>
      <c r="B5" s="102" t="s">
        <v>29645</v>
      </c>
      <c r="C5" s="102" t="s">
        <v>31</v>
      </c>
      <c r="D5" s="102" t="s">
        <v>39</v>
      </c>
      <c r="E5" s="102" t="s">
        <v>29661</v>
      </c>
      <c r="F5" s="102" t="s">
        <v>91</v>
      </c>
      <c r="G5" s="102" t="s">
        <v>29661</v>
      </c>
      <c r="H5" s="102" t="s">
        <v>29662</v>
      </c>
      <c r="I5" s="102" t="s">
        <v>28228</v>
      </c>
      <c r="J5" s="102" t="s">
        <v>29710</v>
      </c>
      <c r="K5" s="102" t="s">
        <v>264</v>
      </c>
      <c r="L5" s="102" t="s">
        <v>25606</v>
      </c>
      <c r="M5" s="102" t="s">
        <v>26662</v>
      </c>
      <c r="N5" s="102">
        <v>975.8</v>
      </c>
      <c r="S5" t="str">
        <f>A5&amp;"-"&amp;T5</f>
        <v>95-008-65-61</v>
      </c>
      <c r="T5" s="129" t="s">
        <v>28354</v>
      </c>
      <c r="U5" s="112">
        <v>5</v>
      </c>
    </row>
    <row r="6" spans="1:21" x14ac:dyDescent="0.2">
      <c r="A6" s="102" t="s">
        <v>29566</v>
      </c>
      <c r="B6" s="102" t="s">
        <v>29646</v>
      </c>
      <c r="C6" s="102" t="s">
        <v>31</v>
      </c>
      <c r="D6" s="102" t="s">
        <v>39</v>
      </c>
      <c r="E6" s="102" t="s">
        <v>29661</v>
      </c>
      <c r="F6" s="102" t="s">
        <v>91</v>
      </c>
      <c r="G6" s="102" t="s">
        <v>29661</v>
      </c>
      <c r="H6" s="102" t="s">
        <v>29663</v>
      </c>
      <c r="I6" s="102" t="s">
        <v>28259</v>
      </c>
      <c r="J6" s="102" t="s">
        <v>29710</v>
      </c>
      <c r="K6" s="102" t="s">
        <v>264</v>
      </c>
      <c r="L6" s="102" t="s">
        <v>25606</v>
      </c>
      <c r="M6" s="102" t="s">
        <v>26662</v>
      </c>
      <c r="N6" s="102">
        <v>975.8</v>
      </c>
      <c r="S6" t="str">
        <f t="shared" ref="S6:S24" si="0">A6&amp;"-"&amp;T6</f>
        <v>95-004-89-56</v>
      </c>
      <c r="T6" s="129" t="s">
        <v>28269</v>
      </c>
      <c r="U6" s="112">
        <v>2</v>
      </c>
    </row>
    <row r="7" spans="1:21" x14ac:dyDescent="0.2">
      <c r="A7" s="102" t="s">
        <v>29566</v>
      </c>
      <c r="B7" s="102" t="s">
        <v>29646</v>
      </c>
      <c r="C7" s="102" t="s">
        <v>31</v>
      </c>
      <c r="D7" s="102" t="s">
        <v>39</v>
      </c>
      <c r="E7" s="102" t="s">
        <v>29661</v>
      </c>
      <c r="F7" s="102" t="s">
        <v>91</v>
      </c>
      <c r="G7" s="102" t="s">
        <v>29661</v>
      </c>
      <c r="H7" s="102" t="s">
        <v>29663</v>
      </c>
      <c r="I7" s="102" t="s">
        <v>28259</v>
      </c>
      <c r="J7" s="102" t="s">
        <v>29710</v>
      </c>
      <c r="K7" s="102" t="s">
        <v>264</v>
      </c>
      <c r="L7" s="102" t="s">
        <v>25606</v>
      </c>
      <c r="M7" s="102" t="s">
        <v>26662</v>
      </c>
      <c r="N7" s="102">
        <v>975.8</v>
      </c>
      <c r="S7" t="str">
        <f t="shared" si="0"/>
        <v>95-004-89-57</v>
      </c>
      <c r="T7" s="129" t="s">
        <v>28353</v>
      </c>
      <c r="U7" s="112">
        <v>4</v>
      </c>
    </row>
    <row r="8" spans="1:21" x14ac:dyDescent="0.2">
      <c r="A8" s="102" t="s">
        <v>29566</v>
      </c>
      <c r="B8" s="102" t="s">
        <v>29646</v>
      </c>
      <c r="C8" s="102" t="s">
        <v>31</v>
      </c>
      <c r="D8" s="102" t="s">
        <v>39</v>
      </c>
      <c r="E8" s="102" t="s">
        <v>29661</v>
      </c>
      <c r="F8" s="102" t="s">
        <v>91</v>
      </c>
      <c r="G8" s="102" t="s">
        <v>29661</v>
      </c>
      <c r="H8" s="102" t="s">
        <v>29663</v>
      </c>
      <c r="I8" s="102" t="s">
        <v>28259</v>
      </c>
      <c r="J8" s="102" t="s">
        <v>29710</v>
      </c>
      <c r="K8" s="102" t="s">
        <v>264</v>
      </c>
      <c r="L8" s="102" t="s">
        <v>25606</v>
      </c>
      <c r="M8" s="102" t="s">
        <v>26662</v>
      </c>
      <c r="N8" s="102">
        <v>975.8</v>
      </c>
      <c r="S8" t="str">
        <f t="shared" si="0"/>
        <v>95-004-89-58</v>
      </c>
      <c r="T8" s="129" t="s">
        <v>28395</v>
      </c>
      <c r="U8" s="112">
        <v>6</v>
      </c>
    </row>
    <row r="9" spans="1:21" x14ac:dyDescent="0.2">
      <c r="A9" s="102" t="s">
        <v>29566</v>
      </c>
      <c r="B9" s="102" t="s">
        <v>29646</v>
      </c>
      <c r="C9" s="102" t="s">
        <v>31</v>
      </c>
      <c r="D9" s="102" t="s">
        <v>39</v>
      </c>
      <c r="E9" s="102" t="s">
        <v>29661</v>
      </c>
      <c r="F9" s="102" t="s">
        <v>91</v>
      </c>
      <c r="G9" s="102" t="s">
        <v>29661</v>
      </c>
      <c r="H9" s="102" t="s">
        <v>29663</v>
      </c>
      <c r="I9" s="102" t="s">
        <v>28259</v>
      </c>
      <c r="J9" s="102" t="s">
        <v>29710</v>
      </c>
      <c r="K9" s="102" t="s">
        <v>264</v>
      </c>
      <c r="L9" s="102" t="s">
        <v>25606</v>
      </c>
      <c r="M9" s="102" t="s">
        <v>26662</v>
      </c>
      <c r="N9" s="102">
        <v>975.8</v>
      </c>
      <c r="S9" t="str">
        <f t="shared" si="0"/>
        <v>95-004-89-59</v>
      </c>
      <c r="T9" s="129" t="s">
        <v>28349</v>
      </c>
      <c r="U9" s="112">
        <v>8</v>
      </c>
    </row>
    <row r="10" spans="1:21" x14ac:dyDescent="0.2">
      <c r="A10" s="102" t="s">
        <v>29566</v>
      </c>
      <c r="B10" s="102" t="s">
        <v>29646</v>
      </c>
      <c r="C10" s="102" t="s">
        <v>31</v>
      </c>
      <c r="D10" s="102" t="s">
        <v>39</v>
      </c>
      <c r="E10" s="102" t="s">
        <v>29661</v>
      </c>
      <c r="F10" s="102" t="s">
        <v>91</v>
      </c>
      <c r="G10" s="102" t="s">
        <v>29661</v>
      </c>
      <c r="H10" s="102" t="s">
        <v>29663</v>
      </c>
      <c r="I10" s="102" t="s">
        <v>28259</v>
      </c>
      <c r="J10" s="102" t="s">
        <v>29710</v>
      </c>
      <c r="K10" s="102" t="s">
        <v>264</v>
      </c>
      <c r="L10" s="102" t="s">
        <v>25606</v>
      </c>
      <c r="M10" s="102" t="s">
        <v>26662</v>
      </c>
      <c r="N10" s="102">
        <v>975.8</v>
      </c>
      <c r="S10" t="str">
        <f t="shared" si="0"/>
        <v>95-004-89-60</v>
      </c>
      <c r="T10" s="129" t="s">
        <v>28272</v>
      </c>
      <c r="U10" s="112">
        <v>6</v>
      </c>
    </row>
    <row r="11" spans="1:21" x14ac:dyDescent="0.2">
      <c r="A11" s="102" t="s">
        <v>29566</v>
      </c>
      <c r="B11" s="102" t="s">
        <v>29646</v>
      </c>
      <c r="C11" s="102" t="s">
        <v>31</v>
      </c>
      <c r="D11" s="102" t="s">
        <v>39</v>
      </c>
      <c r="E11" s="102" t="s">
        <v>29661</v>
      </c>
      <c r="F11" s="102" t="s">
        <v>91</v>
      </c>
      <c r="G11" s="102" t="s">
        <v>29661</v>
      </c>
      <c r="H11" s="102" t="s">
        <v>29663</v>
      </c>
      <c r="I11" s="102" t="s">
        <v>28259</v>
      </c>
      <c r="J11" s="102" t="s">
        <v>29710</v>
      </c>
      <c r="K11" s="102" t="s">
        <v>264</v>
      </c>
      <c r="L11" s="102" t="s">
        <v>25606</v>
      </c>
      <c r="M11" s="102" t="s">
        <v>26662</v>
      </c>
      <c r="N11" s="102">
        <v>975.8</v>
      </c>
      <c r="S11" t="str">
        <f t="shared" si="0"/>
        <v>95-004-89-61</v>
      </c>
      <c r="T11" s="129" t="s">
        <v>28354</v>
      </c>
      <c r="U11" s="112">
        <v>4</v>
      </c>
    </row>
    <row r="12" spans="1:21" x14ac:dyDescent="0.2">
      <c r="A12" s="102" t="s">
        <v>29566</v>
      </c>
      <c r="B12" s="102" t="s">
        <v>29646</v>
      </c>
      <c r="C12" s="102" t="s">
        <v>31</v>
      </c>
      <c r="D12" s="102" t="s">
        <v>39</v>
      </c>
      <c r="E12" s="102" t="s">
        <v>29661</v>
      </c>
      <c r="F12" s="102" t="s">
        <v>91</v>
      </c>
      <c r="G12" s="102" t="s">
        <v>29661</v>
      </c>
      <c r="H12" s="102" t="s">
        <v>29663</v>
      </c>
      <c r="I12" s="102" t="s">
        <v>28259</v>
      </c>
      <c r="J12" s="102" t="s">
        <v>29710</v>
      </c>
      <c r="K12" s="102" t="s">
        <v>264</v>
      </c>
      <c r="L12" s="102" t="s">
        <v>25606</v>
      </c>
      <c r="M12" s="102" t="s">
        <v>26662</v>
      </c>
      <c r="N12" s="102">
        <v>975.8</v>
      </c>
      <c r="S12" t="str">
        <f t="shared" si="0"/>
        <v>95-004-89-62</v>
      </c>
      <c r="T12" s="129" t="s">
        <v>28236</v>
      </c>
      <c r="U12" s="112">
        <v>1</v>
      </c>
    </row>
    <row r="13" spans="1:21" x14ac:dyDescent="0.2">
      <c r="A13" s="102" t="s">
        <v>29567</v>
      </c>
      <c r="B13" s="102" t="s">
        <v>29647</v>
      </c>
      <c r="C13" s="102" t="s">
        <v>31</v>
      </c>
      <c r="D13" s="102" t="s">
        <v>25558</v>
      </c>
      <c r="E13" s="102" t="s">
        <v>29661</v>
      </c>
      <c r="F13" s="102" t="s">
        <v>91</v>
      </c>
      <c r="G13" s="102" t="s">
        <v>29661</v>
      </c>
      <c r="H13" s="102" t="s">
        <v>29664</v>
      </c>
      <c r="I13" s="102" t="s">
        <v>29665</v>
      </c>
      <c r="J13" s="102" t="s">
        <v>29710</v>
      </c>
      <c r="K13" s="102" t="s">
        <v>264</v>
      </c>
      <c r="L13" s="102" t="s">
        <v>25606</v>
      </c>
      <c r="M13" s="102" t="s">
        <v>26662</v>
      </c>
      <c r="N13" s="102">
        <v>975.8</v>
      </c>
      <c r="S13" t="str">
        <f t="shared" si="0"/>
        <v>95-010-55-56</v>
      </c>
      <c r="T13" s="129" t="s">
        <v>28269</v>
      </c>
      <c r="U13" s="112">
        <v>4</v>
      </c>
    </row>
    <row r="14" spans="1:21" x14ac:dyDescent="0.2">
      <c r="A14" s="102" t="s">
        <v>29567</v>
      </c>
      <c r="B14" s="102" t="s">
        <v>29647</v>
      </c>
      <c r="C14" s="102" t="s">
        <v>31</v>
      </c>
      <c r="D14" s="102" t="s">
        <v>25558</v>
      </c>
      <c r="E14" s="102" t="s">
        <v>29661</v>
      </c>
      <c r="F14" s="102" t="s">
        <v>91</v>
      </c>
      <c r="G14" s="102" t="s">
        <v>29661</v>
      </c>
      <c r="H14" s="102" t="s">
        <v>29664</v>
      </c>
      <c r="I14" s="102" t="s">
        <v>29665</v>
      </c>
      <c r="J14" s="102" t="s">
        <v>29710</v>
      </c>
      <c r="K14" s="102" t="s">
        <v>264</v>
      </c>
      <c r="L14" s="102" t="s">
        <v>25606</v>
      </c>
      <c r="M14" s="102" t="s">
        <v>26662</v>
      </c>
      <c r="N14" s="102">
        <v>975.8</v>
      </c>
      <c r="S14" t="str">
        <f t="shared" si="0"/>
        <v>95-010-55-57</v>
      </c>
      <c r="T14" s="129" t="s">
        <v>28353</v>
      </c>
      <c r="U14" s="112">
        <v>8</v>
      </c>
    </row>
    <row r="15" spans="1:21" x14ac:dyDescent="0.2">
      <c r="A15" s="102" t="s">
        <v>29567</v>
      </c>
      <c r="B15" s="102" t="s">
        <v>29647</v>
      </c>
      <c r="C15" s="102" t="s">
        <v>31</v>
      </c>
      <c r="D15" s="102" t="s">
        <v>25558</v>
      </c>
      <c r="E15" s="102" t="s">
        <v>29661</v>
      </c>
      <c r="F15" s="102" t="s">
        <v>91</v>
      </c>
      <c r="G15" s="102" t="s">
        <v>29661</v>
      </c>
      <c r="H15" s="102" t="s">
        <v>29664</v>
      </c>
      <c r="I15" s="102" t="s">
        <v>29665</v>
      </c>
      <c r="J15" s="102" t="s">
        <v>29710</v>
      </c>
      <c r="K15" s="102" t="s">
        <v>264</v>
      </c>
      <c r="L15" s="102" t="s">
        <v>25606</v>
      </c>
      <c r="M15" s="102" t="s">
        <v>26662</v>
      </c>
      <c r="N15" s="102">
        <v>975.8</v>
      </c>
      <c r="S15" t="str">
        <f t="shared" si="0"/>
        <v>95-010-55-58</v>
      </c>
      <c r="T15" s="129" t="s">
        <v>28395</v>
      </c>
      <c r="U15" s="112">
        <v>9</v>
      </c>
    </row>
    <row r="16" spans="1:21" x14ac:dyDescent="0.2">
      <c r="A16" s="102" t="s">
        <v>29567</v>
      </c>
      <c r="B16" s="102" t="s">
        <v>29647</v>
      </c>
      <c r="C16" s="102" t="s">
        <v>31</v>
      </c>
      <c r="D16" s="102" t="s">
        <v>25558</v>
      </c>
      <c r="E16" s="102" t="s">
        <v>29661</v>
      </c>
      <c r="F16" s="102" t="s">
        <v>91</v>
      </c>
      <c r="G16" s="102" t="s">
        <v>29661</v>
      </c>
      <c r="H16" s="102" t="s">
        <v>29664</v>
      </c>
      <c r="I16" s="102" t="s">
        <v>29665</v>
      </c>
      <c r="J16" s="102" t="s">
        <v>29710</v>
      </c>
      <c r="K16" s="102" t="s">
        <v>264</v>
      </c>
      <c r="L16" s="102" t="s">
        <v>25606</v>
      </c>
      <c r="M16" s="102" t="s">
        <v>26662</v>
      </c>
      <c r="N16" s="102">
        <v>975.8</v>
      </c>
      <c r="S16" t="str">
        <f t="shared" si="0"/>
        <v>95-010-55-59</v>
      </c>
      <c r="T16" s="129" t="s">
        <v>28349</v>
      </c>
      <c r="U16" s="112">
        <v>12</v>
      </c>
    </row>
    <row r="17" spans="1:21" x14ac:dyDescent="0.2">
      <c r="A17" s="102" t="s">
        <v>29567</v>
      </c>
      <c r="B17" s="102" t="s">
        <v>29647</v>
      </c>
      <c r="C17" s="102" t="s">
        <v>31</v>
      </c>
      <c r="D17" s="102" t="s">
        <v>25558</v>
      </c>
      <c r="E17" s="102" t="s">
        <v>29661</v>
      </c>
      <c r="F17" s="102" t="s">
        <v>91</v>
      </c>
      <c r="G17" s="102" t="s">
        <v>29661</v>
      </c>
      <c r="H17" s="102" t="s">
        <v>29664</v>
      </c>
      <c r="I17" s="102" t="s">
        <v>29665</v>
      </c>
      <c r="J17" s="102" t="s">
        <v>29710</v>
      </c>
      <c r="K17" s="102" t="s">
        <v>264</v>
      </c>
      <c r="L17" s="102" t="s">
        <v>25606</v>
      </c>
      <c r="M17" s="102" t="s">
        <v>26662</v>
      </c>
      <c r="N17" s="102">
        <v>975.8</v>
      </c>
      <c r="S17" t="str">
        <f t="shared" si="0"/>
        <v>95-010-55-60</v>
      </c>
      <c r="T17" s="129" t="s">
        <v>28272</v>
      </c>
      <c r="U17" s="112">
        <v>10</v>
      </c>
    </row>
    <row r="18" spans="1:21" x14ac:dyDescent="0.2">
      <c r="A18" s="102" t="s">
        <v>29567</v>
      </c>
      <c r="B18" s="102" t="s">
        <v>29647</v>
      </c>
      <c r="C18" s="102" t="s">
        <v>31</v>
      </c>
      <c r="D18" s="102" t="s">
        <v>25558</v>
      </c>
      <c r="E18" s="102" t="s">
        <v>29661</v>
      </c>
      <c r="F18" s="102" t="s">
        <v>91</v>
      </c>
      <c r="G18" s="102" t="s">
        <v>29661</v>
      </c>
      <c r="H18" s="102" t="s">
        <v>29664</v>
      </c>
      <c r="I18" s="102" t="s">
        <v>29665</v>
      </c>
      <c r="J18" s="102" t="s">
        <v>29710</v>
      </c>
      <c r="K18" s="102" t="s">
        <v>264</v>
      </c>
      <c r="L18" s="102" t="s">
        <v>25606</v>
      </c>
      <c r="M18" s="102" t="s">
        <v>26662</v>
      </c>
      <c r="N18" s="102">
        <v>975.8</v>
      </c>
      <c r="S18" t="str">
        <f t="shared" si="0"/>
        <v>95-010-55-61</v>
      </c>
      <c r="T18" s="129" t="s">
        <v>28354</v>
      </c>
      <c r="U18" s="112">
        <v>8</v>
      </c>
    </row>
    <row r="19" spans="1:21" x14ac:dyDescent="0.2">
      <c r="A19" s="102" t="s">
        <v>29567</v>
      </c>
      <c r="B19" s="102" t="s">
        <v>29647</v>
      </c>
      <c r="C19" s="102" t="s">
        <v>31</v>
      </c>
      <c r="D19" s="102" t="s">
        <v>25558</v>
      </c>
      <c r="E19" s="102" t="s">
        <v>29661</v>
      </c>
      <c r="F19" s="102" t="s">
        <v>91</v>
      </c>
      <c r="G19" s="102" t="s">
        <v>29661</v>
      </c>
      <c r="H19" s="102" t="s">
        <v>29664</v>
      </c>
      <c r="I19" s="102" t="s">
        <v>29665</v>
      </c>
      <c r="J19" s="102" t="s">
        <v>29710</v>
      </c>
      <c r="K19" s="102" t="s">
        <v>264</v>
      </c>
      <c r="L19" s="102" t="s">
        <v>25606</v>
      </c>
      <c r="M19" s="102" t="s">
        <v>26662</v>
      </c>
      <c r="N19" s="102">
        <v>975.8</v>
      </c>
      <c r="S19" t="str">
        <f t="shared" si="0"/>
        <v>95-010-55-62</v>
      </c>
      <c r="T19" s="129" t="s">
        <v>28236</v>
      </c>
      <c r="U19" s="112">
        <v>4</v>
      </c>
    </row>
    <row r="20" spans="1:21" x14ac:dyDescent="0.2">
      <c r="A20" s="102" t="s">
        <v>29568</v>
      </c>
      <c r="B20" s="102" t="s">
        <v>29645</v>
      </c>
      <c r="C20" s="102" t="s">
        <v>31</v>
      </c>
      <c r="D20" s="102" t="s">
        <v>39</v>
      </c>
      <c r="E20" s="102" t="s">
        <v>29661</v>
      </c>
      <c r="F20" s="102" t="s">
        <v>91</v>
      </c>
      <c r="G20" s="102" t="s">
        <v>29661</v>
      </c>
      <c r="H20" s="102" t="s">
        <v>29664</v>
      </c>
      <c r="I20" s="102" t="s">
        <v>29665</v>
      </c>
      <c r="J20" s="102" t="s">
        <v>29710</v>
      </c>
      <c r="K20" s="102" t="s">
        <v>264</v>
      </c>
      <c r="L20" s="102" t="s">
        <v>25606</v>
      </c>
      <c r="M20" s="102" t="s">
        <v>26662</v>
      </c>
      <c r="N20" s="102">
        <v>975.8</v>
      </c>
      <c r="S20" t="str">
        <f t="shared" si="0"/>
        <v>95-008-55-56</v>
      </c>
      <c r="T20" s="129" t="s">
        <v>28269</v>
      </c>
      <c r="U20" s="112">
        <v>7</v>
      </c>
    </row>
    <row r="21" spans="1:21" x14ac:dyDescent="0.2">
      <c r="A21" s="102" t="s">
        <v>29568</v>
      </c>
      <c r="B21" s="102" t="s">
        <v>29645</v>
      </c>
      <c r="C21" s="102" t="s">
        <v>31</v>
      </c>
      <c r="D21" s="102" t="s">
        <v>39</v>
      </c>
      <c r="E21" s="102" t="s">
        <v>29661</v>
      </c>
      <c r="F21" s="102" t="s">
        <v>91</v>
      </c>
      <c r="G21" s="102" t="s">
        <v>29661</v>
      </c>
      <c r="H21" s="102" t="s">
        <v>29664</v>
      </c>
      <c r="I21" s="102" t="s">
        <v>29665</v>
      </c>
      <c r="J21" s="102" t="s">
        <v>29710</v>
      </c>
      <c r="K21" s="102" t="s">
        <v>264</v>
      </c>
      <c r="L21" s="102" t="s">
        <v>25606</v>
      </c>
      <c r="M21" s="102" t="s">
        <v>26662</v>
      </c>
      <c r="N21" s="102">
        <v>975.8</v>
      </c>
      <c r="S21" t="str">
        <f t="shared" si="0"/>
        <v>95-008-55-57</v>
      </c>
      <c r="T21" s="129" t="s">
        <v>28353</v>
      </c>
      <c r="U21" s="112">
        <v>20</v>
      </c>
    </row>
    <row r="22" spans="1:21" x14ac:dyDescent="0.2">
      <c r="A22" s="102" t="s">
        <v>29568</v>
      </c>
      <c r="B22" s="102" t="s">
        <v>29645</v>
      </c>
      <c r="C22" s="102" t="s">
        <v>31</v>
      </c>
      <c r="D22" s="102" t="s">
        <v>39</v>
      </c>
      <c r="E22" s="102" t="s">
        <v>29661</v>
      </c>
      <c r="F22" s="102" t="s">
        <v>91</v>
      </c>
      <c r="G22" s="102" t="s">
        <v>29661</v>
      </c>
      <c r="H22" s="102" t="s">
        <v>29664</v>
      </c>
      <c r="I22" s="102" t="s">
        <v>29665</v>
      </c>
      <c r="J22" s="102" t="s">
        <v>29710</v>
      </c>
      <c r="K22" s="102" t="s">
        <v>264</v>
      </c>
      <c r="L22" s="102" t="s">
        <v>25606</v>
      </c>
      <c r="M22" s="102" t="s">
        <v>26662</v>
      </c>
      <c r="N22" s="102">
        <v>975.8</v>
      </c>
      <c r="S22" t="str">
        <f t="shared" si="0"/>
        <v>95-008-55-58</v>
      </c>
      <c r="T22" s="129" t="s">
        <v>28395</v>
      </c>
      <c r="U22" s="112">
        <v>30</v>
      </c>
    </row>
    <row r="23" spans="1:21" x14ac:dyDescent="0.2">
      <c r="A23" s="102" t="s">
        <v>29568</v>
      </c>
      <c r="B23" s="102" t="s">
        <v>29645</v>
      </c>
      <c r="C23" s="102" t="s">
        <v>31</v>
      </c>
      <c r="D23" s="102" t="s">
        <v>39</v>
      </c>
      <c r="E23" s="102" t="s">
        <v>29661</v>
      </c>
      <c r="F23" s="102" t="s">
        <v>91</v>
      </c>
      <c r="G23" s="102" t="s">
        <v>29661</v>
      </c>
      <c r="H23" s="102" t="s">
        <v>29664</v>
      </c>
      <c r="I23" s="102" t="s">
        <v>29665</v>
      </c>
      <c r="J23" s="102" t="s">
        <v>29710</v>
      </c>
      <c r="K23" s="102" t="s">
        <v>264</v>
      </c>
      <c r="L23" s="102" t="s">
        <v>25606</v>
      </c>
      <c r="M23" s="102" t="s">
        <v>26662</v>
      </c>
      <c r="N23" s="102">
        <v>975.8</v>
      </c>
      <c r="S23" t="str">
        <f t="shared" si="0"/>
        <v>95-008-55-59</v>
      </c>
      <c r="T23" s="129" t="s">
        <v>28349</v>
      </c>
      <c r="U23" s="112">
        <v>40</v>
      </c>
    </row>
    <row r="24" spans="1:21" x14ac:dyDescent="0.2">
      <c r="A24" s="102" t="s">
        <v>29568</v>
      </c>
      <c r="B24" s="102" t="s">
        <v>29645</v>
      </c>
      <c r="C24" s="102" t="s">
        <v>31</v>
      </c>
      <c r="D24" s="102" t="s">
        <v>39</v>
      </c>
      <c r="E24" s="102" t="s">
        <v>29661</v>
      </c>
      <c r="F24" s="102" t="s">
        <v>91</v>
      </c>
      <c r="G24" s="102" t="s">
        <v>29661</v>
      </c>
      <c r="H24" s="102" t="s">
        <v>29664</v>
      </c>
      <c r="I24" s="102" t="s">
        <v>29665</v>
      </c>
      <c r="J24" s="102" t="s">
        <v>29710</v>
      </c>
      <c r="K24" s="102" t="s">
        <v>264</v>
      </c>
      <c r="L24" s="102" t="s">
        <v>25606</v>
      </c>
      <c r="M24" s="102" t="s">
        <v>26662</v>
      </c>
      <c r="N24" s="102">
        <v>975.8</v>
      </c>
      <c r="S24" t="str">
        <f t="shared" si="0"/>
        <v>95-008-55-60</v>
      </c>
      <c r="T24" s="129" t="s">
        <v>28272</v>
      </c>
      <c r="U24" s="112">
        <v>30</v>
      </c>
    </row>
    <row r="25" spans="1:21" x14ac:dyDescent="0.2">
      <c r="A25" s="102" t="s">
        <v>29569</v>
      </c>
      <c r="B25" s="102" t="s">
        <v>29645</v>
      </c>
      <c r="C25" s="102" t="s">
        <v>31</v>
      </c>
      <c r="D25" s="102" t="s">
        <v>39</v>
      </c>
      <c r="E25" s="102" t="s">
        <v>29661</v>
      </c>
      <c r="F25" s="102" t="s">
        <v>91</v>
      </c>
      <c r="G25" s="102" t="s">
        <v>29661</v>
      </c>
      <c r="H25" s="102" t="s">
        <v>29666</v>
      </c>
      <c r="I25" s="102" t="s">
        <v>29667</v>
      </c>
      <c r="J25" s="102" t="s">
        <v>29711</v>
      </c>
      <c r="K25" s="102" t="s">
        <v>264</v>
      </c>
      <c r="L25" s="102" t="s">
        <v>25606</v>
      </c>
      <c r="M25" s="102" t="s">
        <v>26662</v>
      </c>
      <c r="N25" s="102">
        <v>975.8</v>
      </c>
      <c r="S25" t="str">
        <f t="shared" ref="S25:S37" si="1">A25&amp;"-"&amp;T25</f>
        <v>95-008-56-57</v>
      </c>
      <c r="T25" s="129" t="s">
        <v>28353</v>
      </c>
      <c r="U25" s="112">
        <v>7</v>
      </c>
    </row>
    <row r="26" spans="1:21" x14ac:dyDescent="0.2">
      <c r="A26" s="102" t="s">
        <v>29569</v>
      </c>
      <c r="B26" s="102" t="s">
        <v>29645</v>
      </c>
      <c r="C26" s="102" t="s">
        <v>31</v>
      </c>
      <c r="D26" s="102" t="s">
        <v>39</v>
      </c>
      <c r="E26" s="102" t="s">
        <v>29661</v>
      </c>
      <c r="F26" s="102" t="s">
        <v>91</v>
      </c>
      <c r="G26" s="102" t="s">
        <v>29661</v>
      </c>
      <c r="H26" s="102" t="s">
        <v>29666</v>
      </c>
      <c r="I26" s="102" t="s">
        <v>29667</v>
      </c>
      <c r="J26" s="102" t="s">
        <v>29711</v>
      </c>
      <c r="K26" s="102" t="s">
        <v>264</v>
      </c>
      <c r="L26" s="102" t="s">
        <v>25606</v>
      </c>
      <c r="M26" s="102" t="s">
        <v>26662</v>
      </c>
      <c r="N26" s="102">
        <v>975.8</v>
      </c>
      <c r="S26" t="str">
        <f t="shared" si="1"/>
        <v>95-008-56-58</v>
      </c>
      <c r="T26" s="129" t="s">
        <v>28395</v>
      </c>
      <c r="U26" s="112">
        <v>1</v>
      </c>
    </row>
    <row r="27" spans="1:21" x14ac:dyDescent="0.2">
      <c r="A27" s="102" t="s">
        <v>29569</v>
      </c>
      <c r="B27" s="102" t="s">
        <v>29645</v>
      </c>
      <c r="C27" s="102" t="s">
        <v>31</v>
      </c>
      <c r="D27" s="102" t="s">
        <v>39</v>
      </c>
      <c r="E27" s="102" t="s">
        <v>29661</v>
      </c>
      <c r="F27" s="102" t="s">
        <v>91</v>
      </c>
      <c r="G27" s="102" t="s">
        <v>29661</v>
      </c>
      <c r="H27" s="102" t="s">
        <v>29666</v>
      </c>
      <c r="I27" s="102" t="s">
        <v>29667</v>
      </c>
      <c r="J27" s="102" t="s">
        <v>29711</v>
      </c>
      <c r="K27" s="102" t="s">
        <v>264</v>
      </c>
      <c r="L27" s="102" t="s">
        <v>25606</v>
      </c>
      <c r="M27" s="102" t="s">
        <v>26662</v>
      </c>
      <c r="N27" s="102">
        <v>975.8</v>
      </c>
      <c r="S27" t="str">
        <f t="shared" si="1"/>
        <v>95-008-56-59</v>
      </c>
      <c r="T27" s="129" t="s">
        <v>28349</v>
      </c>
      <c r="U27" s="112">
        <v>10</v>
      </c>
    </row>
    <row r="28" spans="1:21" x14ac:dyDescent="0.2">
      <c r="A28" s="102" t="s">
        <v>29569</v>
      </c>
      <c r="B28" s="102" t="s">
        <v>29645</v>
      </c>
      <c r="C28" s="102" t="s">
        <v>31</v>
      </c>
      <c r="D28" s="102" t="s">
        <v>39</v>
      </c>
      <c r="E28" s="102" t="s">
        <v>29661</v>
      </c>
      <c r="F28" s="102" t="s">
        <v>91</v>
      </c>
      <c r="G28" s="102" t="s">
        <v>29661</v>
      </c>
      <c r="H28" s="102" t="s">
        <v>29666</v>
      </c>
      <c r="I28" s="102" t="s">
        <v>29667</v>
      </c>
      <c r="J28" s="102" t="s">
        <v>29711</v>
      </c>
      <c r="K28" s="102" t="s">
        <v>264</v>
      </c>
      <c r="L28" s="102" t="s">
        <v>25606</v>
      </c>
      <c r="M28" s="102" t="s">
        <v>26662</v>
      </c>
      <c r="N28" s="102">
        <v>975.8</v>
      </c>
      <c r="S28" t="str">
        <f t="shared" si="1"/>
        <v>95-008-56-60</v>
      </c>
      <c r="T28" s="129" t="s">
        <v>28272</v>
      </c>
      <c r="U28" s="112">
        <v>7</v>
      </c>
    </row>
    <row r="29" spans="1:21" x14ac:dyDescent="0.2">
      <c r="A29" s="102" t="s">
        <v>29570</v>
      </c>
      <c r="B29" s="102" t="s">
        <v>29647</v>
      </c>
      <c r="C29" s="102" t="s">
        <v>31</v>
      </c>
      <c r="D29" s="102" t="s">
        <v>25558</v>
      </c>
      <c r="E29" s="102" t="s">
        <v>29661</v>
      </c>
      <c r="F29" s="102" t="s">
        <v>91</v>
      </c>
      <c r="G29" s="102" t="s">
        <v>29661</v>
      </c>
      <c r="H29" s="102" t="s">
        <v>29666</v>
      </c>
      <c r="I29" s="102" t="s">
        <v>29667</v>
      </c>
      <c r="J29" s="102" t="s">
        <v>29711</v>
      </c>
      <c r="K29" s="102" t="s">
        <v>264</v>
      </c>
      <c r="L29" s="102" t="s">
        <v>25606</v>
      </c>
      <c r="M29" s="102" t="s">
        <v>26662</v>
      </c>
      <c r="N29" s="102">
        <v>975.8</v>
      </c>
      <c r="S29" t="str">
        <f t="shared" si="1"/>
        <v>95-010-56-57</v>
      </c>
      <c r="T29" s="129" t="s">
        <v>28353</v>
      </c>
      <c r="U29" s="112">
        <v>2</v>
      </c>
    </row>
    <row r="30" spans="1:21" x14ac:dyDescent="0.2">
      <c r="A30" s="102" t="s">
        <v>29570</v>
      </c>
      <c r="B30" s="102" t="s">
        <v>29647</v>
      </c>
      <c r="C30" s="102" t="s">
        <v>31</v>
      </c>
      <c r="D30" s="102" t="s">
        <v>25558</v>
      </c>
      <c r="E30" s="102" t="s">
        <v>29661</v>
      </c>
      <c r="F30" s="102" t="s">
        <v>91</v>
      </c>
      <c r="G30" s="102" t="s">
        <v>29661</v>
      </c>
      <c r="H30" s="102" t="s">
        <v>29666</v>
      </c>
      <c r="I30" s="102" t="s">
        <v>29667</v>
      </c>
      <c r="J30" s="102" t="s">
        <v>29711</v>
      </c>
      <c r="K30" s="102" t="s">
        <v>264</v>
      </c>
      <c r="L30" s="102" t="s">
        <v>25606</v>
      </c>
      <c r="M30" s="102" t="s">
        <v>26662</v>
      </c>
      <c r="N30" s="102">
        <v>975.8</v>
      </c>
      <c r="S30" t="str">
        <f t="shared" si="1"/>
        <v>95-010-56-58</v>
      </c>
      <c r="T30" s="129" t="s">
        <v>28395</v>
      </c>
      <c r="U30" s="112">
        <v>3</v>
      </c>
    </row>
    <row r="31" spans="1:21" x14ac:dyDescent="0.2">
      <c r="A31" s="102" t="s">
        <v>29570</v>
      </c>
      <c r="B31" s="102" t="s">
        <v>29647</v>
      </c>
      <c r="C31" s="102" t="s">
        <v>31</v>
      </c>
      <c r="D31" s="102" t="s">
        <v>25558</v>
      </c>
      <c r="E31" s="102" t="s">
        <v>29661</v>
      </c>
      <c r="F31" s="102" t="s">
        <v>91</v>
      </c>
      <c r="G31" s="102" t="s">
        <v>29661</v>
      </c>
      <c r="H31" s="102" t="s">
        <v>29666</v>
      </c>
      <c r="I31" s="102" t="s">
        <v>29667</v>
      </c>
      <c r="J31" s="102" t="s">
        <v>29711</v>
      </c>
      <c r="K31" s="102" t="s">
        <v>264</v>
      </c>
      <c r="L31" s="102" t="s">
        <v>25606</v>
      </c>
      <c r="M31" s="102" t="s">
        <v>26662</v>
      </c>
      <c r="N31" s="102">
        <v>975.8</v>
      </c>
      <c r="S31" t="str">
        <f t="shared" si="1"/>
        <v>95-010-56-59</v>
      </c>
      <c r="T31" s="129" t="s">
        <v>28349</v>
      </c>
      <c r="U31" s="112">
        <v>4</v>
      </c>
    </row>
    <row r="32" spans="1:21" x14ac:dyDescent="0.2">
      <c r="A32" s="102" t="s">
        <v>29570</v>
      </c>
      <c r="B32" s="102" t="s">
        <v>29647</v>
      </c>
      <c r="C32" s="102" t="s">
        <v>31</v>
      </c>
      <c r="D32" s="102" t="s">
        <v>25558</v>
      </c>
      <c r="E32" s="102" t="s">
        <v>29661</v>
      </c>
      <c r="F32" s="102" t="s">
        <v>91</v>
      </c>
      <c r="G32" s="102" t="s">
        <v>29661</v>
      </c>
      <c r="H32" s="102" t="s">
        <v>29666</v>
      </c>
      <c r="I32" s="102" t="s">
        <v>29667</v>
      </c>
      <c r="J32" s="102" t="s">
        <v>29711</v>
      </c>
      <c r="K32" s="102" t="s">
        <v>264</v>
      </c>
      <c r="L32" s="102" t="s">
        <v>25606</v>
      </c>
      <c r="M32" s="102" t="s">
        <v>26662</v>
      </c>
      <c r="N32" s="102">
        <v>975.8</v>
      </c>
      <c r="S32" t="str">
        <f t="shared" si="1"/>
        <v>95-010-56-60</v>
      </c>
      <c r="T32" s="129" t="s">
        <v>28272</v>
      </c>
      <c r="U32" s="112">
        <v>3</v>
      </c>
    </row>
    <row r="33" spans="1:21" x14ac:dyDescent="0.2">
      <c r="A33" s="102" t="s">
        <v>29570</v>
      </c>
      <c r="B33" s="102" t="s">
        <v>29647</v>
      </c>
      <c r="C33" s="102" t="s">
        <v>31</v>
      </c>
      <c r="D33" s="102" t="s">
        <v>25558</v>
      </c>
      <c r="E33" s="102" t="s">
        <v>29661</v>
      </c>
      <c r="F33" s="102" t="s">
        <v>91</v>
      </c>
      <c r="G33" s="102" t="s">
        <v>29661</v>
      </c>
      <c r="H33" s="102" t="s">
        <v>29666</v>
      </c>
      <c r="I33" s="102" t="s">
        <v>29667</v>
      </c>
      <c r="J33" s="102" t="s">
        <v>29711</v>
      </c>
      <c r="K33" s="102" t="s">
        <v>264</v>
      </c>
      <c r="L33" s="102" t="s">
        <v>25606</v>
      </c>
      <c r="M33" s="102" t="s">
        <v>26662</v>
      </c>
      <c r="N33" s="102">
        <v>975.8</v>
      </c>
      <c r="S33" t="str">
        <f t="shared" si="1"/>
        <v>95-010-56-61</v>
      </c>
      <c r="T33" s="129" t="s">
        <v>28354</v>
      </c>
      <c r="U33" s="112">
        <v>2</v>
      </c>
    </row>
    <row r="34" spans="1:21" x14ac:dyDescent="0.2">
      <c r="A34" s="102" t="s">
        <v>29570</v>
      </c>
      <c r="B34" s="102" t="s">
        <v>29647</v>
      </c>
      <c r="C34" s="102" t="s">
        <v>31</v>
      </c>
      <c r="D34" s="102" t="s">
        <v>25558</v>
      </c>
      <c r="E34" s="102" t="s">
        <v>29661</v>
      </c>
      <c r="F34" s="102" t="s">
        <v>91</v>
      </c>
      <c r="G34" s="102" t="s">
        <v>29661</v>
      </c>
      <c r="H34" s="102" t="s">
        <v>29666</v>
      </c>
      <c r="I34" s="102" t="s">
        <v>29667</v>
      </c>
      <c r="J34" s="102" t="s">
        <v>29711</v>
      </c>
      <c r="K34" s="102" t="s">
        <v>264</v>
      </c>
      <c r="L34" s="102" t="s">
        <v>25606</v>
      </c>
      <c r="M34" s="102" t="s">
        <v>26662</v>
      </c>
      <c r="N34" s="102">
        <v>975.8</v>
      </c>
      <c r="S34" t="str">
        <f t="shared" si="1"/>
        <v>95-010-56-62</v>
      </c>
      <c r="T34" s="129" t="s">
        <v>28236</v>
      </c>
      <c r="U34" s="112">
        <v>1</v>
      </c>
    </row>
    <row r="35" spans="1:21" x14ac:dyDescent="0.2">
      <c r="A35" s="102" t="s">
        <v>29571</v>
      </c>
      <c r="B35" s="102" t="s">
        <v>29648</v>
      </c>
      <c r="C35" s="102" t="s">
        <v>31</v>
      </c>
      <c r="D35" s="102" t="s">
        <v>37</v>
      </c>
      <c r="E35" s="102" t="s">
        <v>29661</v>
      </c>
      <c r="F35" s="102" t="s">
        <v>91</v>
      </c>
      <c r="G35" s="102" t="s">
        <v>29661</v>
      </c>
      <c r="H35" s="102" t="s">
        <v>29668</v>
      </c>
      <c r="I35" s="102" t="s">
        <v>29669</v>
      </c>
      <c r="J35" s="102" t="s">
        <v>29710</v>
      </c>
      <c r="K35" s="102" t="s">
        <v>264</v>
      </c>
      <c r="L35" s="102" t="s">
        <v>25606</v>
      </c>
      <c r="M35" s="102" t="s">
        <v>26662</v>
      </c>
      <c r="N35" s="102">
        <v>975.8</v>
      </c>
      <c r="S35" t="str">
        <f t="shared" si="1"/>
        <v>95-006-57-57</v>
      </c>
      <c r="T35" s="129" t="s">
        <v>28353</v>
      </c>
      <c r="U35" s="112">
        <v>1</v>
      </c>
    </row>
    <row r="36" spans="1:21" x14ac:dyDescent="0.2">
      <c r="A36" s="102" t="s">
        <v>29571</v>
      </c>
      <c r="B36" s="102" t="s">
        <v>29648</v>
      </c>
      <c r="C36" s="102" t="s">
        <v>31</v>
      </c>
      <c r="D36" s="102" t="s">
        <v>37</v>
      </c>
      <c r="E36" s="102" t="s">
        <v>29661</v>
      </c>
      <c r="F36" s="102" t="s">
        <v>91</v>
      </c>
      <c r="G36" s="102" t="s">
        <v>29661</v>
      </c>
      <c r="H36" s="102" t="s">
        <v>29668</v>
      </c>
      <c r="I36" s="102" t="s">
        <v>29669</v>
      </c>
      <c r="J36" s="102" t="s">
        <v>29710</v>
      </c>
      <c r="K36" s="102" t="s">
        <v>264</v>
      </c>
      <c r="L36" s="102" t="s">
        <v>25606</v>
      </c>
      <c r="M36" s="102" t="s">
        <v>26662</v>
      </c>
      <c r="N36" s="102">
        <v>975.8</v>
      </c>
      <c r="S36" t="str">
        <f t="shared" si="1"/>
        <v>95-006-57-58</v>
      </c>
      <c r="T36" s="129" t="s">
        <v>28395</v>
      </c>
      <c r="U36" s="112">
        <v>1</v>
      </c>
    </row>
    <row r="37" spans="1:21" x14ac:dyDescent="0.2">
      <c r="A37" s="102" t="s">
        <v>29571</v>
      </c>
      <c r="B37" s="102" t="s">
        <v>29648</v>
      </c>
      <c r="C37" s="102" t="s">
        <v>31</v>
      </c>
      <c r="D37" s="102" t="s">
        <v>37</v>
      </c>
      <c r="E37" s="102" t="s">
        <v>29661</v>
      </c>
      <c r="F37" s="102" t="s">
        <v>91</v>
      </c>
      <c r="G37" s="102" t="s">
        <v>29661</v>
      </c>
      <c r="H37" s="102" t="s">
        <v>29668</v>
      </c>
      <c r="I37" s="102" t="s">
        <v>29669</v>
      </c>
      <c r="J37" s="102" t="s">
        <v>29710</v>
      </c>
      <c r="K37" s="102" t="s">
        <v>264</v>
      </c>
      <c r="L37" s="102" t="s">
        <v>25606</v>
      </c>
      <c r="M37" s="102" t="s">
        <v>26662</v>
      </c>
      <c r="N37" s="102">
        <v>975.8</v>
      </c>
      <c r="S37" t="str">
        <f t="shared" si="1"/>
        <v>95-006-57-59</v>
      </c>
      <c r="T37" s="129" t="s">
        <v>28349</v>
      </c>
      <c r="U37" s="112">
        <v>2</v>
      </c>
    </row>
    <row r="38" spans="1:21" x14ac:dyDescent="0.2">
      <c r="A38" s="102" t="s">
        <v>29571</v>
      </c>
      <c r="B38" s="102" t="s">
        <v>29648</v>
      </c>
      <c r="C38" s="102" t="s">
        <v>31</v>
      </c>
      <c r="D38" s="102" t="s">
        <v>37</v>
      </c>
      <c r="E38" s="102" t="s">
        <v>29661</v>
      </c>
      <c r="F38" s="102" t="s">
        <v>91</v>
      </c>
      <c r="G38" s="102" t="s">
        <v>29661</v>
      </c>
      <c r="H38" s="102" t="s">
        <v>29668</v>
      </c>
      <c r="I38" s="102" t="s">
        <v>29669</v>
      </c>
      <c r="J38" s="102" t="s">
        <v>29710</v>
      </c>
      <c r="K38" s="102" t="s">
        <v>264</v>
      </c>
      <c r="L38" s="102" t="s">
        <v>25606</v>
      </c>
      <c r="M38" s="102" t="s">
        <v>26662</v>
      </c>
      <c r="N38" s="102">
        <v>975.8</v>
      </c>
      <c r="S38" t="str">
        <f t="shared" ref="S38:S49" si="2">A38&amp;"-"&amp;T38</f>
        <v>95-006-57-60</v>
      </c>
      <c r="T38" s="129" t="s">
        <v>28272</v>
      </c>
      <c r="U38" s="112">
        <v>1</v>
      </c>
    </row>
    <row r="39" spans="1:21" x14ac:dyDescent="0.2">
      <c r="A39" s="102" t="s">
        <v>29571</v>
      </c>
      <c r="B39" s="102" t="s">
        <v>29648</v>
      </c>
      <c r="C39" s="102" t="s">
        <v>31</v>
      </c>
      <c r="D39" s="102" t="s">
        <v>37</v>
      </c>
      <c r="E39" s="102" t="s">
        <v>29661</v>
      </c>
      <c r="F39" s="102" t="s">
        <v>91</v>
      </c>
      <c r="G39" s="102" t="s">
        <v>29661</v>
      </c>
      <c r="H39" s="102" t="s">
        <v>29668</v>
      </c>
      <c r="I39" s="102" t="s">
        <v>29669</v>
      </c>
      <c r="J39" s="102" t="s">
        <v>29710</v>
      </c>
      <c r="K39" s="102" t="s">
        <v>264</v>
      </c>
      <c r="L39" s="102" t="s">
        <v>25606</v>
      </c>
      <c r="M39" s="102" t="s">
        <v>26662</v>
      </c>
      <c r="N39" s="102">
        <v>975.8</v>
      </c>
      <c r="S39" t="str">
        <f t="shared" si="2"/>
        <v>95-006-57-61</v>
      </c>
      <c r="T39" s="129" t="s">
        <v>28354</v>
      </c>
      <c r="U39" s="112">
        <v>1</v>
      </c>
    </row>
    <row r="40" spans="1:21" x14ac:dyDescent="0.2">
      <c r="A40" s="102" t="s">
        <v>29572</v>
      </c>
      <c r="B40" s="102" t="s">
        <v>29645</v>
      </c>
      <c r="C40" s="102" t="s">
        <v>31</v>
      </c>
      <c r="D40" s="102" t="s">
        <v>39</v>
      </c>
      <c r="E40" s="102" t="s">
        <v>29661</v>
      </c>
      <c r="F40" s="102" t="s">
        <v>91</v>
      </c>
      <c r="G40" s="102" t="s">
        <v>29661</v>
      </c>
      <c r="H40" s="102" t="s">
        <v>29668</v>
      </c>
      <c r="I40" s="102" t="s">
        <v>29669</v>
      </c>
      <c r="J40" s="102" t="s">
        <v>29710</v>
      </c>
      <c r="K40" s="102" t="s">
        <v>264</v>
      </c>
      <c r="L40" s="102" t="s">
        <v>25606</v>
      </c>
      <c r="M40" s="102" t="s">
        <v>26662</v>
      </c>
      <c r="N40" s="102">
        <v>975.8</v>
      </c>
      <c r="S40" t="str">
        <f t="shared" si="2"/>
        <v>95-008-57-57</v>
      </c>
      <c r="T40" s="129" t="s">
        <v>28353</v>
      </c>
      <c r="U40" s="112">
        <v>1</v>
      </c>
    </row>
    <row r="41" spans="1:21" x14ac:dyDescent="0.2">
      <c r="A41" s="102" t="s">
        <v>29572</v>
      </c>
      <c r="B41" s="102" t="s">
        <v>29645</v>
      </c>
      <c r="C41" s="102" t="s">
        <v>31</v>
      </c>
      <c r="D41" s="102" t="s">
        <v>39</v>
      </c>
      <c r="E41" s="102" t="s">
        <v>29661</v>
      </c>
      <c r="F41" s="102" t="s">
        <v>91</v>
      </c>
      <c r="G41" s="102" t="s">
        <v>29661</v>
      </c>
      <c r="H41" s="102" t="s">
        <v>29668</v>
      </c>
      <c r="I41" s="102" t="s">
        <v>29669</v>
      </c>
      <c r="J41" s="102" t="s">
        <v>29710</v>
      </c>
      <c r="K41" s="102" t="s">
        <v>264</v>
      </c>
      <c r="L41" s="102" t="s">
        <v>25606</v>
      </c>
      <c r="M41" s="102" t="s">
        <v>26662</v>
      </c>
      <c r="N41" s="102">
        <v>975.8</v>
      </c>
      <c r="S41" t="str">
        <f t="shared" si="2"/>
        <v>95-008-57-58</v>
      </c>
      <c r="T41" s="129" t="s">
        <v>28395</v>
      </c>
      <c r="U41" s="112">
        <v>1</v>
      </c>
    </row>
    <row r="42" spans="1:21" x14ac:dyDescent="0.2">
      <c r="A42" s="102" t="s">
        <v>29572</v>
      </c>
      <c r="B42" s="102" t="s">
        <v>29645</v>
      </c>
      <c r="C42" s="102" t="s">
        <v>31</v>
      </c>
      <c r="D42" s="102" t="s">
        <v>39</v>
      </c>
      <c r="E42" s="102" t="s">
        <v>29661</v>
      </c>
      <c r="F42" s="102" t="s">
        <v>91</v>
      </c>
      <c r="G42" s="102" t="s">
        <v>29661</v>
      </c>
      <c r="H42" s="102" t="s">
        <v>29668</v>
      </c>
      <c r="I42" s="102" t="s">
        <v>29669</v>
      </c>
      <c r="J42" s="102" t="s">
        <v>29710</v>
      </c>
      <c r="K42" s="102" t="s">
        <v>264</v>
      </c>
      <c r="L42" s="102" t="s">
        <v>25606</v>
      </c>
      <c r="M42" s="102" t="s">
        <v>26662</v>
      </c>
      <c r="N42" s="102">
        <v>975.8</v>
      </c>
      <c r="S42" t="str">
        <f t="shared" si="2"/>
        <v>95-008-57-59</v>
      </c>
      <c r="T42" s="129" t="s">
        <v>28349</v>
      </c>
      <c r="U42" s="112">
        <v>2</v>
      </c>
    </row>
    <row r="43" spans="1:21" x14ac:dyDescent="0.2">
      <c r="A43" s="102" t="s">
        <v>29572</v>
      </c>
      <c r="B43" s="102" t="s">
        <v>29645</v>
      </c>
      <c r="C43" s="102" t="s">
        <v>31</v>
      </c>
      <c r="D43" s="102" t="s">
        <v>39</v>
      </c>
      <c r="E43" s="102" t="s">
        <v>29661</v>
      </c>
      <c r="F43" s="102" t="s">
        <v>91</v>
      </c>
      <c r="G43" s="102" t="s">
        <v>29661</v>
      </c>
      <c r="H43" s="102" t="s">
        <v>29668</v>
      </c>
      <c r="I43" s="102" t="s">
        <v>29669</v>
      </c>
      <c r="J43" s="102" t="s">
        <v>29710</v>
      </c>
      <c r="K43" s="102" t="s">
        <v>264</v>
      </c>
      <c r="L43" s="102" t="s">
        <v>25606</v>
      </c>
      <c r="M43" s="102" t="s">
        <v>26662</v>
      </c>
      <c r="N43" s="102">
        <v>975.8</v>
      </c>
      <c r="S43" t="str">
        <f t="shared" si="2"/>
        <v>95-008-57-60</v>
      </c>
      <c r="T43" s="129" t="s">
        <v>28272</v>
      </c>
      <c r="U43" s="112">
        <v>1</v>
      </c>
    </row>
    <row r="44" spans="1:21" x14ac:dyDescent="0.2">
      <c r="A44" s="102" t="s">
        <v>29572</v>
      </c>
      <c r="B44" s="102" t="s">
        <v>29645</v>
      </c>
      <c r="C44" s="102" t="s">
        <v>31</v>
      </c>
      <c r="D44" s="102" t="s">
        <v>39</v>
      </c>
      <c r="E44" s="102" t="s">
        <v>29661</v>
      </c>
      <c r="F44" s="102" t="s">
        <v>91</v>
      </c>
      <c r="G44" s="102" t="s">
        <v>29661</v>
      </c>
      <c r="H44" s="102" t="s">
        <v>29668</v>
      </c>
      <c r="I44" s="102" t="s">
        <v>29669</v>
      </c>
      <c r="J44" s="102" t="s">
        <v>29710</v>
      </c>
      <c r="K44" s="102" t="s">
        <v>264</v>
      </c>
      <c r="L44" s="102" t="s">
        <v>25606</v>
      </c>
      <c r="M44" s="102" t="s">
        <v>26662</v>
      </c>
      <c r="N44" s="102">
        <v>975.8</v>
      </c>
      <c r="S44" t="str">
        <f t="shared" si="2"/>
        <v>95-008-57-61</v>
      </c>
      <c r="T44" s="129" t="s">
        <v>28354</v>
      </c>
      <c r="U44" s="112">
        <v>1</v>
      </c>
    </row>
    <row r="45" spans="1:21" x14ac:dyDescent="0.2">
      <c r="A45" s="102" t="s">
        <v>29573</v>
      </c>
      <c r="B45" s="102" t="s">
        <v>29646</v>
      </c>
      <c r="C45" s="102" t="s">
        <v>31</v>
      </c>
      <c r="D45" s="102" t="s">
        <v>39</v>
      </c>
      <c r="E45" s="102" t="s">
        <v>29661</v>
      </c>
      <c r="F45" s="102" t="s">
        <v>91</v>
      </c>
      <c r="G45" s="102" t="s">
        <v>29661</v>
      </c>
      <c r="H45" s="102" t="s">
        <v>29670</v>
      </c>
      <c r="I45" s="102" t="s">
        <v>25386</v>
      </c>
      <c r="J45" s="102" t="s">
        <v>29710</v>
      </c>
      <c r="K45" s="102" t="s">
        <v>264</v>
      </c>
      <c r="L45" s="102" t="s">
        <v>25606</v>
      </c>
      <c r="M45" s="102" t="s">
        <v>26662</v>
      </c>
      <c r="N45" s="102">
        <v>975.8</v>
      </c>
      <c r="S45" t="str">
        <f t="shared" si="2"/>
        <v>95-004-19-57</v>
      </c>
      <c r="T45" s="129" t="s">
        <v>28353</v>
      </c>
      <c r="U45" s="112">
        <v>1</v>
      </c>
    </row>
    <row r="46" spans="1:21" x14ac:dyDescent="0.2">
      <c r="A46" s="102" t="s">
        <v>29573</v>
      </c>
      <c r="B46" s="102" t="s">
        <v>29646</v>
      </c>
      <c r="C46" s="102" t="s">
        <v>31</v>
      </c>
      <c r="D46" s="102" t="s">
        <v>39</v>
      </c>
      <c r="E46" s="102" t="s">
        <v>29661</v>
      </c>
      <c r="F46" s="102" t="s">
        <v>91</v>
      </c>
      <c r="G46" s="102" t="s">
        <v>29661</v>
      </c>
      <c r="H46" s="102" t="s">
        <v>29670</v>
      </c>
      <c r="I46" s="102" t="s">
        <v>25386</v>
      </c>
      <c r="J46" s="102" t="s">
        <v>29710</v>
      </c>
      <c r="K46" s="102" t="s">
        <v>264</v>
      </c>
      <c r="L46" s="102" t="s">
        <v>25606</v>
      </c>
      <c r="M46" s="102" t="s">
        <v>26662</v>
      </c>
      <c r="N46" s="102">
        <v>975.8</v>
      </c>
      <c r="S46" t="str">
        <f t="shared" si="2"/>
        <v>95-004-19-58</v>
      </c>
      <c r="T46" s="129" t="s">
        <v>28395</v>
      </c>
      <c r="U46" s="112">
        <v>1</v>
      </c>
    </row>
    <row r="47" spans="1:21" x14ac:dyDescent="0.2">
      <c r="A47" s="102" t="s">
        <v>29573</v>
      </c>
      <c r="B47" s="102" t="s">
        <v>29646</v>
      </c>
      <c r="C47" s="102" t="s">
        <v>31</v>
      </c>
      <c r="D47" s="102" t="s">
        <v>39</v>
      </c>
      <c r="E47" s="102" t="s">
        <v>29661</v>
      </c>
      <c r="F47" s="102" t="s">
        <v>91</v>
      </c>
      <c r="G47" s="102" t="s">
        <v>29661</v>
      </c>
      <c r="H47" s="102" t="s">
        <v>29670</v>
      </c>
      <c r="I47" s="102" t="s">
        <v>25386</v>
      </c>
      <c r="J47" s="102" t="s">
        <v>29710</v>
      </c>
      <c r="K47" s="102" t="s">
        <v>264</v>
      </c>
      <c r="L47" s="102" t="s">
        <v>25606</v>
      </c>
      <c r="M47" s="102" t="s">
        <v>26662</v>
      </c>
      <c r="N47" s="102">
        <v>975.8</v>
      </c>
      <c r="S47" t="str">
        <f t="shared" si="2"/>
        <v>95-004-19-59</v>
      </c>
      <c r="T47" s="129" t="s">
        <v>28349</v>
      </c>
      <c r="U47" s="112">
        <v>2</v>
      </c>
    </row>
    <row r="48" spans="1:21" x14ac:dyDescent="0.2">
      <c r="A48" s="102" t="s">
        <v>29573</v>
      </c>
      <c r="B48" s="102" t="s">
        <v>29646</v>
      </c>
      <c r="C48" s="102" t="s">
        <v>31</v>
      </c>
      <c r="D48" s="102" t="s">
        <v>39</v>
      </c>
      <c r="E48" s="102" t="s">
        <v>29661</v>
      </c>
      <c r="F48" s="102" t="s">
        <v>91</v>
      </c>
      <c r="G48" s="102" t="s">
        <v>29661</v>
      </c>
      <c r="H48" s="102" t="s">
        <v>29670</v>
      </c>
      <c r="I48" s="102" t="s">
        <v>25386</v>
      </c>
      <c r="J48" s="102" t="s">
        <v>29710</v>
      </c>
      <c r="K48" s="102" t="s">
        <v>264</v>
      </c>
      <c r="L48" s="102" t="s">
        <v>25606</v>
      </c>
      <c r="M48" s="102" t="s">
        <v>26662</v>
      </c>
      <c r="N48" s="102">
        <v>975.8</v>
      </c>
      <c r="S48" t="str">
        <f t="shared" si="2"/>
        <v>95-004-19-60</v>
      </c>
      <c r="T48" s="129" t="s">
        <v>28272</v>
      </c>
      <c r="U48" s="112">
        <v>1</v>
      </c>
    </row>
    <row r="49" spans="1:21" x14ac:dyDescent="0.2">
      <c r="A49" s="102" t="s">
        <v>29573</v>
      </c>
      <c r="B49" s="102" t="s">
        <v>29646</v>
      </c>
      <c r="C49" s="102" t="s">
        <v>31</v>
      </c>
      <c r="D49" s="102" t="s">
        <v>39</v>
      </c>
      <c r="E49" s="102" t="s">
        <v>29661</v>
      </c>
      <c r="F49" s="102" t="s">
        <v>91</v>
      </c>
      <c r="G49" s="102" t="s">
        <v>29661</v>
      </c>
      <c r="H49" s="102" t="s">
        <v>29670</v>
      </c>
      <c r="I49" s="102" t="s">
        <v>25386</v>
      </c>
      <c r="J49" s="102" t="s">
        <v>29710</v>
      </c>
      <c r="K49" s="102" t="s">
        <v>264</v>
      </c>
      <c r="L49" s="102" t="s">
        <v>25606</v>
      </c>
      <c r="M49" s="102" t="s">
        <v>26662</v>
      </c>
      <c r="N49" s="102">
        <v>975.8</v>
      </c>
      <c r="S49" t="str">
        <f t="shared" si="2"/>
        <v>95-004-19-61</v>
      </c>
      <c r="T49" s="129" t="s">
        <v>28354</v>
      </c>
      <c r="U49" s="112">
        <v>1</v>
      </c>
    </row>
    <row r="50" spans="1:21" x14ac:dyDescent="0.2">
      <c r="A50" s="102" t="s">
        <v>29574</v>
      </c>
      <c r="B50" s="102" t="s">
        <v>29645</v>
      </c>
      <c r="C50" s="102" t="s">
        <v>31</v>
      </c>
      <c r="D50" s="102" t="s">
        <v>39</v>
      </c>
      <c r="E50" s="102" t="s">
        <v>29661</v>
      </c>
      <c r="F50" s="102" t="s">
        <v>91</v>
      </c>
      <c r="G50" s="102" t="s">
        <v>29661</v>
      </c>
      <c r="H50" s="102" t="s">
        <v>29670</v>
      </c>
      <c r="I50" s="102" t="s">
        <v>25386</v>
      </c>
      <c r="J50" s="102" t="s">
        <v>29710</v>
      </c>
      <c r="K50" s="102" t="s">
        <v>264</v>
      </c>
      <c r="L50" s="102" t="s">
        <v>25606</v>
      </c>
      <c r="M50" s="102" t="s">
        <v>26662</v>
      </c>
      <c r="N50" s="102">
        <v>975.8</v>
      </c>
      <c r="S50" t="str">
        <f t="shared" ref="S50:S63" si="3">A50&amp;"-"&amp;T50</f>
        <v>95-008-19-57</v>
      </c>
      <c r="T50" s="129" t="s">
        <v>28353</v>
      </c>
      <c r="U50" s="112">
        <v>1</v>
      </c>
    </row>
    <row r="51" spans="1:21" x14ac:dyDescent="0.2">
      <c r="A51" s="102" t="s">
        <v>29574</v>
      </c>
      <c r="B51" s="102" t="s">
        <v>29645</v>
      </c>
      <c r="C51" s="102" t="s">
        <v>31</v>
      </c>
      <c r="D51" s="102" t="s">
        <v>39</v>
      </c>
      <c r="E51" s="102" t="s">
        <v>29661</v>
      </c>
      <c r="F51" s="102" t="s">
        <v>91</v>
      </c>
      <c r="G51" s="102" t="s">
        <v>29661</v>
      </c>
      <c r="H51" s="102" t="s">
        <v>29670</v>
      </c>
      <c r="I51" s="102" t="s">
        <v>25386</v>
      </c>
      <c r="J51" s="102" t="s">
        <v>29710</v>
      </c>
      <c r="K51" s="102" t="s">
        <v>264</v>
      </c>
      <c r="L51" s="102" t="s">
        <v>25606</v>
      </c>
      <c r="M51" s="102" t="s">
        <v>26662</v>
      </c>
      <c r="N51" s="102">
        <v>975.8</v>
      </c>
      <c r="S51" t="str">
        <f t="shared" si="3"/>
        <v>95-008-19-58</v>
      </c>
      <c r="T51" s="129" t="s">
        <v>28395</v>
      </c>
      <c r="U51" s="112">
        <v>1</v>
      </c>
    </row>
    <row r="52" spans="1:21" x14ac:dyDescent="0.2">
      <c r="A52" s="102" t="s">
        <v>29574</v>
      </c>
      <c r="B52" s="102" t="s">
        <v>29645</v>
      </c>
      <c r="C52" s="102" t="s">
        <v>31</v>
      </c>
      <c r="D52" s="102" t="s">
        <v>39</v>
      </c>
      <c r="E52" s="102" t="s">
        <v>29661</v>
      </c>
      <c r="F52" s="102" t="s">
        <v>91</v>
      </c>
      <c r="G52" s="102" t="s">
        <v>29661</v>
      </c>
      <c r="H52" s="102" t="s">
        <v>29670</v>
      </c>
      <c r="I52" s="102" t="s">
        <v>25386</v>
      </c>
      <c r="J52" s="102" t="s">
        <v>29710</v>
      </c>
      <c r="K52" s="102" t="s">
        <v>264</v>
      </c>
      <c r="L52" s="102" t="s">
        <v>25606</v>
      </c>
      <c r="M52" s="102" t="s">
        <v>26662</v>
      </c>
      <c r="N52" s="102">
        <v>975.8</v>
      </c>
      <c r="S52" t="str">
        <f t="shared" si="3"/>
        <v>95-008-19-59</v>
      </c>
      <c r="T52" s="129" t="s">
        <v>28349</v>
      </c>
      <c r="U52" s="112">
        <v>2</v>
      </c>
    </row>
    <row r="53" spans="1:21" x14ac:dyDescent="0.2">
      <c r="A53" s="102" t="s">
        <v>29574</v>
      </c>
      <c r="B53" s="102" t="s">
        <v>29645</v>
      </c>
      <c r="C53" s="102" t="s">
        <v>31</v>
      </c>
      <c r="D53" s="102" t="s">
        <v>39</v>
      </c>
      <c r="E53" s="102" t="s">
        <v>29661</v>
      </c>
      <c r="F53" s="102" t="s">
        <v>91</v>
      </c>
      <c r="G53" s="102" t="s">
        <v>29661</v>
      </c>
      <c r="H53" s="102" t="s">
        <v>29670</v>
      </c>
      <c r="I53" s="102" t="s">
        <v>25386</v>
      </c>
      <c r="J53" s="102" t="s">
        <v>29710</v>
      </c>
      <c r="K53" s="102" t="s">
        <v>264</v>
      </c>
      <c r="L53" s="102" t="s">
        <v>25606</v>
      </c>
      <c r="M53" s="102" t="s">
        <v>26662</v>
      </c>
      <c r="N53" s="102">
        <v>975.8</v>
      </c>
      <c r="S53" t="str">
        <f t="shared" si="3"/>
        <v>95-008-19-60</v>
      </c>
      <c r="T53" s="129" t="s">
        <v>28272</v>
      </c>
      <c r="U53" s="112">
        <v>1</v>
      </c>
    </row>
    <row r="54" spans="1:21" x14ac:dyDescent="0.2">
      <c r="A54" s="102" t="s">
        <v>29575</v>
      </c>
      <c r="B54" s="102" t="s">
        <v>29646</v>
      </c>
      <c r="C54" s="102" t="s">
        <v>31</v>
      </c>
      <c r="D54" s="102" t="s">
        <v>39</v>
      </c>
      <c r="E54" s="102" t="s">
        <v>29661</v>
      </c>
      <c r="F54" s="102" t="s">
        <v>91</v>
      </c>
      <c r="G54" s="102" t="s">
        <v>29661</v>
      </c>
      <c r="H54" s="102" t="s">
        <v>29671</v>
      </c>
      <c r="I54" s="102" t="s">
        <v>29672</v>
      </c>
      <c r="J54" s="102" t="s">
        <v>29710</v>
      </c>
      <c r="K54" s="102" t="s">
        <v>264</v>
      </c>
      <c r="L54" s="102" t="s">
        <v>25606</v>
      </c>
      <c r="M54" s="102" t="s">
        <v>26662</v>
      </c>
      <c r="N54" s="102">
        <v>975.8</v>
      </c>
      <c r="S54" t="str">
        <f t="shared" si="3"/>
        <v>95-004-58-58</v>
      </c>
      <c r="T54" s="129" t="s">
        <v>28395</v>
      </c>
      <c r="U54" s="112">
        <v>2</v>
      </c>
    </row>
    <row r="55" spans="1:21" x14ac:dyDescent="0.2">
      <c r="A55" s="102" t="s">
        <v>29575</v>
      </c>
      <c r="B55" s="102" t="s">
        <v>29646</v>
      </c>
      <c r="C55" s="102" t="s">
        <v>31</v>
      </c>
      <c r="D55" s="102" t="s">
        <v>39</v>
      </c>
      <c r="E55" s="102" t="s">
        <v>29661</v>
      </c>
      <c r="F55" s="102" t="s">
        <v>91</v>
      </c>
      <c r="G55" s="102" t="s">
        <v>29661</v>
      </c>
      <c r="H55" s="102" t="s">
        <v>29671</v>
      </c>
      <c r="I55" s="102" t="s">
        <v>29672</v>
      </c>
      <c r="J55" s="102" t="s">
        <v>29710</v>
      </c>
      <c r="K55" s="102" t="s">
        <v>264</v>
      </c>
      <c r="L55" s="102" t="s">
        <v>25606</v>
      </c>
      <c r="M55" s="102" t="s">
        <v>26662</v>
      </c>
      <c r="N55" s="102">
        <v>975.8</v>
      </c>
      <c r="S55" t="str">
        <f t="shared" si="3"/>
        <v>95-004-58-59</v>
      </c>
      <c r="T55" s="129" t="s">
        <v>28349</v>
      </c>
      <c r="U55" s="112">
        <v>3</v>
      </c>
    </row>
    <row r="56" spans="1:21" x14ac:dyDescent="0.2">
      <c r="A56" s="102" t="s">
        <v>29575</v>
      </c>
      <c r="B56" s="102" t="s">
        <v>29646</v>
      </c>
      <c r="C56" s="102" t="s">
        <v>31</v>
      </c>
      <c r="D56" s="102" t="s">
        <v>39</v>
      </c>
      <c r="E56" s="102" t="s">
        <v>29661</v>
      </c>
      <c r="F56" s="102" t="s">
        <v>91</v>
      </c>
      <c r="G56" s="102" t="s">
        <v>29661</v>
      </c>
      <c r="H56" s="102" t="s">
        <v>29671</v>
      </c>
      <c r="I56" s="102" t="s">
        <v>29672</v>
      </c>
      <c r="J56" s="102" t="s">
        <v>29710</v>
      </c>
      <c r="K56" s="102" t="s">
        <v>264</v>
      </c>
      <c r="L56" s="102" t="s">
        <v>25606</v>
      </c>
      <c r="M56" s="102" t="s">
        <v>26662</v>
      </c>
      <c r="N56" s="102">
        <v>975.8</v>
      </c>
      <c r="S56" t="str">
        <f t="shared" si="3"/>
        <v>95-004-58-60</v>
      </c>
      <c r="T56" s="129" t="s">
        <v>28272</v>
      </c>
      <c r="U56" s="112">
        <v>2</v>
      </c>
    </row>
    <row r="57" spans="1:21" x14ac:dyDescent="0.2">
      <c r="A57" s="102" t="s">
        <v>29575</v>
      </c>
      <c r="B57" s="102" t="s">
        <v>29646</v>
      </c>
      <c r="C57" s="102" t="s">
        <v>31</v>
      </c>
      <c r="D57" s="102" t="s">
        <v>39</v>
      </c>
      <c r="E57" s="102" t="s">
        <v>29661</v>
      </c>
      <c r="F57" s="102" t="s">
        <v>91</v>
      </c>
      <c r="G57" s="102" t="s">
        <v>29661</v>
      </c>
      <c r="H57" s="102" t="s">
        <v>29671</v>
      </c>
      <c r="I57" s="102" t="s">
        <v>29672</v>
      </c>
      <c r="J57" s="102" t="s">
        <v>29710</v>
      </c>
      <c r="K57" s="102" t="s">
        <v>264</v>
      </c>
      <c r="L57" s="102" t="s">
        <v>25606</v>
      </c>
      <c r="M57" s="102" t="s">
        <v>26662</v>
      </c>
      <c r="N57" s="102">
        <v>975.8</v>
      </c>
      <c r="S57" t="str">
        <f t="shared" si="3"/>
        <v>95-004-58-61</v>
      </c>
      <c r="T57" s="129" t="s">
        <v>28354</v>
      </c>
      <c r="U57" s="112">
        <v>1</v>
      </c>
    </row>
    <row r="58" spans="1:21" x14ac:dyDescent="0.2">
      <c r="A58" s="102" t="s">
        <v>29575</v>
      </c>
      <c r="B58" s="102" t="s">
        <v>29646</v>
      </c>
      <c r="C58" s="102" t="s">
        <v>31</v>
      </c>
      <c r="D58" s="102" t="s">
        <v>39</v>
      </c>
      <c r="E58" s="102" t="s">
        <v>29661</v>
      </c>
      <c r="F58" s="102" t="s">
        <v>91</v>
      </c>
      <c r="G58" s="102" t="s">
        <v>29661</v>
      </c>
      <c r="H58" s="102" t="s">
        <v>29671</v>
      </c>
      <c r="I58" s="102" t="s">
        <v>29672</v>
      </c>
      <c r="J58" s="102" t="s">
        <v>29710</v>
      </c>
      <c r="K58" s="102" t="s">
        <v>264</v>
      </c>
      <c r="L58" s="102" t="s">
        <v>25606</v>
      </c>
      <c r="M58" s="102" t="s">
        <v>26662</v>
      </c>
      <c r="N58" s="102">
        <v>975.8</v>
      </c>
      <c r="S58" t="str">
        <f t="shared" si="3"/>
        <v>95-004-58-62</v>
      </c>
      <c r="T58" s="129" t="s">
        <v>28236</v>
      </c>
      <c r="U58" s="112">
        <v>1</v>
      </c>
    </row>
    <row r="59" spans="1:21" x14ac:dyDescent="0.2">
      <c r="A59" s="102" t="s">
        <v>29576</v>
      </c>
      <c r="B59" s="102" t="s">
        <v>29649</v>
      </c>
      <c r="C59" s="102" t="s">
        <v>46</v>
      </c>
      <c r="D59" s="102" t="s">
        <v>47</v>
      </c>
      <c r="E59" s="102" t="s">
        <v>29661</v>
      </c>
      <c r="F59" s="102" t="s">
        <v>91</v>
      </c>
      <c r="G59" s="102" t="s">
        <v>29661</v>
      </c>
      <c r="H59" s="102" t="s">
        <v>29673</v>
      </c>
      <c r="I59" s="102" t="s">
        <v>25472</v>
      </c>
      <c r="J59" s="102" t="s">
        <v>29710</v>
      </c>
      <c r="K59" s="102" t="s">
        <v>264</v>
      </c>
      <c r="L59" s="102" t="s">
        <v>25606</v>
      </c>
      <c r="M59" s="102" t="s">
        <v>26662</v>
      </c>
      <c r="N59" s="102">
        <v>975.8</v>
      </c>
      <c r="S59" t="str">
        <f t="shared" si="3"/>
        <v>95-001-01-57</v>
      </c>
      <c r="T59" s="129" t="s">
        <v>28353</v>
      </c>
      <c r="U59" s="112">
        <v>1</v>
      </c>
    </row>
    <row r="60" spans="1:21" x14ac:dyDescent="0.2">
      <c r="A60" s="102" t="s">
        <v>29576</v>
      </c>
      <c r="B60" s="102" t="s">
        <v>29649</v>
      </c>
      <c r="C60" s="102" t="s">
        <v>46</v>
      </c>
      <c r="D60" s="102" t="s">
        <v>47</v>
      </c>
      <c r="E60" s="102" t="s">
        <v>29661</v>
      </c>
      <c r="F60" s="102" t="s">
        <v>91</v>
      </c>
      <c r="G60" s="102" t="s">
        <v>29661</v>
      </c>
      <c r="H60" s="102" t="s">
        <v>29673</v>
      </c>
      <c r="I60" s="102" t="s">
        <v>25472</v>
      </c>
      <c r="J60" s="102" t="s">
        <v>29710</v>
      </c>
      <c r="K60" s="102" t="s">
        <v>264</v>
      </c>
      <c r="L60" s="102" t="s">
        <v>25606</v>
      </c>
      <c r="M60" s="102" t="s">
        <v>26662</v>
      </c>
      <c r="N60" s="102">
        <v>975.8</v>
      </c>
      <c r="S60" t="str">
        <f t="shared" si="3"/>
        <v>95-001-01-58</v>
      </c>
      <c r="T60" s="129" t="s">
        <v>28395</v>
      </c>
      <c r="U60" s="112">
        <v>1</v>
      </c>
    </row>
    <row r="61" spans="1:21" x14ac:dyDescent="0.2">
      <c r="A61" s="102" t="s">
        <v>29576</v>
      </c>
      <c r="B61" s="102" t="s">
        <v>29649</v>
      </c>
      <c r="C61" s="102" t="s">
        <v>46</v>
      </c>
      <c r="D61" s="102" t="s">
        <v>47</v>
      </c>
      <c r="E61" s="102" t="s">
        <v>29661</v>
      </c>
      <c r="F61" s="102" t="s">
        <v>91</v>
      </c>
      <c r="G61" s="102" t="s">
        <v>29661</v>
      </c>
      <c r="H61" s="102" t="s">
        <v>29673</v>
      </c>
      <c r="I61" s="102" t="s">
        <v>25472</v>
      </c>
      <c r="J61" s="102" t="s">
        <v>29710</v>
      </c>
      <c r="K61" s="102" t="s">
        <v>264</v>
      </c>
      <c r="L61" s="102" t="s">
        <v>25606</v>
      </c>
      <c r="M61" s="102" t="s">
        <v>26662</v>
      </c>
      <c r="N61" s="102">
        <v>975.8</v>
      </c>
      <c r="S61" t="str">
        <f t="shared" si="3"/>
        <v>95-001-01-59</v>
      </c>
      <c r="T61" s="129" t="s">
        <v>28349</v>
      </c>
      <c r="U61" s="112">
        <v>2</v>
      </c>
    </row>
    <row r="62" spans="1:21" x14ac:dyDescent="0.2">
      <c r="A62" s="102" t="s">
        <v>29576</v>
      </c>
      <c r="B62" s="102" t="s">
        <v>29649</v>
      </c>
      <c r="C62" s="102" t="s">
        <v>46</v>
      </c>
      <c r="D62" s="102" t="s">
        <v>47</v>
      </c>
      <c r="E62" s="102" t="s">
        <v>29661</v>
      </c>
      <c r="F62" s="102" t="s">
        <v>91</v>
      </c>
      <c r="G62" s="102" t="s">
        <v>29661</v>
      </c>
      <c r="H62" s="102" t="s">
        <v>29673</v>
      </c>
      <c r="I62" s="102" t="s">
        <v>25472</v>
      </c>
      <c r="J62" s="102" t="s">
        <v>29710</v>
      </c>
      <c r="K62" s="102" t="s">
        <v>264</v>
      </c>
      <c r="L62" s="102" t="s">
        <v>25606</v>
      </c>
      <c r="M62" s="102" t="s">
        <v>26662</v>
      </c>
      <c r="N62" s="102">
        <v>975.8</v>
      </c>
      <c r="S62" t="str">
        <f t="shared" si="3"/>
        <v>95-001-01-60</v>
      </c>
      <c r="T62" s="129" t="s">
        <v>28272</v>
      </c>
      <c r="U62" s="112">
        <v>1</v>
      </c>
    </row>
    <row r="63" spans="1:21" x14ac:dyDescent="0.2">
      <c r="A63" s="102" t="s">
        <v>29576</v>
      </c>
      <c r="B63" s="102" t="s">
        <v>29649</v>
      </c>
      <c r="C63" s="102" t="s">
        <v>46</v>
      </c>
      <c r="D63" s="102" t="s">
        <v>47</v>
      </c>
      <c r="E63" s="102" t="s">
        <v>29661</v>
      </c>
      <c r="F63" s="102" t="s">
        <v>91</v>
      </c>
      <c r="G63" s="102" t="s">
        <v>29661</v>
      </c>
      <c r="H63" s="102" t="s">
        <v>29673</v>
      </c>
      <c r="I63" s="102" t="s">
        <v>25472</v>
      </c>
      <c r="J63" s="102" t="s">
        <v>29710</v>
      </c>
      <c r="K63" s="102" t="s">
        <v>264</v>
      </c>
      <c r="L63" s="102" t="s">
        <v>25606</v>
      </c>
      <c r="M63" s="102" t="s">
        <v>26662</v>
      </c>
      <c r="N63" s="102">
        <v>975.8</v>
      </c>
      <c r="S63" t="str">
        <f t="shared" si="3"/>
        <v>95-001-01-61</v>
      </c>
      <c r="T63" s="129" t="s">
        <v>28354</v>
      </c>
      <c r="U63" s="112">
        <v>1</v>
      </c>
    </row>
    <row r="64" spans="1:21" x14ac:dyDescent="0.2">
      <c r="A64" s="102" t="s">
        <v>29577</v>
      </c>
      <c r="B64" s="102" t="s">
        <v>29645</v>
      </c>
      <c r="C64" s="102" t="s">
        <v>31</v>
      </c>
      <c r="D64" s="102" t="s">
        <v>39</v>
      </c>
      <c r="E64" s="102" t="s">
        <v>29661</v>
      </c>
      <c r="F64" s="102" t="s">
        <v>91</v>
      </c>
      <c r="G64" s="102" t="s">
        <v>29661</v>
      </c>
      <c r="H64" s="102" t="s">
        <v>29673</v>
      </c>
      <c r="I64" s="102" t="s">
        <v>25472</v>
      </c>
      <c r="J64" s="102" t="s">
        <v>29710</v>
      </c>
      <c r="K64" s="102" t="s">
        <v>264</v>
      </c>
      <c r="L64" s="102" t="s">
        <v>25606</v>
      </c>
      <c r="M64" s="102" t="s">
        <v>26662</v>
      </c>
      <c r="N64" s="102">
        <v>975.8</v>
      </c>
      <c r="S64" t="str">
        <f t="shared" ref="S64:S77" si="4">A64&amp;"-"&amp;T64</f>
        <v>95-008-01-57</v>
      </c>
      <c r="T64" s="129" t="s">
        <v>28353</v>
      </c>
      <c r="U64" s="112">
        <v>1</v>
      </c>
    </row>
    <row r="65" spans="1:21" x14ac:dyDescent="0.2">
      <c r="A65" s="102" t="s">
        <v>29577</v>
      </c>
      <c r="B65" s="102" t="s">
        <v>29645</v>
      </c>
      <c r="C65" s="102" t="s">
        <v>31</v>
      </c>
      <c r="D65" s="102" t="s">
        <v>39</v>
      </c>
      <c r="E65" s="102" t="s">
        <v>29661</v>
      </c>
      <c r="F65" s="102" t="s">
        <v>91</v>
      </c>
      <c r="G65" s="102" t="s">
        <v>29661</v>
      </c>
      <c r="H65" s="102" t="s">
        <v>29673</v>
      </c>
      <c r="I65" s="102" t="s">
        <v>25472</v>
      </c>
      <c r="J65" s="102" t="s">
        <v>29710</v>
      </c>
      <c r="K65" s="102" t="s">
        <v>264</v>
      </c>
      <c r="L65" s="102" t="s">
        <v>25606</v>
      </c>
      <c r="M65" s="102" t="s">
        <v>26662</v>
      </c>
      <c r="N65" s="102">
        <v>975.8</v>
      </c>
      <c r="S65" t="str">
        <f t="shared" si="4"/>
        <v>95-008-01-58</v>
      </c>
      <c r="T65" s="129" t="s">
        <v>28395</v>
      </c>
      <c r="U65" s="112">
        <v>1</v>
      </c>
    </row>
    <row r="66" spans="1:21" x14ac:dyDescent="0.2">
      <c r="A66" s="102" t="s">
        <v>29577</v>
      </c>
      <c r="B66" s="102" t="s">
        <v>29645</v>
      </c>
      <c r="C66" s="102" t="s">
        <v>31</v>
      </c>
      <c r="D66" s="102" t="s">
        <v>39</v>
      </c>
      <c r="E66" s="102" t="s">
        <v>29661</v>
      </c>
      <c r="F66" s="102" t="s">
        <v>91</v>
      </c>
      <c r="G66" s="102" t="s">
        <v>29661</v>
      </c>
      <c r="H66" s="102" t="s">
        <v>29673</v>
      </c>
      <c r="I66" s="102" t="s">
        <v>25472</v>
      </c>
      <c r="J66" s="102" t="s">
        <v>29710</v>
      </c>
      <c r="K66" s="102" t="s">
        <v>264</v>
      </c>
      <c r="L66" s="102" t="s">
        <v>25606</v>
      </c>
      <c r="M66" s="102" t="s">
        <v>26662</v>
      </c>
      <c r="N66" s="102">
        <v>975.8</v>
      </c>
      <c r="S66" t="str">
        <f t="shared" si="4"/>
        <v>95-008-01-59</v>
      </c>
      <c r="T66" s="129" t="s">
        <v>28349</v>
      </c>
      <c r="U66" s="112">
        <v>2</v>
      </c>
    </row>
    <row r="67" spans="1:21" x14ac:dyDescent="0.2">
      <c r="A67" s="102" t="s">
        <v>29577</v>
      </c>
      <c r="B67" s="102" t="s">
        <v>29645</v>
      </c>
      <c r="C67" s="102" t="s">
        <v>31</v>
      </c>
      <c r="D67" s="102" t="s">
        <v>39</v>
      </c>
      <c r="E67" s="102" t="s">
        <v>29661</v>
      </c>
      <c r="F67" s="102" t="s">
        <v>91</v>
      </c>
      <c r="G67" s="102" t="s">
        <v>29661</v>
      </c>
      <c r="H67" s="102" t="s">
        <v>29673</v>
      </c>
      <c r="I67" s="102" t="s">
        <v>25472</v>
      </c>
      <c r="J67" s="102" t="s">
        <v>29710</v>
      </c>
      <c r="K67" s="102" t="s">
        <v>264</v>
      </c>
      <c r="L67" s="102" t="s">
        <v>25606</v>
      </c>
      <c r="M67" s="102" t="s">
        <v>26662</v>
      </c>
      <c r="N67" s="102">
        <v>975.8</v>
      </c>
      <c r="S67" t="str">
        <f t="shared" si="4"/>
        <v>95-008-01-60</v>
      </c>
      <c r="T67" s="129" t="s">
        <v>28272</v>
      </c>
      <c r="U67" s="112">
        <v>1</v>
      </c>
    </row>
    <row r="68" spans="1:21" x14ac:dyDescent="0.2">
      <c r="A68" s="102" t="s">
        <v>29577</v>
      </c>
      <c r="B68" s="102" t="s">
        <v>29645</v>
      </c>
      <c r="C68" s="102" t="s">
        <v>31</v>
      </c>
      <c r="D68" s="102" t="s">
        <v>39</v>
      </c>
      <c r="E68" s="102" t="s">
        <v>29661</v>
      </c>
      <c r="F68" s="102" t="s">
        <v>91</v>
      </c>
      <c r="G68" s="102" t="s">
        <v>29661</v>
      </c>
      <c r="H68" s="102" t="s">
        <v>29673</v>
      </c>
      <c r="I68" s="102" t="s">
        <v>25472</v>
      </c>
      <c r="J68" s="102" t="s">
        <v>29710</v>
      </c>
      <c r="K68" s="102" t="s">
        <v>264</v>
      </c>
      <c r="L68" s="102" t="s">
        <v>25606</v>
      </c>
      <c r="M68" s="102" t="s">
        <v>26662</v>
      </c>
      <c r="N68" s="102">
        <v>975.8</v>
      </c>
      <c r="S68" t="str">
        <f t="shared" si="4"/>
        <v>95-008-01-61</v>
      </c>
      <c r="T68" s="129" t="s">
        <v>28354</v>
      </c>
      <c r="U68" s="112">
        <v>1</v>
      </c>
    </row>
    <row r="69" spans="1:21" x14ac:dyDescent="0.2">
      <c r="A69" s="102" t="s">
        <v>29578</v>
      </c>
      <c r="B69" s="102" t="s">
        <v>29647</v>
      </c>
      <c r="C69" s="102" t="s">
        <v>31</v>
      </c>
      <c r="D69" s="102" t="s">
        <v>25558</v>
      </c>
      <c r="E69" s="102" t="s">
        <v>29661</v>
      </c>
      <c r="F69" s="102" t="s">
        <v>91</v>
      </c>
      <c r="G69" s="102" t="s">
        <v>29661</v>
      </c>
      <c r="H69" s="102" t="s">
        <v>29674</v>
      </c>
      <c r="I69" s="102" t="s">
        <v>28287</v>
      </c>
      <c r="J69" s="102" t="s">
        <v>29710</v>
      </c>
      <c r="K69" s="102" t="s">
        <v>264</v>
      </c>
      <c r="L69" s="102" t="s">
        <v>25606</v>
      </c>
      <c r="M69" s="102" t="s">
        <v>26662</v>
      </c>
      <c r="N69" s="102">
        <v>975.8</v>
      </c>
      <c r="S69" t="str">
        <f t="shared" si="4"/>
        <v>95-010-16-56</v>
      </c>
      <c r="T69" s="129" t="s">
        <v>28269</v>
      </c>
      <c r="U69" s="112">
        <v>1</v>
      </c>
    </row>
    <row r="70" spans="1:21" x14ac:dyDescent="0.2">
      <c r="A70" s="102" t="s">
        <v>29578</v>
      </c>
      <c r="B70" s="102" t="s">
        <v>29647</v>
      </c>
      <c r="C70" s="102" t="s">
        <v>31</v>
      </c>
      <c r="D70" s="102" t="s">
        <v>25558</v>
      </c>
      <c r="E70" s="102" t="s">
        <v>29661</v>
      </c>
      <c r="F70" s="102" t="s">
        <v>91</v>
      </c>
      <c r="G70" s="102" t="s">
        <v>29661</v>
      </c>
      <c r="H70" s="102" t="s">
        <v>29674</v>
      </c>
      <c r="I70" s="102" t="s">
        <v>28287</v>
      </c>
      <c r="J70" s="102" t="s">
        <v>29710</v>
      </c>
      <c r="K70" s="102" t="s">
        <v>264</v>
      </c>
      <c r="L70" s="102" t="s">
        <v>25606</v>
      </c>
      <c r="M70" s="102" t="s">
        <v>26662</v>
      </c>
      <c r="N70" s="102">
        <v>975.8</v>
      </c>
      <c r="S70" t="str">
        <f t="shared" si="4"/>
        <v>95-010-16-57</v>
      </c>
      <c r="T70" s="129" t="s">
        <v>28353</v>
      </c>
      <c r="U70" s="112">
        <v>2</v>
      </c>
    </row>
    <row r="71" spans="1:21" x14ac:dyDescent="0.2">
      <c r="A71" s="102" t="s">
        <v>29578</v>
      </c>
      <c r="B71" s="102" t="s">
        <v>29647</v>
      </c>
      <c r="C71" s="102" t="s">
        <v>31</v>
      </c>
      <c r="D71" s="102" t="s">
        <v>25558</v>
      </c>
      <c r="E71" s="102" t="s">
        <v>29661</v>
      </c>
      <c r="F71" s="102" t="s">
        <v>91</v>
      </c>
      <c r="G71" s="102" t="s">
        <v>29661</v>
      </c>
      <c r="H71" s="102" t="s">
        <v>29674</v>
      </c>
      <c r="I71" s="102" t="s">
        <v>28287</v>
      </c>
      <c r="J71" s="102" t="s">
        <v>29710</v>
      </c>
      <c r="K71" s="102" t="s">
        <v>264</v>
      </c>
      <c r="L71" s="102" t="s">
        <v>25606</v>
      </c>
      <c r="M71" s="102" t="s">
        <v>26662</v>
      </c>
      <c r="N71" s="102">
        <v>975.8</v>
      </c>
      <c r="S71" t="str">
        <f t="shared" si="4"/>
        <v>95-010-16-58</v>
      </c>
      <c r="T71" s="129" t="s">
        <v>28395</v>
      </c>
      <c r="U71" s="112">
        <v>3</v>
      </c>
    </row>
    <row r="72" spans="1:21" x14ac:dyDescent="0.2">
      <c r="A72" s="102" t="s">
        <v>29578</v>
      </c>
      <c r="B72" s="102" t="s">
        <v>29647</v>
      </c>
      <c r="C72" s="102" t="s">
        <v>31</v>
      </c>
      <c r="D72" s="102" t="s">
        <v>25558</v>
      </c>
      <c r="E72" s="102" t="s">
        <v>29661</v>
      </c>
      <c r="F72" s="102" t="s">
        <v>91</v>
      </c>
      <c r="G72" s="102" t="s">
        <v>29661</v>
      </c>
      <c r="H72" s="102" t="s">
        <v>29674</v>
      </c>
      <c r="I72" s="102" t="s">
        <v>28287</v>
      </c>
      <c r="J72" s="102" t="s">
        <v>29710</v>
      </c>
      <c r="K72" s="102" t="s">
        <v>264</v>
      </c>
      <c r="L72" s="102" t="s">
        <v>25606</v>
      </c>
      <c r="M72" s="102" t="s">
        <v>26662</v>
      </c>
      <c r="N72" s="102">
        <v>975.8</v>
      </c>
      <c r="S72" t="str">
        <f t="shared" si="4"/>
        <v>95-010-16-59</v>
      </c>
      <c r="T72" s="129" t="s">
        <v>28349</v>
      </c>
      <c r="U72" s="112">
        <v>4</v>
      </c>
    </row>
    <row r="73" spans="1:21" x14ac:dyDescent="0.2">
      <c r="A73" s="102" t="s">
        <v>29578</v>
      </c>
      <c r="B73" s="102" t="s">
        <v>29647</v>
      </c>
      <c r="C73" s="102" t="s">
        <v>31</v>
      </c>
      <c r="D73" s="102" t="s">
        <v>25558</v>
      </c>
      <c r="E73" s="102" t="s">
        <v>29661</v>
      </c>
      <c r="F73" s="102" t="s">
        <v>91</v>
      </c>
      <c r="G73" s="102" t="s">
        <v>29661</v>
      </c>
      <c r="H73" s="102" t="s">
        <v>29674</v>
      </c>
      <c r="I73" s="102" t="s">
        <v>28287</v>
      </c>
      <c r="J73" s="102" t="s">
        <v>29710</v>
      </c>
      <c r="K73" s="102" t="s">
        <v>264</v>
      </c>
      <c r="L73" s="102" t="s">
        <v>25606</v>
      </c>
      <c r="M73" s="102" t="s">
        <v>26662</v>
      </c>
      <c r="N73" s="102">
        <v>975.8</v>
      </c>
      <c r="S73" t="str">
        <f t="shared" si="4"/>
        <v>95-010-16-60</v>
      </c>
      <c r="T73" s="129" t="s">
        <v>28272</v>
      </c>
      <c r="U73" s="112">
        <v>3</v>
      </c>
    </row>
    <row r="74" spans="1:21" x14ac:dyDescent="0.2">
      <c r="A74" s="102" t="s">
        <v>29579</v>
      </c>
      <c r="B74" s="102" t="s">
        <v>29646</v>
      </c>
      <c r="C74" s="102" t="s">
        <v>31</v>
      </c>
      <c r="D74" s="102" t="s">
        <v>39</v>
      </c>
      <c r="E74" s="102" t="s">
        <v>29661</v>
      </c>
      <c r="F74" s="102" t="s">
        <v>91</v>
      </c>
      <c r="G74" s="102" t="s">
        <v>29661</v>
      </c>
      <c r="H74" s="102" t="s">
        <v>29675</v>
      </c>
      <c r="I74" s="102" t="s">
        <v>25345</v>
      </c>
      <c r="J74" s="102" t="s">
        <v>29710</v>
      </c>
      <c r="K74" s="102" t="s">
        <v>264</v>
      </c>
      <c r="L74" s="102" t="s">
        <v>25606</v>
      </c>
      <c r="M74" s="102" t="s">
        <v>26662</v>
      </c>
      <c r="N74" s="102">
        <v>975.8</v>
      </c>
      <c r="S74" t="str">
        <f t="shared" si="4"/>
        <v>95-004-73-56</v>
      </c>
      <c r="T74" s="129" t="s">
        <v>28269</v>
      </c>
      <c r="U74" s="112">
        <v>4</v>
      </c>
    </row>
    <row r="75" spans="1:21" x14ac:dyDescent="0.2">
      <c r="A75" s="102" t="s">
        <v>29579</v>
      </c>
      <c r="B75" s="102" t="s">
        <v>29646</v>
      </c>
      <c r="C75" s="102" t="s">
        <v>31</v>
      </c>
      <c r="D75" s="102" t="s">
        <v>39</v>
      </c>
      <c r="E75" s="102" t="s">
        <v>29661</v>
      </c>
      <c r="F75" s="102" t="s">
        <v>91</v>
      </c>
      <c r="G75" s="102" t="s">
        <v>29661</v>
      </c>
      <c r="H75" s="102" t="s">
        <v>29675</v>
      </c>
      <c r="I75" s="102" t="s">
        <v>25345</v>
      </c>
      <c r="J75" s="102" t="s">
        <v>29710</v>
      </c>
      <c r="K75" s="102" t="s">
        <v>264</v>
      </c>
      <c r="L75" s="102" t="s">
        <v>25606</v>
      </c>
      <c r="M75" s="102" t="s">
        <v>26662</v>
      </c>
      <c r="N75" s="102">
        <v>975.8</v>
      </c>
      <c r="S75" t="str">
        <f t="shared" si="4"/>
        <v>95-004-73-57</v>
      </c>
      <c r="T75" s="129" t="s">
        <v>28353</v>
      </c>
      <c r="U75" s="112">
        <v>8</v>
      </c>
    </row>
    <row r="76" spans="1:21" x14ac:dyDescent="0.2">
      <c r="A76" s="102" t="s">
        <v>29579</v>
      </c>
      <c r="B76" s="102" t="s">
        <v>29646</v>
      </c>
      <c r="C76" s="102" t="s">
        <v>31</v>
      </c>
      <c r="D76" s="102" t="s">
        <v>39</v>
      </c>
      <c r="E76" s="102" t="s">
        <v>29661</v>
      </c>
      <c r="F76" s="102" t="s">
        <v>91</v>
      </c>
      <c r="G76" s="102" t="s">
        <v>29661</v>
      </c>
      <c r="H76" s="102" t="s">
        <v>29675</v>
      </c>
      <c r="I76" s="102" t="s">
        <v>25345</v>
      </c>
      <c r="J76" s="102" t="s">
        <v>29710</v>
      </c>
      <c r="K76" s="102" t="s">
        <v>264</v>
      </c>
      <c r="L76" s="102" t="s">
        <v>25606</v>
      </c>
      <c r="M76" s="102" t="s">
        <v>26662</v>
      </c>
      <c r="N76" s="102">
        <v>975.8</v>
      </c>
      <c r="S76" t="str">
        <f t="shared" si="4"/>
        <v>95-004-73-58</v>
      </c>
      <c r="T76" s="129" t="s">
        <v>28395</v>
      </c>
      <c r="U76" s="112">
        <v>12</v>
      </c>
    </row>
    <row r="77" spans="1:21" x14ac:dyDescent="0.2">
      <c r="A77" s="102" t="s">
        <v>29579</v>
      </c>
      <c r="B77" s="102" t="s">
        <v>29646</v>
      </c>
      <c r="C77" s="102" t="s">
        <v>31</v>
      </c>
      <c r="D77" s="102" t="s">
        <v>39</v>
      </c>
      <c r="E77" s="102" t="s">
        <v>29661</v>
      </c>
      <c r="F77" s="102" t="s">
        <v>91</v>
      </c>
      <c r="G77" s="102" t="s">
        <v>29661</v>
      </c>
      <c r="H77" s="102" t="s">
        <v>29675</v>
      </c>
      <c r="I77" s="102" t="s">
        <v>25345</v>
      </c>
      <c r="J77" s="102" t="s">
        <v>29710</v>
      </c>
      <c r="K77" s="102" t="s">
        <v>264</v>
      </c>
      <c r="L77" s="102" t="s">
        <v>25606</v>
      </c>
      <c r="M77" s="102" t="s">
        <v>26662</v>
      </c>
      <c r="N77" s="102">
        <v>975.8</v>
      </c>
      <c r="S77" t="str">
        <f t="shared" si="4"/>
        <v>95-004-73-59</v>
      </c>
      <c r="T77" s="129" t="s">
        <v>28349</v>
      </c>
      <c r="U77" s="112">
        <v>14</v>
      </c>
    </row>
    <row r="78" spans="1:21" x14ac:dyDescent="0.2">
      <c r="A78" s="102" t="s">
        <v>29579</v>
      </c>
      <c r="B78" s="102" t="s">
        <v>29646</v>
      </c>
      <c r="C78" s="102" t="s">
        <v>31</v>
      </c>
      <c r="D78" s="102" t="s">
        <v>39</v>
      </c>
      <c r="E78" s="102" t="s">
        <v>29661</v>
      </c>
      <c r="F78" s="102" t="s">
        <v>91</v>
      </c>
      <c r="G78" s="102" t="s">
        <v>29661</v>
      </c>
      <c r="H78" s="102" t="s">
        <v>29675</v>
      </c>
      <c r="I78" s="102" t="s">
        <v>25345</v>
      </c>
      <c r="J78" s="102" t="s">
        <v>29710</v>
      </c>
      <c r="K78" s="102" t="s">
        <v>264</v>
      </c>
      <c r="L78" s="102" t="s">
        <v>25606</v>
      </c>
      <c r="M78" s="102" t="s">
        <v>26662</v>
      </c>
      <c r="N78" s="102">
        <v>975.8</v>
      </c>
      <c r="S78" t="str">
        <f t="shared" ref="S78:S94" si="5">A78&amp;"-"&amp;T78</f>
        <v>95-004-73-60</v>
      </c>
      <c r="T78" s="129" t="s">
        <v>28272</v>
      </c>
      <c r="U78" s="112">
        <v>11</v>
      </c>
    </row>
    <row r="79" spans="1:21" x14ac:dyDescent="0.2">
      <c r="A79" s="102" t="s">
        <v>29579</v>
      </c>
      <c r="B79" s="102" t="s">
        <v>29646</v>
      </c>
      <c r="C79" s="102" t="s">
        <v>31</v>
      </c>
      <c r="D79" s="102" t="s">
        <v>39</v>
      </c>
      <c r="E79" s="102" t="s">
        <v>29661</v>
      </c>
      <c r="F79" s="102" t="s">
        <v>91</v>
      </c>
      <c r="G79" s="102" t="s">
        <v>29661</v>
      </c>
      <c r="H79" s="102" t="s">
        <v>29675</v>
      </c>
      <c r="I79" s="102" t="s">
        <v>25345</v>
      </c>
      <c r="J79" s="102" t="s">
        <v>29710</v>
      </c>
      <c r="K79" s="102" t="s">
        <v>264</v>
      </c>
      <c r="L79" s="102" t="s">
        <v>25606</v>
      </c>
      <c r="M79" s="102" t="s">
        <v>26662</v>
      </c>
      <c r="N79" s="102">
        <v>975.8</v>
      </c>
      <c r="S79" t="str">
        <f t="shared" si="5"/>
        <v>95-004-73-61</v>
      </c>
      <c r="T79" s="129" t="s">
        <v>28354</v>
      </c>
      <c r="U79" s="112">
        <v>6</v>
      </c>
    </row>
    <row r="80" spans="1:21" x14ac:dyDescent="0.2">
      <c r="A80" s="102" t="s">
        <v>29579</v>
      </c>
      <c r="B80" s="102" t="s">
        <v>29646</v>
      </c>
      <c r="C80" s="102" t="s">
        <v>31</v>
      </c>
      <c r="D80" s="102" t="s">
        <v>39</v>
      </c>
      <c r="E80" s="102" t="s">
        <v>29661</v>
      </c>
      <c r="F80" s="102" t="s">
        <v>91</v>
      </c>
      <c r="G80" s="102" t="s">
        <v>29661</v>
      </c>
      <c r="H80" s="102" t="s">
        <v>29675</v>
      </c>
      <c r="I80" s="102" t="s">
        <v>25345</v>
      </c>
      <c r="J80" s="102" t="s">
        <v>29710</v>
      </c>
      <c r="K80" s="102" t="s">
        <v>264</v>
      </c>
      <c r="L80" s="102" t="s">
        <v>25606</v>
      </c>
      <c r="M80" s="102" t="s">
        <v>26662</v>
      </c>
      <c r="N80" s="102">
        <v>975.8</v>
      </c>
      <c r="S80" t="str">
        <f t="shared" si="5"/>
        <v>95-004-73-62</v>
      </c>
      <c r="T80" s="129" t="s">
        <v>28236</v>
      </c>
      <c r="U80" s="112">
        <v>3</v>
      </c>
    </row>
    <row r="81" spans="1:21" x14ac:dyDescent="0.2">
      <c r="A81" s="102" t="s">
        <v>29580</v>
      </c>
      <c r="B81" s="102" t="s">
        <v>29650</v>
      </c>
      <c r="C81" s="102" t="s">
        <v>31</v>
      </c>
      <c r="D81" s="102" t="s">
        <v>39</v>
      </c>
      <c r="E81" s="102" t="s">
        <v>29661</v>
      </c>
      <c r="F81" s="102" t="s">
        <v>91</v>
      </c>
      <c r="G81" s="102" t="s">
        <v>29661</v>
      </c>
      <c r="H81" s="102" t="s">
        <v>29675</v>
      </c>
      <c r="I81" s="102" t="s">
        <v>25345</v>
      </c>
      <c r="J81" s="102" t="s">
        <v>29710</v>
      </c>
      <c r="K81" s="102" t="s">
        <v>264</v>
      </c>
      <c r="L81" s="102" t="s">
        <v>25606</v>
      </c>
      <c r="M81" s="102" t="s">
        <v>26662</v>
      </c>
      <c r="N81" s="102">
        <v>975.8</v>
      </c>
      <c r="S81" t="str">
        <f t="shared" si="5"/>
        <v>95-005-73-56</v>
      </c>
      <c r="T81" s="129" t="s">
        <v>28269</v>
      </c>
      <c r="U81" s="112">
        <v>5</v>
      </c>
    </row>
    <row r="82" spans="1:21" x14ac:dyDescent="0.2">
      <c r="A82" s="102" t="s">
        <v>29580</v>
      </c>
      <c r="B82" s="102" t="s">
        <v>29650</v>
      </c>
      <c r="C82" s="102" t="s">
        <v>31</v>
      </c>
      <c r="D82" s="102" t="s">
        <v>39</v>
      </c>
      <c r="E82" s="102" t="s">
        <v>29661</v>
      </c>
      <c r="F82" s="102" t="s">
        <v>91</v>
      </c>
      <c r="G82" s="102" t="s">
        <v>29661</v>
      </c>
      <c r="H82" s="102" t="s">
        <v>29675</v>
      </c>
      <c r="I82" s="102" t="s">
        <v>25345</v>
      </c>
      <c r="J82" s="102" t="s">
        <v>29710</v>
      </c>
      <c r="K82" s="102" t="s">
        <v>264</v>
      </c>
      <c r="L82" s="102" t="s">
        <v>25606</v>
      </c>
      <c r="M82" s="102" t="s">
        <v>26662</v>
      </c>
      <c r="N82" s="102">
        <v>975.8</v>
      </c>
      <c r="S82" t="str">
        <f t="shared" si="5"/>
        <v>95-005-73-57</v>
      </c>
      <c r="T82" s="129" t="s">
        <v>28353</v>
      </c>
      <c r="U82" s="112">
        <v>10</v>
      </c>
    </row>
    <row r="83" spans="1:21" x14ac:dyDescent="0.2">
      <c r="A83" s="102" t="s">
        <v>29580</v>
      </c>
      <c r="B83" s="102" t="s">
        <v>29650</v>
      </c>
      <c r="C83" s="102" t="s">
        <v>31</v>
      </c>
      <c r="D83" s="102" t="s">
        <v>39</v>
      </c>
      <c r="E83" s="102" t="s">
        <v>29661</v>
      </c>
      <c r="F83" s="102" t="s">
        <v>91</v>
      </c>
      <c r="G83" s="102" t="s">
        <v>29661</v>
      </c>
      <c r="H83" s="102" t="s">
        <v>29675</v>
      </c>
      <c r="I83" s="102" t="s">
        <v>25345</v>
      </c>
      <c r="J83" s="102" t="s">
        <v>29710</v>
      </c>
      <c r="K83" s="102" t="s">
        <v>264</v>
      </c>
      <c r="L83" s="102" t="s">
        <v>25606</v>
      </c>
      <c r="M83" s="102" t="s">
        <v>26662</v>
      </c>
      <c r="N83" s="102">
        <v>975.8</v>
      </c>
      <c r="S83" t="str">
        <f t="shared" si="5"/>
        <v>95-005-73-58</v>
      </c>
      <c r="T83" s="129" t="s">
        <v>28395</v>
      </c>
      <c r="U83" s="112">
        <v>15</v>
      </c>
    </row>
    <row r="84" spans="1:21" x14ac:dyDescent="0.2">
      <c r="A84" s="102" t="s">
        <v>29580</v>
      </c>
      <c r="B84" s="102" t="s">
        <v>29650</v>
      </c>
      <c r="C84" s="102" t="s">
        <v>31</v>
      </c>
      <c r="D84" s="102" t="s">
        <v>39</v>
      </c>
      <c r="E84" s="102" t="s">
        <v>29661</v>
      </c>
      <c r="F84" s="102" t="s">
        <v>91</v>
      </c>
      <c r="G84" s="102" t="s">
        <v>29661</v>
      </c>
      <c r="H84" s="102" t="s">
        <v>29675</v>
      </c>
      <c r="I84" s="102" t="s">
        <v>25345</v>
      </c>
      <c r="J84" s="102" t="s">
        <v>29710</v>
      </c>
      <c r="K84" s="102" t="s">
        <v>264</v>
      </c>
      <c r="L84" s="102" t="s">
        <v>25606</v>
      </c>
      <c r="M84" s="102" t="s">
        <v>26662</v>
      </c>
      <c r="N84" s="102">
        <v>975.8</v>
      </c>
      <c r="S84" t="str">
        <f t="shared" si="5"/>
        <v>95-005-73-59</v>
      </c>
      <c r="T84" s="129" t="s">
        <v>28349</v>
      </c>
      <c r="U84" s="112">
        <v>20</v>
      </c>
    </row>
    <row r="85" spans="1:21" x14ac:dyDescent="0.2">
      <c r="A85" s="102" t="s">
        <v>29580</v>
      </c>
      <c r="B85" s="102" t="s">
        <v>29650</v>
      </c>
      <c r="C85" s="102" t="s">
        <v>31</v>
      </c>
      <c r="D85" s="102" t="s">
        <v>39</v>
      </c>
      <c r="E85" s="102" t="s">
        <v>29661</v>
      </c>
      <c r="F85" s="102" t="s">
        <v>91</v>
      </c>
      <c r="G85" s="102" t="s">
        <v>29661</v>
      </c>
      <c r="H85" s="102" t="s">
        <v>29675</v>
      </c>
      <c r="I85" s="102" t="s">
        <v>25345</v>
      </c>
      <c r="J85" s="102" t="s">
        <v>29710</v>
      </c>
      <c r="K85" s="102" t="s">
        <v>264</v>
      </c>
      <c r="L85" s="102" t="s">
        <v>25606</v>
      </c>
      <c r="M85" s="102" t="s">
        <v>26662</v>
      </c>
      <c r="N85" s="102">
        <v>975.8</v>
      </c>
      <c r="S85" t="str">
        <f t="shared" si="5"/>
        <v>95-005-73-60</v>
      </c>
      <c r="T85" s="129" t="s">
        <v>28272</v>
      </c>
      <c r="U85" s="112">
        <v>15</v>
      </c>
    </row>
    <row r="86" spans="1:21" x14ac:dyDescent="0.2">
      <c r="A86" s="102" t="s">
        <v>29580</v>
      </c>
      <c r="B86" s="102" t="s">
        <v>29650</v>
      </c>
      <c r="C86" s="102" t="s">
        <v>31</v>
      </c>
      <c r="D86" s="102" t="s">
        <v>39</v>
      </c>
      <c r="E86" s="102" t="s">
        <v>29661</v>
      </c>
      <c r="F86" s="102" t="s">
        <v>91</v>
      </c>
      <c r="G86" s="102" t="s">
        <v>29661</v>
      </c>
      <c r="H86" s="102" t="s">
        <v>29675</v>
      </c>
      <c r="I86" s="102" t="s">
        <v>25345</v>
      </c>
      <c r="J86" s="102" t="s">
        <v>29710</v>
      </c>
      <c r="K86" s="102" t="s">
        <v>264</v>
      </c>
      <c r="L86" s="102" t="s">
        <v>25606</v>
      </c>
      <c r="M86" s="102" t="s">
        <v>26662</v>
      </c>
      <c r="N86" s="102">
        <v>975.8</v>
      </c>
      <c r="S86" t="str">
        <f t="shared" si="5"/>
        <v>95-005-73-61</v>
      </c>
      <c r="T86" s="129" t="s">
        <v>28354</v>
      </c>
      <c r="U86" s="112">
        <v>10</v>
      </c>
    </row>
    <row r="87" spans="1:21" x14ac:dyDescent="0.2">
      <c r="A87" s="102" t="s">
        <v>29580</v>
      </c>
      <c r="B87" s="102" t="s">
        <v>29650</v>
      </c>
      <c r="C87" s="102" t="s">
        <v>31</v>
      </c>
      <c r="D87" s="102" t="s">
        <v>39</v>
      </c>
      <c r="E87" s="102" t="s">
        <v>29661</v>
      </c>
      <c r="F87" s="102" t="s">
        <v>91</v>
      </c>
      <c r="G87" s="102" t="s">
        <v>29661</v>
      </c>
      <c r="H87" s="102" t="s">
        <v>29675</v>
      </c>
      <c r="I87" s="102" t="s">
        <v>25345</v>
      </c>
      <c r="J87" s="102" t="s">
        <v>29710</v>
      </c>
      <c r="K87" s="102" t="s">
        <v>264</v>
      </c>
      <c r="L87" s="102" t="s">
        <v>25606</v>
      </c>
      <c r="M87" s="102" t="s">
        <v>26662</v>
      </c>
      <c r="N87" s="102">
        <v>975.8</v>
      </c>
      <c r="S87" t="str">
        <f t="shared" si="5"/>
        <v>95-005-73-62</v>
      </c>
      <c r="T87" s="129" t="s">
        <v>28236</v>
      </c>
      <c r="U87" s="112">
        <v>5</v>
      </c>
    </row>
    <row r="88" spans="1:21" x14ac:dyDescent="0.2">
      <c r="A88" s="102" t="s">
        <v>29581</v>
      </c>
      <c r="B88" s="102" t="s">
        <v>29647</v>
      </c>
      <c r="C88" s="102" t="s">
        <v>31</v>
      </c>
      <c r="D88" s="102" t="s">
        <v>25558</v>
      </c>
      <c r="E88" s="102" t="s">
        <v>29661</v>
      </c>
      <c r="F88" s="102" t="s">
        <v>91</v>
      </c>
      <c r="G88" s="102" t="s">
        <v>29661</v>
      </c>
      <c r="H88" s="102" t="s">
        <v>29675</v>
      </c>
      <c r="I88" s="102" t="s">
        <v>25345</v>
      </c>
      <c r="J88" s="102" t="s">
        <v>29710</v>
      </c>
      <c r="K88" s="102" t="s">
        <v>264</v>
      </c>
      <c r="L88" s="102" t="s">
        <v>25606</v>
      </c>
      <c r="M88" s="102" t="s">
        <v>26662</v>
      </c>
      <c r="N88" s="102">
        <v>975.8</v>
      </c>
      <c r="S88" t="str">
        <f t="shared" si="5"/>
        <v>95-010-73-56</v>
      </c>
      <c r="T88" s="129" t="s">
        <v>28269</v>
      </c>
      <c r="U88" s="112">
        <v>1</v>
      </c>
    </row>
    <row r="89" spans="1:21" x14ac:dyDescent="0.2">
      <c r="A89" s="102" t="s">
        <v>29581</v>
      </c>
      <c r="B89" s="102" t="s">
        <v>29647</v>
      </c>
      <c r="C89" s="102" t="s">
        <v>31</v>
      </c>
      <c r="D89" s="102" t="s">
        <v>25558</v>
      </c>
      <c r="E89" s="102" t="s">
        <v>29661</v>
      </c>
      <c r="F89" s="102" t="s">
        <v>91</v>
      </c>
      <c r="G89" s="102" t="s">
        <v>29661</v>
      </c>
      <c r="H89" s="102" t="s">
        <v>29675</v>
      </c>
      <c r="I89" s="102" t="s">
        <v>25345</v>
      </c>
      <c r="J89" s="102" t="s">
        <v>29710</v>
      </c>
      <c r="K89" s="102" t="s">
        <v>264</v>
      </c>
      <c r="L89" s="102" t="s">
        <v>25606</v>
      </c>
      <c r="M89" s="102" t="s">
        <v>26662</v>
      </c>
      <c r="N89" s="102">
        <v>975.8</v>
      </c>
      <c r="S89" t="str">
        <f t="shared" si="5"/>
        <v>95-010-73-57</v>
      </c>
      <c r="T89" s="129" t="s">
        <v>28353</v>
      </c>
      <c r="U89" s="112">
        <v>8</v>
      </c>
    </row>
    <row r="90" spans="1:21" x14ac:dyDescent="0.2">
      <c r="A90" s="102" t="s">
        <v>29581</v>
      </c>
      <c r="B90" s="102" t="s">
        <v>29647</v>
      </c>
      <c r="C90" s="102" t="s">
        <v>31</v>
      </c>
      <c r="D90" s="102" t="s">
        <v>25558</v>
      </c>
      <c r="E90" s="102" t="s">
        <v>29661</v>
      </c>
      <c r="F90" s="102" t="s">
        <v>91</v>
      </c>
      <c r="G90" s="102" t="s">
        <v>29661</v>
      </c>
      <c r="H90" s="102" t="s">
        <v>29675</v>
      </c>
      <c r="I90" s="102" t="s">
        <v>25345</v>
      </c>
      <c r="J90" s="102" t="s">
        <v>29710</v>
      </c>
      <c r="K90" s="102" t="s">
        <v>264</v>
      </c>
      <c r="L90" s="102" t="s">
        <v>25606</v>
      </c>
      <c r="M90" s="102" t="s">
        <v>26662</v>
      </c>
      <c r="N90" s="102">
        <v>975.8</v>
      </c>
      <c r="S90" t="str">
        <f t="shared" si="5"/>
        <v>95-010-73-58</v>
      </c>
      <c r="T90" s="129" t="s">
        <v>28395</v>
      </c>
      <c r="U90" s="112">
        <v>12</v>
      </c>
    </row>
    <row r="91" spans="1:21" x14ac:dyDescent="0.2">
      <c r="A91" s="102" t="s">
        <v>29581</v>
      </c>
      <c r="B91" s="102" t="s">
        <v>29647</v>
      </c>
      <c r="C91" s="102" t="s">
        <v>31</v>
      </c>
      <c r="D91" s="102" t="s">
        <v>25558</v>
      </c>
      <c r="E91" s="102" t="s">
        <v>29661</v>
      </c>
      <c r="F91" s="102" t="s">
        <v>91</v>
      </c>
      <c r="G91" s="102" t="s">
        <v>29661</v>
      </c>
      <c r="H91" s="102" t="s">
        <v>29675</v>
      </c>
      <c r="I91" s="102" t="s">
        <v>25345</v>
      </c>
      <c r="J91" s="102" t="s">
        <v>29710</v>
      </c>
      <c r="K91" s="102" t="s">
        <v>264</v>
      </c>
      <c r="L91" s="102" t="s">
        <v>25606</v>
      </c>
      <c r="M91" s="102" t="s">
        <v>26662</v>
      </c>
      <c r="N91" s="102">
        <v>975.8</v>
      </c>
      <c r="S91" t="str">
        <f t="shared" si="5"/>
        <v>95-010-73-59</v>
      </c>
      <c r="T91" s="129" t="s">
        <v>28349</v>
      </c>
      <c r="U91" s="112">
        <v>16</v>
      </c>
    </row>
    <row r="92" spans="1:21" x14ac:dyDescent="0.2">
      <c r="A92" s="102" t="s">
        <v>29581</v>
      </c>
      <c r="B92" s="102" t="s">
        <v>29647</v>
      </c>
      <c r="C92" s="102" t="s">
        <v>31</v>
      </c>
      <c r="D92" s="102" t="s">
        <v>25558</v>
      </c>
      <c r="E92" s="102" t="s">
        <v>29661</v>
      </c>
      <c r="F92" s="102" t="s">
        <v>91</v>
      </c>
      <c r="G92" s="102" t="s">
        <v>29661</v>
      </c>
      <c r="H92" s="102" t="s">
        <v>29675</v>
      </c>
      <c r="I92" s="102" t="s">
        <v>25345</v>
      </c>
      <c r="J92" s="102" t="s">
        <v>29710</v>
      </c>
      <c r="K92" s="102" t="s">
        <v>264</v>
      </c>
      <c r="L92" s="102" t="s">
        <v>25606</v>
      </c>
      <c r="M92" s="102" t="s">
        <v>26662</v>
      </c>
      <c r="N92" s="102">
        <v>975.8</v>
      </c>
      <c r="S92" t="str">
        <f t="shared" si="5"/>
        <v>95-010-73-60</v>
      </c>
      <c r="T92" s="129" t="s">
        <v>28272</v>
      </c>
      <c r="U92" s="112">
        <v>12</v>
      </c>
    </row>
    <row r="93" spans="1:21" x14ac:dyDescent="0.2">
      <c r="A93" s="102" t="s">
        <v>29581</v>
      </c>
      <c r="B93" s="102" t="s">
        <v>29647</v>
      </c>
      <c r="C93" s="102" t="s">
        <v>31</v>
      </c>
      <c r="D93" s="102" t="s">
        <v>25558</v>
      </c>
      <c r="E93" s="102" t="s">
        <v>29661</v>
      </c>
      <c r="F93" s="102" t="s">
        <v>91</v>
      </c>
      <c r="G93" s="102" t="s">
        <v>29661</v>
      </c>
      <c r="H93" s="102" t="s">
        <v>29675</v>
      </c>
      <c r="I93" s="102" t="s">
        <v>25345</v>
      </c>
      <c r="J93" s="102" t="s">
        <v>29710</v>
      </c>
      <c r="K93" s="102" t="s">
        <v>264</v>
      </c>
      <c r="L93" s="102" t="s">
        <v>25606</v>
      </c>
      <c r="M93" s="102" t="s">
        <v>26662</v>
      </c>
      <c r="N93" s="102">
        <v>975.8</v>
      </c>
      <c r="S93" t="str">
        <f t="shared" si="5"/>
        <v>95-010-73-61</v>
      </c>
      <c r="T93" s="129" t="s">
        <v>28354</v>
      </c>
      <c r="U93" s="112">
        <v>4</v>
      </c>
    </row>
    <row r="94" spans="1:21" x14ac:dyDescent="0.2">
      <c r="A94" s="102" t="s">
        <v>29581</v>
      </c>
      <c r="B94" s="102" t="s">
        <v>29647</v>
      </c>
      <c r="C94" s="102" t="s">
        <v>31</v>
      </c>
      <c r="D94" s="102" t="s">
        <v>25558</v>
      </c>
      <c r="E94" s="102" t="s">
        <v>29661</v>
      </c>
      <c r="F94" s="102" t="s">
        <v>91</v>
      </c>
      <c r="G94" s="102" t="s">
        <v>29661</v>
      </c>
      <c r="H94" s="102" t="s">
        <v>29675</v>
      </c>
      <c r="I94" s="102" t="s">
        <v>25345</v>
      </c>
      <c r="J94" s="102" t="s">
        <v>29710</v>
      </c>
      <c r="K94" s="102" t="s">
        <v>264</v>
      </c>
      <c r="L94" s="102" t="s">
        <v>25606</v>
      </c>
      <c r="M94" s="102" t="s">
        <v>26662</v>
      </c>
      <c r="N94" s="102">
        <v>975.8</v>
      </c>
      <c r="S94" t="str">
        <f t="shared" si="5"/>
        <v>95-010-73-62</v>
      </c>
      <c r="T94" s="129" t="s">
        <v>28236</v>
      </c>
      <c r="U94" s="112">
        <v>2</v>
      </c>
    </row>
    <row r="95" spans="1:21" x14ac:dyDescent="0.2">
      <c r="A95" s="102" t="s">
        <v>29582</v>
      </c>
      <c r="B95" s="102" t="s">
        <v>29649</v>
      </c>
      <c r="C95" s="102" t="s">
        <v>46</v>
      </c>
      <c r="D95" s="102" t="s">
        <v>47</v>
      </c>
      <c r="E95" s="102" t="s">
        <v>29661</v>
      </c>
      <c r="F95" s="102" t="s">
        <v>91</v>
      </c>
      <c r="G95" s="102" t="s">
        <v>29661</v>
      </c>
      <c r="H95" s="102" t="s">
        <v>29676</v>
      </c>
      <c r="I95" s="102" t="s">
        <v>25543</v>
      </c>
      <c r="J95" s="102" t="s">
        <v>29710</v>
      </c>
      <c r="K95" s="102" t="s">
        <v>264</v>
      </c>
      <c r="L95" s="102" t="s">
        <v>25606</v>
      </c>
      <c r="M95" s="102" t="s">
        <v>26662</v>
      </c>
      <c r="N95" s="102">
        <v>975.8</v>
      </c>
      <c r="S95" t="str">
        <f t="shared" ref="S95:S112" si="6">A95&amp;"-"&amp;T95</f>
        <v>95-001-61-57</v>
      </c>
      <c r="T95" s="129" t="s">
        <v>28353</v>
      </c>
      <c r="U95" s="112">
        <v>1</v>
      </c>
    </row>
    <row r="96" spans="1:21" x14ac:dyDescent="0.2">
      <c r="A96" s="102" t="s">
        <v>29582</v>
      </c>
      <c r="B96" s="102" t="s">
        <v>29649</v>
      </c>
      <c r="C96" s="102" t="s">
        <v>46</v>
      </c>
      <c r="D96" s="102" t="s">
        <v>47</v>
      </c>
      <c r="E96" s="102" t="s">
        <v>29661</v>
      </c>
      <c r="F96" s="102" t="s">
        <v>91</v>
      </c>
      <c r="G96" s="102" t="s">
        <v>29661</v>
      </c>
      <c r="H96" s="102" t="s">
        <v>29676</v>
      </c>
      <c r="I96" s="102" t="s">
        <v>25543</v>
      </c>
      <c r="J96" s="102" t="s">
        <v>29710</v>
      </c>
      <c r="K96" s="102" t="s">
        <v>264</v>
      </c>
      <c r="L96" s="102" t="s">
        <v>25606</v>
      </c>
      <c r="M96" s="102" t="s">
        <v>26662</v>
      </c>
      <c r="N96" s="102">
        <v>975.8</v>
      </c>
      <c r="S96" t="str">
        <f t="shared" si="6"/>
        <v>95-001-61-58</v>
      </c>
      <c r="T96" s="129" t="s">
        <v>28395</v>
      </c>
      <c r="U96" s="112">
        <v>1</v>
      </c>
    </row>
    <row r="97" spans="1:21" x14ac:dyDescent="0.2">
      <c r="A97" s="102" t="s">
        <v>29582</v>
      </c>
      <c r="B97" s="102" t="s">
        <v>29649</v>
      </c>
      <c r="C97" s="102" t="s">
        <v>46</v>
      </c>
      <c r="D97" s="102" t="s">
        <v>47</v>
      </c>
      <c r="E97" s="102" t="s">
        <v>29661</v>
      </c>
      <c r="F97" s="102" t="s">
        <v>91</v>
      </c>
      <c r="G97" s="102" t="s">
        <v>29661</v>
      </c>
      <c r="H97" s="102" t="s">
        <v>29676</v>
      </c>
      <c r="I97" s="102" t="s">
        <v>25543</v>
      </c>
      <c r="J97" s="102" t="s">
        <v>29710</v>
      </c>
      <c r="K97" s="102" t="s">
        <v>264</v>
      </c>
      <c r="L97" s="102" t="s">
        <v>25606</v>
      </c>
      <c r="M97" s="102" t="s">
        <v>26662</v>
      </c>
      <c r="N97" s="102">
        <v>975.8</v>
      </c>
      <c r="S97" t="str">
        <f t="shared" si="6"/>
        <v>95-001-61-59</v>
      </c>
      <c r="T97" s="129" t="s">
        <v>28349</v>
      </c>
      <c r="U97" s="112">
        <v>2</v>
      </c>
    </row>
    <row r="98" spans="1:21" x14ac:dyDescent="0.2">
      <c r="A98" s="102" t="s">
        <v>29582</v>
      </c>
      <c r="B98" s="102" t="s">
        <v>29649</v>
      </c>
      <c r="C98" s="102" t="s">
        <v>46</v>
      </c>
      <c r="D98" s="102" t="s">
        <v>47</v>
      </c>
      <c r="E98" s="102" t="s">
        <v>29661</v>
      </c>
      <c r="F98" s="102" t="s">
        <v>91</v>
      </c>
      <c r="G98" s="102" t="s">
        <v>29661</v>
      </c>
      <c r="H98" s="102" t="s">
        <v>29676</v>
      </c>
      <c r="I98" s="102" t="s">
        <v>25543</v>
      </c>
      <c r="J98" s="102" t="s">
        <v>29710</v>
      </c>
      <c r="K98" s="102" t="s">
        <v>264</v>
      </c>
      <c r="L98" s="102" t="s">
        <v>25606</v>
      </c>
      <c r="M98" s="102" t="s">
        <v>26662</v>
      </c>
      <c r="N98" s="102">
        <v>975.8</v>
      </c>
      <c r="S98" t="str">
        <f t="shared" si="6"/>
        <v>95-001-61-60</v>
      </c>
      <c r="T98" s="129" t="s">
        <v>28272</v>
      </c>
      <c r="U98" s="112">
        <v>1</v>
      </c>
    </row>
    <row r="99" spans="1:21" x14ac:dyDescent="0.2">
      <c r="A99" s="102" t="s">
        <v>29583</v>
      </c>
      <c r="B99" s="102" t="s">
        <v>29651</v>
      </c>
      <c r="C99" s="102" t="s">
        <v>31</v>
      </c>
      <c r="D99" s="102" t="s">
        <v>39</v>
      </c>
      <c r="E99" s="102" t="s">
        <v>29661</v>
      </c>
      <c r="F99" s="102" t="s">
        <v>91</v>
      </c>
      <c r="G99" s="102" t="s">
        <v>29661</v>
      </c>
      <c r="H99" s="102" t="s">
        <v>29677</v>
      </c>
      <c r="I99" s="102" t="s">
        <v>29678</v>
      </c>
      <c r="J99" s="102" t="s">
        <v>29710</v>
      </c>
      <c r="K99" s="102" t="s">
        <v>264</v>
      </c>
      <c r="L99" s="102" t="s">
        <v>25606</v>
      </c>
      <c r="M99" s="102" t="s">
        <v>26662</v>
      </c>
      <c r="N99" s="102">
        <v>975.8</v>
      </c>
      <c r="S99" t="str">
        <f t="shared" si="6"/>
        <v>95-007-70-56</v>
      </c>
      <c r="T99" s="129" t="s">
        <v>28269</v>
      </c>
      <c r="U99" s="112">
        <v>4</v>
      </c>
    </row>
    <row r="100" spans="1:21" x14ac:dyDescent="0.2">
      <c r="A100" s="102" t="s">
        <v>29583</v>
      </c>
      <c r="B100" s="102" t="s">
        <v>29651</v>
      </c>
      <c r="C100" s="102" t="s">
        <v>31</v>
      </c>
      <c r="D100" s="102" t="s">
        <v>39</v>
      </c>
      <c r="E100" s="102" t="s">
        <v>29661</v>
      </c>
      <c r="F100" s="102" t="s">
        <v>91</v>
      </c>
      <c r="G100" s="102" t="s">
        <v>29661</v>
      </c>
      <c r="H100" s="102" t="s">
        <v>29677</v>
      </c>
      <c r="I100" s="102" t="s">
        <v>29678</v>
      </c>
      <c r="J100" s="102" t="s">
        <v>29710</v>
      </c>
      <c r="K100" s="102" t="s">
        <v>264</v>
      </c>
      <c r="L100" s="102" t="s">
        <v>25606</v>
      </c>
      <c r="M100" s="102" t="s">
        <v>26662</v>
      </c>
      <c r="N100" s="102">
        <v>975.8</v>
      </c>
      <c r="S100" t="str">
        <f t="shared" si="6"/>
        <v>95-007-70-57</v>
      </c>
      <c r="T100" s="129" t="s">
        <v>28353</v>
      </c>
      <c r="U100" s="112">
        <v>8</v>
      </c>
    </row>
    <row r="101" spans="1:21" x14ac:dyDescent="0.2">
      <c r="A101" s="102" t="s">
        <v>29583</v>
      </c>
      <c r="B101" s="102" t="s">
        <v>29651</v>
      </c>
      <c r="C101" s="102" t="s">
        <v>31</v>
      </c>
      <c r="D101" s="102" t="s">
        <v>39</v>
      </c>
      <c r="E101" s="102" t="s">
        <v>29661</v>
      </c>
      <c r="F101" s="102" t="s">
        <v>91</v>
      </c>
      <c r="G101" s="102" t="s">
        <v>29661</v>
      </c>
      <c r="H101" s="102" t="s">
        <v>29677</v>
      </c>
      <c r="I101" s="102" t="s">
        <v>29678</v>
      </c>
      <c r="J101" s="102" t="s">
        <v>29710</v>
      </c>
      <c r="K101" s="102" t="s">
        <v>264</v>
      </c>
      <c r="L101" s="102" t="s">
        <v>25606</v>
      </c>
      <c r="M101" s="102" t="s">
        <v>26662</v>
      </c>
      <c r="N101" s="102">
        <v>975.8</v>
      </c>
      <c r="S101" t="str">
        <f t="shared" si="6"/>
        <v>95-007-70-58</v>
      </c>
      <c r="T101" s="129" t="s">
        <v>28395</v>
      </c>
      <c r="U101" s="112">
        <v>13</v>
      </c>
    </row>
    <row r="102" spans="1:21" x14ac:dyDescent="0.2">
      <c r="A102" s="102" t="s">
        <v>29583</v>
      </c>
      <c r="B102" s="102" t="s">
        <v>29651</v>
      </c>
      <c r="C102" s="102" t="s">
        <v>31</v>
      </c>
      <c r="D102" s="102" t="s">
        <v>39</v>
      </c>
      <c r="E102" s="102" t="s">
        <v>29661</v>
      </c>
      <c r="F102" s="102" t="s">
        <v>91</v>
      </c>
      <c r="G102" s="102" t="s">
        <v>29661</v>
      </c>
      <c r="H102" s="102" t="s">
        <v>29677</v>
      </c>
      <c r="I102" s="102" t="s">
        <v>29678</v>
      </c>
      <c r="J102" s="102" t="s">
        <v>29710</v>
      </c>
      <c r="K102" s="102" t="s">
        <v>264</v>
      </c>
      <c r="L102" s="102" t="s">
        <v>25606</v>
      </c>
      <c r="M102" s="102" t="s">
        <v>26662</v>
      </c>
      <c r="N102" s="102">
        <v>975.8</v>
      </c>
      <c r="S102" t="str">
        <f t="shared" si="6"/>
        <v>95-007-70-59</v>
      </c>
      <c r="T102" s="129" t="s">
        <v>28349</v>
      </c>
      <c r="U102" s="112">
        <v>18</v>
      </c>
    </row>
    <row r="103" spans="1:21" x14ac:dyDescent="0.2">
      <c r="A103" s="102" t="s">
        <v>29583</v>
      </c>
      <c r="B103" s="102" t="s">
        <v>29651</v>
      </c>
      <c r="C103" s="102" t="s">
        <v>31</v>
      </c>
      <c r="D103" s="102" t="s">
        <v>39</v>
      </c>
      <c r="E103" s="102" t="s">
        <v>29661</v>
      </c>
      <c r="F103" s="102" t="s">
        <v>91</v>
      </c>
      <c r="G103" s="102" t="s">
        <v>29661</v>
      </c>
      <c r="H103" s="102" t="s">
        <v>29677</v>
      </c>
      <c r="I103" s="102" t="s">
        <v>29678</v>
      </c>
      <c r="J103" s="102" t="s">
        <v>29710</v>
      </c>
      <c r="K103" s="102" t="s">
        <v>264</v>
      </c>
      <c r="L103" s="102" t="s">
        <v>25606</v>
      </c>
      <c r="M103" s="102" t="s">
        <v>26662</v>
      </c>
      <c r="N103" s="102">
        <v>975.8</v>
      </c>
      <c r="S103" t="str">
        <f t="shared" si="6"/>
        <v>95-007-70-60</v>
      </c>
      <c r="T103" s="129" t="s">
        <v>28272</v>
      </c>
      <c r="U103" s="112">
        <v>13</v>
      </c>
    </row>
    <row r="104" spans="1:21" x14ac:dyDescent="0.2">
      <c r="A104" s="102" t="s">
        <v>29583</v>
      </c>
      <c r="B104" s="102" t="s">
        <v>29651</v>
      </c>
      <c r="C104" s="102" t="s">
        <v>31</v>
      </c>
      <c r="D104" s="102" t="s">
        <v>39</v>
      </c>
      <c r="E104" s="102" t="s">
        <v>29661</v>
      </c>
      <c r="F104" s="102" t="s">
        <v>91</v>
      </c>
      <c r="G104" s="102" t="s">
        <v>29661</v>
      </c>
      <c r="H104" s="102" t="s">
        <v>29677</v>
      </c>
      <c r="I104" s="102" t="s">
        <v>29678</v>
      </c>
      <c r="J104" s="102" t="s">
        <v>29710</v>
      </c>
      <c r="K104" s="102" t="s">
        <v>264</v>
      </c>
      <c r="L104" s="102" t="s">
        <v>25606</v>
      </c>
      <c r="M104" s="102" t="s">
        <v>26662</v>
      </c>
      <c r="N104" s="102">
        <v>975.8</v>
      </c>
      <c r="S104" t="str">
        <f t="shared" si="6"/>
        <v>95-007-70-61</v>
      </c>
      <c r="T104" s="129" t="s">
        <v>28354</v>
      </c>
      <c r="U104" s="112">
        <v>3</v>
      </c>
    </row>
    <row r="105" spans="1:21" x14ac:dyDescent="0.2">
      <c r="A105" s="102" t="s">
        <v>29583</v>
      </c>
      <c r="B105" s="102" t="s">
        <v>29651</v>
      </c>
      <c r="C105" s="102" t="s">
        <v>31</v>
      </c>
      <c r="D105" s="102" t="s">
        <v>39</v>
      </c>
      <c r="E105" s="102" t="s">
        <v>29661</v>
      </c>
      <c r="F105" s="102" t="s">
        <v>91</v>
      </c>
      <c r="G105" s="102" t="s">
        <v>29661</v>
      </c>
      <c r="H105" s="102" t="s">
        <v>29677</v>
      </c>
      <c r="I105" s="102" t="s">
        <v>29678</v>
      </c>
      <c r="J105" s="102" t="s">
        <v>29710</v>
      </c>
      <c r="K105" s="102" t="s">
        <v>264</v>
      </c>
      <c r="L105" s="102" t="s">
        <v>25606</v>
      </c>
      <c r="M105" s="102" t="s">
        <v>26662</v>
      </c>
      <c r="N105" s="102">
        <v>975.8</v>
      </c>
      <c r="S105" t="str">
        <f t="shared" si="6"/>
        <v>95-007-70-62</v>
      </c>
      <c r="T105" s="129" t="s">
        <v>28236</v>
      </c>
      <c r="U105" s="112">
        <v>2</v>
      </c>
    </row>
    <row r="106" spans="1:21" x14ac:dyDescent="0.2">
      <c r="A106" s="102" t="s">
        <v>29584</v>
      </c>
      <c r="B106" s="102" t="s">
        <v>29645</v>
      </c>
      <c r="C106" s="102" t="s">
        <v>31</v>
      </c>
      <c r="D106" s="102" t="s">
        <v>39</v>
      </c>
      <c r="E106" s="102" t="s">
        <v>29661</v>
      </c>
      <c r="F106" s="102" t="s">
        <v>91</v>
      </c>
      <c r="G106" s="102" t="s">
        <v>29661</v>
      </c>
      <c r="H106" s="102" t="s">
        <v>29677</v>
      </c>
      <c r="I106" s="102" t="s">
        <v>29678</v>
      </c>
      <c r="J106" s="102" t="s">
        <v>29710</v>
      </c>
      <c r="K106" s="102" t="s">
        <v>264</v>
      </c>
      <c r="L106" s="102" t="s">
        <v>25606</v>
      </c>
      <c r="M106" s="102" t="s">
        <v>26662</v>
      </c>
      <c r="N106" s="102">
        <v>975.8</v>
      </c>
      <c r="S106" t="str">
        <f t="shared" si="6"/>
        <v>95-008-70-56</v>
      </c>
      <c r="T106" s="129" t="s">
        <v>28269</v>
      </c>
      <c r="U106" s="112">
        <v>2</v>
      </c>
    </row>
    <row r="107" spans="1:21" x14ac:dyDescent="0.2">
      <c r="A107" s="102" t="s">
        <v>29584</v>
      </c>
      <c r="B107" s="102" t="s">
        <v>29645</v>
      </c>
      <c r="C107" s="102" t="s">
        <v>31</v>
      </c>
      <c r="D107" s="102" t="s">
        <v>39</v>
      </c>
      <c r="E107" s="102" t="s">
        <v>29661</v>
      </c>
      <c r="F107" s="102" t="s">
        <v>91</v>
      </c>
      <c r="G107" s="102" t="s">
        <v>29661</v>
      </c>
      <c r="H107" s="102" t="s">
        <v>29677</v>
      </c>
      <c r="I107" s="102" t="s">
        <v>29678</v>
      </c>
      <c r="J107" s="102" t="s">
        <v>29710</v>
      </c>
      <c r="K107" s="102" t="s">
        <v>264</v>
      </c>
      <c r="L107" s="102" t="s">
        <v>25606</v>
      </c>
      <c r="M107" s="102" t="s">
        <v>26662</v>
      </c>
      <c r="N107" s="102">
        <v>975.8</v>
      </c>
      <c r="S107" t="str">
        <f t="shared" si="6"/>
        <v>95-008-70-57</v>
      </c>
      <c r="T107" s="129" t="s">
        <v>28353</v>
      </c>
      <c r="U107" s="112">
        <v>4</v>
      </c>
    </row>
    <row r="108" spans="1:21" x14ac:dyDescent="0.2">
      <c r="A108" s="102" t="s">
        <v>29584</v>
      </c>
      <c r="B108" s="102" t="s">
        <v>29645</v>
      </c>
      <c r="C108" s="102" t="s">
        <v>31</v>
      </c>
      <c r="D108" s="102" t="s">
        <v>39</v>
      </c>
      <c r="E108" s="102" t="s">
        <v>29661</v>
      </c>
      <c r="F108" s="102" t="s">
        <v>91</v>
      </c>
      <c r="G108" s="102" t="s">
        <v>29661</v>
      </c>
      <c r="H108" s="102" t="s">
        <v>29677</v>
      </c>
      <c r="I108" s="102" t="s">
        <v>29678</v>
      </c>
      <c r="J108" s="102" t="s">
        <v>29710</v>
      </c>
      <c r="K108" s="102" t="s">
        <v>264</v>
      </c>
      <c r="L108" s="102" t="s">
        <v>25606</v>
      </c>
      <c r="M108" s="102" t="s">
        <v>26662</v>
      </c>
      <c r="N108" s="102">
        <v>975.8</v>
      </c>
      <c r="S108" t="str">
        <f t="shared" si="6"/>
        <v>95-008-70-58</v>
      </c>
      <c r="T108" s="129" t="s">
        <v>28395</v>
      </c>
      <c r="U108" s="112">
        <v>6</v>
      </c>
    </row>
    <row r="109" spans="1:21" x14ac:dyDescent="0.2">
      <c r="A109" s="102" t="s">
        <v>29584</v>
      </c>
      <c r="B109" s="102" t="s">
        <v>29645</v>
      </c>
      <c r="C109" s="102" t="s">
        <v>31</v>
      </c>
      <c r="D109" s="102" t="s">
        <v>39</v>
      </c>
      <c r="E109" s="102" t="s">
        <v>29661</v>
      </c>
      <c r="F109" s="102" t="s">
        <v>91</v>
      </c>
      <c r="G109" s="102" t="s">
        <v>29661</v>
      </c>
      <c r="H109" s="102" t="s">
        <v>29677</v>
      </c>
      <c r="I109" s="102" t="s">
        <v>29678</v>
      </c>
      <c r="J109" s="102" t="s">
        <v>29710</v>
      </c>
      <c r="K109" s="102" t="s">
        <v>264</v>
      </c>
      <c r="L109" s="102" t="s">
        <v>25606</v>
      </c>
      <c r="M109" s="102" t="s">
        <v>26662</v>
      </c>
      <c r="N109" s="102">
        <v>975.8</v>
      </c>
      <c r="S109" t="str">
        <f t="shared" si="6"/>
        <v>95-008-70-59</v>
      </c>
      <c r="T109" s="129" t="s">
        <v>28349</v>
      </c>
      <c r="U109" s="112">
        <v>8</v>
      </c>
    </row>
    <row r="110" spans="1:21" x14ac:dyDescent="0.2">
      <c r="A110" s="102" t="s">
        <v>29584</v>
      </c>
      <c r="B110" s="102" t="s">
        <v>29645</v>
      </c>
      <c r="C110" s="102" t="s">
        <v>31</v>
      </c>
      <c r="D110" s="102" t="s">
        <v>39</v>
      </c>
      <c r="E110" s="102" t="s">
        <v>29661</v>
      </c>
      <c r="F110" s="102" t="s">
        <v>91</v>
      </c>
      <c r="G110" s="102" t="s">
        <v>29661</v>
      </c>
      <c r="H110" s="102" t="s">
        <v>29677</v>
      </c>
      <c r="I110" s="102" t="s">
        <v>29678</v>
      </c>
      <c r="J110" s="102" t="s">
        <v>29710</v>
      </c>
      <c r="K110" s="102" t="s">
        <v>264</v>
      </c>
      <c r="L110" s="102" t="s">
        <v>25606</v>
      </c>
      <c r="M110" s="102" t="s">
        <v>26662</v>
      </c>
      <c r="N110" s="102">
        <v>975.8</v>
      </c>
      <c r="S110" t="str">
        <f t="shared" si="6"/>
        <v>95-008-70-60</v>
      </c>
      <c r="T110" s="129" t="s">
        <v>28272</v>
      </c>
      <c r="U110" s="112">
        <v>6</v>
      </c>
    </row>
    <row r="111" spans="1:21" x14ac:dyDescent="0.2">
      <c r="A111" s="102" t="s">
        <v>29584</v>
      </c>
      <c r="B111" s="102" t="s">
        <v>29645</v>
      </c>
      <c r="C111" s="102" t="s">
        <v>31</v>
      </c>
      <c r="D111" s="102" t="s">
        <v>39</v>
      </c>
      <c r="E111" s="102" t="s">
        <v>29661</v>
      </c>
      <c r="F111" s="102" t="s">
        <v>91</v>
      </c>
      <c r="G111" s="102" t="s">
        <v>29661</v>
      </c>
      <c r="H111" s="102" t="s">
        <v>29677</v>
      </c>
      <c r="I111" s="102" t="s">
        <v>29678</v>
      </c>
      <c r="J111" s="102" t="s">
        <v>29710</v>
      </c>
      <c r="K111" s="102" t="s">
        <v>264</v>
      </c>
      <c r="L111" s="102" t="s">
        <v>25606</v>
      </c>
      <c r="M111" s="102" t="s">
        <v>26662</v>
      </c>
      <c r="N111" s="102">
        <v>975.8</v>
      </c>
      <c r="S111" t="str">
        <f t="shared" si="6"/>
        <v>95-008-70-61</v>
      </c>
      <c r="T111" s="129" t="s">
        <v>28354</v>
      </c>
      <c r="U111" s="112">
        <v>3</v>
      </c>
    </row>
    <row r="112" spans="1:21" x14ac:dyDescent="0.2">
      <c r="A112" s="102" t="s">
        <v>29584</v>
      </c>
      <c r="B112" s="102" t="s">
        <v>29645</v>
      </c>
      <c r="C112" s="102" t="s">
        <v>31</v>
      </c>
      <c r="D112" s="102" t="s">
        <v>39</v>
      </c>
      <c r="E112" s="102" t="s">
        <v>29661</v>
      </c>
      <c r="F112" s="102" t="s">
        <v>91</v>
      </c>
      <c r="G112" s="102" t="s">
        <v>29661</v>
      </c>
      <c r="H112" s="102" t="s">
        <v>29677</v>
      </c>
      <c r="I112" s="102" t="s">
        <v>29678</v>
      </c>
      <c r="J112" s="102" t="s">
        <v>29710</v>
      </c>
      <c r="K112" s="102" t="s">
        <v>264</v>
      </c>
      <c r="L112" s="102" t="s">
        <v>25606</v>
      </c>
      <c r="M112" s="102" t="s">
        <v>26662</v>
      </c>
      <c r="N112" s="102">
        <v>975.8</v>
      </c>
      <c r="S112" t="str">
        <f t="shared" si="6"/>
        <v>95-008-70-62</v>
      </c>
      <c r="T112" s="129" t="s">
        <v>28236</v>
      </c>
      <c r="U112" s="112">
        <v>2</v>
      </c>
    </row>
    <row r="113" spans="1:21" x14ac:dyDescent="0.2">
      <c r="A113" s="102" t="s">
        <v>29585</v>
      </c>
      <c r="B113" s="102" t="s">
        <v>29647</v>
      </c>
      <c r="C113" s="102" t="s">
        <v>31</v>
      </c>
      <c r="D113" s="102" t="s">
        <v>25558</v>
      </c>
      <c r="E113" s="102" t="s">
        <v>29661</v>
      </c>
      <c r="F113" s="102" t="s">
        <v>91</v>
      </c>
      <c r="G113" s="102" t="s">
        <v>29661</v>
      </c>
      <c r="H113" s="102" t="s">
        <v>29677</v>
      </c>
      <c r="I113" s="102" t="s">
        <v>29678</v>
      </c>
      <c r="J113" s="102" t="s">
        <v>29710</v>
      </c>
      <c r="K113" s="102" t="s">
        <v>264</v>
      </c>
      <c r="L113" s="102" t="s">
        <v>25606</v>
      </c>
      <c r="M113" s="102" t="s">
        <v>26662</v>
      </c>
      <c r="N113" s="102">
        <v>975.8</v>
      </c>
      <c r="S113" t="str">
        <f t="shared" ref="S113:S126" si="7">A113&amp;"-"&amp;T113</f>
        <v>95-010-70-57</v>
      </c>
      <c r="T113" s="129" t="s">
        <v>28353</v>
      </c>
      <c r="U113" s="112">
        <v>1</v>
      </c>
    </row>
    <row r="114" spans="1:21" x14ac:dyDescent="0.2">
      <c r="A114" s="102" t="s">
        <v>29585</v>
      </c>
      <c r="B114" s="102" t="s">
        <v>29647</v>
      </c>
      <c r="C114" s="102" t="s">
        <v>31</v>
      </c>
      <c r="D114" s="102" t="s">
        <v>25558</v>
      </c>
      <c r="E114" s="102" t="s">
        <v>29661</v>
      </c>
      <c r="F114" s="102" t="s">
        <v>91</v>
      </c>
      <c r="G114" s="102" t="s">
        <v>29661</v>
      </c>
      <c r="H114" s="102" t="s">
        <v>29677</v>
      </c>
      <c r="I114" s="102" t="s">
        <v>29678</v>
      </c>
      <c r="J114" s="102" t="s">
        <v>29710</v>
      </c>
      <c r="K114" s="102" t="s">
        <v>264</v>
      </c>
      <c r="L114" s="102" t="s">
        <v>25606</v>
      </c>
      <c r="M114" s="102" t="s">
        <v>26662</v>
      </c>
      <c r="N114" s="102">
        <v>975.8</v>
      </c>
      <c r="S114" t="str">
        <f t="shared" si="7"/>
        <v>95-010-70-58</v>
      </c>
      <c r="T114" s="129" t="s">
        <v>28395</v>
      </c>
      <c r="U114" s="112">
        <v>2</v>
      </c>
    </row>
    <row r="115" spans="1:21" x14ac:dyDescent="0.2">
      <c r="A115" s="102" t="s">
        <v>29585</v>
      </c>
      <c r="B115" s="102" t="s">
        <v>29647</v>
      </c>
      <c r="C115" s="102" t="s">
        <v>31</v>
      </c>
      <c r="D115" s="102" t="s">
        <v>25558</v>
      </c>
      <c r="E115" s="102" t="s">
        <v>29661</v>
      </c>
      <c r="F115" s="102" t="s">
        <v>91</v>
      </c>
      <c r="G115" s="102" t="s">
        <v>29661</v>
      </c>
      <c r="H115" s="102" t="s">
        <v>29677</v>
      </c>
      <c r="I115" s="102" t="s">
        <v>29678</v>
      </c>
      <c r="J115" s="102" t="s">
        <v>29710</v>
      </c>
      <c r="K115" s="102" t="s">
        <v>264</v>
      </c>
      <c r="L115" s="102" t="s">
        <v>25606</v>
      </c>
      <c r="M115" s="102" t="s">
        <v>26662</v>
      </c>
      <c r="N115" s="102">
        <v>975.8</v>
      </c>
      <c r="S115" t="str">
        <f t="shared" si="7"/>
        <v>95-010-70-59</v>
      </c>
      <c r="T115" s="129" t="s">
        <v>28349</v>
      </c>
      <c r="U115" s="112">
        <v>3</v>
      </c>
    </row>
    <row r="116" spans="1:21" x14ac:dyDescent="0.2">
      <c r="A116" s="102" t="s">
        <v>29585</v>
      </c>
      <c r="B116" s="102" t="s">
        <v>29647</v>
      </c>
      <c r="C116" s="102" t="s">
        <v>31</v>
      </c>
      <c r="D116" s="102" t="s">
        <v>25558</v>
      </c>
      <c r="E116" s="102" t="s">
        <v>29661</v>
      </c>
      <c r="F116" s="102" t="s">
        <v>91</v>
      </c>
      <c r="G116" s="102" t="s">
        <v>29661</v>
      </c>
      <c r="H116" s="102" t="s">
        <v>29677</v>
      </c>
      <c r="I116" s="102" t="s">
        <v>29678</v>
      </c>
      <c r="J116" s="102" t="s">
        <v>29710</v>
      </c>
      <c r="K116" s="102" t="s">
        <v>264</v>
      </c>
      <c r="L116" s="102" t="s">
        <v>25606</v>
      </c>
      <c r="M116" s="102" t="s">
        <v>26662</v>
      </c>
      <c r="N116" s="102">
        <v>975.8</v>
      </c>
      <c r="S116" t="str">
        <f t="shared" si="7"/>
        <v>95-010-70-60</v>
      </c>
      <c r="T116" s="129" t="s">
        <v>28272</v>
      </c>
      <c r="U116" s="112">
        <v>2</v>
      </c>
    </row>
    <row r="117" spans="1:21" x14ac:dyDescent="0.2">
      <c r="A117" s="102" t="s">
        <v>29585</v>
      </c>
      <c r="B117" s="102" t="s">
        <v>29647</v>
      </c>
      <c r="C117" s="102" t="s">
        <v>31</v>
      </c>
      <c r="D117" s="102" t="s">
        <v>25558</v>
      </c>
      <c r="E117" s="102" t="s">
        <v>29661</v>
      </c>
      <c r="F117" s="102" t="s">
        <v>91</v>
      </c>
      <c r="G117" s="102" t="s">
        <v>29661</v>
      </c>
      <c r="H117" s="102" t="s">
        <v>29677</v>
      </c>
      <c r="I117" s="102" t="s">
        <v>29678</v>
      </c>
      <c r="J117" s="102" t="s">
        <v>29710</v>
      </c>
      <c r="K117" s="102" t="s">
        <v>264</v>
      </c>
      <c r="L117" s="102" t="s">
        <v>25606</v>
      </c>
      <c r="M117" s="102" t="s">
        <v>26662</v>
      </c>
      <c r="N117" s="102">
        <v>975.8</v>
      </c>
      <c r="S117" t="str">
        <f t="shared" si="7"/>
        <v>95-010-70-61</v>
      </c>
      <c r="T117" s="129" t="s">
        <v>28354</v>
      </c>
      <c r="U117" s="112">
        <v>1</v>
      </c>
    </row>
    <row r="118" spans="1:21" x14ac:dyDescent="0.2">
      <c r="A118" s="102" t="s">
        <v>29585</v>
      </c>
      <c r="B118" s="102" t="s">
        <v>29647</v>
      </c>
      <c r="C118" s="102" t="s">
        <v>31</v>
      </c>
      <c r="D118" s="102" t="s">
        <v>25558</v>
      </c>
      <c r="E118" s="102" t="s">
        <v>29661</v>
      </c>
      <c r="F118" s="102" t="s">
        <v>91</v>
      </c>
      <c r="G118" s="102" t="s">
        <v>29661</v>
      </c>
      <c r="H118" s="102" t="s">
        <v>29677</v>
      </c>
      <c r="I118" s="102" t="s">
        <v>29678</v>
      </c>
      <c r="J118" s="102" t="s">
        <v>29710</v>
      </c>
      <c r="K118" s="102" t="s">
        <v>264</v>
      </c>
      <c r="L118" s="102" t="s">
        <v>25606</v>
      </c>
      <c r="M118" s="102" t="s">
        <v>26662</v>
      </c>
      <c r="N118" s="102">
        <v>975.8</v>
      </c>
      <c r="S118" t="str">
        <f t="shared" si="7"/>
        <v>95-010-70-62</v>
      </c>
      <c r="T118" s="129" t="s">
        <v>28236</v>
      </c>
      <c r="U118" s="112">
        <v>1</v>
      </c>
    </row>
    <row r="119" spans="1:21" x14ac:dyDescent="0.2">
      <c r="A119" s="102" t="s">
        <v>29586</v>
      </c>
      <c r="B119" s="102" t="s">
        <v>29649</v>
      </c>
      <c r="C119" s="102" t="s">
        <v>46</v>
      </c>
      <c r="D119" s="102" t="s">
        <v>47</v>
      </c>
      <c r="E119" s="102" t="s">
        <v>29661</v>
      </c>
      <c r="F119" s="102" t="s">
        <v>91</v>
      </c>
      <c r="G119" s="102" t="s">
        <v>29661</v>
      </c>
      <c r="H119" s="102" t="s">
        <v>29679</v>
      </c>
      <c r="I119" s="102" t="s">
        <v>171</v>
      </c>
      <c r="J119" s="102" t="s">
        <v>29710</v>
      </c>
      <c r="K119" s="102" t="s">
        <v>264</v>
      </c>
      <c r="L119" s="102" t="s">
        <v>25606</v>
      </c>
      <c r="M119" s="102" t="s">
        <v>26662</v>
      </c>
      <c r="N119" s="102">
        <v>975.8</v>
      </c>
      <c r="S119" t="str">
        <f t="shared" si="7"/>
        <v>95-001-72-57</v>
      </c>
      <c r="T119" s="129" t="s">
        <v>28353</v>
      </c>
      <c r="U119" s="112">
        <v>1</v>
      </c>
    </row>
    <row r="120" spans="1:21" x14ac:dyDescent="0.2">
      <c r="A120" s="102" t="s">
        <v>29586</v>
      </c>
      <c r="B120" s="102" t="s">
        <v>29649</v>
      </c>
      <c r="C120" s="102" t="s">
        <v>46</v>
      </c>
      <c r="D120" s="102" t="s">
        <v>47</v>
      </c>
      <c r="E120" s="102" t="s">
        <v>29661</v>
      </c>
      <c r="F120" s="102" t="s">
        <v>91</v>
      </c>
      <c r="G120" s="102" t="s">
        <v>29661</v>
      </c>
      <c r="H120" s="102" t="s">
        <v>29679</v>
      </c>
      <c r="I120" s="102" t="s">
        <v>171</v>
      </c>
      <c r="J120" s="102" t="s">
        <v>29710</v>
      </c>
      <c r="K120" s="102" t="s">
        <v>264</v>
      </c>
      <c r="L120" s="102" t="s">
        <v>25606</v>
      </c>
      <c r="M120" s="102" t="s">
        <v>26662</v>
      </c>
      <c r="N120" s="102">
        <v>975.8</v>
      </c>
      <c r="S120" t="str">
        <f t="shared" si="7"/>
        <v>95-001-72-58</v>
      </c>
      <c r="T120" s="129" t="s">
        <v>28395</v>
      </c>
      <c r="U120" s="112">
        <v>1</v>
      </c>
    </row>
    <row r="121" spans="1:21" x14ac:dyDescent="0.2">
      <c r="A121" s="102" t="s">
        <v>29586</v>
      </c>
      <c r="B121" s="102" t="s">
        <v>29649</v>
      </c>
      <c r="C121" s="102" t="s">
        <v>46</v>
      </c>
      <c r="D121" s="102" t="s">
        <v>47</v>
      </c>
      <c r="E121" s="102" t="s">
        <v>29661</v>
      </c>
      <c r="F121" s="102" t="s">
        <v>91</v>
      </c>
      <c r="G121" s="102" t="s">
        <v>29661</v>
      </c>
      <c r="H121" s="102" t="s">
        <v>29679</v>
      </c>
      <c r="I121" s="102" t="s">
        <v>171</v>
      </c>
      <c r="J121" s="102" t="s">
        <v>29710</v>
      </c>
      <c r="K121" s="102" t="s">
        <v>264</v>
      </c>
      <c r="L121" s="102" t="s">
        <v>25606</v>
      </c>
      <c r="M121" s="102" t="s">
        <v>26662</v>
      </c>
      <c r="N121" s="102">
        <v>975.8</v>
      </c>
      <c r="S121" t="str">
        <f t="shared" si="7"/>
        <v>95-001-72-59</v>
      </c>
      <c r="T121" s="129" t="s">
        <v>28349</v>
      </c>
      <c r="U121" s="112">
        <v>2</v>
      </c>
    </row>
    <row r="122" spans="1:21" x14ac:dyDescent="0.2">
      <c r="A122" s="102" t="s">
        <v>29586</v>
      </c>
      <c r="B122" s="102" t="s">
        <v>29649</v>
      </c>
      <c r="C122" s="102" t="s">
        <v>46</v>
      </c>
      <c r="D122" s="102" t="s">
        <v>47</v>
      </c>
      <c r="E122" s="102" t="s">
        <v>29661</v>
      </c>
      <c r="F122" s="102" t="s">
        <v>91</v>
      </c>
      <c r="G122" s="102" t="s">
        <v>29661</v>
      </c>
      <c r="H122" s="102" t="s">
        <v>29679</v>
      </c>
      <c r="I122" s="102" t="s">
        <v>171</v>
      </c>
      <c r="J122" s="102" t="s">
        <v>29710</v>
      </c>
      <c r="K122" s="102" t="s">
        <v>264</v>
      </c>
      <c r="L122" s="102" t="s">
        <v>25606</v>
      </c>
      <c r="M122" s="102" t="s">
        <v>26662</v>
      </c>
      <c r="N122" s="102">
        <v>975.8</v>
      </c>
      <c r="S122" t="str">
        <f t="shared" si="7"/>
        <v>95-001-72-60</v>
      </c>
      <c r="T122" s="129" t="s">
        <v>28272</v>
      </c>
      <c r="U122" s="112">
        <v>1</v>
      </c>
    </row>
    <row r="123" spans="1:21" x14ac:dyDescent="0.2">
      <c r="A123" s="102" t="s">
        <v>29586</v>
      </c>
      <c r="B123" s="102" t="s">
        <v>29649</v>
      </c>
      <c r="C123" s="102" t="s">
        <v>46</v>
      </c>
      <c r="D123" s="102" t="s">
        <v>47</v>
      </c>
      <c r="E123" s="102" t="s">
        <v>29661</v>
      </c>
      <c r="F123" s="102" t="s">
        <v>91</v>
      </c>
      <c r="G123" s="102" t="s">
        <v>29661</v>
      </c>
      <c r="H123" s="102" t="s">
        <v>29679</v>
      </c>
      <c r="I123" s="102" t="s">
        <v>171</v>
      </c>
      <c r="J123" s="102" t="s">
        <v>29710</v>
      </c>
      <c r="K123" s="102" t="s">
        <v>264</v>
      </c>
      <c r="L123" s="102" t="s">
        <v>25606</v>
      </c>
      <c r="M123" s="102" t="s">
        <v>26662</v>
      </c>
      <c r="N123" s="102">
        <v>975.8</v>
      </c>
      <c r="S123" t="str">
        <f t="shared" si="7"/>
        <v>95-001-72-61</v>
      </c>
      <c r="T123" s="129" t="s">
        <v>28354</v>
      </c>
      <c r="U123" s="112">
        <v>1</v>
      </c>
    </row>
    <row r="124" spans="1:21" x14ac:dyDescent="0.2">
      <c r="A124" s="102" t="s">
        <v>29586</v>
      </c>
      <c r="B124" s="102" t="s">
        <v>29649</v>
      </c>
      <c r="C124" s="102" t="s">
        <v>46</v>
      </c>
      <c r="D124" s="102" t="s">
        <v>47</v>
      </c>
      <c r="E124" s="102" t="s">
        <v>29661</v>
      </c>
      <c r="F124" s="102" t="s">
        <v>91</v>
      </c>
      <c r="G124" s="102" t="s">
        <v>29661</v>
      </c>
      <c r="H124" s="102" t="s">
        <v>29679</v>
      </c>
      <c r="I124" s="102" t="s">
        <v>171</v>
      </c>
      <c r="J124" s="102" t="s">
        <v>29710</v>
      </c>
      <c r="K124" s="102" t="s">
        <v>264</v>
      </c>
      <c r="L124" s="102" t="s">
        <v>25606</v>
      </c>
      <c r="M124" s="102" t="s">
        <v>26662</v>
      </c>
      <c r="N124" s="102">
        <v>975.8</v>
      </c>
      <c r="S124" t="str">
        <f t="shared" si="7"/>
        <v>95-001-72-62</v>
      </c>
      <c r="T124" s="129" t="s">
        <v>28236</v>
      </c>
      <c r="U124" s="112">
        <v>1</v>
      </c>
    </row>
    <row r="125" spans="1:21" x14ac:dyDescent="0.2">
      <c r="A125" s="102" t="s">
        <v>29587</v>
      </c>
      <c r="B125" s="102" t="s">
        <v>29645</v>
      </c>
      <c r="C125" s="102" t="s">
        <v>31</v>
      </c>
      <c r="D125" s="102" t="s">
        <v>39</v>
      </c>
      <c r="E125" s="102" t="s">
        <v>29661</v>
      </c>
      <c r="F125" s="102" t="s">
        <v>91</v>
      </c>
      <c r="G125" s="102" t="s">
        <v>29661</v>
      </c>
      <c r="H125" s="102" t="s">
        <v>29679</v>
      </c>
      <c r="I125" s="102" t="s">
        <v>171</v>
      </c>
      <c r="J125" s="102" t="s">
        <v>29710</v>
      </c>
      <c r="K125" s="102" t="s">
        <v>264</v>
      </c>
      <c r="L125" s="102" t="s">
        <v>25606</v>
      </c>
      <c r="M125" s="102" t="s">
        <v>26662</v>
      </c>
      <c r="N125" s="102">
        <v>975.8</v>
      </c>
      <c r="S125" t="str">
        <f t="shared" si="7"/>
        <v>95-008-72-58</v>
      </c>
      <c r="T125" s="129" t="s">
        <v>28395</v>
      </c>
      <c r="U125" s="112">
        <v>8</v>
      </c>
    </row>
    <row r="126" spans="1:21" x14ac:dyDescent="0.2">
      <c r="A126" s="102" t="s">
        <v>29587</v>
      </c>
      <c r="B126" s="102" t="s">
        <v>29645</v>
      </c>
      <c r="C126" s="102" t="s">
        <v>31</v>
      </c>
      <c r="D126" s="102" t="s">
        <v>39</v>
      </c>
      <c r="E126" s="102" t="s">
        <v>29661</v>
      </c>
      <c r="F126" s="102" t="s">
        <v>91</v>
      </c>
      <c r="G126" s="102" t="s">
        <v>29661</v>
      </c>
      <c r="H126" s="102" t="s">
        <v>29679</v>
      </c>
      <c r="I126" s="102" t="s">
        <v>171</v>
      </c>
      <c r="J126" s="102" t="s">
        <v>29710</v>
      </c>
      <c r="K126" s="102" t="s">
        <v>264</v>
      </c>
      <c r="L126" s="102" t="s">
        <v>25606</v>
      </c>
      <c r="M126" s="102" t="s">
        <v>26662</v>
      </c>
      <c r="N126" s="102">
        <v>975.8</v>
      </c>
      <c r="S126" t="str">
        <f t="shared" si="7"/>
        <v>95-008-72-59</v>
      </c>
      <c r="T126" s="129" t="s">
        <v>28349</v>
      </c>
      <c r="U126" s="112">
        <v>10</v>
      </c>
    </row>
    <row r="127" spans="1:21" x14ac:dyDescent="0.2">
      <c r="A127" s="102" t="s">
        <v>29588</v>
      </c>
      <c r="B127" s="102" t="s">
        <v>29650</v>
      </c>
      <c r="C127" s="102" t="s">
        <v>31</v>
      </c>
      <c r="D127" s="102" t="s">
        <v>39</v>
      </c>
      <c r="E127" s="102" t="s">
        <v>29661</v>
      </c>
      <c r="F127" s="102" t="s">
        <v>91</v>
      </c>
      <c r="G127" s="102" t="s">
        <v>29661</v>
      </c>
      <c r="H127" s="102" t="s">
        <v>29680</v>
      </c>
      <c r="I127" s="102" t="s">
        <v>29681</v>
      </c>
      <c r="J127" s="102" t="s">
        <v>29710</v>
      </c>
      <c r="K127" s="102" t="s">
        <v>264</v>
      </c>
      <c r="L127" s="102" t="s">
        <v>25606</v>
      </c>
      <c r="M127" s="102" t="s">
        <v>26662</v>
      </c>
      <c r="N127" s="102">
        <v>975.8</v>
      </c>
      <c r="S127" t="str">
        <f t="shared" ref="S127:S138" si="8">A127&amp;"-"&amp;T127</f>
        <v>95-005-60-56</v>
      </c>
      <c r="T127" s="129" t="s">
        <v>28269</v>
      </c>
      <c r="U127" s="112">
        <v>2</v>
      </c>
    </row>
    <row r="128" spans="1:21" x14ac:dyDescent="0.2">
      <c r="A128" s="102" t="s">
        <v>29588</v>
      </c>
      <c r="B128" s="102" t="s">
        <v>29650</v>
      </c>
      <c r="C128" s="102" t="s">
        <v>31</v>
      </c>
      <c r="D128" s="102" t="s">
        <v>39</v>
      </c>
      <c r="E128" s="102" t="s">
        <v>29661</v>
      </c>
      <c r="F128" s="102" t="s">
        <v>91</v>
      </c>
      <c r="G128" s="102" t="s">
        <v>29661</v>
      </c>
      <c r="H128" s="102" t="s">
        <v>29680</v>
      </c>
      <c r="I128" s="102" t="s">
        <v>29681</v>
      </c>
      <c r="J128" s="102" t="s">
        <v>29710</v>
      </c>
      <c r="K128" s="102" t="s">
        <v>264</v>
      </c>
      <c r="L128" s="102" t="s">
        <v>25606</v>
      </c>
      <c r="M128" s="102" t="s">
        <v>26662</v>
      </c>
      <c r="N128" s="102">
        <v>975.8</v>
      </c>
      <c r="S128" t="str">
        <f t="shared" si="8"/>
        <v>95-005-60-57</v>
      </c>
      <c r="T128" s="129" t="s">
        <v>28353</v>
      </c>
      <c r="U128" s="112">
        <v>4</v>
      </c>
    </row>
    <row r="129" spans="1:21" x14ac:dyDescent="0.2">
      <c r="A129" s="102" t="s">
        <v>29588</v>
      </c>
      <c r="B129" s="102" t="s">
        <v>29650</v>
      </c>
      <c r="C129" s="102" t="s">
        <v>31</v>
      </c>
      <c r="D129" s="102" t="s">
        <v>39</v>
      </c>
      <c r="E129" s="102" t="s">
        <v>29661</v>
      </c>
      <c r="F129" s="102" t="s">
        <v>91</v>
      </c>
      <c r="G129" s="102" t="s">
        <v>29661</v>
      </c>
      <c r="H129" s="102" t="s">
        <v>29680</v>
      </c>
      <c r="I129" s="102" t="s">
        <v>29681</v>
      </c>
      <c r="J129" s="102" t="s">
        <v>29710</v>
      </c>
      <c r="K129" s="102" t="s">
        <v>264</v>
      </c>
      <c r="L129" s="102" t="s">
        <v>25606</v>
      </c>
      <c r="M129" s="102" t="s">
        <v>26662</v>
      </c>
      <c r="N129" s="102">
        <v>975.8</v>
      </c>
      <c r="S129" t="str">
        <f t="shared" si="8"/>
        <v>95-005-60-58</v>
      </c>
      <c r="T129" s="129" t="s">
        <v>28395</v>
      </c>
      <c r="U129" s="112">
        <v>6</v>
      </c>
    </row>
    <row r="130" spans="1:21" x14ac:dyDescent="0.2">
      <c r="A130" s="102" t="s">
        <v>29588</v>
      </c>
      <c r="B130" s="102" t="s">
        <v>29650</v>
      </c>
      <c r="C130" s="102" t="s">
        <v>31</v>
      </c>
      <c r="D130" s="102" t="s">
        <v>39</v>
      </c>
      <c r="E130" s="102" t="s">
        <v>29661</v>
      </c>
      <c r="F130" s="102" t="s">
        <v>91</v>
      </c>
      <c r="G130" s="102" t="s">
        <v>29661</v>
      </c>
      <c r="H130" s="102" t="s">
        <v>29680</v>
      </c>
      <c r="I130" s="102" t="s">
        <v>29681</v>
      </c>
      <c r="J130" s="102" t="s">
        <v>29710</v>
      </c>
      <c r="K130" s="102" t="s">
        <v>264</v>
      </c>
      <c r="L130" s="102" t="s">
        <v>25606</v>
      </c>
      <c r="M130" s="102" t="s">
        <v>26662</v>
      </c>
      <c r="N130" s="102">
        <v>975.8</v>
      </c>
      <c r="S130" t="str">
        <f t="shared" si="8"/>
        <v>95-005-60-59</v>
      </c>
      <c r="T130" s="129" t="s">
        <v>28349</v>
      </c>
      <c r="U130" s="112">
        <v>8</v>
      </c>
    </row>
    <row r="131" spans="1:21" x14ac:dyDescent="0.2">
      <c r="A131" s="102" t="s">
        <v>29588</v>
      </c>
      <c r="B131" s="102" t="s">
        <v>29650</v>
      </c>
      <c r="C131" s="102" t="s">
        <v>31</v>
      </c>
      <c r="D131" s="102" t="s">
        <v>39</v>
      </c>
      <c r="E131" s="102" t="s">
        <v>29661</v>
      </c>
      <c r="F131" s="102" t="s">
        <v>91</v>
      </c>
      <c r="G131" s="102" t="s">
        <v>29661</v>
      </c>
      <c r="H131" s="102" t="s">
        <v>29680</v>
      </c>
      <c r="I131" s="102" t="s">
        <v>29681</v>
      </c>
      <c r="J131" s="102" t="s">
        <v>29710</v>
      </c>
      <c r="K131" s="102" t="s">
        <v>264</v>
      </c>
      <c r="L131" s="102" t="s">
        <v>25606</v>
      </c>
      <c r="M131" s="102" t="s">
        <v>26662</v>
      </c>
      <c r="N131" s="102">
        <v>975.8</v>
      </c>
      <c r="S131" t="str">
        <f t="shared" si="8"/>
        <v>95-005-60-60</v>
      </c>
      <c r="T131" s="129" t="s">
        <v>28272</v>
      </c>
      <c r="U131" s="112">
        <v>6</v>
      </c>
    </row>
    <row r="132" spans="1:21" x14ac:dyDescent="0.2">
      <c r="A132" s="102" t="s">
        <v>29588</v>
      </c>
      <c r="B132" s="102" t="s">
        <v>29650</v>
      </c>
      <c r="C132" s="102" t="s">
        <v>31</v>
      </c>
      <c r="D132" s="102" t="s">
        <v>39</v>
      </c>
      <c r="E132" s="102" t="s">
        <v>29661</v>
      </c>
      <c r="F132" s="102" t="s">
        <v>91</v>
      </c>
      <c r="G132" s="102" t="s">
        <v>29661</v>
      </c>
      <c r="H132" s="102" t="s">
        <v>29680</v>
      </c>
      <c r="I132" s="102" t="s">
        <v>29681</v>
      </c>
      <c r="J132" s="102" t="s">
        <v>29710</v>
      </c>
      <c r="K132" s="102" t="s">
        <v>264</v>
      </c>
      <c r="L132" s="102" t="s">
        <v>25606</v>
      </c>
      <c r="M132" s="102" t="s">
        <v>26662</v>
      </c>
      <c r="N132" s="102">
        <v>975.8</v>
      </c>
      <c r="S132" t="str">
        <f t="shared" si="8"/>
        <v>95-005-60-61</v>
      </c>
      <c r="T132" s="129" t="s">
        <v>28354</v>
      </c>
      <c r="U132" s="112">
        <v>4</v>
      </c>
    </row>
    <row r="133" spans="1:21" x14ac:dyDescent="0.2">
      <c r="A133" s="102" t="s">
        <v>29589</v>
      </c>
      <c r="B133" s="102" t="s">
        <v>29652</v>
      </c>
      <c r="C133" s="102" t="s">
        <v>31</v>
      </c>
      <c r="D133" s="102" t="s">
        <v>39</v>
      </c>
      <c r="E133" s="102" t="s">
        <v>29661</v>
      </c>
      <c r="F133" s="102" t="s">
        <v>91</v>
      </c>
      <c r="G133" s="102" t="s">
        <v>29661</v>
      </c>
      <c r="H133" s="102" t="s">
        <v>29682</v>
      </c>
      <c r="I133" s="102" t="s">
        <v>25536</v>
      </c>
      <c r="J133" s="102" t="s">
        <v>29710</v>
      </c>
      <c r="K133" s="102" t="s">
        <v>264</v>
      </c>
      <c r="L133" s="102" t="s">
        <v>25606</v>
      </c>
      <c r="M133" s="102" t="s">
        <v>26662</v>
      </c>
      <c r="N133" s="102">
        <v>975.8</v>
      </c>
      <c r="S133" t="str">
        <f t="shared" si="8"/>
        <v>95-003-10-56</v>
      </c>
      <c r="T133" s="129" t="s">
        <v>28269</v>
      </c>
      <c r="U133" s="112">
        <v>1</v>
      </c>
    </row>
    <row r="134" spans="1:21" x14ac:dyDescent="0.2">
      <c r="A134" s="102" t="s">
        <v>29589</v>
      </c>
      <c r="B134" s="102" t="s">
        <v>29652</v>
      </c>
      <c r="C134" s="102" t="s">
        <v>31</v>
      </c>
      <c r="D134" s="102" t="s">
        <v>39</v>
      </c>
      <c r="E134" s="102" t="s">
        <v>29661</v>
      </c>
      <c r="F134" s="102" t="s">
        <v>91</v>
      </c>
      <c r="G134" s="102" t="s">
        <v>29661</v>
      </c>
      <c r="H134" s="102" t="s">
        <v>29682</v>
      </c>
      <c r="I134" s="102" t="s">
        <v>25536</v>
      </c>
      <c r="J134" s="102" t="s">
        <v>29710</v>
      </c>
      <c r="K134" s="102" t="s">
        <v>264</v>
      </c>
      <c r="L134" s="102" t="s">
        <v>25606</v>
      </c>
      <c r="M134" s="102" t="s">
        <v>26662</v>
      </c>
      <c r="N134" s="102">
        <v>975.8</v>
      </c>
      <c r="S134" t="str">
        <f t="shared" si="8"/>
        <v>95-003-10-57</v>
      </c>
      <c r="T134" s="129" t="s">
        <v>28353</v>
      </c>
      <c r="U134" s="112">
        <v>3</v>
      </c>
    </row>
    <row r="135" spans="1:21" x14ac:dyDescent="0.2">
      <c r="A135" s="102" t="s">
        <v>29589</v>
      </c>
      <c r="B135" s="102" t="s">
        <v>29652</v>
      </c>
      <c r="C135" s="102" t="s">
        <v>31</v>
      </c>
      <c r="D135" s="102" t="s">
        <v>39</v>
      </c>
      <c r="E135" s="102" t="s">
        <v>29661</v>
      </c>
      <c r="F135" s="102" t="s">
        <v>91</v>
      </c>
      <c r="G135" s="102" t="s">
        <v>29661</v>
      </c>
      <c r="H135" s="102" t="s">
        <v>29682</v>
      </c>
      <c r="I135" s="102" t="s">
        <v>25536</v>
      </c>
      <c r="J135" s="102" t="s">
        <v>29710</v>
      </c>
      <c r="K135" s="102" t="s">
        <v>264</v>
      </c>
      <c r="L135" s="102" t="s">
        <v>25606</v>
      </c>
      <c r="M135" s="102" t="s">
        <v>26662</v>
      </c>
      <c r="N135" s="102">
        <v>975.8</v>
      </c>
      <c r="S135" t="str">
        <f t="shared" si="8"/>
        <v>95-003-10-58</v>
      </c>
      <c r="T135" s="129" t="s">
        <v>28395</v>
      </c>
      <c r="U135" s="112">
        <v>5</v>
      </c>
    </row>
    <row r="136" spans="1:21" x14ac:dyDescent="0.2">
      <c r="A136" s="102" t="s">
        <v>29589</v>
      </c>
      <c r="B136" s="102" t="s">
        <v>29652</v>
      </c>
      <c r="C136" s="102" t="s">
        <v>31</v>
      </c>
      <c r="D136" s="102" t="s">
        <v>39</v>
      </c>
      <c r="E136" s="102" t="s">
        <v>29661</v>
      </c>
      <c r="F136" s="102" t="s">
        <v>91</v>
      </c>
      <c r="G136" s="102" t="s">
        <v>29661</v>
      </c>
      <c r="H136" s="102" t="s">
        <v>29682</v>
      </c>
      <c r="I136" s="102" t="s">
        <v>25536</v>
      </c>
      <c r="J136" s="102" t="s">
        <v>29710</v>
      </c>
      <c r="K136" s="102" t="s">
        <v>264</v>
      </c>
      <c r="L136" s="102" t="s">
        <v>25606</v>
      </c>
      <c r="M136" s="102" t="s">
        <v>26662</v>
      </c>
      <c r="N136" s="102">
        <v>975.8</v>
      </c>
      <c r="S136" t="str">
        <f t="shared" si="8"/>
        <v>95-003-10-59</v>
      </c>
      <c r="T136" s="129" t="s">
        <v>28349</v>
      </c>
      <c r="U136" s="112">
        <v>5</v>
      </c>
    </row>
    <row r="137" spans="1:21" x14ac:dyDescent="0.2">
      <c r="A137" s="102" t="s">
        <v>29589</v>
      </c>
      <c r="B137" s="102" t="s">
        <v>29652</v>
      </c>
      <c r="C137" s="102" t="s">
        <v>31</v>
      </c>
      <c r="D137" s="102" t="s">
        <v>39</v>
      </c>
      <c r="E137" s="102" t="s">
        <v>29661</v>
      </c>
      <c r="F137" s="102" t="s">
        <v>91</v>
      </c>
      <c r="G137" s="102" t="s">
        <v>29661</v>
      </c>
      <c r="H137" s="102" t="s">
        <v>29682</v>
      </c>
      <c r="I137" s="102" t="s">
        <v>25536</v>
      </c>
      <c r="J137" s="102" t="s">
        <v>29710</v>
      </c>
      <c r="K137" s="102" t="s">
        <v>264</v>
      </c>
      <c r="L137" s="102" t="s">
        <v>25606</v>
      </c>
      <c r="M137" s="102" t="s">
        <v>26662</v>
      </c>
      <c r="N137" s="102">
        <v>975.8</v>
      </c>
      <c r="S137" t="str">
        <f t="shared" si="8"/>
        <v>95-003-10-60</v>
      </c>
      <c r="T137" s="129" t="s">
        <v>28272</v>
      </c>
      <c r="U137" s="112">
        <v>3</v>
      </c>
    </row>
    <row r="138" spans="1:21" x14ac:dyDescent="0.2">
      <c r="A138" s="102" t="s">
        <v>29589</v>
      </c>
      <c r="B138" s="102" t="s">
        <v>29652</v>
      </c>
      <c r="C138" s="102" t="s">
        <v>31</v>
      </c>
      <c r="D138" s="102" t="s">
        <v>39</v>
      </c>
      <c r="E138" s="102" t="s">
        <v>29661</v>
      </c>
      <c r="F138" s="102" t="s">
        <v>91</v>
      </c>
      <c r="G138" s="102" t="s">
        <v>29661</v>
      </c>
      <c r="H138" s="102" t="s">
        <v>29682</v>
      </c>
      <c r="I138" s="102" t="s">
        <v>25536</v>
      </c>
      <c r="J138" s="102" t="s">
        <v>29710</v>
      </c>
      <c r="K138" s="102" t="s">
        <v>264</v>
      </c>
      <c r="L138" s="102" t="s">
        <v>25606</v>
      </c>
      <c r="M138" s="102" t="s">
        <v>26662</v>
      </c>
      <c r="N138" s="102">
        <v>975.8</v>
      </c>
      <c r="S138" t="str">
        <f t="shared" si="8"/>
        <v>95-003-10-61</v>
      </c>
      <c r="T138" s="129" t="s">
        <v>28354</v>
      </c>
      <c r="U138" s="112">
        <v>2</v>
      </c>
    </row>
    <row r="139" spans="1:21" x14ac:dyDescent="0.2">
      <c r="A139" s="102" t="s">
        <v>29590</v>
      </c>
      <c r="B139" s="102" t="s">
        <v>29646</v>
      </c>
      <c r="C139" s="102" t="s">
        <v>31</v>
      </c>
      <c r="D139" s="102" t="s">
        <v>39</v>
      </c>
      <c r="E139" s="102" t="s">
        <v>29661</v>
      </c>
      <c r="F139" s="102" t="s">
        <v>91</v>
      </c>
      <c r="G139" s="102" t="s">
        <v>29661</v>
      </c>
      <c r="H139" s="102" t="s">
        <v>29682</v>
      </c>
      <c r="I139" s="102" t="s">
        <v>25536</v>
      </c>
      <c r="J139" s="102" t="s">
        <v>29710</v>
      </c>
      <c r="K139" s="102" t="s">
        <v>264</v>
      </c>
      <c r="L139" s="102" t="s">
        <v>25606</v>
      </c>
      <c r="M139" s="102" t="s">
        <v>26662</v>
      </c>
      <c r="N139" s="102">
        <v>975.8</v>
      </c>
      <c r="S139" t="str">
        <f t="shared" ref="S139:S152" si="9">A139&amp;"-"&amp;T139</f>
        <v>95-004-10-56</v>
      </c>
      <c r="T139" s="129" t="s">
        <v>28269</v>
      </c>
      <c r="U139" s="112">
        <v>2</v>
      </c>
    </row>
    <row r="140" spans="1:21" x14ac:dyDescent="0.2">
      <c r="A140" s="102" t="s">
        <v>29590</v>
      </c>
      <c r="B140" s="102" t="s">
        <v>29646</v>
      </c>
      <c r="C140" s="102" t="s">
        <v>31</v>
      </c>
      <c r="D140" s="102" t="s">
        <v>39</v>
      </c>
      <c r="E140" s="102" t="s">
        <v>29661</v>
      </c>
      <c r="F140" s="102" t="s">
        <v>91</v>
      </c>
      <c r="G140" s="102" t="s">
        <v>29661</v>
      </c>
      <c r="H140" s="102" t="s">
        <v>29682</v>
      </c>
      <c r="I140" s="102" t="s">
        <v>25536</v>
      </c>
      <c r="J140" s="102" t="s">
        <v>29710</v>
      </c>
      <c r="K140" s="102" t="s">
        <v>264</v>
      </c>
      <c r="L140" s="102" t="s">
        <v>25606</v>
      </c>
      <c r="M140" s="102" t="s">
        <v>26662</v>
      </c>
      <c r="N140" s="102">
        <v>975.8</v>
      </c>
      <c r="S140" t="str">
        <f t="shared" si="9"/>
        <v>95-004-10-57</v>
      </c>
      <c r="T140" s="129" t="s">
        <v>28353</v>
      </c>
      <c r="U140" s="112">
        <v>9</v>
      </c>
    </row>
    <row r="141" spans="1:21" x14ac:dyDescent="0.2">
      <c r="A141" s="102" t="s">
        <v>29590</v>
      </c>
      <c r="B141" s="102" t="s">
        <v>29646</v>
      </c>
      <c r="C141" s="102" t="s">
        <v>31</v>
      </c>
      <c r="D141" s="102" t="s">
        <v>39</v>
      </c>
      <c r="E141" s="102" t="s">
        <v>29661</v>
      </c>
      <c r="F141" s="102" t="s">
        <v>91</v>
      </c>
      <c r="G141" s="102" t="s">
        <v>29661</v>
      </c>
      <c r="H141" s="102" t="s">
        <v>29682</v>
      </c>
      <c r="I141" s="102" t="s">
        <v>25536</v>
      </c>
      <c r="J141" s="102" t="s">
        <v>29710</v>
      </c>
      <c r="K141" s="102" t="s">
        <v>264</v>
      </c>
      <c r="L141" s="102" t="s">
        <v>25606</v>
      </c>
      <c r="M141" s="102" t="s">
        <v>26662</v>
      </c>
      <c r="N141" s="102">
        <v>975.8</v>
      </c>
      <c r="S141" t="str">
        <f t="shared" si="9"/>
        <v>95-004-10-58</v>
      </c>
      <c r="T141" s="129" t="s">
        <v>28395</v>
      </c>
      <c r="U141" s="112">
        <v>6</v>
      </c>
    </row>
    <row r="142" spans="1:21" x14ac:dyDescent="0.2">
      <c r="A142" s="102" t="s">
        <v>29590</v>
      </c>
      <c r="B142" s="102" t="s">
        <v>29646</v>
      </c>
      <c r="C142" s="102" t="s">
        <v>31</v>
      </c>
      <c r="D142" s="102" t="s">
        <v>39</v>
      </c>
      <c r="E142" s="102" t="s">
        <v>29661</v>
      </c>
      <c r="F142" s="102" t="s">
        <v>91</v>
      </c>
      <c r="G142" s="102" t="s">
        <v>29661</v>
      </c>
      <c r="H142" s="102" t="s">
        <v>29682</v>
      </c>
      <c r="I142" s="102" t="s">
        <v>25536</v>
      </c>
      <c r="J142" s="102" t="s">
        <v>29710</v>
      </c>
      <c r="K142" s="102" t="s">
        <v>264</v>
      </c>
      <c r="L142" s="102" t="s">
        <v>25606</v>
      </c>
      <c r="M142" s="102" t="s">
        <v>26662</v>
      </c>
      <c r="N142" s="102">
        <v>975.8</v>
      </c>
      <c r="S142" t="str">
        <f t="shared" si="9"/>
        <v>95-004-10-59</v>
      </c>
      <c r="T142" s="129" t="s">
        <v>28349</v>
      </c>
      <c r="U142" s="112">
        <v>10</v>
      </c>
    </row>
    <row r="143" spans="1:21" x14ac:dyDescent="0.2">
      <c r="A143" s="102" t="s">
        <v>29590</v>
      </c>
      <c r="B143" s="102" t="s">
        <v>29646</v>
      </c>
      <c r="C143" s="102" t="s">
        <v>31</v>
      </c>
      <c r="D143" s="102" t="s">
        <v>39</v>
      </c>
      <c r="E143" s="102" t="s">
        <v>29661</v>
      </c>
      <c r="F143" s="102" t="s">
        <v>91</v>
      </c>
      <c r="G143" s="102" t="s">
        <v>29661</v>
      </c>
      <c r="H143" s="102" t="s">
        <v>29682</v>
      </c>
      <c r="I143" s="102" t="s">
        <v>25536</v>
      </c>
      <c r="J143" s="102" t="s">
        <v>29710</v>
      </c>
      <c r="K143" s="102" t="s">
        <v>264</v>
      </c>
      <c r="L143" s="102" t="s">
        <v>25606</v>
      </c>
      <c r="M143" s="102" t="s">
        <v>26662</v>
      </c>
      <c r="N143" s="102">
        <v>975.8</v>
      </c>
      <c r="S143" t="str">
        <f t="shared" si="9"/>
        <v>95-004-10-60</v>
      </c>
      <c r="T143" s="129" t="s">
        <v>28272</v>
      </c>
      <c r="U143" s="112">
        <v>15</v>
      </c>
    </row>
    <row r="144" spans="1:21" x14ac:dyDescent="0.2">
      <c r="A144" s="102" t="s">
        <v>29591</v>
      </c>
      <c r="B144" s="102" t="s">
        <v>29649</v>
      </c>
      <c r="C144" s="102" t="s">
        <v>46</v>
      </c>
      <c r="D144" s="102" t="s">
        <v>47</v>
      </c>
      <c r="E144" s="102" t="s">
        <v>29661</v>
      </c>
      <c r="F144" s="102" t="s">
        <v>91</v>
      </c>
      <c r="G144" s="102" t="s">
        <v>29661</v>
      </c>
      <c r="H144" s="102" t="s">
        <v>29682</v>
      </c>
      <c r="I144" s="102" t="s">
        <v>25536</v>
      </c>
      <c r="J144" s="102" t="s">
        <v>29710</v>
      </c>
      <c r="K144" s="102" t="s">
        <v>264</v>
      </c>
      <c r="L144" s="102" t="s">
        <v>25606</v>
      </c>
      <c r="M144" s="102" t="s">
        <v>26662</v>
      </c>
      <c r="N144" s="102">
        <v>975.8</v>
      </c>
      <c r="S144" t="str">
        <f t="shared" si="9"/>
        <v>95-001-10-56</v>
      </c>
      <c r="T144" s="129" t="s">
        <v>28269</v>
      </c>
      <c r="U144" s="112">
        <v>2</v>
      </c>
    </row>
    <row r="145" spans="1:21" x14ac:dyDescent="0.2">
      <c r="A145" s="102" t="s">
        <v>29591</v>
      </c>
      <c r="B145" s="102" t="s">
        <v>29649</v>
      </c>
      <c r="C145" s="102" t="s">
        <v>46</v>
      </c>
      <c r="D145" s="102" t="s">
        <v>47</v>
      </c>
      <c r="E145" s="102" t="s">
        <v>29661</v>
      </c>
      <c r="F145" s="102" t="s">
        <v>91</v>
      </c>
      <c r="G145" s="102" t="s">
        <v>29661</v>
      </c>
      <c r="H145" s="102" t="s">
        <v>29682</v>
      </c>
      <c r="I145" s="102" t="s">
        <v>25536</v>
      </c>
      <c r="J145" s="102" t="s">
        <v>29710</v>
      </c>
      <c r="K145" s="102" t="s">
        <v>264</v>
      </c>
      <c r="L145" s="102" t="s">
        <v>25606</v>
      </c>
      <c r="M145" s="102" t="s">
        <v>26662</v>
      </c>
      <c r="N145" s="102">
        <v>975.8</v>
      </c>
      <c r="S145" t="str">
        <f t="shared" si="9"/>
        <v>95-001-10-57</v>
      </c>
      <c r="T145" s="129" t="s">
        <v>28353</v>
      </c>
      <c r="U145" s="112">
        <v>4</v>
      </c>
    </row>
    <row r="146" spans="1:21" x14ac:dyDescent="0.2">
      <c r="A146" s="102" t="s">
        <v>29591</v>
      </c>
      <c r="B146" s="102" t="s">
        <v>29649</v>
      </c>
      <c r="C146" s="102" t="s">
        <v>46</v>
      </c>
      <c r="D146" s="102" t="s">
        <v>47</v>
      </c>
      <c r="E146" s="102" t="s">
        <v>29661</v>
      </c>
      <c r="F146" s="102" t="s">
        <v>91</v>
      </c>
      <c r="G146" s="102" t="s">
        <v>29661</v>
      </c>
      <c r="H146" s="102" t="s">
        <v>29682</v>
      </c>
      <c r="I146" s="102" t="s">
        <v>25536</v>
      </c>
      <c r="J146" s="102" t="s">
        <v>29710</v>
      </c>
      <c r="K146" s="102" t="s">
        <v>264</v>
      </c>
      <c r="L146" s="102" t="s">
        <v>25606</v>
      </c>
      <c r="M146" s="102" t="s">
        <v>26662</v>
      </c>
      <c r="N146" s="102">
        <v>975.8</v>
      </c>
      <c r="S146" t="str">
        <f t="shared" si="9"/>
        <v>95-001-10-58</v>
      </c>
      <c r="T146" s="129" t="s">
        <v>28395</v>
      </c>
      <c r="U146" s="112">
        <v>6</v>
      </c>
    </row>
    <row r="147" spans="1:21" x14ac:dyDescent="0.2">
      <c r="A147" s="102" t="s">
        <v>29591</v>
      </c>
      <c r="B147" s="102" t="s">
        <v>29649</v>
      </c>
      <c r="C147" s="102" t="s">
        <v>46</v>
      </c>
      <c r="D147" s="102" t="s">
        <v>47</v>
      </c>
      <c r="E147" s="102" t="s">
        <v>29661</v>
      </c>
      <c r="F147" s="102" t="s">
        <v>91</v>
      </c>
      <c r="G147" s="102" t="s">
        <v>29661</v>
      </c>
      <c r="H147" s="102" t="s">
        <v>29682</v>
      </c>
      <c r="I147" s="102" t="s">
        <v>25536</v>
      </c>
      <c r="J147" s="102" t="s">
        <v>29710</v>
      </c>
      <c r="K147" s="102" t="s">
        <v>264</v>
      </c>
      <c r="L147" s="102" t="s">
        <v>25606</v>
      </c>
      <c r="M147" s="102" t="s">
        <v>26662</v>
      </c>
      <c r="N147" s="102">
        <v>975.8</v>
      </c>
      <c r="S147" t="str">
        <f t="shared" si="9"/>
        <v>95-001-10-59</v>
      </c>
      <c r="T147" s="129" t="s">
        <v>28349</v>
      </c>
      <c r="U147" s="112">
        <v>9</v>
      </c>
    </row>
    <row r="148" spans="1:21" x14ac:dyDescent="0.2">
      <c r="A148" s="102" t="s">
        <v>29591</v>
      </c>
      <c r="B148" s="102" t="s">
        <v>29649</v>
      </c>
      <c r="C148" s="102" t="s">
        <v>46</v>
      </c>
      <c r="D148" s="102" t="s">
        <v>47</v>
      </c>
      <c r="E148" s="102" t="s">
        <v>29661</v>
      </c>
      <c r="F148" s="102" t="s">
        <v>91</v>
      </c>
      <c r="G148" s="102" t="s">
        <v>29661</v>
      </c>
      <c r="H148" s="102" t="s">
        <v>29682</v>
      </c>
      <c r="I148" s="102" t="s">
        <v>25536</v>
      </c>
      <c r="J148" s="102" t="s">
        <v>29710</v>
      </c>
      <c r="K148" s="102" t="s">
        <v>264</v>
      </c>
      <c r="L148" s="102" t="s">
        <v>25606</v>
      </c>
      <c r="M148" s="102" t="s">
        <v>26662</v>
      </c>
      <c r="N148" s="102">
        <v>975.8</v>
      </c>
      <c r="S148" t="str">
        <f t="shared" si="9"/>
        <v>95-001-10-60</v>
      </c>
      <c r="T148" s="129" t="s">
        <v>28272</v>
      </c>
      <c r="U148" s="112">
        <v>6</v>
      </c>
    </row>
    <row r="149" spans="1:21" x14ac:dyDescent="0.2">
      <c r="A149" s="102" t="s">
        <v>29591</v>
      </c>
      <c r="B149" s="102" t="s">
        <v>29649</v>
      </c>
      <c r="C149" s="102" t="s">
        <v>46</v>
      </c>
      <c r="D149" s="102" t="s">
        <v>47</v>
      </c>
      <c r="E149" s="102" t="s">
        <v>29661</v>
      </c>
      <c r="F149" s="102" t="s">
        <v>91</v>
      </c>
      <c r="G149" s="102" t="s">
        <v>29661</v>
      </c>
      <c r="H149" s="102" t="s">
        <v>29682</v>
      </c>
      <c r="I149" s="102" t="s">
        <v>25536</v>
      </c>
      <c r="J149" s="102" t="s">
        <v>29710</v>
      </c>
      <c r="K149" s="102" t="s">
        <v>264</v>
      </c>
      <c r="L149" s="102" t="s">
        <v>25606</v>
      </c>
      <c r="M149" s="102" t="s">
        <v>26662</v>
      </c>
      <c r="N149" s="102">
        <v>975.8</v>
      </c>
      <c r="S149" t="str">
        <f t="shared" si="9"/>
        <v>95-001-10-61</v>
      </c>
      <c r="T149" s="129" t="s">
        <v>28354</v>
      </c>
      <c r="U149" s="112">
        <v>4</v>
      </c>
    </row>
    <row r="150" spans="1:21" x14ac:dyDescent="0.2">
      <c r="A150" s="102" t="s">
        <v>29591</v>
      </c>
      <c r="B150" s="102" t="s">
        <v>29649</v>
      </c>
      <c r="C150" s="102" t="s">
        <v>46</v>
      </c>
      <c r="D150" s="102" t="s">
        <v>47</v>
      </c>
      <c r="E150" s="102" t="s">
        <v>29661</v>
      </c>
      <c r="F150" s="102" t="s">
        <v>91</v>
      </c>
      <c r="G150" s="102" t="s">
        <v>29661</v>
      </c>
      <c r="H150" s="102" t="s">
        <v>29682</v>
      </c>
      <c r="I150" s="102" t="s">
        <v>25536</v>
      </c>
      <c r="J150" s="102" t="s">
        <v>29710</v>
      </c>
      <c r="K150" s="102" t="s">
        <v>264</v>
      </c>
      <c r="L150" s="102" t="s">
        <v>25606</v>
      </c>
      <c r="M150" s="102" t="s">
        <v>26662</v>
      </c>
      <c r="N150" s="102">
        <v>975.8</v>
      </c>
      <c r="S150" t="str">
        <f t="shared" si="9"/>
        <v>95-001-10-62</v>
      </c>
      <c r="T150" s="129" t="s">
        <v>28236</v>
      </c>
      <c r="U150" s="112">
        <v>2</v>
      </c>
    </row>
    <row r="151" spans="1:21" x14ac:dyDescent="0.2">
      <c r="A151" s="102" t="s">
        <v>29592</v>
      </c>
      <c r="B151" s="102" t="s">
        <v>29653</v>
      </c>
      <c r="C151" s="102" t="s">
        <v>31</v>
      </c>
      <c r="D151" s="102" t="s">
        <v>39</v>
      </c>
      <c r="E151" s="102" t="s">
        <v>29661</v>
      </c>
      <c r="F151" s="102" t="s">
        <v>91</v>
      </c>
      <c r="G151" s="102" t="s">
        <v>29661</v>
      </c>
      <c r="H151" s="102" t="s">
        <v>29683</v>
      </c>
      <c r="I151" s="102" t="s">
        <v>29684</v>
      </c>
      <c r="J151" s="102" t="s">
        <v>29711</v>
      </c>
      <c r="K151" s="102" t="s">
        <v>264</v>
      </c>
      <c r="L151" s="102" t="s">
        <v>25606</v>
      </c>
      <c r="M151" s="102" t="s">
        <v>26662</v>
      </c>
      <c r="N151" s="102">
        <v>975.8</v>
      </c>
      <c r="S151" t="str">
        <f t="shared" si="9"/>
        <v>95-011-61-57</v>
      </c>
      <c r="T151" s="129" t="s">
        <v>28353</v>
      </c>
      <c r="U151" s="112">
        <v>8</v>
      </c>
    </row>
    <row r="152" spans="1:21" x14ac:dyDescent="0.2">
      <c r="A152" s="102" t="s">
        <v>29592</v>
      </c>
      <c r="B152" s="102" t="s">
        <v>29653</v>
      </c>
      <c r="C152" s="102" t="s">
        <v>31</v>
      </c>
      <c r="D152" s="102" t="s">
        <v>39</v>
      </c>
      <c r="E152" s="102" t="s">
        <v>29661</v>
      </c>
      <c r="F152" s="102" t="s">
        <v>91</v>
      </c>
      <c r="G152" s="102" t="s">
        <v>29661</v>
      </c>
      <c r="H152" s="102" t="s">
        <v>29683</v>
      </c>
      <c r="I152" s="102" t="s">
        <v>29684</v>
      </c>
      <c r="J152" s="102" t="s">
        <v>29711</v>
      </c>
      <c r="K152" s="102" t="s">
        <v>264</v>
      </c>
      <c r="L152" s="102" t="s">
        <v>25606</v>
      </c>
      <c r="M152" s="102" t="s">
        <v>26662</v>
      </c>
      <c r="N152" s="102">
        <v>975.8</v>
      </c>
      <c r="S152" t="str">
        <f t="shared" si="9"/>
        <v>95-011-61-59</v>
      </c>
      <c r="T152" s="129" t="s">
        <v>28349</v>
      </c>
      <c r="U152" s="112">
        <v>16</v>
      </c>
    </row>
    <row r="153" spans="1:21" x14ac:dyDescent="0.2">
      <c r="A153" s="102" t="s">
        <v>29593</v>
      </c>
      <c r="B153" s="102" t="s">
        <v>29648</v>
      </c>
      <c r="C153" s="102" t="s">
        <v>31</v>
      </c>
      <c r="D153" s="102" t="s">
        <v>37</v>
      </c>
      <c r="E153" s="102" t="s">
        <v>29661</v>
      </c>
      <c r="F153" s="102" t="s">
        <v>91</v>
      </c>
      <c r="G153" s="102" t="s">
        <v>29661</v>
      </c>
      <c r="H153" s="102" t="s">
        <v>29685</v>
      </c>
      <c r="I153" s="102" t="s">
        <v>42</v>
      </c>
      <c r="J153" s="102" t="s">
        <v>29710</v>
      </c>
      <c r="K153" s="102" t="s">
        <v>264</v>
      </c>
      <c r="L153" s="102" t="s">
        <v>25606</v>
      </c>
      <c r="M153" s="102" t="s">
        <v>26662</v>
      </c>
      <c r="N153" s="102">
        <v>975.8</v>
      </c>
      <c r="S153" t="str">
        <f t="shared" ref="S153:S166" si="10">A153&amp;"-"&amp;T153</f>
        <v>95-006-53-56</v>
      </c>
      <c r="T153" s="129" t="s">
        <v>28269</v>
      </c>
      <c r="U153" s="112">
        <v>2</v>
      </c>
    </row>
    <row r="154" spans="1:21" x14ac:dyDescent="0.2">
      <c r="A154" s="102" t="s">
        <v>29593</v>
      </c>
      <c r="B154" s="102" t="s">
        <v>29648</v>
      </c>
      <c r="C154" s="102" t="s">
        <v>31</v>
      </c>
      <c r="D154" s="102" t="s">
        <v>37</v>
      </c>
      <c r="E154" s="102" t="s">
        <v>29661</v>
      </c>
      <c r="F154" s="102" t="s">
        <v>91</v>
      </c>
      <c r="G154" s="102" t="s">
        <v>29661</v>
      </c>
      <c r="H154" s="102" t="s">
        <v>29685</v>
      </c>
      <c r="I154" s="102" t="s">
        <v>42</v>
      </c>
      <c r="J154" s="102" t="s">
        <v>29710</v>
      </c>
      <c r="K154" s="102" t="s">
        <v>264</v>
      </c>
      <c r="L154" s="102" t="s">
        <v>25606</v>
      </c>
      <c r="M154" s="102" t="s">
        <v>26662</v>
      </c>
      <c r="N154" s="102">
        <v>975.8</v>
      </c>
      <c r="S154" t="str">
        <f t="shared" si="10"/>
        <v>95-006-53-57</v>
      </c>
      <c r="T154" s="129" t="s">
        <v>28353</v>
      </c>
      <c r="U154" s="112">
        <v>6</v>
      </c>
    </row>
    <row r="155" spans="1:21" x14ac:dyDescent="0.2">
      <c r="A155" s="102" t="s">
        <v>29593</v>
      </c>
      <c r="B155" s="102" t="s">
        <v>29648</v>
      </c>
      <c r="C155" s="102" t="s">
        <v>31</v>
      </c>
      <c r="D155" s="102" t="s">
        <v>37</v>
      </c>
      <c r="E155" s="102" t="s">
        <v>29661</v>
      </c>
      <c r="F155" s="102" t="s">
        <v>91</v>
      </c>
      <c r="G155" s="102" t="s">
        <v>29661</v>
      </c>
      <c r="H155" s="102" t="s">
        <v>29685</v>
      </c>
      <c r="I155" s="102" t="s">
        <v>42</v>
      </c>
      <c r="J155" s="102" t="s">
        <v>29710</v>
      </c>
      <c r="K155" s="102" t="s">
        <v>264</v>
      </c>
      <c r="L155" s="102" t="s">
        <v>25606</v>
      </c>
      <c r="M155" s="102" t="s">
        <v>26662</v>
      </c>
      <c r="N155" s="102">
        <v>975.8</v>
      </c>
      <c r="S155" t="str">
        <f t="shared" si="10"/>
        <v>95-006-53-58</v>
      </c>
      <c r="T155" s="129" t="s">
        <v>28395</v>
      </c>
      <c r="U155" s="112">
        <v>12</v>
      </c>
    </row>
    <row r="156" spans="1:21" x14ac:dyDescent="0.2">
      <c r="A156" s="102" t="s">
        <v>29593</v>
      </c>
      <c r="B156" s="102" t="s">
        <v>29648</v>
      </c>
      <c r="C156" s="102" t="s">
        <v>31</v>
      </c>
      <c r="D156" s="102" t="s">
        <v>37</v>
      </c>
      <c r="E156" s="102" t="s">
        <v>29661</v>
      </c>
      <c r="F156" s="102" t="s">
        <v>91</v>
      </c>
      <c r="G156" s="102" t="s">
        <v>29661</v>
      </c>
      <c r="H156" s="102" t="s">
        <v>29685</v>
      </c>
      <c r="I156" s="102" t="s">
        <v>42</v>
      </c>
      <c r="J156" s="102" t="s">
        <v>29710</v>
      </c>
      <c r="K156" s="102" t="s">
        <v>264</v>
      </c>
      <c r="L156" s="102" t="s">
        <v>25606</v>
      </c>
      <c r="M156" s="102" t="s">
        <v>26662</v>
      </c>
      <c r="N156" s="102">
        <v>975.8</v>
      </c>
      <c r="S156" t="str">
        <f t="shared" si="10"/>
        <v>95-006-53-59</v>
      </c>
      <c r="T156" s="129" t="s">
        <v>28349</v>
      </c>
      <c r="U156" s="112">
        <v>15</v>
      </c>
    </row>
    <row r="157" spans="1:21" x14ac:dyDescent="0.2">
      <c r="A157" s="102" t="s">
        <v>29593</v>
      </c>
      <c r="B157" s="102" t="s">
        <v>29648</v>
      </c>
      <c r="C157" s="102" t="s">
        <v>31</v>
      </c>
      <c r="D157" s="102" t="s">
        <v>37</v>
      </c>
      <c r="E157" s="102" t="s">
        <v>29661</v>
      </c>
      <c r="F157" s="102" t="s">
        <v>91</v>
      </c>
      <c r="G157" s="102" t="s">
        <v>29661</v>
      </c>
      <c r="H157" s="102" t="s">
        <v>29685</v>
      </c>
      <c r="I157" s="102" t="s">
        <v>42</v>
      </c>
      <c r="J157" s="102" t="s">
        <v>29710</v>
      </c>
      <c r="K157" s="102" t="s">
        <v>264</v>
      </c>
      <c r="L157" s="102" t="s">
        <v>25606</v>
      </c>
      <c r="M157" s="102" t="s">
        <v>26662</v>
      </c>
      <c r="N157" s="102">
        <v>975.8</v>
      </c>
      <c r="S157" t="str">
        <f t="shared" si="10"/>
        <v>95-006-53-60</v>
      </c>
      <c r="T157" s="129" t="s">
        <v>28272</v>
      </c>
      <c r="U157" s="112">
        <v>12</v>
      </c>
    </row>
    <row r="158" spans="1:21" x14ac:dyDescent="0.2">
      <c r="A158" s="102" t="s">
        <v>29594</v>
      </c>
      <c r="B158" s="102" t="s">
        <v>29648</v>
      </c>
      <c r="C158" s="102" t="s">
        <v>31</v>
      </c>
      <c r="D158" s="102" t="s">
        <v>37</v>
      </c>
      <c r="E158" s="102" t="s">
        <v>29661</v>
      </c>
      <c r="F158" s="102" t="s">
        <v>91</v>
      </c>
      <c r="G158" s="102" t="s">
        <v>29661</v>
      </c>
      <c r="H158" s="102" t="s">
        <v>29686</v>
      </c>
      <c r="I158" s="102" t="s">
        <v>25485</v>
      </c>
      <c r="J158" s="102" t="s">
        <v>29710</v>
      </c>
      <c r="K158" s="102" t="s">
        <v>264</v>
      </c>
      <c r="L158" s="102" t="s">
        <v>25606</v>
      </c>
      <c r="M158" s="102" t="s">
        <v>26662</v>
      </c>
      <c r="N158" s="102">
        <v>975.8</v>
      </c>
      <c r="S158" t="str">
        <f t="shared" si="10"/>
        <v>95-006-47-56</v>
      </c>
      <c r="T158" s="129" t="s">
        <v>28269</v>
      </c>
      <c r="U158" s="112">
        <v>1</v>
      </c>
    </row>
    <row r="159" spans="1:21" x14ac:dyDescent="0.2">
      <c r="A159" s="102" t="s">
        <v>29594</v>
      </c>
      <c r="B159" s="102" t="s">
        <v>29648</v>
      </c>
      <c r="C159" s="102" t="s">
        <v>31</v>
      </c>
      <c r="D159" s="102" t="s">
        <v>37</v>
      </c>
      <c r="E159" s="102" t="s">
        <v>29661</v>
      </c>
      <c r="F159" s="102" t="s">
        <v>91</v>
      </c>
      <c r="G159" s="102" t="s">
        <v>29661</v>
      </c>
      <c r="H159" s="102" t="s">
        <v>29686</v>
      </c>
      <c r="I159" s="102" t="s">
        <v>25485</v>
      </c>
      <c r="J159" s="102" t="s">
        <v>29710</v>
      </c>
      <c r="K159" s="102" t="s">
        <v>264</v>
      </c>
      <c r="L159" s="102" t="s">
        <v>25606</v>
      </c>
      <c r="M159" s="102" t="s">
        <v>26662</v>
      </c>
      <c r="N159" s="102">
        <v>975.8</v>
      </c>
      <c r="S159" t="str">
        <f t="shared" si="10"/>
        <v>95-006-47-57</v>
      </c>
      <c r="T159" s="129" t="s">
        <v>28353</v>
      </c>
      <c r="U159" s="112">
        <v>2</v>
      </c>
    </row>
    <row r="160" spans="1:21" x14ac:dyDescent="0.2">
      <c r="A160" s="102" t="s">
        <v>29594</v>
      </c>
      <c r="B160" s="102" t="s">
        <v>29648</v>
      </c>
      <c r="C160" s="102" t="s">
        <v>31</v>
      </c>
      <c r="D160" s="102" t="s">
        <v>37</v>
      </c>
      <c r="E160" s="102" t="s">
        <v>29661</v>
      </c>
      <c r="F160" s="102" t="s">
        <v>91</v>
      </c>
      <c r="G160" s="102" t="s">
        <v>29661</v>
      </c>
      <c r="H160" s="102" t="s">
        <v>29686</v>
      </c>
      <c r="I160" s="102" t="s">
        <v>25485</v>
      </c>
      <c r="J160" s="102" t="s">
        <v>29710</v>
      </c>
      <c r="K160" s="102" t="s">
        <v>264</v>
      </c>
      <c r="L160" s="102" t="s">
        <v>25606</v>
      </c>
      <c r="M160" s="102" t="s">
        <v>26662</v>
      </c>
      <c r="N160" s="102">
        <v>975.8</v>
      </c>
      <c r="S160" t="str">
        <f t="shared" si="10"/>
        <v>95-006-47-58</v>
      </c>
      <c r="T160" s="129" t="s">
        <v>28395</v>
      </c>
      <c r="U160" s="112">
        <v>3</v>
      </c>
    </row>
    <row r="161" spans="1:21" x14ac:dyDescent="0.2">
      <c r="A161" s="102" t="s">
        <v>29594</v>
      </c>
      <c r="B161" s="102" t="s">
        <v>29648</v>
      </c>
      <c r="C161" s="102" t="s">
        <v>31</v>
      </c>
      <c r="D161" s="102" t="s">
        <v>37</v>
      </c>
      <c r="E161" s="102" t="s">
        <v>29661</v>
      </c>
      <c r="F161" s="102" t="s">
        <v>91</v>
      </c>
      <c r="G161" s="102" t="s">
        <v>29661</v>
      </c>
      <c r="H161" s="102" t="s">
        <v>29686</v>
      </c>
      <c r="I161" s="102" t="s">
        <v>25485</v>
      </c>
      <c r="J161" s="102" t="s">
        <v>29710</v>
      </c>
      <c r="K161" s="102" t="s">
        <v>264</v>
      </c>
      <c r="L161" s="102" t="s">
        <v>25606</v>
      </c>
      <c r="M161" s="102" t="s">
        <v>26662</v>
      </c>
      <c r="N161" s="102">
        <v>975.8</v>
      </c>
      <c r="S161" t="str">
        <f t="shared" si="10"/>
        <v>95-006-47-59</v>
      </c>
      <c r="T161" s="129" t="s">
        <v>28349</v>
      </c>
      <c r="U161" s="112">
        <v>4</v>
      </c>
    </row>
    <row r="162" spans="1:21" x14ac:dyDescent="0.2">
      <c r="A162" s="102" t="s">
        <v>29594</v>
      </c>
      <c r="B162" s="102" t="s">
        <v>29648</v>
      </c>
      <c r="C162" s="102" t="s">
        <v>31</v>
      </c>
      <c r="D162" s="102" t="s">
        <v>37</v>
      </c>
      <c r="E162" s="102" t="s">
        <v>29661</v>
      </c>
      <c r="F162" s="102" t="s">
        <v>91</v>
      </c>
      <c r="G162" s="102" t="s">
        <v>29661</v>
      </c>
      <c r="H162" s="102" t="s">
        <v>29686</v>
      </c>
      <c r="I162" s="102" t="s">
        <v>25485</v>
      </c>
      <c r="J162" s="102" t="s">
        <v>29710</v>
      </c>
      <c r="K162" s="102" t="s">
        <v>264</v>
      </c>
      <c r="L162" s="102" t="s">
        <v>25606</v>
      </c>
      <c r="M162" s="102" t="s">
        <v>26662</v>
      </c>
      <c r="N162" s="102">
        <v>975.8</v>
      </c>
      <c r="S162" t="str">
        <f t="shared" si="10"/>
        <v>95-006-47-60</v>
      </c>
      <c r="T162" s="129" t="s">
        <v>28272</v>
      </c>
      <c r="U162" s="112">
        <v>3</v>
      </c>
    </row>
    <row r="163" spans="1:21" x14ac:dyDescent="0.2">
      <c r="A163" s="102" t="s">
        <v>29595</v>
      </c>
      <c r="B163" s="102" t="s">
        <v>29654</v>
      </c>
      <c r="C163" s="102" t="s">
        <v>31</v>
      </c>
      <c r="D163" s="102" t="s">
        <v>39</v>
      </c>
      <c r="E163" s="102" t="s">
        <v>29661</v>
      </c>
      <c r="F163" s="102" t="s">
        <v>91</v>
      </c>
      <c r="G163" s="102" t="s">
        <v>29661</v>
      </c>
      <c r="H163" s="102" t="s">
        <v>29686</v>
      </c>
      <c r="I163" s="102" t="s">
        <v>25485</v>
      </c>
      <c r="J163" s="102" t="s">
        <v>29710</v>
      </c>
      <c r="K163" s="102" t="s">
        <v>264</v>
      </c>
      <c r="L163" s="102" t="s">
        <v>25606</v>
      </c>
      <c r="M163" s="102" t="s">
        <v>26662</v>
      </c>
      <c r="N163" s="102">
        <v>975.8</v>
      </c>
      <c r="S163" t="str">
        <f t="shared" si="10"/>
        <v>95-002-47-56</v>
      </c>
      <c r="T163" s="129" t="s">
        <v>28269</v>
      </c>
      <c r="U163" s="112">
        <v>2</v>
      </c>
    </row>
    <row r="164" spans="1:21" x14ac:dyDescent="0.2">
      <c r="A164" s="102" t="s">
        <v>29595</v>
      </c>
      <c r="B164" s="102" t="s">
        <v>29654</v>
      </c>
      <c r="C164" s="102" t="s">
        <v>31</v>
      </c>
      <c r="D164" s="102" t="s">
        <v>39</v>
      </c>
      <c r="E164" s="102" t="s">
        <v>29661</v>
      </c>
      <c r="F164" s="102" t="s">
        <v>91</v>
      </c>
      <c r="G164" s="102" t="s">
        <v>29661</v>
      </c>
      <c r="H164" s="102" t="s">
        <v>29686</v>
      </c>
      <c r="I164" s="102" t="s">
        <v>25485</v>
      </c>
      <c r="J164" s="102" t="s">
        <v>29710</v>
      </c>
      <c r="K164" s="102" t="s">
        <v>264</v>
      </c>
      <c r="L164" s="102" t="s">
        <v>25606</v>
      </c>
      <c r="M164" s="102" t="s">
        <v>26662</v>
      </c>
      <c r="N164" s="102">
        <v>975.8</v>
      </c>
      <c r="S164" t="str">
        <f t="shared" si="10"/>
        <v>95-002-47-57</v>
      </c>
      <c r="T164" s="129" t="s">
        <v>28353</v>
      </c>
      <c r="U164" s="112">
        <v>3</v>
      </c>
    </row>
    <row r="165" spans="1:21" x14ac:dyDescent="0.2">
      <c r="A165" s="102" t="s">
        <v>29595</v>
      </c>
      <c r="B165" s="102" t="s">
        <v>29654</v>
      </c>
      <c r="C165" s="102" t="s">
        <v>31</v>
      </c>
      <c r="D165" s="102" t="s">
        <v>39</v>
      </c>
      <c r="E165" s="102" t="s">
        <v>29661</v>
      </c>
      <c r="F165" s="102" t="s">
        <v>91</v>
      </c>
      <c r="G165" s="102" t="s">
        <v>29661</v>
      </c>
      <c r="H165" s="102" t="s">
        <v>29686</v>
      </c>
      <c r="I165" s="102" t="s">
        <v>25485</v>
      </c>
      <c r="J165" s="102" t="s">
        <v>29710</v>
      </c>
      <c r="K165" s="102" t="s">
        <v>264</v>
      </c>
      <c r="L165" s="102" t="s">
        <v>25606</v>
      </c>
      <c r="M165" s="102" t="s">
        <v>26662</v>
      </c>
      <c r="N165" s="102">
        <v>975.8</v>
      </c>
      <c r="S165" t="str">
        <f t="shared" si="10"/>
        <v>95-002-47-58</v>
      </c>
      <c r="T165" s="129" t="s">
        <v>28395</v>
      </c>
      <c r="U165" s="112">
        <v>4</v>
      </c>
    </row>
    <row r="166" spans="1:21" x14ac:dyDescent="0.2">
      <c r="A166" s="102" t="s">
        <v>29595</v>
      </c>
      <c r="B166" s="102" t="s">
        <v>29654</v>
      </c>
      <c r="C166" s="102" t="s">
        <v>31</v>
      </c>
      <c r="D166" s="102" t="s">
        <v>39</v>
      </c>
      <c r="E166" s="102" t="s">
        <v>29661</v>
      </c>
      <c r="F166" s="102" t="s">
        <v>91</v>
      </c>
      <c r="G166" s="102" t="s">
        <v>29661</v>
      </c>
      <c r="H166" s="102" t="s">
        <v>29686</v>
      </c>
      <c r="I166" s="102" t="s">
        <v>25485</v>
      </c>
      <c r="J166" s="102" t="s">
        <v>29710</v>
      </c>
      <c r="K166" s="102" t="s">
        <v>264</v>
      </c>
      <c r="L166" s="102" t="s">
        <v>25606</v>
      </c>
      <c r="M166" s="102" t="s">
        <v>26662</v>
      </c>
      <c r="N166" s="102">
        <v>975.8</v>
      </c>
      <c r="S166" t="str">
        <f t="shared" si="10"/>
        <v>95-002-47-59</v>
      </c>
      <c r="T166" s="129" t="s">
        <v>28349</v>
      </c>
      <c r="U166" s="112">
        <v>6</v>
      </c>
    </row>
    <row r="167" spans="1:21" x14ac:dyDescent="0.2">
      <c r="A167" s="102" t="s">
        <v>29595</v>
      </c>
      <c r="B167" s="102" t="s">
        <v>29654</v>
      </c>
      <c r="C167" s="102" t="s">
        <v>31</v>
      </c>
      <c r="D167" s="102" t="s">
        <v>39</v>
      </c>
      <c r="E167" s="102" t="s">
        <v>29661</v>
      </c>
      <c r="F167" s="102" t="s">
        <v>91</v>
      </c>
      <c r="G167" s="102" t="s">
        <v>29661</v>
      </c>
      <c r="H167" s="102" t="s">
        <v>29686</v>
      </c>
      <c r="I167" s="102" t="s">
        <v>25485</v>
      </c>
      <c r="J167" s="102" t="s">
        <v>29710</v>
      </c>
      <c r="K167" s="102" t="s">
        <v>264</v>
      </c>
      <c r="L167" s="102" t="s">
        <v>25606</v>
      </c>
      <c r="M167" s="102" t="s">
        <v>26662</v>
      </c>
      <c r="N167" s="102">
        <v>975.8</v>
      </c>
      <c r="S167" t="str">
        <f t="shared" ref="S167:S178" si="11">A167&amp;"-"&amp;T167</f>
        <v>95-002-47-60</v>
      </c>
      <c r="T167" s="129" t="s">
        <v>28272</v>
      </c>
      <c r="U167" s="112">
        <v>4</v>
      </c>
    </row>
    <row r="168" spans="1:21" x14ac:dyDescent="0.2">
      <c r="A168" s="102" t="s">
        <v>29595</v>
      </c>
      <c r="B168" s="102" t="s">
        <v>29654</v>
      </c>
      <c r="C168" s="102" t="s">
        <v>31</v>
      </c>
      <c r="D168" s="102" t="s">
        <v>39</v>
      </c>
      <c r="E168" s="102" t="s">
        <v>29661</v>
      </c>
      <c r="F168" s="102" t="s">
        <v>91</v>
      </c>
      <c r="G168" s="102" t="s">
        <v>29661</v>
      </c>
      <c r="H168" s="102" t="s">
        <v>29686</v>
      </c>
      <c r="I168" s="102" t="s">
        <v>25485</v>
      </c>
      <c r="J168" s="102" t="s">
        <v>29710</v>
      </c>
      <c r="K168" s="102" t="s">
        <v>264</v>
      </c>
      <c r="L168" s="102" t="s">
        <v>25606</v>
      </c>
      <c r="M168" s="102" t="s">
        <v>26662</v>
      </c>
      <c r="N168" s="102">
        <v>975.8</v>
      </c>
      <c r="S168" t="str">
        <f t="shared" si="11"/>
        <v>95-002-47-61</v>
      </c>
      <c r="T168" s="129" t="s">
        <v>28354</v>
      </c>
      <c r="U168" s="112">
        <v>3</v>
      </c>
    </row>
    <row r="169" spans="1:21" x14ac:dyDescent="0.2">
      <c r="A169" s="102" t="s">
        <v>29595</v>
      </c>
      <c r="B169" s="102" t="s">
        <v>29654</v>
      </c>
      <c r="C169" s="102" t="s">
        <v>31</v>
      </c>
      <c r="D169" s="102" t="s">
        <v>39</v>
      </c>
      <c r="E169" s="102" t="s">
        <v>29661</v>
      </c>
      <c r="F169" s="102" t="s">
        <v>91</v>
      </c>
      <c r="G169" s="102" t="s">
        <v>29661</v>
      </c>
      <c r="H169" s="102" t="s">
        <v>29686</v>
      </c>
      <c r="I169" s="102" t="s">
        <v>25485</v>
      </c>
      <c r="J169" s="102" t="s">
        <v>29710</v>
      </c>
      <c r="K169" s="102" t="s">
        <v>264</v>
      </c>
      <c r="L169" s="102" t="s">
        <v>25606</v>
      </c>
      <c r="M169" s="102" t="s">
        <v>26662</v>
      </c>
      <c r="N169" s="102">
        <v>975.8</v>
      </c>
      <c r="S169" t="str">
        <f t="shared" si="11"/>
        <v>95-002-47-62</v>
      </c>
      <c r="T169" s="129" t="s">
        <v>28236</v>
      </c>
      <c r="U169" s="112">
        <v>2</v>
      </c>
    </row>
    <row r="170" spans="1:21" x14ac:dyDescent="0.2">
      <c r="A170" s="102" t="s">
        <v>29596</v>
      </c>
      <c r="B170" s="102" t="s">
        <v>29652</v>
      </c>
      <c r="C170" s="102" t="s">
        <v>31</v>
      </c>
      <c r="D170" s="102" t="s">
        <v>39</v>
      </c>
      <c r="E170" s="102" t="s">
        <v>29661</v>
      </c>
      <c r="F170" s="102" t="s">
        <v>91</v>
      </c>
      <c r="G170" s="102" t="s">
        <v>29661</v>
      </c>
      <c r="H170" s="102" t="s">
        <v>29686</v>
      </c>
      <c r="I170" s="102" t="s">
        <v>25485</v>
      </c>
      <c r="J170" s="102" t="s">
        <v>29710</v>
      </c>
      <c r="K170" s="102" t="s">
        <v>264</v>
      </c>
      <c r="L170" s="102" t="s">
        <v>25606</v>
      </c>
      <c r="M170" s="102" t="s">
        <v>26662</v>
      </c>
      <c r="N170" s="102">
        <v>975.8</v>
      </c>
      <c r="S170" t="str">
        <f t="shared" si="11"/>
        <v>95-003-47-56</v>
      </c>
      <c r="T170" s="129" t="s">
        <v>28269</v>
      </c>
      <c r="U170" s="112">
        <v>1</v>
      </c>
    </row>
    <row r="171" spans="1:21" x14ac:dyDescent="0.2">
      <c r="A171" s="102" t="s">
        <v>29596</v>
      </c>
      <c r="B171" s="102" t="s">
        <v>29652</v>
      </c>
      <c r="C171" s="102" t="s">
        <v>31</v>
      </c>
      <c r="D171" s="102" t="s">
        <v>39</v>
      </c>
      <c r="E171" s="102" t="s">
        <v>29661</v>
      </c>
      <c r="F171" s="102" t="s">
        <v>91</v>
      </c>
      <c r="G171" s="102" t="s">
        <v>29661</v>
      </c>
      <c r="H171" s="102" t="s">
        <v>29686</v>
      </c>
      <c r="I171" s="102" t="s">
        <v>25485</v>
      </c>
      <c r="J171" s="102" t="s">
        <v>29710</v>
      </c>
      <c r="K171" s="102" t="s">
        <v>264</v>
      </c>
      <c r="L171" s="102" t="s">
        <v>25606</v>
      </c>
      <c r="M171" s="102" t="s">
        <v>26662</v>
      </c>
      <c r="N171" s="102">
        <v>975.8</v>
      </c>
      <c r="S171" t="str">
        <f t="shared" si="11"/>
        <v>95-003-47-57</v>
      </c>
      <c r="T171" s="129" t="s">
        <v>28353</v>
      </c>
      <c r="U171" s="112">
        <v>2</v>
      </c>
    </row>
    <row r="172" spans="1:21" x14ac:dyDescent="0.2">
      <c r="A172" s="102" t="s">
        <v>29596</v>
      </c>
      <c r="B172" s="102" t="s">
        <v>29652</v>
      </c>
      <c r="C172" s="102" t="s">
        <v>31</v>
      </c>
      <c r="D172" s="102" t="s">
        <v>39</v>
      </c>
      <c r="E172" s="102" t="s">
        <v>29661</v>
      </c>
      <c r="F172" s="102" t="s">
        <v>91</v>
      </c>
      <c r="G172" s="102" t="s">
        <v>29661</v>
      </c>
      <c r="H172" s="102" t="s">
        <v>29686</v>
      </c>
      <c r="I172" s="102" t="s">
        <v>25485</v>
      </c>
      <c r="J172" s="102" t="s">
        <v>29710</v>
      </c>
      <c r="K172" s="102" t="s">
        <v>264</v>
      </c>
      <c r="L172" s="102" t="s">
        <v>25606</v>
      </c>
      <c r="M172" s="102" t="s">
        <v>26662</v>
      </c>
      <c r="N172" s="102">
        <v>975.8</v>
      </c>
      <c r="S172" t="str">
        <f t="shared" si="11"/>
        <v>95-003-47-58</v>
      </c>
      <c r="T172" s="129" t="s">
        <v>28395</v>
      </c>
      <c r="U172" s="112">
        <v>3</v>
      </c>
    </row>
    <row r="173" spans="1:21" x14ac:dyDescent="0.2">
      <c r="A173" s="102" t="s">
        <v>29596</v>
      </c>
      <c r="B173" s="102" t="s">
        <v>29652</v>
      </c>
      <c r="C173" s="102" t="s">
        <v>31</v>
      </c>
      <c r="D173" s="102" t="s">
        <v>39</v>
      </c>
      <c r="E173" s="102" t="s">
        <v>29661</v>
      </c>
      <c r="F173" s="102" t="s">
        <v>91</v>
      </c>
      <c r="G173" s="102" t="s">
        <v>29661</v>
      </c>
      <c r="H173" s="102" t="s">
        <v>29686</v>
      </c>
      <c r="I173" s="102" t="s">
        <v>25485</v>
      </c>
      <c r="J173" s="102" t="s">
        <v>29710</v>
      </c>
      <c r="K173" s="102" t="s">
        <v>264</v>
      </c>
      <c r="L173" s="102" t="s">
        <v>25606</v>
      </c>
      <c r="M173" s="102" t="s">
        <v>26662</v>
      </c>
      <c r="N173" s="102">
        <v>975.8</v>
      </c>
      <c r="S173" t="str">
        <f t="shared" si="11"/>
        <v>95-003-47-59</v>
      </c>
      <c r="T173" s="129" t="s">
        <v>28349</v>
      </c>
      <c r="U173" s="112">
        <v>4</v>
      </c>
    </row>
    <row r="174" spans="1:21" x14ac:dyDescent="0.2">
      <c r="A174" s="102" t="s">
        <v>29596</v>
      </c>
      <c r="B174" s="102" t="s">
        <v>29652</v>
      </c>
      <c r="C174" s="102" t="s">
        <v>31</v>
      </c>
      <c r="D174" s="102" t="s">
        <v>39</v>
      </c>
      <c r="E174" s="102" t="s">
        <v>29661</v>
      </c>
      <c r="F174" s="102" t="s">
        <v>91</v>
      </c>
      <c r="G174" s="102" t="s">
        <v>29661</v>
      </c>
      <c r="H174" s="102" t="s">
        <v>29686</v>
      </c>
      <c r="I174" s="102" t="s">
        <v>25485</v>
      </c>
      <c r="J174" s="102" t="s">
        <v>29710</v>
      </c>
      <c r="K174" s="102" t="s">
        <v>264</v>
      </c>
      <c r="L174" s="102" t="s">
        <v>25606</v>
      </c>
      <c r="M174" s="102" t="s">
        <v>26662</v>
      </c>
      <c r="N174" s="102">
        <v>975.8</v>
      </c>
      <c r="S174" t="str">
        <f t="shared" si="11"/>
        <v>95-003-47-60</v>
      </c>
      <c r="T174" s="129" t="s">
        <v>28272</v>
      </c>
      <c r="U174" s="112">
        <v>3</v>
      </c>
    </row>
    <row r="175" spans="1:21" x14ac:dyDescent="0.2">
      <c r="A175" s="102" t="s">
        <v>29596</v>
      </c>
      <c r="B175" s="102" t="s">
        <v>29652</v>
      </c>
      <c r="C175" s="102" t="s">
        <v>31</v>
      </c>
      <c r="D175" s="102" t="s">
        <v>39</v>
      </c>
      <c r="E175" s="102" t="s">
        <v>29661</v>
      </c>
      <c r="F175" s="102" t="s">
        <v>91</v>
      </c>
      <c r="G175" s="102" t="s">
        <v>29661</v>
      </c>
      <c r="H175" s="102" t="s">
        <v>29686</v>
      </c>
      <c r="I175" s="102" t="s">
        <v>25485</v>
      </c>
      <c r="J175" s="102" t="s">
        <v>29710</v>
      </c>
      <c r="K175" s="102" t="s">
        <v>264</v>
      </c>
      <c r="L175" s="102" t="s">
        <v>25606</v>
      </c>
      <c r="M175" s="102" t="s">
        <v>26662</v>
      </c>
      <c r="N175" s="102">
        <v>975.8</v>
      </c>
      <c r="S175" t="str">
        <f t="shared" si="11"/>
        <v>95-003-47-61</v>
      </c>
      <c r="T175" s="129" t="s">
        <v>28354</v>
      </c>
      <c r="U175" s="112">
        <v>2</v>
      </c>
    </row>
    <row r="176" spans="1:21" x14ac:dyDescent="0.2">
      <c r="A176" s="102" t="s">
        <v>29596</v>
      </c>
      <c r="B176" s="102" t="s">
        <v>29652</v>
      </c>
      <c r="C176" s="102" t="s">
        <v>31</v>
      </c>
      <c r="D176" s="102" t="s">
        <v>39</v>
      </c>
      <c r="E176" s="102" t="s">
        <v>29661</v>
      </c>
      <c r="F176" s="102" t="s">
        <v>91</v>
      </c>
      <c r="G176" s="102" t="s">
        <v>29661</v>
      </c>
      <c r="H176" s="102" t="s">
        <v>29686</v>
      </c>
      <c r="I176" s="102" t="s">
        <v>25485</v>
      </c>
      <c r="J176" s="102" t="s">
        <v>29710</v>
      </c>
      <c r="K176" s="102" t="s">
        <v>264</v>
      </c>
      <c r="L176" s="102" t="s">
        <v>25606</v>
      </c>
      <c r="M176" s="102" t="s">
        <v>26662</v>
      </c>
      <c r="N176" s="102">
        <v>975.8</v>
      </c>
      <c r="S176" t="str">
        <f t="shared" si="11"/>
        <v>95-003-47-62</v>
      </c>
      <c r="T176" s="129" t="s">
        <v>28236</v>
      </c>
      <c r="U176" s="112">
        <v>1</v>
      </c>
    </row>
    <row r="177" spans="1:21" x14ac:dyDescent="0.2">
      <c r="A177" s="102" t="s">
        <v>29597</v>
      </c>
      <c r="B177" s="102" t="s">
        <v>29653</v>
      </c>
      <c r="C177" s="102" t="s">
        <v>31</v>
      </c>
      <c r="D177" s="102" t="s">
        <v>39</v>
      </c>
      <c r="E177" s="102" t="s">
        <v>29661</v>
      </c>
      <c r="F177" s="102" t="s">
        <v>91</v>
      </c>
      <c r="G177" s="102" t="s">
        <v>29661</v>
      </c>
      <c r="H177" s="102" t="s">
        <v>29686</v>
      </c>
      <c r="I177" s="102" t="s">
        <v>25485</v>
      </c>
      <c r="J177" s="102" t="s">
        <v>29710</v>
      </c>
      <c r="K177" s="102" t="s">
        <v>264</v>
      </c>
      <c r="L177" s="102" t="s">
        <v>25606</v>
      </c>
      <c r="M177" s="102" t="s">
        <v>26662</v>
      </c>
      <c r="N177" s="102">
        <v>975.8</v>
      </c>
      <c r="S177" t="str">
        <f t="shared" si="11"/>
        <v>95-011-47-57</v>
      </c>
      <c r="T177" s="129" t="s">
        <v>28353</v>
      </c>
      <c r="U177" s="112">
        <v>6</v>
      </c>
    </row>
    <row r="178" spans="1:21" x14ac:dyDescent="0.2">
      <c r="A178" s="102" t="s">
        <v>29597</v>
      </c>
      <c r="B178" s="102" t="s">
        <v>29653</v>
      </c>
      <c r="C178" s="102" t="s">
        <v>31</v>
      </c>
      <c r="D178" s="102" t="s">
        <v>39</v>
      </c>
      <c r="E178" s="102" t="s">
        <v>29661</v>
      </c>
      <c r="F178" s="102" t="s">
        <v>91</v>
      </c>
      <c r="G178" s="102" t="s">
        <v>29661</v>
      </c>
      <c r="H178" s="102" t="s">
        <v>29686</v>
      </c>
      <c r="I178" s="102" t="s">
        <v>25485</v>
      </c>
      <c r="J178" s="102" t="s">
        <v>29710</v>
      </c>
      <c r="K178" s="102" t="s">
        <v>264</v>
      </c>
      <c r="L178" s="102" t="s">
        <v>25606</v>
      </c>
      <c r="M178" s="102" t="s">
        <v>26662</v>
      </c>
      <c r="N178" s="102">
        <v>975.8</v>
      </c>
      <c r="S178" t="str">
        <f t="shared" si="11"/>
        <v>95-011-47-59</v>
      </c>
      <c r="T178" s="129" t="s">
        <v>28349</v>
      </c>
      <c r="U178" s="112">
        <v>12</v>
      </c>
    </row>
    <row r="179" spans="1:21" x14ac:dyDescent="0.2">
      <c r="A179" s="102" t="s">
        <v>29598</v>
      </c>
      <c r="B179" s="102" t="s">
        <v>29647</v>
      </c>
      <c r="C179" s="102" t="s">
        <v>31</v>
      </c>
      <c r="D179" s="102" t="s">
        <v>25558</v>
      </c>
      <c r="E179" s="102" t="s">
        <v>29661</v>
      </c>
      <c r="F179" s="102" t="s">
        <v>91</v>
      </c>
      <c r="G179" s="102" t="s">
        <v>29661</v>
      </c>
      <c r="H179" s="102" t="s">
        <v>29686</v>
      </c>
      <c r="I179" s="102" t="s">
        <v>25485</v>
      </c>
      <c r="J179" s="102" t="s">
        <v>29710</v>
      </c>
      <c r="K179" s="102" t="s">
        <v>264</v>
      </c>
      <c r="L179" s="102" t="s">
        <v>25606</v>
      </c>
      <c r="M179" s="102" t="s">
        <v>26662</v>
      </c>
      <c r="N179" s="102">
        <v>975.8</v>
      </c>
      <c r="S179" t="str">
        <f t="shared" ref="S179:S198" si="12">A179&amp;"-"&amp;T179</f>
        <v>95-010-47-56</v>
      </c>
      <c r="T179" s="129" t="s">
        <v>28269</v>
      </c>
      <c r="U179" s="112">
        <v>1</v>
      </c>
    </row>
    <row r="180" spans="1:21" x14ac:dyDescent="0.2">
      <c r="A180" s="102" t="s">
        <v>29598</v>
      </c>
      <c r="B180" s="102" t="s">
        <v>29647</v>
      </c>
      <c r="C180" s="102" t="s">
        <v>31</v>
      </c>
      <c r="D180" s="102" t="s">
        <v>25558</v>
      </c>
      <c r="E180" s="102" t="s">
        <v>29661</v>
      </c>
      <c r="F180" s="102" t="s">
        <v>91</v>
      </c>
      <c r="G180" s="102" t="s">
        <v>29661</v>
      </c>
      <c r="H180" s="102" t="s">
        <v>29686</v>
      </c>
      <c r="I180" s="102" t="s">
        <v>25485</v>
      </c>
      <c r="J180" s="102" t="s">
        <v>29710</v>
      </c>
      <c r="K180" s="102" t="s">
        <v>264</v>
      </c>
      <c r="L180" s="102" t="s">
        <v>25606</v>
      </c>
      <c r="M180" s="102" t="s">
        <v>26662</v>
      </c>
      <c r="N180" s="102">
        <v>975.8</v>
      </c>
      <c r="S180" t="str">
        <f t="shared" si="12"/>
        <v>95-010-47-57</v>
      </c>
      <c r="T180" s="129" t="s">
        <v>28353</v>
      </c>
      <c r="U180" s="112">
        <v>2</v>
      </c>
    </row>
    <row r="181" spans="1:21" x14ac:dyDescent="0.2">
      <c r="A181" s="102" t="s">
        <v>29598</v>
      </c>
      <c r="B181" s="102" t="s">
        <v>29647</v>
      </c>
      <c r="C181" s="102" t="s">
        <v>31</v>
      </c>
      <c r="D181" s="102" t="s">
        <v>25558</v>
      </c>
      <c r="E181" s="102" t="s">
        <v>29661</v>
      </c>
      <c r="F181" s="102" t="s">
        <v>91</v>
      </c>
      <c r="G181" s="102" t="s">
        <v>29661</v>
      </c>
      <c r="H181" s="102" t="s">
        <v>29686</v>
      </c>
      <c r="I181" s="102" t="s">
        <v>25485</v>
      </c>
      <c r="J181" s="102" t="s">
        <v>29710</v>
      </c>
      <c r="K181" s="102" t="s">
        <v>264</v>
      </c>
      <c r="L181" s="102" t="s">
        <v>25606</v>
      </c>
      <c r="M181" s="102" t="s">
        <v>26662</v>
      </c>
      <c r="N181" s="102">
        <v>975.8</v>
      </c>
      <c r="S181" t="str">
        <f t="shared" si="12"/>
        <v>95-010-47-58</v>
      </c>
      <c r="T181" s="129" t="s">
        <v>28395</v>
      </c>
      <c r="U181" s="112">
        <v>3</v>
      </c>
    </row>
    <row r="182" spans="1:21" x14ac:dyDescent="0.2">
      <c r="A182" s="102" t="s">
        <v>29598</v>
      </c>
      <c r="B182" s="102" t="s">
        <v>29647</v>
      </c>
      <c r="C182" s="102" t="s">
        <v>31</v>
      </c>
      <c r="D182" s="102" t="s">
        <v>25558</v>
      </c>
      <c r="E182" s="102" t="s">
        <v>29661</v>
      </c>
      <c r="F182" s="102" t="s">
        <v>91</v>
      </c>
      <c r="G182" s="102" t="s">
        <v>29661</v>
      </c>
      <c r="H182" s="102" t="s">
        <v>29686</v>
      </c>
      <c r="I182" s="102" t="s">
        <v>25485</v>
      </c>
      <c r="J182" s="102" t="s">
        <v>29710</v>
      </c>
      <c r="K182" s="102" t="s">
        <v>264</v>
      </c>
      <c r="L182" s="102" t="s">
        <v>25606</v>
      </c>
      <c r="M182" s="102" t="s">
        <v>26662</v>
      </c>
      <c r="N182" s="102">
        <v>975.8</v>
      </c>
      <c r="S182" t="str">
        <f t="shared" si="12"/>
        <v>95-010-47-59</v>
      </c>
      <c r="T182" s="129" t="s">
        <v>28349</v>
      </c>
      <c r="U182" s="112">
        <v>4</v>
      </c>
    </row>
    <row r="183" spans="1:21" x14ac:dyDescent="0.2">
      <c r="A183" s="102" t="s">
        <v>29598</v>
      </c>
      <c r="B183" s="102" t="s">
        <v>29647</v>
      </c>
      <c r="C183" s="102" t="s">
        <v>31</v>
      </c>
      <c r="D183" s="102" t="s">
        <v>25558</v>
      </c>
      <c r="E183" s="102" t="s">
        <v>29661</v>
      </c>
      <c r="F183" s="102" t="s">
        <v>91</v>
      </c>
      <c r="G183" s="102" t="s">
        <v>29661</v>
      </c>
      <c r="H183" s="102" t="s">
        <v>29686</v>
      </c>
      <c r="I183" s="102" t="s">
        <v>25485</v>
      </c>
      <c r="J183" s="102" t="s">
        <v>29710</v>
      </c>
      <c r="K183" s="102" t="s">
        <v>264</v>
      </c>
      <c r="L183" s="102" t="s">
        <v>25606</v>
      </c>
      <c r="M183" s="102" t="s">
        <v>26662</v>
      </c>
      <c r="N183" s="102">
        <v>975.8</v>
      </c>
      <c r="S183" t="str">
        <f t="shared" si="12"/>
        <v>95-010-47-60</v>
      </c>
      <c r="T183" s="129" t="s">
        <v>28272</v>
      </c>
      <c r="U183" s="112">
        <v>3</v>
      </c>
    </row>
    <row r="184" spans="1:21" x14ac:dyDescent="0.2">
      <c r="A184" s="102" t="s">
        <v>29598</v>
      </c>
      <c r="B184" s="102" t="s">
        <v>29647</v>
      </c>
      <c r="C184" s="102" t="s">
        <v>31</v>
      </c>
      <c r="D184" s="102" t="s">
        <v>25558</v>
      </c>
      <c r="E184" s="102" t="s">
        <v>29661</v>
      </c>
      <c r="F184" s="102" t="s">
        <v>91</v>
      </c>
      <c r="G184" s="102" t="s">
        <v>29661</v>
      </c>
      <c r="H184" s="102" t="s">
        <v>29686</v>
      </c>
      <c r="I184" s="102" t="s">
        <v>25485</v>
      </c>
      <c r="J184" s="102" t="s">
        <v>29710</v>
      </c>
      <c r="K184" s="102" t="s">
        <v>264</v>
      </c>
      <c r="L184" s="102" t="s">
        <v>25606</v>
      </c>
      <c r="M184" s="102" t="s">
        <v>26662</v>
      </c>
      <c r="N184" s="102">
        <v>975.8</v>
      </c>
      <c r="S184" t="str">
        <f t="shared" si="12"/>
        <v>95-010-47-62</v>
      </c>
      <c r="T184" s="129" t="s">
        <v>28236</v>
      </c>
      <c r="U184" s="112">
        <v>1</v>
      </c>
    </row>
    <row r="185" spans="1:21" x14ac:dyDescent="0.2">
      <c r="A185" s="102" t="s">
        <v>29599</v>
      </c>
      <c r="B185" s="102" t="s">
        <v>29655</v>
      </c>
      <c r="C185" s="102" t="s">
        <v>31</v>
      </c>
      <c r="D185" s="102" t="s">
        <v>25556</v>
      </c>
      <c r="E185" s="102" t="s">
        <v>29661</v>
      </c>
      <c r="F185" s="102" t="s">
        <v>91</v>
      </c>
      <c r="G185" s="102" t="s">
        <v>29661</v>
      </c>
      <c r="H185" s="102" t="s">
        <v>29686</v>
      </c>
      <c r="I185" s="102" t="s">
        <v>25485</v>
      </c>
      <c r="J185" s="102" t="s">
        <v>29710</v>
      </c>
      <c r="K185" s="102" t="s">
        <v>264</v>
      </c>
      <c r="L185" s="102" t="s">
        <v>25606</v>
      </c>
      <c r="M185" s="102" t="s">
        <v>26662</v>
      </c>
      <c r="N185" s="102">
        <v>975.8</v>
      </c>
      <c r="S185" t="str">
        <f t="shared" si="12"/>
        <v>95-012-47-56</v>
      </c>
      <c r="T185" s="129" t="s">
        <v>28269</v>
      </c>
      <c r="U185" s="112">
        <v>3</v>
      </c>
    </row>
    <row r="186" spans="1:21" x14ac:dyDescent="0.2">
      <c r="A186" s="102" t="s">
        <v>29599</v>
      </c>
      <c r="B186" s="102" t="s">
        <v>29655</v>
      </c>
      <c r="C186" s="102" t="s">
        <v>31</v>
      </c>
      <c r="D186" s="102" t="s">
        <v>25556</v>
      </c>
      <c r="E186" s="102" t="s">
        <v>29661</v>
      </c>
      <c r="F186" s="102" t="s">
        <v>91</v>
      </c>
      <c r="G186" s="102" t="s">
        <v>29661</v>
      </c>
      <c r="H186" s="102" t="s">
        <v>29686</v>
      </c>
      <c r="I186" s="102" t="s">
        <v>25485</v>
      </c>
      <c r="J186" s="102" t="s">
        <v>29710</v>
      </c>
      <c r="K186" s="102" t="s">
        <v>264</v>
      </c>
      <c r="L186" s="102" t="s">
        <v>25606</v>
      </c>
      <c r="M186" s="102" t="s">
        <v>26662</v>
      </c>
      <c r="N186" s="102">
        <v>975.8</v>
      </c>
      <c r="S186" t="str">
        <f t="shared" si="12"/>
        <v>95-012-47-57</v>
      </c>
      <c r="T186" s="129" t="s">
        <v>28353</v>
      </c>
      <c r="U186" s="112">
        <v>5</v>
      </c>
    </row>
    <row r="187" spans="1:21" x14ac:dyDescent="0.2">
      <c r="A187" s="102" t="s">
        <v>29599</v>
      </c>
      <c r="B187" s="102" t="s">
        <v>29655</v>
      </c>
      <c r="C187" s="102" t="s">
        <v>31</v>
      </c>
      <c r="D187" s="102" t="s">
        <v>25556</v>
      </c>
      <c r="E187" s="102" t="s">
        <v>29661</v>
      </c>
      <c r="F187" s="102" t="s">
        <v>91</v>
      </c>
      <c r="G187" s="102" t="s">
        <v>29661</v>
      </c>
      <c r="H187" s="102" t="s">
        <v>29686</v>
      </c>
      <c r="I187" s="102" t="s">
        <v>25485</v>
      </c>
      <c r="J187" s="102" t="s">
        <v>29710</v>
      </c>
      <c r="K187" s="102" t="s">
        <v>264</v>
      </c>
      <c r="L187" s="102" t="s">
        <v>25606</v>
      </c>
      <c r="M187" s="102" t="s">
        <v>26662</v>
      </c>
      <c r="N187" s="102">
        <v>975.8</v>
      </c>
      <c r="S187" t="str">
        <f t="shared" si="12"/>
        <v>95-012-47-58</v>
      </c>
      <c r="T187" s="129" t="s">
        <v>28395</v>
      </c>
      <c r="U187" s="112">
        <v>8</v>
      </c>
    </row>
    <row r="188" spans="1:21" x14ac:dyDescent="0.2">
      <c r="A188" s="102" t="s">
        <v>29599</v>
      </c>
      <c r="B188" s="102" t="s">
        <v>29655</v>
      </c>
      <c r="C188" s="102" t="s">
        <v>31</v>
      </c>
      <c r="D188" s="102" t="s">
        <v>25556</v>
      </c>
      <c r="E188" s="102" t="s">
        <v>29661</v>
      </c>
      <c r="F188" s="102" t="s">
        <v>91</v>
      </c>
      <c r="G188" s="102" t="s">
        <v>29661</v>
      </c>
      <c r="H188" s="102" t="s">
        <v>29686</v>
      </c>
      <c r="I188" s="102" t="s">
        <v>25485</v>
      </c>
      <c r="J188" s="102" t="s">
        <v>29710</v>
      </c>
      <c r="K188" s="102" t="s">
        <v>264</v>
      </c>
      <c r="L188" s="102" t="s">
        <v>25606</v>
      </c>
      <c r="M188" s="102" t="s">
        <v>26662</v>
      </c>
      <c r="N188" s="102">
        <v>975.8</v>
      </c>
      <c r="S188" t="str">
        <f t="shared" si="12"/>
        <v>95-012-47-59</v>
      </c>
      <c r="T188" s="129" t="s">
        <v>28349</v>
      </c>
      <c r="U188" s="112">
        <v>9</v>
      </c>
    </row>
    <row r="189" spans="1:21" x14ac:dyDescent="0.2">
      <c r="A189" s="102" t="s">
        <v>29599</v>
      </c>
      <c r="B189" s="102" t="s">
        <v>29655</v>
      </c>
      <c r="C189" s="102" t="s">
        <v>31</v>
      </c>
      <c r="D189" s="102" t="s">
        <v>25556</v>
      </c>
      <c r="E189" s="102" t="s">
        <v>29661</v>
      </c>
      <c r="F189" s="102" t="s">
        <v>91</v>
      </c>
      <c r="G189" s="102" t="s">
        <v>29661</v>
      </c>
      <c r="H189" s="102" t="s">
        <v>29686</v>
      </c>
      <c r="I189" s="102" t="s">
        <v>25485</v>
      </c>
      <c r="J189" s="102" t="s">
        <v>29710</v>
      </c>
      <c r="K189" s="102" t="s">
        <v>264</v>
      </c>
      <c r="L189" s="102" t="s">
        <v>25606</v>
      </c>
      <c r="M189" s="102" t="s">
        <v>26662</v>
      </c>
      <c r="N189" s="102">
        <v>975.8</v>
      </c>
      <c r="S189" t="str">
        <f t="shared" si="12"/>
        <v>95-012-47-60</v>
      </c>
      <c r="T189" s="129" t="s">
        <v>28272</v>
      </c>
      <c r="U189" s="112">
        <v>7</v>
      </c>
    </row>
    <row r="190" spans="1:21" x14ac:dyDescent="0.2">
      <c r="A190" s="102" t="s">
        <v>29599</v>
      </c>
      <c r="B190" s="102" t="s">
        <v>29655</v>
      </c>
      <c r="C190" s="102" t="s">
        <v>31</v>
      </c>
      <c r="D190" s="102" t="s">
        <v>25556</v>
      </c>
      <c r="E190" s="102" t="s">
        <v>29661</v>
      </c>
      <c r="F190" s="102" t="s">
        <v>91</v>
      </c>
      <c r="G190" s="102" t="s">
        <v>29661</v>
      </c>
      <c r="H190" s="102" t="s">
        <v>29686</v>
      </c>
      <c r="I190" s="102" t="s">
        <v>25485</v>
      </c>
      <c r="J190" s="102" t="s">
        <v>29710</v>
      </c>
      <c r="K190" s="102" t="s">
        <v>264</v>
      </c>
      <c r="L190" s="102" t="s">
        <v>25606</v>
      </c>
      <c r="M190" s="102" t="s">
        <v>26662</v>
      </c>
      <c r="N190" s="102">
        <v>975.8</v>
      </c>
      <c r="S190" t="str">
        <f t="shared" si="12"/>
        <v>95-012-47-61</v>
      </c>
      <c r="T190" s="129" t="s">
        <v>28354</v>
      </c>
      <c r="U190" s="112">
        <v>4</v>
      </c>
    </row>
    <row r="191" spans="1:21" x14ac:dyDescent="0.2">
      <c r="A191" s="102" t="s">
        <v>29599</v>
      </c>
      <c r="B191" s="102" t="s">
        <v>29655</v>
      </c>
      <c r="C191" s="102" t="s">
        <v>31</v>
      </c>
      <c r="D191" s="102" t="s">
        <v>25556</v>
      </c>
      <c r="E191" s="102" t="s">
        <v>29661</v>
      </c>
      <c r="F191" s="102" t="s">
        <v>91</v>
      </c>
      <c r="G191" s="102" t="s">
        <v>29661</v>
      </c>
      <c r="H191" s="102" t="s">
        <v>29686</v>
      </c>
      <c r="I191" s="102" t="s">
        <v>25485</v>
      </c>
      <c r="J191" s="102" t="s">
        <v>29710</v>
      </c>
      <c r="K191" s="102" t="s">
        <v>264</v>
      </c>
      <c r="L191" s="102" t="s">
        <v>25606</v>
      </c>
      <c r="M191" s="102" t="s">
        <v>26662</v>
      </c>
      <c r="N191" s="102">
        <v>975.8</v>
      </c>
      <c r="S191" t="str">
        <f t="shared" si="12"/>
        <v>95-012-47-62</v>
      </c>
      <c r="T191" s="129" t="s">
        <v>28236</v>
      </c>
      <c r="U191" s="112">
        <v>2</v>
      </c>
    </row>
    <row r="192" spans="1:21" x14ac:dyDescent="0.2">
      <c r="A192" s="102" t="s">
        <v>29600</v>
      </c>
      <c r="B192" s="102" t="s">
        <v>29649</v>
      </c>
      <c r="C192" s="102" t="s">
        <v>46</v>
      </c>
      <c r="D192" s="102" t="s">
        <v>47</v>
      </c>
      <c r="E192" s="102" t="s">
        <v>29661</v>
      </c>
      <c r="F192" s="102" t="s">
        <v>91</v>
      </c>
      <c r="G192" s="102" t="s">
        <v>29661</v>
      </c>
      <c r="H192" s="102" t="s">
        <v>29686</v>
      </c>
      <c r="I192" s="102" t="s">
        <v>25485</v>
      </c>
      <c r="J192" s="102" t="s">
        <v>29710</v>
      </c>
      <c r="K192" s="102" t="s">
        <v>264</v>
      </c>
      <c r="L192" s="102" t="s">
        <v>25606</v>
      </c>
      <c r="M192" s="102" t="s">
        <v>26662</v>
      </c>
      <c r="N192" s="102">
        <v>975.8</v>
      </c>
      <c r="S192" t="str">
        <f t="shared" si="12"/>
        <v>95-001-47-56</v>
      </c>
      <c r="T192" s="129" t="s">
        <v>28269</v>
      </c>
      <c r="U192" s="112">
        <v>2</v>
      </c>
    </row>
    <row r="193" spans="1:21" x14ac:dyDescent="0.2">
      <c r="A193" s="102" t="s">
        <v>29600</v>
      </c>
      <c r="B193" s="102" t="s">
        <v>29649</v>
      </c>
      <c r="C193" s="102" t="s">
        <v>46</v>
      </c>
      <c r="D193" s="102" t="s">
        <v>47</v>
      </c>
      <c r="E193" s="102" t="s">
        <v>29661</v>
      </c>
      <c r="F193" s="102" t="s">
        <v>91</v>
      </c>
      <c r="G193" s="102" t="s">
        <v>29661</v>
      </c>
      <c r="H193" s="102" t="s">
        <v>29686</v>
      </c>
      <c r="I193" s="102" t="s">
        <v>25485</v>
      </c>
      <c r="J193" s="102" t="s">
        <v>29710</v>
      </c>
      <c r="K193" s="102" t="s">
        <v>264</v>
      </c>
      <c r="L193" s="102" t="s">
        <v>25606</v>
      </c>
      <c r="M193" s="102" t="s">
        <v>26662</v>
      </c>
      <c r="N193" s="102">
        <v>975.8</v>
      </c>
      <c r="S193" t="str">
        <f t="shared" si="12"/>
        <v>95-001-47-57</v>
      </c>
      <c r="T193" s="129" t="s">
        <v>28353</v>
      </c>
      <c r="U193" s="112">
        <v>4</v>
      </c>
    </row>
    <row r="194" spans="1:21" x14ac:dyDescent="0.2">
      <c r="A194" s="102" t="s">
        <v>29600</v>
      </c>
      <c r="B194" s="102" t="s">
        <v>29649</v>
      </c>
      <c r="C194" s="102" t="s">
        <v>46</v>
      </c>
      <c r="D194" s="102" t="s">
        <v>47</v>
      </c>
      <c r="E194" s="102" t="s">
        <v>29661</v>
      </c>
      <c r="F194" s="102" t="s">
        <v>91</v>
      </c>
      <c r="G194" s="102" t="s">
        <v>29661</v>
      </c>
      <c r="H194" s="102" t="s">
        <v>29686</v>
      </c>
      <c r="I194" s="102" t="s">
        <v>25485</v>
      </c>
      <c r="J194" s="102" t="s">
        <v>29710</v>
      </c>
      <c r="K194" s="102" t="s">
        <v>264</v>
      </c>
      <c r="L194" s="102" t="s">
        <v>25606</v>
      </c>
      <c r="M194" s="102" t="s">
        <v>26662</v>
      </c>
      <c r="N194" s="102">
        <v>975.8</v>
      </c>
      <c r="S194" t="str">
        <f t="shared" si="12"/>
        <v>95-001-47-58</v>
      </c>
      <c r="T194" s="129" t="s">
        <v>28395</v>
      </c>
      <c r="U194" s="112">
        <v>6</v>
      </c>
    </row>
    <row r="195" spans="1:21" x14ac:dyDescent="0.2">
      <c r="A195" s="102" t="s">
        <v>29600</v>
      </c>
      <c r="B195" s="102" t="s">
        <v>29649</v>
      </c>
      <c r="C195" s="102" t="s">
        <v>46</v>
      </c>
      <c r="D195" s="102" t="s">
        <v>47</v>
      </c>
      <c r="E195" s="102" t="s">
        <v>29661</v>
      </c>
      <c r="F195" s="102" t="s">
        <v>91</v>
      </c>
      <c r="G195" s="102" t="s">
        <v>29661</v>
      </c>
      <c r="H195" s="102" t="s">
        <v>29686</v>
      </c>
      <c r="I195" s="102" t="s">
        <v>25485</v>
      </c>
      <c r="J195" s="102" t="s">
        <v>29710</v>
      </c>
      <c r="K195" s="102" t="s">
        <v>264</v>
      </c>
      <c r="L195" s="102" t="s">
        <v>25606</v>
      </c>
      <c r="M195" s="102" t="s">
        <v>26662</v>
      </c>
      <c r="N195" s="102">
        <v>975.8</v>
      </c>
      <c r="S195" t="str">
        <f t="shared" si="12"/>
        <v>95-001-47-59</v>
      </c>
      <c r="T195" s="129" t="s">
        <v>28349</v>
      </c>
      <c r="U195" s="112">
        <v>9</v>
      </c>
    </row>
    <row r="196" spans="1:21" x14ac:dyDescent="0.2">
      <c r="A196" s="102" t="s">
        <v>29600</v>
      </c>
      <c r="B196" s="102" t="s">
        <v>29649</v>
      </c>
      <c r="C196" s="102" t="s">
        <v>46</v>
      </c>
      <c r="D196" s="102" t="s">
        <v>47</v>
      </c>
      <c r="E196" s="102" t="s">
        <v>29661</v>
      </c>
      <c r="F196" s="102" t="s">
        <v>91</v>
      </c>
      <c r="G196" s="102" t="s">
        <v>29661</v>
      </c>
      <c r="H196" s="102" t="s">
        <v>29686</v>
      </c>
      <c r="I196" s="102" t="s">
        <v>25485</v>
      </c>
      <c r="J196" s="102" t="s">
        <v>29710</v>
      </c>
      <c r="K196" s="102" t="s">
        <v>264</v>
      </c>
      <c r="L196" s="102" t="s">
        <v>25606</v>
      </c>
      <c r="M196" s="102" t="s">
        <v>26662</v>
      </c>
      <c r="N196" s="102">
        <v>975.8</v>
      </c>
      <c r="S196" t="str">
        <f t="shared" si="12"/>
        <v>95-001-47-60</v>
      </c>
      <c r="T196" s="129" t="s">
        <v>28272</v>
      </c>
      <c r="U196" s="112">
        <v>6</v>
      </c>
    </row>
    <row r="197" spans="1:21" x14ac:dyDescent="0.2">
      <c r="A197" s="102" t="s">
        <v>29600</v>
      </c>
      <c r="B197" s="102" t="s">
        <v>29649</v>
      </c>
      <c r="C197" s="102" t="s">
        <v>46</v>
      </c>
      <c r="D197" s="102" t="s">
        <v>47</v>
      </c>
      <c r="E197" s="102" t="s">
        <v>29661</v>
      </c>
      <c r="F197" s="102" t="s">
        <v>91</v>
      </c>
      <c r="G197" s="102" t="s">
        <v>29661</v>
      </c>
      <c r="H197" s="102" t="s">
        <v>29686</v>
      </c>
      <c r="I197" s="102" t="s">
        <v>25485</v>
      </c>
      <c r="J197" s="102" t="s">
        <v>29710</v>
      </c>
      <c r="K197" s="102" t="s">
        <v>264</v>
      </c>
      <c r="L197" s="102" t="s">
        <v>25606</v>
      </c>
      <c r="M197" s="102" t="s">
        <v>26662</v>
      </c>
      <c r="N197" s="102">
        <v>975.8</v>
      </c>
      <c r="S197" t="str">
        <f t="shared" si="12"/>
        <v>95-001-47-61</v>
      </c>
      <c r="T197" s="129" t="s">
        <v>28354</v>
      </c>
      <c r="U197" s="112">
        <v>4</v>
      </c>
    </row>
    <row r="198" spans="1:21" x14ac:dyDescent="0.2">
      <c r="A198" s="102" t="s">
        <v>29600</v>
      </c>
      <c r="B198" s="102" t="s">
        <v>29649</v>
      </c>
      <c r="C198" s="102" t="s">
        <v>46</v>
      </c>
      <c r="D198" s="102" t="s">
        <v>47</v>
      </c>
      <c r="E198" s="102" t="s">
        <v>29661</v>
      </c>
      <c r="F198" s="102" t="s">
        <v>91</v>
      </c>
      <c r="G198" s="102" t="s">
        <v>29661</v>
      </c>
      <c r="H198" s="102" t="s">
        <v>29686</v>
      </c>
      <c r="I198" s="102" t="s">
        <v>25485</v>
      </c>
      <c r="J198" s="102" t="s">
        <v>29710</v>
      </c>
      <c r="K198" s="102" t="s">
        <v>264</v>
      </c>
      <c r="L198" s="102" t="s">
        <v>25606</v>
      </c>
      <c r="M198" s="102" t="s">
        <v>26662</v>
      </c>
      <c r="N198" s="102">
        <v>975.8</v>
      </c>
      <c r="S198" t="str">
        <f t="shared" si="12"/>
        <v>95-001-47-62</v>
      </c>
      <c r="T198" s="129" t="s">
        <v>28236</v>
      </c>
      <c r="U198" s="112">
        <v>2</v>
      </c>
    </row>
    <row r="199" spans="1:21" x14ac:dyDescent="0.2">
      <c r="A199" s="102" t="s">
        <v>29601</v>
      </c>
      <c r="B199" s="102" t="s">
        <v>29656</v>
      </c>
      <c r="C199" s="102" t="s">
        <v>31</v>
      </c>
      <c r="D199" s="102" t="s">
        <v>25555</v>
      </c>
      <c r="E199" s="102" t="s">
        <v>29661</v>
      </c>
      <c r="F199" s="102" t="s">
        <v>91</v>
      </c>
      <c r="G199" s="102" t="s">
        <v>29661</v>
      </c>
      <c r="H199" s="102" t="s">
        <v>29686</v>
      </c>
      <c r="I199" s="102" t="s">
        <v>25485</v>
      </c>
      <c r="J199" s="102" t="s">
        <v>29710</v>
      </c>
      <c r="K199" s="102" t="s">
        <v>264</v>
      </c>
      <c r="L199" s="102" t="s">
        <v>25606</v>
      </c>
      <c r="M199" s="102" t="s">
        <v>26662</v>
      </c>
      <c r="N199" s="102">
        <v>975.8</v>
      </c>
      <c r="S199" t="str">
        <f t="shared" ref="S199:S213" si="13">A199&amp;"-"&amp;T199</f>
        <v>95-014-47-57</v>
      </c>
      <c r="T199" s="129" t="s">
        <v>28353</v>
      </c>
      <c r="U199" s="112">
        <v>1</v>
      </c>
    </row>
    <row r="200" spans="1:21" x14ac:dyDescent="0.2">
      <c r="A200" s="102" t="s">
        <v>29601</v>
      </c>
      <c r="B200" s="102" t="s">
        <v>29656</v>
      </c>
      <c r="C200" s="102" t="s">
        <v>31</v>
      </c>
      <c r="D200" s="102" t="s">
        <v>25555</v>
      </c>
      <c r="E200" s="102" t="s">
        <v>29661</v>
      </c>
      <c r="F200" s="102" t="s">
        <v>91</v>
      </c>
      <c r="G200" s="102" t="s">
        <v>29661</v>
      </c>
      <c r="H200" s="102" t="s">
        <v>29686</v>
      </c>
      <c r="I200" s="102" t="s">
        <v>25485</v>
      </c>
      <c r="J200" s="102" t="s">
        <v>29710</v>
      </c>
      <c r="K200" s="102" t="s">
        <v>264</v>
      </c>
      <c r="L200" s="102" t="s">
        <v>25606</v>
      </c>
      <c r="M200" s="102" t="s">
        <v>26662</v>
      </c>
      <c r="N200" s="102">
        <v>975.8</v>
      </c>
      <c r="S200" t="str">
        <f t="shared" si="13"/>
        <v>95-014-47-58</v>
      </c>
      <c r="T200" s="129" t="s">
        <v>28395</v>
      </c>
      <c r="U200" s="112">
        <v>2</v>
      </c>
    </row>
    <row r="201" spans="1:21" x14ac:dyDescent="0.2">
      <c r="A201" s="102" t="s">
        <v>29601</v>
      </c>
      <c r="B201" s="102" t="s">
        <v>29656</v>
      </c>
      <c r="C201" s="102" t="s">
        <v>31</v>
      </c>
      <c r="D201" s="102" t="s">
        <v>25555</v>
      </c>
      <c r="E201" s="102" t="s">
        <v>29661</v>
      </c>
      <c r="F201" s="102" t="s">
        <v>91</v>
      </c>
      <c r="G201" s="102" t="s">
        <v>29661</v>
      </c>
      <c r="H201" s="102" t="s">
        <v>29686</v>
      </c>
      <c r="I201" s="102" t="s">
        <v>25485</v>
      </c>
      <c r="J201" s="102" t="s">
        <v>29710</v>
      </c>
      <c r="K201" s="102" t="s">
        <v>264</v>
      </c>
      <c r="L201" s="102" t="s">
        <v>25606</v>
      </c>
      <c r="M201" s="102" t="s">
        <v>26662</v>
      </c>
      <c r="N201" s="102">
        <v>975.8</v>
      </c>
      <c r="S201" t="str">
        <f t="shared" si="13"/>
        <v>95-014-47-59</v>
      </c>
      <c r="T201" s="129" t="s">
        <v>28349</v>
      </c>
      <c r="U201" s="112">
        <v>3</v>
      </c>
    </row>
    <row r="202" spans="1:21" x14ac:dyDescent="0.2">
      <c r="A202" s="102" t="s">
        <v>29601</v>
      </c>
      <c r="B202" s="102" t="s">
        <v>29656</v>
      </c>
      <c r="C202" s="102" t="s">
        <v>31</v>
      </c>
      <c r="D202" s="102" t="s">
        <v>25555</v>
      </c>
      <c r="E202" s="102" t="s">
        <v>29661</v>
      </c>
      <c r="F202" s="102" t="s">
        <v>91</v>
      </c>
      <c r="G202" s="102" t="s">
        <v>29661</v>
      </c>
      <c r="H202" s="102" t="s">
        <v>29686</v>
      </c>
      <c r="I202" s="102" t="s">
        <v>25485</v>
      </c>
      <c r="J202" s="102" t="s">
        <v>29710</v>
      </c>
      <c r="K202" s="102" t="s">
        <v>264</v>
      </c>
      <c r="L202" s="102" t="s">
        <v>25606</v>
      </c>
      <c r="M202" s="102" t="s">
        <v>26662</v>
      </c>
      <c r="N202" s="102">
        <v>975.8</v>
      </c>
      <c r="S202" t="str">
        <f t="shared" si="13"/>
        <v>95-014-47-60</v>
      </c>
      <c r="T202" s="129" t="s">
        <v>28272</v>
      </c>
      <c r="U202" s="112">
        <v>1</v>
      </c>
    </row>
    <row r="203" spans="1:21" x14ac:dyDescent="0.2">
      <c r="A203" s="102" t="s">
        <v>29601</v>
      </c>
      <c r="B203" s="102" t="s">
        <v>29656</v>
      </c>
      <c r="C203" s="102" t="s">
        <v>31</v>
      </c>
      <c r="D203" s="102" t="s">
        <v>25555</v>
      </c>
      <c r="E203" s="102" t="s">
        <v>29661</v>
      </c>
      <c r="F203" s="102" t="s">
        <v>91</v>
      </c>
      <c r="G203" s="102" t="s">
        <v>29661</v>
      </c>
      <c r="H203" s="102" t="s">
        <v>29686</v>
      </c>
      <c r="I203" s="102" t="s">
        <v>25485</v>
      </c>
      <c r="J203" s="102" t="s">
        <v>29710</v>
      </c>
      <c r="K203" s="102" t="s">
        <v>264</v>
      </c>
      <c r="L203" s="102" t="s">
        <v>25606</v>
      </c>
      <c r="M203" s="102" t="s">
        <v>26662</v>
      </c>
      <c r="N203" s="102">
        <v>975.8</v>
      </c>
      <c r="S203" t="str">
        <f t="shared" si="13"/>
        <v>95-014-47-62</v>
      </c>
      <c r="T203" s="129" t="s">
        <v>28236</v>
      </c>
      <c r="U203" s="112">
        <v>1</v>
      </c>
    </row>
    <row r="204" spans="1:21" x14ac:dyDescent="0.2">
      <c r="A204" s="102" t="s">
        <v>29602</v>
      </c>
      <c r="B204" s="102" t="s">
        <v>29657</v>
      </c>
      <c r="C204" s="102" t="s">
        <v>198</v>
      </c>
      <c r="D204" s="102" t="s">
        <v>199</v>
      </c>
      <c r="E204" s="102" t="s">
        <v>29661</v>
      </c>
      <c r="F204" s="102" t="s">
        <v>91</v>
      </c>
      <c r="G204" s="102" t="s">
        <v>29661</v>
      </c>
      <c r="H204" s="102" t="s">
        <v>29686</v>
      </c>
      <c r="I204" s="102" t="s">
        <v>25485</v>
      </c>
      <c r="J204" s="102" t="s">
        <v>29710</v>
      </c>
      <c r="K204" s="102" t="s">
        <v>264</v>
      </c>
      <c r="L204" s="102" t="s">
        <v>25606</v>
      </c>
      <c r="M204" s="102" t="s">
        <v>26662</v>
      </c>
      <c r="N204" s="102">
        <v>975.8</v>
      </c>
      <c r="S204" t="str">
        <f t="shared" si="13"/>
        <v>95-016-47-56</v>
      </c>
      <c r="T204" s="129" t="s">
        <v>28269</v>
      </c>
      <c r="U204" s="112">
        <v>1</v>
      </c>
    </row>
    <row r="205" spans="1:21" x14ac:dyDescent="0.2">
      <c r="A205" s="102" t="s">
        <v>29602</v>
      </c>
      <c r="B205" s="102" t="s">
        <v>29657</v>
      </c>
      <c r="C205" s="102" t="s">
        <v>198</v>
      </c>
      <c r="D205" s="102" t="s">
        <v>199</v>
      </c>
      <c r="E205" s="102" t="s">
        <v>29661</v>
      </c>
      <c r="F205" s="102" t="s">
        <v>91</v>
      </c>
      <c r="G205" s="102" t="s">
        <v>29661</v>
      </c>
      <c r="H205" s="102" t="s">
        <v>29686</v>
      </c>
      <c r="I205" s="102" t="s">
        <v>25485</v>
      </c>
      <c r="J205" s="102" t="s">
        <v>29710</v>
      </c>
      <c r="K205" s="102" t="s">
        <v>264</v>
      </c>
      <c r="L205" s="102" t="s">
        <v>25606</v>
      </c>
      <c r="M205" s="102" t="s">
        <v>26662</v>
      </c>
      <c r="N205" s="102">
        <v>975.8</v>
      </c>
      <c r="S205" t="str">
        <f t="shared" si="13"/>
        <v>95-016-47-57</v>
      </c>
      <c r="T205" s="129" t="s">
        <v>28353</v>
      </c>
      <c r="U205" s="112">
        <v>3</v>
      </c>
    </row>
    <row r="206" spans="1:21" x14ac:dyDescent="0.2">
      <c r="A206" s="102" t="s">
        <v>29602</v>
      </c>
      <c r="B206" s="102" t="s">
        <v>29657</v>
      </c>
      <c r="C206" s="102" t="s">
        <v>198</v>
      </c>
      <c r="D206" s="102" t="s">
        <v>199</v>
      </c>
      <c r="E206" s="102" t="s">
        <v>29661</v>
      </c>
      <c r="F206" s="102" t="s">
        <v>91</v>
      </c>
      <c r="G206" s="102" t="s">
        <v>29661</v>
      </c>
      <c r="H206" s="102" t="s">
        <v>29686</v>
      </c>
      <c r="I206" s="102" t="s">
        <v>25485</v>
      </c>
      <c r="J206" s="102" t="s">
        <v>29710</v>
      </c>
      <c r="K206" s="102" t="s">
        <v>264</v>
      </c>
      <c r="L206" s="102" t="s">
        <v>25606</v>
      </c>
      <c r="M206" s="102" t="s">
        <v>26662</v>
      </c>
      <c r="N206" s="102">
        <v>975.8</v>
      </c>
      <c r="S206" t="str">
        <f t="shared" si="13"/>
        <v>95-016-47-58</v>
      </c>
      <c r="T206" s="129" t="s">
        <v>28395</v>
      </c>
      <c r="U206" s="112">
        <v>5</v>
      </c>
    </row>
    <row r="207" spans="1:21" x14ac:dyDescent="0.2">
      <c r="A207" s="102" t="s">
        <v>29602</v>
      </c>
      <c r="B207" s="102" t="s">
        <v>29657</v>
      </c>
      <c r="C207" s="102" t="s">
        <v>198</v>
      </c>
      <c r="D207" s="102" t="s">
        <v>199</v>
      </c>
      <c r="E207" s="102" t="s">
        <v>29661</v>
      </c>
      <c r="F207" s="102" t="s">
        <v>91</v>
      </c>
      <c r="G207" s="102" t="s">
        <v>29661</v>
      </c>
      <c r="H207" s="102" t="s">
        <v>29686</v>
      </c>
      <c r="I207" s="102" t="s">
        <v>25485</v>
      </c>
      <c r="J207" s="102" t="s">
        <v>29710</v>
      </c>
      <c r="K207" s="102" t="s">
        <v>264</v>
      </c>
      <c r="L207" s="102" t="s">
        <v>25606</v>
      </c>
      <c r="M207" s="102" t="s">
        <v>26662</v>
      </c>
      <c r="N207" s="102">
        <v>975.8</v>
      </c>
      <c r="S207" t="str">
        <f t="shared" si="13"/>
        <v>95-016-47-59</v>
      </c>
      <c r="T207" s="129" t="s">
        <v>28349</v>
      </c>
      <c r="U207" s="112">
        <v>7</v>
      </c>
    </row>
    <row r="208" spans="1:21" x14ac:dyDescent="0.2">
      <c r="A208" s="102" t="s">
        <v>29602</v>
      </c>
      <c r="B208" s="102" t="s">
        <v>29657</v>
      </c>
      <c r="C208" s="102" t="s">
        <v>198</v>
      </c>
      <c r="D208" s="102" t="s">
        <v>199</v>
      </c>
      <c r="E208" s="102" t="s">
        <v>29661</v>
      </c>
      <c r="F208" s="102" t="s">
        <v>91</v>
      </c>
      <c r="G208" s="102" t="s">
        <v>29661</v>
      </c>
      <c r="H208" s="102" t="s">
        <v>29686</v>
      </c>
      <c r="I208" s="102" t="s">
        <v>25485</v>
      </c>
      <c r="J208" s="102" t="s">
        <v>29710</v>
      </c>
      <c r="K208" s="102" t="s">
        <v>264</v>
      </c>
      <c r="L208" s="102" t="s">
        <v>25606</v>
      </c>
      <c r="M208" s="102" t="s">
        <v>26662</v>
      </c>
      <c r="N208" s="102">
        <v>975.8</v>
      </c>
      <c r="S208" t="str">
        <f t="shared" si="13"/>
        <v>95-016-47-60</v>
      </c>
      <c r="T208" s="129" t="s">
        <v>28272</v>
      </c>
      <c r="U208" s="112">
        <v>5</v>
      </c>
    </row>
    <row r="209" spans="1:21" x14ac:dyDescent="0.2">
      <c r="A209" s="102" t="s">
        <v>29602</v>
      </c>
      <c r="B209" s="102" t="s">
        <v>29657</v>
      </c>
      <c r="C209" s="102" t="s">
        <v>198</v>
      </c>
      <c r="D209" s="102" t="s">
        <v>199</v>
      </c>
      <c r="E209" s="102" t="s">
        <v>29661</v>
      </c>
      <c r="F209" s="102" t="s">
        <v>91</v>
      </c>
      <c r="G209" s="102" t="s">
        <v>29661</v>
      </c>
      <c r="H209" s="102" t="s">
        <v>29686</v>
      </c>
      <c r="I209" s="102" t="s">
        <v>25485</v>
      </c>
      <c r="J209" s="102" t="s">
        <v>29710</v>
      </c>
      <c r="K209" s="102" t="s">
        <v>264</v>
      </c>
      <c r="L209" s="102" t="s">
        <v>25606</v>
      </c>
      <c r="M209" s="102" t="s">
        <v>26662</v>
      </c>
      <c r="N209" s="102">
        <v>975.8</v>
      </c>
      <c r="S209" t="str">
        <f t="shared" si="13"/>
        <v>95-016-47-61</v>
      </c>
      <c r="T209" s="129" t="s">
        <v>28354</v>
      </c>
      <c r="U209" s="112">
        <v>3</v>
      </c>
    </row>
    <row r="210" spans="1:21" x14ac:dyDescent="0.2">
      <c r="A210" s="102" t="s">
        <v>29602</v>
      </c>
      <c r="B210" s="102" t="s">
        <v>29657</v>
      </c>
      <c r="C210" s="102" t="s">
        <v>198</v>
      </c>
      <c r="D210" s="102" t="s">
        <v>199</v>
      </c>
      <c r="E210" s="102" t="s">
        <v>29661</v>
      </c>
      <c r="F210" s="102" t="s">
        <v>91</v>
      </c>
      <c r="G210" s="102" t="s">
        <v>29661</v>
      </c>
      <c r="H210" s="102" t="s">
        <v>29686</v>
      </c>
      <c r="I210" s="102" t="s">
        <v>25485</v>
      </c>
      <c r="J210" s="102" t="s">
        <v>29710</v>
      </c>
      <c r="K210" s="102" t="s">
        <v>264</v>
      </c>
      <c r="L210" s="102" t="s">
        <v>25606</v>
      </c>
      <c r="M210" s="102" t="s">
        <v>26662</v>
      </c>
      <c r="N210" s="102">
        <v>975.8</v>
      </c>
      <c r="S210" t="str">
        <f t="shared" si="13"/>
        <v>95-016-47-62</v>
      </c>
      <c r="T210" s="129" t="s">
        <v>28236</v>
      </c>
      <c r="U210" s="112">
        <v>1</v>
      </c>
    </row>
    <row r="211" spans="1:21" x14ac:dyDescent="0.2">
      <c r="A211" s="102" t="s">
        <v>29603</v>
      </c>
      <c r="B211" s="102" t="s">
        <v>29658</v>
      </c>
      <c r="C211" s="102" t="s">
        <v>31</v>
      </c>
      <c r="D211" s="102" t="s">
        <v>25558</v>
      </c>
      <c r="E211" s="102" t="s">
        <v>29661</v>
      </c>
      <c r="F211" s="102" t="s">
        <v>91</v>
      </c>
      <c r="G211" s="102" t="s">
        <v>29661</v>
      </c>
      <c r="H211" s="102" t="s">
        <v>29687</v>
      </c>
      <c r="I211" s="102" t="s">
        <v>29688</v>
      </c>
      <c r="J211" s="102" t="s">
        <v>29710</v>
      </c>
      <c r="K211" s="102" t="s">
        <v>264</v>
      </c>
      <c r="L211" s="102" t="s">
        <v>25606</v>
      </c>
      <c r="M211" s="102" t="s">
        <v>26662</v>
      </c>
      <c r="N211" s="102">
        <v>975.8</v>
      </c>
      <c r="S211" t="str">
        <f t="shared" si="13"/>
        <v>95-009-62-57</v>
      </c>
      <c r="T211" s="129" t="s">
        <v>28353</v>
      </c>
      <c r="U211" s="112">
        <v>1</v>
      </c>
    </row>
    <row r="212" spans="1:21" x14ac:dyDescent="0.2">
      <c r="A212" s="102" t="s">
        <v>29603</v>
      </c>
      <c r="B212" s="102" t="s">
        <v>29658</v>
      </c>
      <c r="C212" s="102" t="s">
        <v>31</v>
      </c>
      <c r="D212" s="102" t="s">
        <v>25558</v>
      </c>
      <c r="E212" s="102" t="s">
        <v>29661</v>
      </c>
      <c r="F212" s="102" t="s">
        <v>91</v>
      </c>
      <c r="G212" s="102" t="s">
        <v>29661</v>
      </c>
      <c r="H212" s="102" t="s">
        <v>29687</v>
      </c>
      <c r="I212" s="102" t="s">
        <v>29688</v>
      </c>
      <c r="J212" s="102" t="s">
        <v>29710</v>
      </c>
      <c r="K212" s="102" t="s">
        <v>264</v>
      </c>
      <c r="L212" s="102" t="s">
        <v>25606</v>
      </c>
      <c r="M212" s="102" t="s">
        <v>26662</v>
      </c>
      <c r="N212" s="102">
        <v>975.8</v>
      </c>
      <c r="S212" t="str">
        <f t="shared" si="13"/>
        <v>95-009-62-58</v>
      </c>
      <c r="T212" s="129" t="s">
        <v>28395</v>
      </c>
      <c r="U212" s="112">
        <v>2</v>
      </c>
    </row>
    <row r="213" spans="1:21" x14ac:dyDescent="0.2">
      <c r="A213" s="102" t="s">
        <v>29603</v>
      </c>
      <c r="B213" s="102" t="s">
        <v>29658</v>
      </c>
      <c r="C213" s="102" t="s">
        <v>31</v>
      </c>
      <c r="D213" s="102" t="s">
        <v>25558</v>
      </c>
      <c r="E213" s="102" t="s">
        <v>29661</v>
      </c>
      <c r="F213" s="102" t="s">
        <v>91</v>
      </c>
      <c r="G213" s="102" t="s">
        <v>29661</v>
      </c>
      <c r="H213" s="102" t="s">
        <v>29687</v>
      </c>
      <c r="I213" s="102" t="s">
        <v>29688</v>
      </c>
      <c r="J213" s="102" t="s">
        <v>29710</v>
      </c>
      <c r="K213" s="102" t="s">
        <v>264</v>
      </c>
      <c r="L213" s="102" t="s">
        <v>25606</v>
      </c>
      <c r="M213" s="102" t="s">
        <v>26662</v>
      </c>
      <c r="N213" s="102">
        <v>975.8</v>
      </c>
      <c r="S213" t="str">
        <f t="shared" si="13"/>
        <v>95-009-62-59</v>
      </c>
      <c r="T213" s="129" t="s">
        <v>28349</v>
      </c>
      <c r="U213" s="112">
        <v>3</v>
      </c>
    </row>
    <row r="214" spans="1:21" x14ac:dyDescent="0.2">
      <c r="A214" s="102" t="s">
        <v>29603</v>
      </c>
      <c r="B214" s="102" t="s">
        <v>29658</v>
      </c>
      <c r="C214" s="102" t="s">
        <v>31</v>
      </c>
      <c r="D214" s="102" t="s">
        <v>25558</v>
      </c>
      <c r="E214" s="102" t="s">
        <v>29661</v>
      </c>
      <c r="F214" s="102" t="s">
        <v>91</v>
      </c>
      <c r="G214" s="102" t="s">
        <v>29661</v>
      </c>
      <c r="H214" s="102" t="s">
        <v>29687</v>
      </c>
      <c r="I214" s="102" t="s">
        <v>29688</v>
      </c>
      <c r="J214" s="102" t="s">
        <v>29710</v>
      </c>
      <c r="K214" s="102" t="s">
        <v>264</v>
      </c>
      <c r="L214" s="102" t="s">
        <v>25606</v>
      </c>
      <c r="M214" s="102" t="s">
        <v>26662</v>
      </c>
      <c r="N214" s="102">
        <v>975.8</v>
      </c>
      <c r="S214" t="str">
        <f t="shared" ref="S214:S224" si="14">A214&amp;"-"&amp;T214</f>
        <v>95-009-62-60</v>
      </c>
      <c r="T214" s="129" t="s">
        <v>28272</v>
      </c>
      <c r="U214" s="112">
        <v>2</v>
      </c>
    </row>
    <row r="215" spans="1:21" x14ac:dyDescent="0.2">
      <c r="A215" s="102" t="s">
        <v>29603</v>
      </c>
      <c r="B215" s="102" t="s">
        <v>29658</v>
      </c>
      <c r="C215" s="102" t="s">
        <v>31</v>
      </c>
      <c r="D215" s="102" t="s">
        <v>25558</v>
      </c>
      <c r="E215" s="102" t="s">
        <v>29661</v>
      </c>
      <c r="F215" s="102" t="s">
        <v>91</v>
      </c>
      <c r="G215" s="102" t="s">
        <v>29661</v>
      </c>
      <c r="H215" s="102" t="s">
        <v>29687</v>
      </c>
      <c r="I215" s="102" t="s">
        <v>29688</v>
      </c>
      <c r="J215" s="102" t="s">
        <v>29710</v>
      </c>
      <c r="K215" s="102" t="s">
        <v>264</v>
      </c>
      <c r="L215" s="102" t="s">
        <v>25606</v>
      </c>
      <c r="M215" s="102" t="s">
        <v>26662</v>
      </c>
      <c r="N215" s="102">
        <v>975.8</v>
      </c>
      <c r="S215" t="str">
        <f t="shared" si="14"/>
        <v>95-009-62-61</v>
      </c>
      <c r="T215" s="129" t="s">
        <v>28354</v>
      </c>
      <c r="U215" s="112">
        <v>1</v>
      </c>
    </row>
    <row r="216" spans="1:21" x14ac:dyDescent="0.2">
      <c r="A216" s="102" t="s">
        <v>29603</v>
      </c>
      <c r="B216" s="102" t="s">
        <v>29658</v>
      </c>
      <c r="C216" s="102" t="s">
        <v>31</v>
      </c>
      <c r="D216" s="102" t="s">
        <v>25558</v>
      </c>
      <c r="E216" s="102" t="s">
        <v>29661</v>
      </c>
      <c r="F216" s="102" t="s">
        <v>91</v>
      </c>
      <c r="G216" s="102" t="s">
        <v>29661</v>
      </c>
      <c r="H216" s="102" t="s">
        <v>29687</v>
      </c>
      <c r="I216" s="102" t="s">
        <v>29688</v>
      </c>
      <c r="J216" s="102" t="s">
        <v>29710</v>
      </c>
      <c r="K216" s="102" t="s">
        <v>264</v>
      </c>
      <c r="L216" s="102" t="s">
        <v>25606</v>
      </c>
      <c r="M216" s="102" t="s">
        <v>26662</v>
      </c>
      <c r="N216" s="102">
        <v>975.8</v>
      </c>
      <c r="S216" t="str">
        <f t="shared" si="14"/>
        <v>95-009-62-62</v>
      </c>
      <c r="T216" s="129" t="s">
        <v>28236</v>
      </c>
      <c r="U216" s="112">
        <v>1</v>
      </c>
    </row>
    <row r="217" spans="1:21" x14ac:dyDescent="0.2">
      <c r="A217" s="102" t="s">
        <v>29604</v>
      </c>
      <c r="B217" s="102" t="s">
        <v>29653</v>
      </c>
      <c r="C217" s="102" t="s">
        <v>31</v>
      </c>
      <c r="D217" s="102" t="s">
        <v>39</v>
      </c>
      <c r="E217" s="102" t="s">
        <v>29661</v>
      </c>
      <c r="F217" s="102" t="s">
        <v>91</v>
      </c>
      <c r="G217" s="102" t="s">
        <v>29661</v>
      </c>
      <c r="H217" s="102" t="s">
        <v>29689</v>
      </c>
      <c r="I217" s="102" t="s">
        <v>28519</v>
      </c>
      <c r="J217" s="102" t="s">
        <v>29710</v>
      </c>
      <c r="K217" s="102" t="s">
        <v>264</v>
      </c>
      <c r="L217" s="102" t="s">
        <v>25606</v>
      </c>
      <c r="M217" s="102" t="s">
        <v>26662</v>
      </c>
      <c r="N217" s="102">
        <v>975.8</v>
      </c>
      <c r="S217" t="str">
        <f t="shared" si="14"/>
        <v>95-011-11-57</v>
      </c>
      <c r="T217" s="129" t="s">
        <v>28353</v>
      </c>
      <c r="U217" s="112">
        <v>4</v>
      </c>
    </row>
    <row r="218" spans="1:21" x14ac:dyDescent="0.2">
      <c r="A218" s="102" t="s">
        <v>29604</v>
      </c>
      <c r="B218" s="102" t="s">
        <v>29653</v>
      </c>
      <c r="C218" s="102" t="s">
        <v>31</v>
      </c>
      <c r="D218" s="102" t="s">
        <v>39</v>
      </c>
      <c r="E218" s="102" t="s">
        <v>29661</v>
      </c>
      <c r="F218" s="102" t="s">
        <v>91</v>
      </c>
      <c r="G218" s="102" t="s">
        <v>29661</v>
      </c>
      <c r="H218" s="102" t="s">
        <v>29689</v>
      </c>
      <c r="I218" s="102" t="s">
        <v>28519</v>
      </c>
      <c r="J218" s="102" t="s">
        <v>29710</v>
      </c>
      <c r="K218" s="102" t="s">
        <v>264</v>
      </c>
      <c r="L218" s="102" t="s">
        <v>25606</v>
      </c>
      <c r="M218" s="102" t="s">
        <v>26662</v>
      </c>
      <c r="N218" s="102">
        <v>975.8</v>
      </c>
      <c r="S218" t="str">
        <f t="shared" si="14"/>
        <v>95-011-11-59</v>
      </c>
      <c r="T218" s="129" t="s">
        <v>28349</v>
      </c>
      <c r="U218" s="112">
        <v>8</v>
      </c>
    </row>
    <row r="219" spans="1:21" x14ac:dyDescent="0.2">
      <c r="A219" s="102" t="s">
        <v>29605</v>
      </c>
      <c r="B219" s="102" t="s">
        <v>29648</v>
      </c>
      <c r="C219" s="102" t="s">
        <v>31</v>
      </c>
      <c r="D219" s="102" t="s">
        <v>37</v>
      </c>
      <c r="E219" s="102" t="s">
        <v>29661</v>
      </c>
      <c r="F219" s="102" t="s">
        <v>91</v>
      </c>
      <c r="G219" s="102" t="s">
        <v>29661</v>
      </c>
      <c r="H219" s="102" t="s">
        <v>29689</v>
      </c>
      <c r="I219" s="102" t="s">
        <v>28519</v>
      </c>
      <c r="J219" s="102" t="s">
        <v>29710</v>
      </c>
      <c r="K219" s="102" t="s">
        <v>264</v>
      </c>
      <c r="L219" s="102" t="s">
        <v>25606</v>
      </c>
      <c r="M219" s="102" t="s">
        <v>26662</v>
      </c>
      <c r="N219" s="102">
        <v>975.8</v>
      </c>
      <c r="S219" t="str">
        <f t="shared" si="14"/>
        <v>95-006-11-56</v>
      </c>
      <c r="T219" s="129" t="s">
        <v>28269</v>
      </c>
      <c r="U219" s="112">
        <v>2</v>
      </c>
    </row>
    <row r="220" spans="1:21" x14ac:dyDescent="0.2">
      <c r="A220" s="102" t="s">
        <v>29605</v>
      </c>
      <c r="B220" s="102" t="s">
        <v>29648</v>
      </c>
      <c r="C220" s="102" t="s">
        <v>31</v>
      </c>
      <c r="D220" s="102" t="s">
        <v>37</v>
      </c>
      <c r="E220" s="102" t="s">
        <v>29661</v>
      </c>
      <c r="F220" s="102" t="s">
        <v>91</v>
      </c>
      <c r="G220" s="102" t="s">
        <v>29661</v>
      </c>
      <c r="H220" s="102" t="s">
        <v>29689</v>
      </c>
      <c r="I220" s="102" t="s">
        <v>28519</v>
      </c>
      <c r="J220" s="102" t="s">
        <v>29710</v>
      </c>
      <c r="K220" s="102" t="s">
        <v>264</v>
      </c>
      <c r="L220" s="102" t="s">
        <v>25606</v>
      </c>
      <c r="M220" s="102" t="s">
        <v>26662</v>
      </c>
      <c r="N220" s="102">
        <v>975.8</v>
      </c>
      <c r="S220" t="str">
        <f t="shared" si="14"/>
        <v>95-006-11-57</v>
      </c>
      <c r="T220" s="129" t="s">
        <v>28353</v>
      </c>
      <c r="U220" s="112">
        <v>6</v>
      </c>
    </row>
    <row r="221" spans="1:21" x14ac:dyDescent="0.2">
      <c r="A221" s="102" t="s">
        <v>29605</v>
      </c>
      <c r="B221" s="102" t="s">
        <v>29648</v>
      </c>
      <c r="C221" s="102" t="s">
        <v>31</v>
      </c>
      <c r="D221" s="102" t="s">
        <v>37</v>
      </c>
      <c r="E221" s="102" t="s">
        <v>29661</v>
      </c>
      <c r="F221" s="102" t="s">
        <v>91</v>
      </c>
      <c r="G221" s="102" t="s">
        <v>29661</v>
      </c>
      <c r="H221" s="102" t="s">
        <v>29689</v>
      </c>
      <c r="I221" s="102" t="s">
        <v>28519</v>
      </c>
      <c r="J221" s="102" t="s">
        <v>29710</v>
      </c>
      <c r="K221" s="102" t="s">
        <v>264</v>
      </c>
      <c r="L221" s="102" t="s">
        <v>25606</v>
      </c>
      <c r="M221" s="102" t="s">
        <v>26662</v>
      </c>
      <c r="N221" s="102">
        <v>975.8</v>
      </c>
      <c r="S221" t="str">
        <f t="shared" si="14"/>
        <v>95-006-11-58</v>
      </c>
      <c r="T221" s="129" t="s">
        <v>28395</v>
      </c>
      <c r="U221" s="112">
        <v>9</v>
      </c>
    </row>
    <row r="222" spans="1:21" x14ac:dyDescent="0.2">
      <c r="A222" s="102" t="s">
        <v>29605</v>
      </c>
      <c r="B222" s="102" t="s">
        <v>29648</v>
      </c>
      <c r="C222" s="102" t="s">
        <v>31</v>
      </c>
      <c r="D222" s="102" t="s">
        <v>37</v>
      </c>
      <c r="E222" s="102" t="s">
        <v>29661</v>
      </c>
      <c r="F222" s="102" t="s">
        <v>91</v>
      </c>
      <c r="G222" s="102" t="s">
        <v>29661</v>
      </c>
      <c r="H222" s="102" t="s">
        <v>29689</v>
      </c>
      <c r="I222" s="102" t="s">
        <v>28519</v>
      </c>
      <c r="J222" s="102" t="s">
        <v>29710</v>
      </c>
      <c r="K222" s="102" t="s">
        <v>264</v>
      </c>
      <c r="L222" s="102" t="s">
        <v>25606</v>
      </c>
      <c r="M222" s="102" t="s">
        <v>26662</v>
      </c>
      <c r="N222" s="102">
        <v>975.8</v>
      </c>
      <c r="S222" t="str">
        <f t="shared" si="14"/>
        <v>95-006-11-59</v>
      </c>
      <c r="T222" s="129" t="s">
        <v>28349</v>
      </c>
      <c r="U222" s="112">
        <v>12</v>
      </c>
    </row>
    <row r="223" spans="1:21" x14ac:dyDescent="0.2">
      <c r="A223" s="102" t="s">
        <v>29605</v>
      </c>
      <c r="B223" s="102" t="s">
        <v>29648</v>
      </c>
      <c r="C223" s="102" t="s">
        <v>31</v>
      </c>
      <c r="D223" s="102" t="s">
        <v>37</v>
      </c>
      <c r="E223" s="102" t="s">
        <v>29661</v>
      </c>
      <c r="F223" s="102" t="s">
        <v>91</v>
      </c>
      <c r="G223" s="102" t="s">
        <v>29661</v>
      </c>
      <c r="H223" s="102" t="s">
        <v>29689</v>
      </c>
      <c r="I223" s="102" t="s">
        <v>28519</v>
      </c>
      <c r="J223" s="102" t="s">
        <v>29710</v>
      </c>
      <c r="K223" s="102" t="s">
        <v>264</v>
      </c>
      <c r="L223" s="102" t="s">
        <v>25606</v>
      </c>
      <c r="M223" s="102" t="s">
        <v>26662</v>
      </c>
      <c r="N223" s="102">
        <v>975.8</v>
      </c>
      <c r="S223" t="str">
        <f t="shared" si="14"/>
        <v>95-006-11-60</v>
      </c>
      <c r="T223" s="129" t="s">
        <v>28272</v>
      </c>
      <c r="U223" s="112">
        <v>9</v>
      </c>
    </row>
    <row r="224" spans="1:21" x14ac:dyDescent="0.2">
      <c r="A224" s="102" t="s">
        <v>29605</v>
      </c>
      <c r="B224" s="102" t="s">
        <v>29648</v>
      </c>
      <c r="C224" s="102" t="s">
        <v>31</v>
      </c>
      <c r="D224" s="102" t="s">
        <v>37</v>
      </c>
      <c r="E224" s="102" t="s">
        <v>29661</v>
      </c>
      <c r="F224" s="102" t="s">
        <v>91</v>
      </c>
      <c r="G224" s="102" t="s">
        <v>29661</v>
      </c>
      <c r="H224" s="102" t="s">
        <v>29689</v>
      </c>
      <c r="I224" s="102" t="s">
        <v>28519</v>
      </c>
      <c r="J224" s="102" t="s">
        <v>29710</v>
      </c>
      <c r="K224" s="102" t="s">
        <v>264</v>
      </c>
      <c r="L224" s="102" t="s">
        <v>25606</v>
      </c>
      <c r="M224" s="102" t="s">
        <v>26662</v>
      </c>
      <c r="N224" s="102">
        <v>975.8</v>
      </c>
      <c r="S224" t="str">
        <f t="shared" si="14"/>
        <v>95-006-11-61</v>
      </c>
      <c r="T224" s="129" t="s">
        <v>28354</v>
      </c>
      <c r="U224" s="112">
        <v>4</v>
      </c>
    </row>
    <row r="225" spans="1:21" x14ac:dyDescent="0.2">
      <c r="A225" s="102" t="s">
        <v>29606</v>
      </c>
      <c r="B225" s="102" t="s">
        <v>29645</v>
      </c>
      <c r="C225" s="102" t="s">
        <v>31</v>
      </c>
      <c r="D225" s="102" t="s">
        <v>39</v>
      </c>
      <c r="E225" s="102" t="s">
        <v>29661</v>
      </c>
      <c r="F225" s="102" t="s">
        <v>91</v>
      </c>
      <c r="G225" s="102" t="s">
        <v>29661</v>
      </c>
      <c r="H225" s="102" t="s">
        <v>29689</v>
      </c>
      <c r="I225" s="102" t="s">
        <v>28519</v>
      </c>
      <c r="J225" s="102" t="s">
        <v>29710</v>
      </c>
      <c r="K225" s="102" t="s">
        <v>264</v>
      </c>
      <c r="L225" s="102" t="s">
        <v>25606</v>
      </c>
      <c r="M225" s="102" t="s">
        <v>26662</v>
      </c>
      <c r="N225" s="102">
        <v>975.8</v>
      </c>
      <c r="S225" t="str">
        <f t="shared" ref="S225:S244" si="15">A225&amp;"-"&amp;T225</f>
        <v>95-008-11-56</v>
      </c>
      <c r="T225" s="129" t="s">
        <v>28269</v>
      </c>
      <c r="U225" s="112">
        <v>4</v>
      </c>
    </row>
    <row r="226" spans="1:21" x14ac:dyDescent="0.2">
      <c r="A226" s="102" t="s">
        <v>29606</v>
      </c>
      <c r="B226" s="102" t="s">
        <v>29645</v>
      </c>
      <c r="C226" s="102" t="s">
        <v>31</v>
      </c>
      <c r="D226" s="102" t="s">
        <v>39</v>
      </c>
      <c r="E226" s="102" t="s">
        <v>29661</v>
      </c>
      <c r="F226" s="102" t="s">
        <v>91</v>
      </c>
      <c r="G226" s="102" t="s">
        <v>29661</v>
      </c>
      <c r="H226" s="102" t="s">
        <v>29689</v>
      </c>
      <c r="I226" s="102" t="s">
        <v>28519</v>
      </c>
      <c r="J226" s="102" t="s">
        <v>29710</v>
      </c>
      <c r="K226" s="102" t="s">
        <v>264</v>
      </c>
      <c r="L226" s="102" t="s">
        <v>25606</v>
      </c>
      <c r="M226" s="102" t="s">
        <v>26662</v>
      </c>
      <c r="N226" s="102">
        <v>975.8</v>
      </c>
      <c r="S226" t="str">
        <f t="shared" si="15"/>
        <v>95-008-11-57</v>
      </c>
      <c r="T226" s="129" t="s">
        <v>28353</v>
      </c>
      <c r="U226" s="112">
        <v>8</v>
      </c>
    </row>
    <row r="227" spans="1:21" x14ac:dyDescent="0.2">
      <c r="A227" s="102" t="s">
        <v>29606</v>
      </c>
      <c r="B227" s="102" t="s">
        <v>29645</v>
      </c>
      <c r="C227" s="102" t="s">
        <v>31</v>
      </c>
      <c r="D227" s="102" t="s">
        <v>39</v>
      </c>
      <c r="E227" s="102" t="s">
        <v>29661</v>
      </c>
      <c r="F227" s="102" t="s">
        <v>91</v>
      </c>
      <c r="G227" s="102" t="s">
        <v>29661</v>
      </c>
      <c r="H227" s="102" t="s">
        <v>29689</v>
      </c>
      <c r="I227" s="102" t="s">
        <v>28519</v>
      </c>
      <c r="J227" s="102" t="s">
        <v>29710</v>
      </c>
      <c r="K227" s="102" t="s">
        <v>264</v>
      </c>
      <c r="L227" s="102" t="s">
        <v>25606</v>
      </c>
      <c r="M227" s="102" t="s">
        <v>26662</v>
      </c>
      <c r="N227" s="102">
        <v>975.8</v>
      </c>
      <c r="S227" t="str">
        <f t="shared" si="15"/>
        <v>95-008-11-58</v>
      </c>
      <c r="T227" s="129" t="s">
        <v>28395</v>
      </c>
      <c r="U227" s="112">
        <v>12</v>
      </c>
    </row>
    <row r="228" spans="1:21" x14ac:dyDescent="0.2">
      <c r="A228" s="102" t="s">
        <v>29606</v>
      </c>
      <c r="B228" s="102" t="s">
        <v>29645</v>
      </c>
      <c r="C228" s="102" t="s">
        <v>31</v>
      </c>
      <c r="D228" s="102" t="s">
        <v>39</v>
      </c>
      <c r="E228" s="102" t="s">
        <v>29661</v>
      </c>
      <c r="F228" s="102" t="s">
        <v>91</v>
      </c>
      <c r="G228" s="102" t="s">
        <v>29661</v>
      </c>
      <c r="H228" s="102" t="s">
        <v>29689</v>
      </c>
      <c r="I228" s="102" t="s">
        <v>28519</v>
      </c>
      <c r="J228" s="102" t="s">
        <v>29710</v>
      </c>
      <c r="K228" s="102" t="s">
        <v>264</v>
      </c>
      <c r="L228" s="102" t="s">
        <v>25606</v>
      </c>
      <c r="M228" s="102" t="s">
        <v>26662</v>
      </c>
      <c r="N228" s="102">
        <v>975.8</v>
      </c>
      <c r="S228" t="str">
        <f t="shared" si="15"/>
        <v>95-008-11-59</v>
      </c>
      <c r="T228" s="129" t="s">
        <v>28349</v>
      </c>
      <c r="U228" s="112">
        <v>18</v>
      </c>
    </row>
    <row r="229" spans="1:21" x14ac:dyDescent="0.2">
      <c r="A229" s="102" t="s">
        <v>29606</v>
      </c>
      <c r="B229" s="102" t="s">
        <v>29645</v>
      </c>
      <c r="C229" s="102" t="s">
        <v>31</v>
      </c>
      <c r="D229" s="102" t="s">
        <v>39</v>
      </c>
      <c r="E229" s="102" t="s">
        <v>29661</v>
      </c>
      <c r="F229" s="102" t="s">
        <v>91</v>
      </c>
      <c r="G229" s="102" t="s">
        <v>29661</v>
      </c>
      <c r="H229" s="102" t="s">
        <v>29689</v>
      </c>
      <c r="I229" s="102" t="s">
        <v>28519</v>
      </c>
      <c r="J229" s="102" t="s">
        <v>29710</v>
      </c>
      <c r="K229" s="102" t="s">
        <v>264</v>
      </c>
      <c r="L229" s="102" t="s">
        <v>25606</v>
      </c>
      <c r="M229" s="102" t="s">
        <v>26662</v>
      </c>
      <c r="N229" s="102">
        <v>975.8</v>
      </c>
      <c r="S229" t="str">
        <f t="shared" si="15"/>
        <v>95-008-11-60</v>
      </c>
      <c r="T229" s="129" t="s">
        <v>28272</v>
      </c>
      <c r="U229" s="112">
        <v>12</v>
      </c>
    </row>
    <row r="230" spans="1:21" x14ac:dyDescent="0.2">
      <c r="A230" s="102" t="s">
        <v>29606</v>
      </c>
      <c r="B230" s="102" t="s">
        <v>29645</v>
      </c>
      <c r="C230" s="102" t="s">
        <v>31</v>
      </c>
      <c r="D230" s="102" t="s">
        <v>39</v>
      </c>
      <c r="E230" s="102" t="s">
        <v>29661</v>
      </c>
      <c r="F230" s="102" t="s">
        <v>91</v>
      </c>
      <c r="G230" s="102" t="s">
        <v>29661</v>
      </c>
      <c r="H230" s="102" t="s">
        <v>29689</v>
      </c>
      <c r="I230" s="102" t="s">
        <v>28519</v>
      </c>
      <c r="J230" s="102" t="s">
        <v>29710</v>
      </c>
      <c r="K230" s="102" t="s">
        <v>264</v>
      </c>
      <c r="L230" s="102" t="s">
        <v>25606</v>
      </c>
      <c r="M230" s="102" t="s">
        <v>26662</v>
      </c>
      <c r="N230" s="102">
        <v>975.8</v>
      </c>
      <c r="S230" t="str">
        <f t="shared" si="15"/>
        <v>95-008-11-61</v>
      </c>
      <c r="T230" s="129" t="s">
        <v>28354</v>
      </c>
      <c r="U230" s="112">
        <v>8</v>
      </c>
    </row>
    <row r="231" spans="1:21" x14ac:dyDescent="0.2">
      <c r="A231" s="102" t="s">
        <v>29606</v>
      </c>
      <c r="B231" s="102" t="s">
        <v>29645</v>
      </c>
      <c r="C231" s="102" t="s">
        <v>31</v>
      </c>
      <c r="D231" s="102" t="s">
        <v>39</v>
      </c>
      <c r="E231" s="102" t="s">
        <v>29661</v>
      </c>
      <c r="F231" s="102" t="s">
        <v>91</v>
      </c>
      <c r="G231" s="102" t="s">
        <v>29661</v>
      </c>
      <c r="H231" s="102" t="s">
        <v>29689</v>
      </c>
      <c r="I231" s="102" t="s">
        <v>28519</v>
      </c>
      <c r="J231" s="102" t="s">
        <v>29710</v>
      </c>
      <c r="K231" s="102" t="s">
        <v>264</v>
      </c>
      <c r="L231" s="102" t="s">
        <v>25606</v>
      </c>
      <c r="M231" s="102" t="s">
        <v>26662</v>
      </c>
      <c r="N231" s="102">
        <v>975.8</v>
      </c>
      <c r="S231" t="str">
        <f t="shared" si="15"/>
        <v>95-008-11-62</v>
      </c>
      <c r="T231" s="129" t="s">
        <v>28236</v>
      </c>
      <c r="U231" s="112">
        <v>4</v>
      </c>
    </row>
    <row r="232" spans="1:21" x14ac:dyDescent="0.2">
      <c r="A232" s="102" t="s">
        <v>29607</v>
      </c>
      <c r="B232" s="102" t="s">
        <v>29647</v>
      </c>
      <c r="C232" s="102" t="s">
        <v>31</v>
      </c>
      <c r="D232" s="102" t="s">
        <v>25558</v>
      </c>
      <c r="E232" s="102" t="s">
        <v>29661</v>
      </c>
      <c r="F232" s="102" t="s">
        <v>91</v>
      </c>
      <c r="G232" s="102" t="s">
        <v>29661</v>
      </c>
      <c r="H232" s="102" t="s">
        <v>29690</v>
      </c>
      <c r="I232" s="102" t="s">
        <v>25542</v>
      </c>
      <c r="J232" s="102" t="s">
        <v>29710</v>
      </c>
      <c r="K232" s="102" t="s">
        <v>264</v>
      </c>
      <c r="L232" s="102" t="s">
        <v>25606</v>
      </c>
      <c r="M232" s="102" t="s">
        <v>26662</v>
      </c>
      <c r="N232" s="102">
        <v>975.8</v>
      </c>
      <c r="S232" t="str">
        <f t="shared" si="15"/>
        <v>95-010-71-57</v>
      </c>
      <c r="T232" s="129" t="s">
        <v>28353</v>
      </c>
      <c r="U232" s="112">
        <v>1</v>
      </c>
    </row>
    <row r="233" spans="1:21" x14ac:dyDescent="0.2">
      <c r="A233" s="102" t="s">
        <v>29607</v>
      </c>
      <c r="B233" s="102" t="s">
        <v>29647</v>
      </c>
      <c r="C233" s="102" t="s">
        <v>31</v>
      </c>
      <c r="D233" s="102" t="s">
        <v>25558</v>
      </c>
      <c r="E233" s="102" t="s">
        <v>29661</v>
      </c>
      <c r="F233" s="102" t="s">
        <v>91</v>
      </c>
      <c r="G233" s="102" t="s">
        <v>29661</v>
      </c>
      <c r="H233" s="102" t="s">
        <v>29690</v>
      </c>
      <c r="I233" s="102" t="s">
        <v>25542</v>
      </c>
      <c r="J233" s="102" t="s">
        <v>29710</v>
      </c>
      <c r="K233" s="102" t="s">
        <v>264</v>
      </c>
      <c r="L233" s="102" t="s">
        <v>25606</v>
      </c>
      <c r="M233" s="102" t="s">
        <v>26662</v>
      </c>
      <c r="N233" s="102">
        <v>975.8</v>
      </c>
      <c r="S233" t="str">
        <f t="shared" si="15"/>
        <v>95-010-71-58</v>
      </c>
      <c r="T233" s="129" t="s">
        <v>28395</v>
      </c>
      <c r="U233" s="112">
        <v>2</v>
      </c>
    </row>
    <row r="234" spans="1:21" x14ac:dyDescent="0.2">
      <c r="A234" s="102" t="s">
        <v>29607</v>
      </c>
      <c r="B234" s="102" t="s">
        <v>29647</v>
      </c>
      <c r="C234" s="102" t="s">
        <v>31</v>
      </c>
      <c r="D234" s="102" t="s">
        <v>25558</v>
      </c>
      <c r="E234" s="102" t="s">
        <v>29661</v>
      </c>
      <c r="F234" s="102" t="s">
        <v>91</v>
      </c>
      <c r="G234" s="102" t="s">
        <v>29661</v>
      </c>
      <c r="H234" s="102" t="s">
        <v>29690</v>
      </c>
      <c r="I234" s="102" t="s">
        <v>25542</v>
      </c>
      <c r="J234" s="102" t="s">
        <v>29710</v>
      </c>
      <c r="K234" s="102" t="s">
        <v>264</v>
      </c>
      <c r="L234" s="102" t="s">
        <v>25606</v>
      </c>
      <c r="M234" s="102" t="s">
        <v>26662</v>
      </c>
      <c r="N234" s="102">
        <v>975.8</v>
      </c>
      <c r="S234" t="str">
        <f t="shared" si="15"/>
        <v>95-010-71-59</v>
      </c>
      <c r="T234" s="129" t="s">
        <v>28349</v>
      </c>
      <c r="U234" s="112">
        <v>3</v>
      </c>
    </row>
    <row r="235" spans="1:21" x14ac:dyDescent="0.2">
      <c r="A235" s="102" t="s">
        <v>29607</v>
      </c>
      <c r="B235" s="102" t="s">
        <v>29647</v>
      </c>
      <c r="C235" s="102" t="s">
        <v>31</v>
      </c>
      <c r="D235" s="102" t="s">
        <v>25558</v>
      </c>
      <c r="E235" s="102" t="s">
        <v>29661</v>
      </c>
      <c r="F235" s="102" t="s">
        <v>91</v>
      </c>
      <c r="G235" s="102" t="s">
        <v>29661</v>
      </c>
      <c r="H235" s="102" t="s">
        <v>29690</v>
      </c>
      <c r="I235" s="102" t="s">
        <v>25542</v>
      </c>
      <c r="J235" s="102" t="s">
        <v>29710</v>
      </c>
      <c r="K235" s="102" t="s">
        <v>264</v>
      </c>
      <c r="L235" s="102" t="s">
        <v>25606</v>
      </c>
      <c r="M235" s="102" t="s">
        <v>26662</v>
      </c>
      <c r="N235" s="102">
        <v>975.8</v>
      </c>
      <c r="S235" t="str">
        <f t="shared" si="15"/>
        <v>95-010-71-60</v>
      </c>
      <c r="T235" s="129" t="s">
        <v>28272</v>
      </c>
      <c r="U235" s="112">
        <v>2</v>
      </c>
    </row>
    <row r="236" spans="1:21" x14ac:dyDescent="0.2">
      <c r="A236" s="102" t="s">
        <v>29607</v>
      </c>
      <c r="B236" s="102" t="s">
        <v>29647</v>
      </c>
      <c r="C236" s="102" t="s">
        <v>31</v>
      </c>
      <c r="D236" s="102" t="s">
        <v>25558</v>
      </c>
      <c r="E236" s="102" t="s">
        <v>29661</v>
      </c>
      <c r="F236" s="102" t="s">
        <v>91</v>
      </c>
      <c r="G236" s="102" t="s">
        <v>29661</v>
      </c>
      <c r="H236" s="102" t="s">
        <v>29690</v>
      </c>
      <c r="I236" s="102" t="s">
        <v>25542</v>
      </c>
      <c r="J236" s="102" t="s">
        <v>29710</v>
      </c>
      <c r="K236" s="102" t="s">
        <v>264</v>
      </c>
      <c r="L236" s="102" t="s">
        <v>25606</v>
      </c>
      <c r="M236" s="102" t="s">
        <v>26662</v>
      </c>
      <c r="N236" s="102">
        <v>975.8</v>
      </c>
      <c r="S236" t="str">
        <f t="shared" si="15"/>
        <v>95-010-71-61</v>
      </c>
      <c r="T236" s="129" t="s">
        <v>28354</v>
      </c>
      <c r="U236" s="112">
        <v>1</v>
      </c>
    </row>
    <row r="237" spans="1:21" x14ac:dyDescent="0.2">
      <c r="A237" s="102" t="s">
        <v>29607</v>
      </c>
      <c r="B237" s="102" t="s">
        <v>29647</v>
      </c>
      <c r="C237" s="102" t="s">
        <v>31</v>
      </c>
      <c r="D237" s="102" t="s">
        <v>25558</v>
      </c>
      <c r="E237" s="102" t="s">
        <v>29661</v>
      </c>
      <c r="F237" s="102" t="s">
        <v>91</v>
      </c>
      <c r="G237" s="102" t="s">
        <v>29661</v>
      </c>
      <c r="H237" s="102" t="s">
        <v>29690</v>
      </c>
      <c r="I237" s="102" t="s">
        <v>25542</v>
      </c>
      <c r="J237" s="102" t="s">
        <v>29710</v>
      </c>
      <c r="K237" s="102" t="s">
        <v>264</v>
      </c>
      <c r="L237" s="102" t="s">
        <v>25606</v>
      </c>
      <c r="M237" s="102" t="s">
        <v>26662</v>
      </c>
      <c r="N237" s="102">
        <v>975.8</v>
      </c>
      <c r="S237" t="str">
        <f t="shared" si="15"/>
        <v>95-010-71-62</v>
      </c>
      <c r="T237" s="129" t="s">
        <v>28236</v>
      </c>
      <c r="U237" s="112">
        <v>1</v>
      </c>
    </row>
    <row r="238" spans="1:21" x14ac:dyDescent="0.2">
      <c r="A238" s="102" t="s">
        <v>29608</v>
      </c>
      <c r="B238" s="102" t="s">
        <v>29652</v>
      </c>
      <c r="C238" s="102" t="s">
        <v>31</v>
      </c>
      <c r="D238" s="102" t="s">
        <v>39</v>
      </c>
      <c r="E238" s="102" t="s">
        <v>29661</v>
      </c>
      <c r="F238" s="102" t="s">
        <v>91</v>
      </c>
      <c r="G238" s="102" t="s">
        <v>29661</v>
      </c>
      <c r="H238" s="102" t="s">
        <v>29691</v>
      </c>
      <c r="I238" s="102" t="s">
        <v>29692</v>
      </c>
      <c r="J238" s="102" t="s">
        <v>29710</v>
      </c>
      <c r="K238" s="102" t="s">
        <v>264</v>
      </c>
      <c r="L238" s="102" t="s">
        <v>25606</v>
      </c>
      <c r="M238" s="102" t="s">
        <v>26662</v>
      </c>
      <c r="N238" s="102">
        <v>975.8</v>
      </c>
      <c r="S238" t="str">
        <f t="shared" si="15"/>
        <v>95-003-63-56</v>
      </c>
      <c r="T238" s="129" t="s">
        <v>28269</v>
      </c>
      <c r="U238" s="112">
        <v>2</v>
      </c>
    </row>
    <row r="239" spans="1:21" x14ac:dyDescent="0.2">
      <c r="A239" s="102" t="s">
        <v>29608</v>
      </c>
      <c r="B239" s="102" t="s">
        <v>29652</v>
      </c>
      <c r="C239" s="102" t="s">
        <v>31</v>
      </c>
      <c r="D239" s="102" t="s">
        <v>39</v>
      </c>
      <c r="E239" s="102" t="s">
        <v>29661</v>
      </c>
      <c r="F239" s="102" t="s">
        <v>91</v>
      </c>
      <c r="G239" s="102" t="s">
        <v>29661</v>
      </c>
      <c r="H239" s="102" t="s">
        <v>29691</v>
      </c>
      <c r="I239" s="102" t="s">
        <v>29692</v>
      </c>
      <c r="J239" s="102" t="s">
        <v>29710</v>
      </c>
      <c r="K239" s="102" t="s">
        <v>264</v>
      </c>
      <c r="L239" s="102" t="s">
        <v>25606</v>
      </c>
      <c r="M239" s="102" t="s">
        <v>26662</v>
      </c>
      <c r="N239" s="102">
        <v>975.8</v>
      </c>
      <c r="S239" t="str">
        <f t="shared" si="15"/>
        <v>95-003-63-57</v>
      </c>
      <c r="T239" s="129" t="s">
        <v>28353</v>
      </c>
      <c r="U239" s="112">
        <v>3</v>
      </c>
    </row>
    <row r="240" spans="1:21" x14ac:dyDescent="0.2">
      <c r="A240" s="102" t="s">
        <v>29608</v>
      </c>
      <c r="B240" s="102" t="s">
        <v>29652</v>
      </c>
      <c r="C240" s="102" t="s">
        <v>31</v>
      </c>
      <c r="D240" s="102" t="s">
        <v>39</v>
      </c>
      <c r="E240" s="102" t="s">
        <v>29661</v>
      </c>
      <c r="F240" s="102" t="s">
        <v>91</v>
      </c>
      <c r="G240" s="102" t="s">
        <v>29661</v>
      </c>
      <c r="H240" s="102" t="s">
        <v>29691</v>
      </c>
      <c r="I240" s="102" t="s">
        <v>29692</v>
      </c>
      <c r="J240" s="102" t="s">
        <v>29710</v>
      </c>
      <c r="K240" s="102" t="s">
        <v>264</v>
      </c>
      <c r="L240" s="102" t="s">
        <v>25606</v>
      </c>
      <c r="M240" s="102" t="s">
        <v>26662</v>
      </c>
      <c r="N240" s="102">
        <v>975.8</v>
      </c>
      <c r="S240" t="str">
        <f t="shared" si="15"/>
        <v>95-003-63-58</v>
      </c>
      <c r="T240" s="129" t="s">
        <v>28395</v>
      </c>
      <c r="U240" s="112">
        <v>5</v>
      </c>
    </row>
    <row r="241" spans="1:21" x14ac:dyDescent="0.2">
      <c r="A241" s="102" t="s">
        <v>29608</v>
      </c>
      <c r="B241" s="102" t="s">
        <v>29652</v>
      </c>
      <c r="C241" s="102" t="s">
        <v>31</v>
      </c>
      <c r="D241" s="102" t="s">
        <v>39</v>
      </c>
      <c r="E241" s="102" t="s">
        <v>29661</v>
      </c>
      <c r="F241" s="102" t="s">
        <v>91</v>
      </c>
      <c r="G241" s="102" t="s">
        <v>29661</v>
      </c>
      <c r="H241" s="102" t="s">
        <v>29691</v>
      </c>
      <c r="I241" s="102" t="s">
        <v>29692</v>
      </c>
      <c r="J241" s="102" t="s">
        <v>29710</v>
      </c>
      <c r="K241" s="102" t="s">
        <v>264</v>
      </c>
      <c r="L241" s="102" t="s">
        <v>25606</v>
      </c>
      <c r="M241" s="102" t="s">
        <v>26662</v>
      </c>
      <c r="N241" s="102">
        <v>975.8</v>
      </c>
      <c r="S241" t="str">
        <f t="shared" si="15"/>
        <v>95-003-63-59</v>
      </c>
      <c r="T241" s="129" t="s">
        <v>28349</v>
      </c>
      <c r="U241" s="112">
        <v>5</v>
      </c>
    </row>
    <row r="242" spans="1:21" x14ac:dyDescent="0.2">
      <c r="A242" s="102" t="s">
        <v>29608</v>
      </c>
      <c r="B242" s="102" t="s">
        <v>29652</v>
      </c>
      <c r="C242" s="102" t="s">
        <v>31</v>
      </c>
      <c r="D242" s="102" t="s">
        <v>39</v>
      </c>
      <c r="E242" s="102" t="s">
        <v>29661</v>
      </c>
      <c r="F242" s="102" t="s">
        <v>91</v>
      </c>
      <c r="G242" s="102" t="s">
        <v>29661</v>
      </c>
      <c r="H242" s="102" t="s">
        <v>29691</v>
      </c>
      <c r="I242" s="102" t="s">
        <v>29692</v>
      </c>
      <c r="J242" s="102" t="s">
        <v>29710</v>
      </c>
      <c r="K242" s="102" t="s">
        <v>264</v>
      </c>
      <c r="L242" s="102" t="s">
        <v>25606</v>
      </c>
      <c r="M242" s="102" t="s">
        <v>26662</v>
      </c>
      <c r="N242" s="102">
        <v>975.8</v>
      </c>
      <c r="S242" t="str">
        <f t="shared" si="15"/>
        <v>95-003-63-60</v>
      </c>
      <c r="T242" s="129" t="s">
        <v>28272</v>
      </c>
      <c r="U242" s="112">
        <v>4</v>
      </c>
    </row>
    <row r="243" spans="1:21" x14ac:dyDescent="0.2">
      <c r="A243" s="102" t="s">
        <v>29608</v>
      </c>
      <c r="B243" s="102" t="s">
        <v>29652</v>
      </c>
      <c r="C243" s="102" t="s">
        <v>31</v>
      </c>
      <c r="D243" s="102" t="s">
        <v>39</v>
      </c>
      <c r="E243" s="102" t="s">
        <v>29661</v>
      </c>
      <c r="F243" s="102" t="s">
        <v>91</v>
      </c>
      <c r="G243" s="102" t="s">
        <v>29661</v>
      </c>
      <c r="H243" s="102" t="s">
        <v>29691</v>
      </c>
      <c r="I243" s="102" t="s">
        <v>29692</v>
      </c>
      <c r="J243" s="102" t="s">
        <v>29710</v>
      </c>
      <c r="K243" s="102" t="s">
        <v>264</v>
      </c>
      <c r="L243" s="102" t="s">
        <v>25606</v>
      </c>
      <c r="M243" s="102" t="s">
        <v>26662</v>
      </c>
      <c r="N243" s="102">
        <v>975.8</v>
      </c>
      <c r="S243" t="str">
        <f t="shared" si="15"/>
        <v>95-003-63-61</v>
      </c>
      <c r="T243" s="129" t="s">
        <v>28354</v>
      </c>
      <c r="U243" s="112">
        <v>2</v>
      </c>
    </row>
    <row r="244" spans="1:21" x14ac:dyDescent="0.2">
      <c r="A244" s="102" t="s">
        <v>29608</v>
      </c>
      <c r="B244" s="102" t="s">
        <v>29652</v>
      </c>
      <c r="C244" s="102" t="s">
        <v>31</v>
      </c>
      <c r="D244" s="102" t="s">
        <v>39</v>
      </c>
      <c r="E244" s="102" t="s">
        <v>29661</v>
      </c>
      <c r="F244" s="102" t="s">
        <v>91</v>
      </c>
      <c r="G244" s="102" t="s">
        <v>29661</v>
      </c>
      <c r="H244" s="102" t="s">
        <v>29691</v>
      </c>
      <c r="I244" s="102" t="s">
        <v>29692</v>
      </c>
      <c r="J244" s="102" t="s">
        <v>29710</v>
      </c>
      <c r="K244" s="102" t="s">
        <v>264</v>
      </c>
      <c r="L244" s="102" t="s">
        <v>25606</v>
      </c>
      <c r="M244" s="102" t="s">
        <v>26662</v>
      </c>
      <c r="N244" s="102">
        <v>975.8</v>
      </c>
      <c r="S244" t="str">
        <f t="shared" si="15"/>
        <v>95-003-63-62</v>
      </c>
      <c r="T244" s="129" t="s">
        <v>28236</v>
      </c>
      <c r="U244" s="112">
        <v>1</v>
      </c>
    </row>
    <row r="245" spans="1:21" x14ac:dyDescent="0.2">
      <c r="A245" s="102" t="s">
        <v>29609</v>
      </c>
      <c r="B245" s="102" t="s">
        <v>29646</v>
      </c>
      <c r="C245" s="102" t="s">
        <v>31</v>
      </c>
      <c r="D245" s="102" t="s">
        <v>39</v>
      </c>
      <c r="E245" s="102" t="s">
        <v>29661</v>
      </c>
      <c r="F245" s="102" t="s">
        <v>91</v>
      </c>
      <c r="G245" s="102" t="s">
        <v>29661</v>
      </c>
      <c r="H245" s="102" t="s">
        <v>29691</v>
      </c>
      <c r="I245" s="102" t="s">
        <v>29692</v>
      </c>
      <c r="J245" s="102" t="s">
        <v>29710</v>
      </c>
      <c r="K245" s="102" t="s">
        <v>264</v>
      </c>
      <c r="L245" s="102" t="s">
        <v>25606</v>
      </c>
      <c r="M245" s="102" t="s">
        <v>26662</v>
      </c>
      <c r="N245" s="102">
        <v>975.8</v>
      </c>
      <c r="S245" t="str">
        <f t="shared" ref="S245:S262" si="16">A245&amp;"-"&amp;T245</f>
        <v>95-004-63-56</v>
      </c>
      <c r="T245" s="129" t="s">
        <v>28269</v>
      </c>
      <c r="U245" s="112">
        <v>7</v>
      </c>
    </row>
    <row r="246" spans="1:21" x14ac:dyDescent="0.2">
      <c r="A246" s="102" t="s">
        <v>29609</v>
      </c>
      <c r="B246" s="102" t="s">
        <v>29646</v>
      </c>
      <c r="C246" s="102" t="s">
        <v>31</v>
      </c>
      <c r="D246" s="102" t="s">
        <v>39</v>
      </c>
      <c r="E246" s="102" t="s">
        <v>29661</v>
      </c>
      <c r="F246" s="102" t="s">
        <v>91</v>
      </c>
      <c r="G246" s="102" t="s">
        <v>29661</v>
      </c>
      <c r="H246" s="102" t="s">
        <v>29691</v>
      </c>
      <c r="I246" s="102" t="s">
        <v>29692</v>
      </c>
      <c r="J246" s="102" t="s">
        <v>29710</v>
      </c>
      <c r="K246" s="102" t="s">
        <v>264</v>
      </c>
      <c r="L246" s="102" t="s">
        <v>25606</v>
      </c>
      <c r="M246" s="102" t="s">
        <v>26662</v>
      </c>
      <c r="N246" s="102">
        <v>975.8</v>
      </c>
      <c r="S246" t="str">
        <f t="shared" si="16"/>
        <v>95-004-63-57</v>
      </c>
      <c r="T246" s="129" t="s">
        <v>28353</v>
      </c>
      <c r="U246" s="112">
        <v>14</v>
      </c>
    </row>
    <row r="247" spans="1:21" x14ac:dyDescent="0.2">
      <c r="A247" s="102" t="s">
        <v>29609</v>
      </c>
      <c r="B247" s="102" t="s">
        <v>29646</v>
      </c>
      <c r="C247" s="102" t="s">
        <v>31</v>
      </c>
      <c r="D247" s="102" t="s">
        <v>39</v>
      </c>
      <c r="E247" s="102" t="s">
        <v>29661</v>
      </c>
      <c r="F247" s="102" t="s">
        <v>91</v>
      </c>
      <c r="G247" s="102" t="s">
        <v>29661</v>
      </c>
      <c r="H247" s="102" t="s">
        <v>29691</v>
      </c>
      <c r="I247" s="102" t="s">
        <v>29692</v>
      </c>
      <c r="J247" s="102" t="s">
        <v>29710</v>
      </c>
      <c r="K247" s="102" t="s">
        <v>264</v>
      </c>
      <c r="L247" s="102" t="s">
        <v>25606</v>
      </c>
      <c r="M247" s="102" t="s">
        <v>26662</v>
      </c>
      <c r="N247" s="102">
        <v>975.8</v>
      </c>
      <c r="S247" t="str">
        <f t="shared" si="16"/>
        <v>95-004-63-58</v>
      </c>
      <c r="T247" s="129" t="s">
        <v>28395</v>
      </c>
      <c r="U247" s="112">
        <v>21</v>
      </c>
    </row>
    <row r="248" spans="1:21" x14ac:dyDescent="0.2">
      <c r="A248" s="102" t="s">
        <v>29609</v>
      </c>
      <c r="B248" s="102" t="s">
        <v>29646</v>
      </c>
      <c r="C248" s="102" t="s">
        <v>31</v>
      </c>
      <c r="D248" s="102" t="s">
        <v>39</v>
      </c>
      <c r="E248" s="102" t="s">
        <v>29661</v>
      </c>
      <c r="F248" s="102" t="s">
        <v>91</v>
      </c>
      <c r="G248" s="102" t="s">
        <v>29661</v>
      </c>
      <c r="H248" s="102" t="s">
        <v>29691</v>
      </c>
      <c r="I248" s="102" t="s">
        <v>29692</v>
      </c>
      <c r="J248" s="102" t="s">
        <v>29710</v>
      </c>
      <c r="K248" s="102" t="s">
        <v>264</v>
      </c>
      <c r="L248" s="102" t="s">
        <v>25606</v>
      </c>
      <c r="M248" s="102" t="s">
        <v>26662</v>
      </c>
      <c r="N248" s="102">
        <v>975.8</v>
      </c>
      <c r="S248" t="str">
        <f t="shared" si="16"/>
        <v>95-004-63-59</v>
      </c>
      <c r="T248" s="129" t="s">
        <v>28349</v>
      </c>
      <c r="U248" s="112">
        <v>28</v>
      </c>
    </row>
    <row r="249" spans="1:21" x14ac:dyDescent="0.2">
      <c r="A249" s="102" t="s">
        <v>29609</v>
      </c>
      <c r="B249" s="102" t="s">
        <v>29646</v>
      </c>
      <c r="C249" s="102" t="s">
        <v>31</v>
      </c>
      <c r="D249" s="102" t="s">
        <v>39</v>
      </c>
      <c r="E249" s="102" t="s">
        <v>29661</v>
      </c>
      <c r="F249" s="102" t="s">
        <v>91</v>
      </c>
      <c r="G249" s="102" t="s">
        <v>29661</v>
      </c>
      <c r="H249" s="102" t="s">
        <v>29691</v>
      </c>
      <c r="I249" s="102" t="s">
        <v>29692</v>
      </c>
      <c r="J249" s="102" t="s">
        <v>29710</v>
      </c>
      <c r="K249" s="102" t="s">
        <v>264</v>
      </c>
      <c r="L249" s="102" t="s">
        <v>25606</v>
      </c>
      <c r="M249" s="102" t="s">
        <v>26662</v>
      </c>
      <c r="N249" s="102">
        <v>975.8</v>
      </c>
      <c r="S249" t="str">
        <f t="shared" si="16"/>
        <v>95-004-63-60</v>
      </c>
      <c r="T249" s="129" t="s">
        <v>28272</v>
      </c>
      <c r="U249" s="112">
        <v>21</v>
      </c>
    </row>
    <row r="250" spans="1:21" x14ac:dyDescent="0.2">
      <c r="A250" s="102" t="s">
        <v>29609</v>
      </c>
      <c r="B250" s="102" t="s">
        <v>29646</v>
      </c>
      <c r="C250" s="102" t="s">
        <v>31</v>
      </c>
      <c r="D250" s="102" t="s">
        <v>39</v>
      </c>
      <c r="E250" s="102" t="s">
        <v>29661</v>
      </c>
      <c r="F250" s="102" t="s">
        <v>91</v>
      </c>
      <c r="G250" s="102" t="s">
        <v>29661</v>
      </c>
      <c r="H250" s="102" t="s">
        <v>29691</v>
      </c>
      <c r="I250" s="102" t="s">
        <v>29692</v>
      </c>
      <c r="J250" s="102" t="s">
        <v>29710</v>
      </c>
      <c r="K250" s="102" t="s">
        <v>264</v>
      </c>
      <c r="L250" s="102" t="s">
        <v>25606</v>
      </c>
      <c r="M250" s="102" t="s">
        <v>26662</v>
      </c>
      <c r="N250" s="102">
        <v>975.8</v>
      </c>
      <c r="S250" t="str">
        <f t="shared" si="16"/>
        <v>95-004-63-61</v>
      </c>
      <c r="T250" s="129" t="s">
        <v>28354</v>
      </c>
      <c r="U250" s="112">
        <v>1</v>
      </c>
    </row>
    <row r="251" spans="1:21" x14ac:dyDescent="0.2">
      <c r="A251" s="102" t="s">
        <v>29609</v>
      </c>
      <c r="B251" s="102" t="s">
        <v>29646</v>
      </c>
      <c r="C251" s="102" t="s">
        <v>31</v>
      </c>
      <c r="D251" s="102" t="s">
        <v>39</v>
      </c>
      <c r="E251" s="102" t="s">
        <v>29661</v>
      </c>
      <c r="F251" s="102" t="s">
        <v>91</v>
      </c>
      <c r="G251" s="102" t="s">
        <v>29661</v>
      </c>
      <c r="H251" s="102" t="s">
        <v>29691</v>
      </c>
      <c r="I251" s="102" t="s">
        <v>29692</v>
      </c>
      <c r="J251" s="102" t="s">
        <v>29710</v>
      </c>
      <c r="K251" s="102" t="s">
        <v>264</v>
      </c>
      <c r="L251" s="102" t="s">
        <v>25606</v>
      </c>
      <c r="M251" s="102" t="s">
        <v>26662</v>
      </c>
      <c r="N251" s="102">
        <v>975.8</v>
      </c>
      <c r="S251" t="str">
        <f t="shared" si="16"/>
        <v>95-004-63-62</v>
      </c>
      <c r="T251" s="129" t="s">
        <v>28236</v>
      </c>
      <c r="U251" s="112">
        <v>2</v>
      </c>
    </row>
    <row r="252" spans="1:21" x14ac:dyDescent="0.2">
      <c r="A252" s="102" t="s">
        <v>29610</v>
      </c>
      <c r="B252" s="102" t="s">
        <v>29650</v>
      </c>
      <c r="C252" s="102" t="s">
        <v>31</v>
      </c>
      <c r="D252" s="102" t="s">
        <v>39</v>
      </c>
      <c r="E252" s="102" t="s">
        <v>29661</v>
      </c>
      <c r="F252" s="102" t="s">
        <v>91</v>
      </c>
      <c r="G252" s="102" t="s">
        <v>29661</v>
      </c>
      <c r="H252" s="102" t="s">
        <v>29691</v>
      </c>
      <c r="I252" s="102" t="s">
        <v>29692</v>
      </c>
      <c r="J252" s="102" t="s">
        <v>29710</v>
      </c>
      <c r="K252" s="102" t="s">
        <v>264</v>
      </c>
      <c r="L252" s="102" t="s">
        <v>25606</v>
      </c>
      <c r="M252" s="102" t="s">
        <v>26662</v>
      </c>
      <c r="N252" s="102">
        <v>975.8</v>
      </c>
      <c r="S252" t="str">
        <f t="shared" si="16"/>
        <v>95-005-63-56</v>
      </c>
      <c r="T252" s="129" t="s">
        <v>28269</v>
      </c>
      <c r="U252" s="112">
        <v>10</v>
      </c>
    </row>
    <row r="253" spans="1:21" x14ac:dyDescent="0.2">
      <c r="A253" s="102" t="s">
        <v>29610</v>
      </c>
      <c r="B253" s="102" t="s">
        <v>29650</v>
      </c>
      <c r="C253" s="102" t="s">
        <v>31</v>
      </c>
      <c r="D253" s="102" t="s">
        <v>39</v>
      </c>
      <c r="E253" s="102" t="s">
        <v>29661</v>
      </c>
      <c r="F253" s="102" t="s">
        <v>91</v>
      </c>
      <c r="G253" s="102" t="s">
        <v>29661</v>
      </c>
      <c r="H253" s="102" t="s">
        <v>29691</v>
      </c>
      <c r="I253" s="102" t="s">
        <v>29692</v>
      </c>
      <c r="J253" s="102" t="s">
        <v>29710</v>
      </c>
      <c r="K253" s="102" t="s">
        <v>264</v>
      </c>
      <c r="L253" s="102" t="s">
        <v>25606</v>
      </c>
      <c r="M253" s="102" t="s">
        <v>26662</v>
      </c>
      <c r="N253" s="102">
        <v>975.8</v>
      </c>
      <c r="S253" t="str">
        <f t="shared" si="16"/>
        <v>95-005-63-57</v>
      </c>
      <c r="T253" s="129" t="s">
        <v>28353</v>
      </c>
      <c r="U253" s="112">
        <v>20</v>
      </c>
    </row>
    <row r="254" spans="1:21" x14ac:dyDescent="0.2">
      <c r="A254" s="102" t="s">
        <v>29610</v>
      </c>
      <c r="B254" s="102" t="s">
        <v>29650</v>
      </c>
      <c r="C254" s="102" t="s">
        <v>31</v>
      </c>
      <c r="D254" s="102" t="s">
        <v>39</v>
      </c>
      <c r="E254" s="102" t="s">
        <v>29661</v>
      </c>
      <c r="F254" s="102" t="s">
        <v>91</v>
      </c>
      <c r="G254" s="102" t="s">
        <v>29661</v>
      </c>
      <c r="H254" s="102" t="s">
        <v>29691</v>
      </c>
      <c r="I254" s="102" t="s">
        <v>29692</v>
      </c>
      <c r="J254" s="102" t="s">
        <v>29710</v>
      </c>
      <c r="K254" s="102" t="s">
        <v>264</v>
      </c>
      <c r="L254" s="102" t="s">
        <v>25606</v>
      </c>
      <c r="M254" s="102" t="s">
        <v>26662</v>
      </c>
      <c r="N254" s="102">
        <v>975.8</v>
      </c>
      <c r="S254" t="str">
        <f t="shared" si="16"/>
        <v>95-005-63-58</v>
      </c>
      <c r="T254" s="129" t="s">
        <v>28395</v>
      </c>
      <c r="U254" s="112">
        <v>30</v>
      </c>
    </row>
    <row r="255" spans="1:21" x14ac:dyDescent="0.2">
      <c r="A255" s="102" t="s">
        <v>29610</v>
      </c>
      <c r="B255" s="102" t="s">
        <v>29650</v>
      </c>
      <c r="C255" s="102" t="s">
        <v>31</v>
      </c>
      <c r="D255" s="102" t="s">
        <v>39</v>
      </c>
      <c r="E255" s="102" t="s">
        <v>29661</v>
      </c>
      <c r="F255" s="102" t="s">
        <v>91</v>
      </c>
      <c r="G255" s="102" t="s">
        <v>29661</v>
      </c>
      <c r="H255" s="102" t="s">
        <v>29691</v>
      </c>
      <c r="I255" s="102" t="s">
        <v>29692</v>
      </c>
      <c r="J255" s="102" t="s">
        <v>29710</v>
      </c>
      <c r="K255" s="102" t="s">
        <v>264</v>
      </c>
      <c r="L255" s="102" t="s">
        <v>25606</v>
      </c>
      <c r="M255" s="102" t="s">
        <v>26662</v>
      </c>
      <c r="N255" s="102">
        <v>975.8</v>
      </c>
      <c r="S255" t="str">
        <f t="shared" si="16"/>
        <v>95-005-63-59</v>
      </c>
      <c r="T255" s="129" t="s">
        <v>28349</v>
      </c>
      <c r="U255" s="112">
        <v>40</v>
      </c>
    </row>
    <row r="256" spans="1:21" x14ac:dyDescent="0.2">
      <c r="A256" s="102" t="s">
        <v>29610</v>
      </c>
      <c r="B256" s="102" t="s">
        <v>29650</v>
      </c>
      <c r="C256" s="102" t="s">
        <v>31</v>
      </c>
      <c r="D256" s="102" t="s">
        <v>39</v>
      </c>
      <c r="E256" s="102" t="s">
        <v>29661</v>
      </c>
      <c r="F256" s="102" t="s">
        <v>91</v>
      </c>
      <c r="G256" s="102" t="s">
        <v>29661</v>
      </c>
      <c r="H256" s="102" t="s">
        <v>29691</v>
      </c>
      <c r="I256" s="102" t="s">
        <v>29692</v>
      </c>
      <c r="J256" s="102" t="s">
        <v>29710</v>
      </c>
      <c r="K256" s="102" t="s">
        <v>264</v>
      </c>
      <c r="L256" s="102" t="s">
        <v>25606</v>
      </c>
      <c r="M256" s="102" t="s">
        <v>26662</v>
      </c>
      <c r="N256" s="102">
        <v>975.8</v>
      </c>
      <c r="S256" t="str">
        <f t="shared" si="16"/>
        <v>95-005-63-60</v>
      </c>
      <c r="T256" s="129" t="s">
        <v>28272</v>
      </c>
      <c r="U256" s="112">
        <v>30</v>
      </c>
    </row>
    <row r="257" spans="1:21" x14ac:dyDescent="0.2">
      <c r="A257" s="102" t="s">
        <v>29610</v>
      </c>
      <c r="B257" s="102" t="s">
        <v>29650</v>
      </c>
      <c r="C257" s="102" t="s">
        <v>31</v>
      </c>
      <c r="D257" s="102" t="s">
        <v>39</v>
      </c>
      <c r="E257" s="102" t="s">
        <v>29661</v>
      </c>
      <c r="F257" s="102" t="s">
        <v>91</v>
      </c>
      <c r="G257" s="102" t="s">
        <v>29661</v>
      </c>
      <c r="H257" s="102" t="s">
        <v>29691</v>
      </c>
      <c r="I257" s="102" t="s">
        <v>29692</v>
      </c>
      <c r="J257" s="102" t="s">
        <v>29710</v>
      </c>
      <c r="K257" s="102" t="s">
        <v>264</v>
      </c>
      <c r="L257" s="102" t="s">
        <v>25606</v>
      </c>
      <c r="M257" s="102" t="s">
        <v>26662</v>
      </c>
      <c r="N257" s="102">
        <v>975.8</v>
      </c>
      <c r="S257" t="str">
        <f t="shared" si="16"/>
        <v>95-005-63-61</v>
      </c>
      <c r="T257" s="129" t="s">
        <v>28354</v>
      </c>
      <c r="U257" s="112">
        <v>16</v>
      </c>
    </row>
    <row r="258" spans="1:21" x14ac:dyDescent="0.2">
      <c r="A258" s="102" t="s">
        <v>29610</v>
      </c>
      <c r="B258" s="102" t="s">
        <v>29650</v>
      </c>
      <c r="C258" s="102" t="s">
        <v>31</v>
      </c>
      <c r="D258" s="102" t="s">
        <v>39</v>
      </c>
      <c r="E258" s="102" t="s">
        <v>29661</v>
      </c>
      <c r="F258" s="102" t="s">
        <v>91</v>
      </c>
      <c r="G258" s="102" t="s">
        <v>29661</v>
      </c>
      <c r="H258" s="102" t="s">
        <v>29691</v>
      </c>
      <c r="I258" s="102" t="s">
        <v>29692</v>
      </c>
      <c r="J258" s="102" t="s">
        <v>29710</v>
      </c>
      <c r="K258" s="102" t="s">
        <v>264</v>
      </c>
      <c r="L258" s="102" t="s">
        <v>25606</v>
      </c>
      <c r="M258" s="102" t="s">
        <v>26662</v>
      </c>
      <c r="N258" s="102">
        <v>975.8</v>
      </c>
      <c r="S258" t="str">
        <f t="shared" si="16"/>
        <v>95-005-63-62</v>
      </c>
      <c r="T258" s="129" t="s">
        <v>28236</v>
      </c>
      <c r="U258" s="112">
        <v>10</v>
      </c>
    </row>
    <row r="259" spans="1:21" x14ac:dyDescent="0.2">
      <c r="A259" s="102" t="s">
        <v>29611</v>
      </c>
      <c r="B259" s="102" t="s">
        <v>29647</v>
      </c>
      <c r="C259" s="102" t="s">
        <v>31</v>
      </c>
      <c r="D259" s="102" t="s">
        <v>25558</v>
      </c>
      <c r="E259" s="102" t="s">
        <v>29661</v>
      </c>
      <c r="F259" s="102" t="s">
        <v>91</v>
      </c>
      <c r="G259" s="102" t="s">
        <v>29661</v>
      </c>
      <c r="H259" s="102" t="s">
        <v>29691</v>
      </c>
      <c r="I259" s="102" t="s">
        <v>29692</v>
      </c>
      <c r="J259" s="102" t="s">
        <v>29710</v>
      </c>
      <c r="K259" s="102" t="s">
        <v>264</v>
      </c>
      <c r="L259" s="102" t="s">
        <v>25606</v>
      </c>
      <c r="M259" s="102" t="s">
        <v>26662</v>
      </c>
      <c r="N259" s="102">
        <v>975.8</v>
      </c>
      <c r="S259" t="str">
        <f t="shared" si="16"/>
        <v>95-010-63-56</v>
      </c>
      <c r="T259" s="129" t="s">
        <v>28269</v>
      </c>
      <c r="U259" s="112">
        <v>4</v>
      </c>
    </row>
    <row r="260" spans="1:21" x14ac:dyDescent="0.2">
      <c r="A260" s="102" t="s">
        <v>29611</v>
      </c>
      <c r="B260" s="102" t="s">
        <v>29647</v>
      </c>
      <c r="C260" s="102" t="s">
        <v>31</v>
      </c>
      <c r="D260" s="102" t="s">
        <v>25558</v>
      </c>
      <c r="E260" s="102" t="s">
        <v>29661</v>
      </c>
      <c r="F260" s="102" t="s">
        <v>91</v>
      </c>
      <c r="G260" s="102" t="s">
        <v>29661</v>
      </c>
      <c r="H260" s="102" t="s">
        <v>29691</v>
      </c>
      <c r="I260" s="102" t="s">
        <v>29692</v>
      </c>
      <c r="J260" s="102" t="s">
        <v>29710</v>
      </c>
      <c r="K260" s="102" t="s">
        <v>264</v>
      </c>
      <c r="L260" s="102" t="s">
        <v>25606</v>
      </c>
      <c r="M260" s="102" t="s">
        <v>26662</v>
      </c>
      <c r="N260" s="102">
        <v>975.8</v>
      </c>
      <c r="S260" t="str">
        <f t="shared" si="16"/>
        <v>95-010-63-57</v>
      </c>
      <c r="T260" s="129" t="s">
        <v>28353</v>
      </c>
      <c r="U260" s="112">
        <v>8</v>
      </c>
    </row>
    <row r="261" spans="1:21" x14ac:dyDescent="0.2">
      <c r="A261" s="102" t="s">
        <v>29611</v>
      </c>
      <c r="B261" s="102" t="s">
        <v>29647</v>
      </c>
      <c r="C261" s="102" t="s">
        <v>31</v>
      </c>
      <c r="D261" s="102" t="s">
        <v>25558</v>
      </c>
      <c r="E261" s="102" t="s">
        <v>29661</v>
      </c>
      <c r="F261" s="102" t="s">
        <v>91</v>
      </c>
      <c r="G261" s="102" t="s">
        <v>29661</v>
      </c>
      <c r="H261" s="102" t="s">
        <v>29691</v>
      </c>
      <c r="I261" s="102" t="s">
        <v>29692</v>
      </c>
      <c r="J261" s="102" t="s">
        <v>29710</v>
      </c>
      <c r="K261" s="102" t="s">
        <v>264</v>
      </c>
      <c r="L261" s="102" t="s">
        <v>25606</v>
      </c>
      <c r="M261" s="102" t="s">
        <v>26662</v>
      </c>
      <c r="N261" s="102">
        <v>975.8</v>
      </c>
      <c r="S261" t="str">
        <f t="shared" si="16"/>
        <v>95-010-63-58</v>
      </c>
      <c r="T261" s="129" t="s">
        <v>28395</v>
      </c>
      <c r="U261" s="112">
        <v>12</v>
      </c>
    </row>
    <row r="262" spans="1:21" x14ac:dyDescent="0.2">
      <c r="A262" s="102" t="s">
        <v>29611</v>
      </c>
      <c r="B262" s="102" t="s">
        <v>29647</v>
      </c>
      <c r="C262" s="102" t="s">
        <v>31</v>
      </c>
      <c r="D262" s="102" t="s">
        <v>25558</v>
      </c>
      <c r="E262" s="102" t="s">
        <v>29661</v>
      </c>
      <c r="F262" s="102" t="s">
        <v>91</v>
      </c>
      <c r="G262" s="102" t="s">
        <v>29661</v>
      </c>
      <c r="H262" s="102" t="s">
        <v>29691</v>
      </c>
      <c r="I262" s="102" t="s">
        <v>29692</v>
      </c>
      <c r="J262" s="102" t="s">
        <v>29710</v>
      </c>
      <c r="K262" s="102" t="s">
        <v>264</v>
      </c>
      <c r="L262" s="102" t="s">
        <v>25606</v>
      </c>
      <c r="M262" s="102" t="s">
        <v>26662</v>
      </c>
      <c r="N262" s="102">
        <v>975.8</v>
      </c>
      <c r="S262" t="str">
        <f t="shared" si="16"/>
        <v>95-010-63-59</v>
      </c>
      <c r="T262" s="129" t="s">
        <v>28349</v>
      </c>
      <c r="U262" s="112">
        <v>16</v>
      </c>
    </row>
    <row r="263" spans="1:21" x14ac:dyDescent="0.2">
      <c r="A263" s="102" t="s">
        <v>29611</v>
      </c>
      <c r="B263" s="102" t="s">
        <v>29647</v>
      </c>
      <c r="C263" s="102" t="s">
        <v>31</v>
      </c>
      <c r="D263" s="102" t="s">
        <v>25558</v>
      </c>
      <c r="E263" s="102" t="s">
        <v>29661</v>
      </c>
      <c r="F263" s="102" t="s">
        <v>91</v>
      </c>
      <c r="G263" s="102" t="s">
        <v>29661</v>
      </c>
      <c r="H263" s="102" t="s">
        <v>29691</v>
      </c>
      <c r="I263" s="102" t="s">
        <v>29692</v>
      </c>
      <c r="J263" s="102" t="s">
        <v>29710</v>
      </c>
      <c r="K263" s="102" t="s">
        <v>264</v>
      </c>
      <c r="L263" s="102" t="s">
        <v>25606</v>
      </c>
      <c r="M263" s="102" t="s">
        <v>26662</v>
      </c>
      <c r="N263" s="102">
        <v>975.8</v>
      </c>
      <c r="S263" t="str">
        <f t="shared" ref="S263:S277" si="17">A263&amp;"-"&amp;T263</f>
        <v>95-010-63-60</v>
      </c>
      <c r="T263" s="129" t="s">
        <v>28272</v>
      </c>
      <c r="U263" s="112">
        <v>12</v>
      </c>
    </row>
    <row r="264" spans="1:21" x14ac:dyDescent="0.2">
      <c r="A264" s="102" t="s">
        <v>29611</v>
      </c>
      <c r="B264" s="102" t="s">
        <v>29647</v>
      </c>
      <c r="C264" s="102" t="s">
        <v>31</v>
      </c>
      <c r="D264" s="102" t="s">
        <v>25558</v>
      </c>
      <c r="E264" s="102" t="s">
        <v>29661</v>
      </c>
      <c r="F264" s="102" t="s">
        <v>91</v>
      </c>
      <c r="G264" s="102" t="s">
        <v>29661</v>
      </c>
      <c r="H264" s="102" t="s">
        <v>29691</v>
      </c>
      <c r="I264" s="102" t="s">
        <v>29692</v>
      </c>
      <c r="J264" s="102" t="s">
        <v>29710</v>
      </c>
      <c r="K264" s="102" t="s">
        <v>264</v>
      </c>
      <c r="L264" s="102" t="s">
        <v>25606</v>
      </c>
      <c r="M264" s="102" t="s">
        <v>26662</v>
      </c>
      <c r="N264" s="102">
        <v>975.8</v>
      </c>
      <c r="S264" t="str">
        <f t="shared" si="17"/>
        <v>95-010-63-61</v>
      </c>
      <c r="T264" s="129" t="s">
        <v>28354</v>
      </c>
      <c r="U264" s="112">
        <v>8</v>
      </c>
    </row>
    <row r="265" spans="1:21" x14ac:dyDescent="0.2">
      <c r="A265" s="102" t="s">
        <v>29611</v>
      </c>
      <c r="B265" s="102" t="s">
        <v>29647</v>
      </c>
      <c r="C265" s="102" t="s">
        <v>31</v>
      </c>
      <c r="D265" s="102" t="s">
        <v>25558</v>
      </c>
      <c r="E265" s="102" t="s">
        <v>29661</v>
      </c>
      <c r="F265" s="102" t="s">
        <v>91</v>
      </c>
      <c r="G265" s="102" t="s">
        <v>29661</v>
      </c>
      <c r="H265" s="102" t="s">
        <v>29691</v>
      </c>
      <c r="I265" s="102" t="s">
        <v>29692</v>
      </c>
      <c r="J265" s="102" t="s">
        <v>29710</v>
      </c>
      <c r="K265" s="102" t="s">
        <v>264</v>
      </c>
      <c r="L265" s="102" t="s">
        <v>25606</v>
      </c>
      <c r="M265" s="102" t="s">
        <v>26662</v>
      </c>
      <c r="N265" s="102">
        <v>975.8</v>
      </c>
      <c r="S265" t="str">
        <f t="shared" si="17"/>
        <v>95-010-63-62</v>
      </c>
      <c r="T265" s="129" t="s">
        <v>28236</v>
      </c>
      <c r="U265" s="112">
        <v>4</v>
      </c>
    </row>
    <row r="266" spans="1:21" x14ac:dyDescent="0.2">
      <c r="A266" s="102" t="s">
        <v>29612</v>
      </c>
      <c r="B266" s="102" t="s">
        <v>29654</v>
      </c>
      <c r="C266" s="102" t="s">
        <v>31</v>
      </c>
      <c r="D266" s="102" t="s">
        <v>39</v>
      </c>
      <c r="E266" s="102" t="s">
        <v>29661</v>
      </c>
      <c r="F266" s="102" t="s">
        <v>91</v>
      </c>
      <c r="G266" s="102" t="s">
        <v>29661</v>
      </c>
      <c r="H266" s="102" t="s">
        <v>29693</v>
      </c>
      <c r="I266" s="102" t="s">
        <v>29694</v>
      </c>
      <c r="J266" s="102" t="s">
        <v>29710</v>
      </c>
      <c r="K266" s="102" t="s">
        <v>264</v>
      </c>
      <c r="L266" s="102" t="s">
        <v>25606</v>
      </c>
      <c r="M266" s="102" t="s">
        <v>26662</v>
      </c>
      <c r="N266" s="102">
        <v>975.8</v>
      </c>
      <c r="S266" t="str">
        <f t="shared" si="17"/>
        <v>95-002-64-57</v>
      </c>
      <c r="T266" s="129" t="s">
        <v>28353</v>
      </c>
      <c r="U266" s="112">
        <v>2</v>
      </c>
    </row>
    <row r="267" spans="1:21" x14ac:dyDescent="0.2">
      <c r="A267" s="102" t="s">
        <v>29612</v>
      </c>
      <c r="B267" s="102" t="s">
        <v>29654</v>
      </c>
      <c r="C267" s="102" t="s">
        <v>31</v>
      </c>
      <c r="D267" s="102" t="s">
        <v>39</v>
      </c>
      <c r="E267" s="102" t="s">
        <v>29661</v>
      </c>
      <c r="F267" s="102" t="s">
        <v>91</v>
      </c>
      <c r="G267" s="102" t="s">
        <v>29661</v>
      </c>
      <c r="H267" s="102" t="s">
        <v>29693</v>
      </c>
      <c r="I267" s="102" t="s">
        <v>29694</v>
      </c>
      <c r="J267" s="102" t="s">
        <v>29710</v>
      </c>
      <c r="K267" s="102" t="s">
        <v>264</v>
      </c>
      <c r="L267" s="102" t="s">
        <v>25606</v>
      </c>
      <c r="M267" s="102" t="s">
        <v>26662</v>
      </c>
      <c r="N267" s="102">
        <v>975.8</v>
      </c>
      <c r="S267" t="str">
        <f t="shared" si="17"/>
        <v>95-002-64-58</v>
      </c>
      <c r="T267" s="129" t="s">
        <v>28395</v>
      </c>
      <c r="U267" s="112">
        <v>2</v>
      </c>
    </row>
    <row r="268" spans="1:21" x14ac:dyDescent="0.2">
      <c r="A268" s="102" t="s">
        <v>29612</v>
      </c>
      <c r="B268" s="102" t="s">
        <v>29654</v>
      </c>
      <c r="C268" s="102" t="s">
        <v>31</v>
      </c>
      <c r="D268" s="102" t="s">
        <v>39</v>
      </c>
      <c r="E268" s="102" t="s">
        <v>29661</v>
      </c>
      <c r="F268" s="102" t="s">
        <v>91</v>
      </c>
      <c r="G268" s="102" t="s">
        <v>29661</v>
      </c>
      <c r="H268" s="102" t="s">
        <v>29693</v>
      </c>
      <c r="I268" s="102" t="s">
        <v>29694</v>
      </c>
      <c r="J268" s="102" t="s">
        <v>29710</v>
      </c>
      <c r="K268" s="102" t="s">
        <v>264</v>
      </c>
      <c r="L268" s="102" t="s">
        <v>25606</v>
      </c>
      <c r="M268" s="102" t="s">
        <v>26662</v>
      </c>
      <c r="N268" s="102">
        <v>975.8</v>
      </c>
      <c r="S268" t="str">
        <f t="shared" si="17"/>
        <v>95-002-64-59</v>
      </c>
      <c r="T268" s="129" t="s">
        <v>28349</v>
      </c>
      <c r="U268" s="112">
        <v>2</v>
      </c>
    </row>
    <row r="269" spans="1:21" x14ac:dyDescent="0.2">
      <c r="A269" s="102" t="s">
        <v>29612</v>
      </c>
      <c r="B269" s="102" t="s">
        <v>29654</v>
      </c>
      <c r="C269" s="102" t="s">
        <v>31</v>
      </c>
      <c r="D269" s="102" t="s">
        <v>39</v>
      </c>
      <c r="E269" s="102" t="s">
        <v>29661</v>
      </c>
      <c r="F269" s="102" t="s">
        <v>91</v>
      </c>
      <c r="G269" s="102" t="s">
        <v>29661</v>
      </c>
      <c r="H269" s="102" t="s">
        <v>29693</v>
      </c>
      <c r="I269" s="102" t="s">
        <v>29694</v>
      </c>
      <c r="J269" s="102" t="s">
        <v>29710</v>
      </c>
      <c r="K269" s="102" t="s">
        <v>264</v>
      </c>
      <c r="L269" s="102" t="s">
        <v>25606</v>
      </c>
      <c r="M269" s="102" t="s">
        <v>26662</v>
      </c>
      <c r="N269" s="102">
        <v>975.8</v>
      </c>
      <c r="S269" t="str">
        <f t="shared" si="17"/>
        <v>95-002-64-60</v>
      </c>
      <c r="T269" s="129" t="s">
        <v>28272</v>
      </c>
      <c r="U269" s="112">
        <v>2</v>
      </c>
    </row>
    <row r="270" spans="1:21" x14ac:dyDescent="0.2">
      <c r="A270" s="102" t="s">
        <v>29612</v>
      </c>
      <c r="B270" s="102" t="s">
        <v>29654</v>
      </c>
      <c r="C270" s="102" t="s">
        <v>31</v>
      </c>
      <c r="D270" s="102" t="s">
        <v>39</v>
      </c>
      <c r="E270" s="102" t="s">
        <v>29661</v>
      </c>
      <c r="F270" s="102" t="s">
        <v>91</v>
      </c>
      <c r="G270" s="102" t="s">
        <v>29661</v>
      </c>
      <c r="H270" s="102" t="s">
        <v>29693</v>
      </c>
      <c r="I270" s="102" t="s">
        <v>29694</v>
      </c>
      <c r="J270" s="102" t="s">
        <v>29710</v>
      </c>
      <c r="K270" s="102" t="s">
        <v>264</v>
      </c>
      <c r="L270" s="102" t="s">
        <v>25606</v>
      </c>
      <c r="M270" s="102" t="s">
        <v>26662</v>
      </c>
      <c r="N270" s="102">
        <v>975.8</v>
      </c>
      <c r="S270" t="str">
        <f t="shared" si="17"/>
        <v>95-002-64-61</v>
      </c>
      <c r="T270" s="129" t="s">
        <v>28354</v>
      </c>
      <c r="U270" s="112">
        <v>2</v>
      </c>
    </row>
    <row r="271" spans="1:21" x14ac:dyDescent="0.2">
      <c r="A271" s="102" t="s">
        <v>29612</v>
      </c>
      <c r="B271" s="102" t="s">
        <v>29654</v>
      </c>
      <c r="C271" s="102" t="s">
        <v>31</v>
      </c>
      <c r="D271" s="102" t="s">
        <v>39</v>
      </c>
      <c r="E271" s="102" t="s">
        <v>29661</v>
      </c>
      <c r="F271" s="102" t="s">
        <v>91</v>
      </c>
      <c r="G271" s="102" t="s">
        <v>29661</v>
      </c>
      <c r="H271" s="102" t="s">
        <v>29693</v>
      </c>
      <c r="I271" s="102" t="s">
        <v>29694</v>
      </c>
      <c r="J271" s="102" t="s">
        <v>29710</v>
      </c>
      <c r="K271" s="102" t="s">
        <v>264</v>
      </c>
      <c r="L271" s="102" t="s">
        <v>25606</v>
      </c>
      <c r="M271" s="102" t="s">
        <v>26662</v>
      </c>
      <c r="N271" s="102">
        <v>975.8</v>
      </c>
      <c r="S271" t="str">
        <f t="shared" si="17"/>
        <v>95-002-64-62</v>
      </c>
      <c r="T271" s="129" t="s">
        <v>28236</v>
      </c>
      <c r="U271" s="112">
        <v>2</v>
      </c>
    </row>
    <row r="272" spans="1:21" x14ac:dyDescent="0.2">
      <c r="A272" s="102" t="s">
        <v>29613</v>
      </c>
      <c r="B272" s="102" t="s">
        <v>29657</v>
      </c>
      <c r="C272" s="102" t="s">
        <v>198</v>
      </c>
      <c r="D272" s="102" t="s">
        <v>199</v>
      </c>
      <c r="E272" s="102" t="s">
        <v>29661</v>
      </c>
      <c r="F272" s="102" t="s">
        <v>91</v>
      </c>
      <c r="G272" s="102" t="s">
        <v>29661</v>
      </c>
      <c r="H272" s="102" t="s">
        <v>29693</v>
      </c>
      <c r="I272" s="102" t="s">
        <v>29694</v>
      </c>
      <c r="J272" s="102" t="s">
        <v>29710</v>
      </c>
      <c r="K272" s="102" t="s">
        <v>264</v>
      </c>
      <c r="L272" s="102" t="s">
        <v>25606</v>
      </c>
      <c r="M272" s="102" t="s">
        <v>26662</v>
      </c>
      <c r="N272" s="102">
        <v>975.8</v>
      </c>
      <c r="S272" t="str">
        <f t="shared" si="17"/>
        <v>95-016-64-56</v>
      </c>
      <c r="T272" s="129" t="s">
        <v>28269</v>
      </c>
      <c r="U272" s="112">
        <v>1</v>
      </c>
    </row>
    <row r="273" spans="1:21" x14ac:dyDescent="0.2">
      <c r="A273" s="102" t="s">
        <v>29613</v>
      </c>
      <c r="B273" s="102" t="s">
        <v>29657</v>
      </c>
      <c r="C273" s="102" t="s">
        <v>198</v>
      </c>
      <c r="D273" s="102" t="s">
        <v>199</v>
      </c>
      <c r="E273" s="102" t="s">
        <v>29661</v>
      </c>
      <c r="F273" s="102" t="s">
        <v>91</v>
      </c>
      <c r="G273" s="102" t="s">
        <v>29661</v>
      </c>
      <c r="H273" s="102" t="s">
        <v>29693</v>
      </c>
      <c r="I273" s="102" t="s">
        <v>29694</v>
      </c>
      <c r="J273" s="102" t="s">
        <v>29710</v>
      </c>
      <c r="K273" s="102" t="s">
        <v>264</v>
      </c>
      <c r="L273" s="102" t="s">
        <v>25606</v>
      </c>
      <c r="M273" s="102" t="s">
        <v>26662</v>
      </c>
      <c r="N273" s="102">
        <v>975.8</v>
      </c>
      <c r="S273" t="str">
        <f t="shared" si="17"/>
        <v>95-016-64-57</v>
      </c>
      <c r="T273" s="129" t="s">
        <v>28353</v>
      </c>
      <c r="U273" s="112">
        <v>1</v>
      </c>
    </row>
    <row r="274" spans="1:21" x14ac:dyDescent="0.2">
      <c r="A274" s="102" t="s">
        <v>29613</v>
      </c>
      <c r="B274" s="102" t="s">
        <v>29657</v>
      </c>
      <c r="C274" s="102" t="s">
        <v>198</v>
      </c>
      <c r="D274" s="102" t="s">
        <v>199</v>
      </c>
      <c r="E274" s="102" t="s">
        <v>29661</v>
      </c>
      <c r="F274" s="102" t="s">
        <v>91</v>
      </c>
      <c r="G274" s="102" t="s">
        <v>29661</v>
      </c>
      <c r="H274" s="102" t="s">
        <v>29693</v>
      </c>
      <c r="I274" s="102" t="s">
        <v>29694</v>
      </c>
      <c r="J274" s="102" t="s">
        <v>29710</v>
      </c>
      <c r="K274" s="102" t="s">
        <v>264</v>
      </c>
      <c r="L274" s="102" t="s">
        <v>25606</v>
      </c>
      <c r="M274" s="102" t="s">
        <v>26662</v>
      </c>
      <c r="N274" s="102">
        <v>975.8</v>
      </c>
      <c r="S274" t="str">
        <f t="shared" si="17"/>
        <v>95-016-64-58</v>
      </c>
      <c r="T274" s="129" t="s">
        <v>28395</v>
      </c>
      <c r="U274" s="112">
        <v>2</v>
      </c>
    </row>
    <row r="275" spans="1:21" x14ac:dyDescent="0.2">
      <c r="A275" s="102" t="s">
        <v>29613</v>
      </c>
      <c r="B275" s="102" t="s">
        <v>29657</v>
      </c>
      <c r="C275" s="102" t="s">
        <v>198</v>
      </c>
      <c r="D275" s="102" t="s">
        <v>199</v>
      </c>
      <c r="E275" s="102" t="s">
        <v>29661</v>
      </c>
      <c r="F275" s="102" t="s">
        <v>91</v>
      </c>
      <c r="G275" s="102" t="s">
        <v>29661</v>
      </c>
      <c r="H275" s="102" t="s">
        <v>29693</v>
      </c>
      <c r="I275" s="102" t="s">
        <v>29694</v>
      </c>
      <c r="J275" s="102" t="s">
        <v>29710</v>
      </c>
      <c r="K275" s="102" t="s">
        <v>264</v>
      </c>
      <c r="L275" s="102" t="s">
        <v>25606</v>
      </c>
      <c r="M275" s="102" t="s">
        <v>26662</v>
      </c>
      <c r="N275" s="102">
        <v>975.8</v>
      </c>
      <c r="S275" t="str">
        <f t="shared" si="17"/>
        <v>95-016-64-59</v>
      </c>
      <c r="T275" s="129" t="s">
        <v>28349</v>
      </c>
      <c r="U275" s="112">
        <v>4</v>
      </c>
    </row>
    <row r="276" spans="1:21" x14ac:dyDescent="0.2">
      <c r="A276" s="102" t="s">
        <v>29613</v>
      </c>
      <c r="B276" s="102" t="s">
        <v>29657</v>
      </c>
      <c r="C276" s="102" t="s">
        <v>198</v>
      </c>
      <c r="D276" s="102" t="s">
        <v>199</v>
      </c>
      <c r="E276" s="102" t="s">
        <v>29661</v>
      </c>
      <c r="F276" s="102" t="s">
        <v>91</v>
      </c>
      <c r="G276" s="102" t="s">
        <v>29661</v>
      </c>
      <c r="H276" s="102" t="s">
        <v>29693</v>
      </c>
      <c r="I276" s="102" t="s">
        <v>29694</v>
      </c>
      <c r="J276" s="102" t="s">
        <v>29710</v>
      </c>
      <c r="K276" s="102" t="s">
        <v>264</v>
      </c>
      <c r="L276" s="102" t="s">
        <v>25606</v>
      </c>
      <c r="M276" s="102" t="s">
        <v>26662</v>
      </c>
      <c r="N276" s="102">
        <v>975.8</v>
      </c>
      <c r="S276" t="str">
        <f t="shared" si="17"/>
        <v>95-016-64-60</v>
      </c>
      <c r="T276" s="129" t="s">
        <v>28272</v>
      </c>
      <c r="U276" s="112">
        <v>1</v>
      </c>
    </row>
    <row r="277" spans="1:21" x14ac:dyDescent="0.2">
      <c r="A277" s="102" t="s">
        <v>29613</v>
      </c>
      <c r="B277" s="102" t="s">
        <v>29657</v>
      </c>
      <c r="C277" s="102" t="s">
        <v>198</v>
      </c>
      <c r="D277" s="102" t="s">
        <v>199</v>
      </c>
      <c r="E277" s="102" t="s">
        <v>29661</v>
      </c>
      <c r="F277" s="102" t="s">
        <v>91</v>
      </c>
      <c r="G277" s="102" t="s">
        <v>29661</v>
      </c>
      <c r="H277" s="102" t="s">
        <v>29693</v>
      </c>
      <c r="I277" s="102" t="s">
        <v>29694</v>
      </c>
      <c r="J277" s="102" t="s">
        <v>29710</v>
      </c>
      <c r="K277" s="102" t="s">
        <v>264</v>
      </c>
      <c r="L277" s="102" t="s">
        <v>25606</v>
      </c>
      <c r="M277" s="102" t="s">
        <v>26662</v>
      </c>
      <c r="N277" s="102">
        <v>975.8</v>
      </c>
      <c r="S277" t="str">
        <f t="shared" si="17"/>
        <v>95-016-64-61</v>
      </c>
      <c r="T277" s="129" t="s">
        <v>28354</v>
      </c>
      <c r="U277" s="112">
        <v>1</v>
      </c>
    </row>
    <row r="278" spans="1:21" x14ac:dyDescent="0.2">
      <c r="A278" s="102" t="s">
        <v>29614</v>
      </c>
      <c r="B278" s="102" t="s">
        <v>29656</v>
      </c>
      <c r="C278" s="102" t="s">
        <v>31</v>
      </c>
      <c r="D278" s="102" t="s">
        <v>25555</v>
      </c>
      <c r="E278" s="102" t="s">
        <v>29661</v>
      </c>
      <c r="F278" s="102" t="s">
        <v>91</v>
      </c>
      <c r="G278" s="102" t="s">
        <v>29661</v>
      </c>
      <c r="H278" s="102" t="s">
        <v>29695</v>
      </c>
      <c r="I278" s="102" t="s">
        <v>1</v>
      </c>
      <c r="J278" s="102" t="s">
        <v>29710</v>
      </c>
      <c r="K278" s="102" t="s">
        <v>264</v>
      </c>
      <c r="L278" s="102" t="s">
        <v>25606</v>
      </c>
      <c r="M278" s="102" t="s">
        <v>26662</v>
      </c>
      <c r="N278" s="102">
        <v>975.8</v>
      </c>
      <c r="S278" t="str">
        <f t="shared" ref="S278:S295" si="18">A278&amp;"-"&amp;T278</f>
        <v>95-014-09-57</v>
      </c>
      <c r="T278" s="129" t="s">
        <v>28353</v>
      </c>
      <c r="U278" s="112">
        <v>1</v>
      </c>
    </row>
    <row r="279" spans="1:21" x14ac:dyDescent="0.2">
      <c r="A279" s="102" t="s">
        <v>29614</v>
      </c>
      <c r="B279" s="102" t="s">
        <v>29656</v>
      </c>
      <c r="C279" s="102" t="s">
        <v>31</v>
      </c>
      <c r="D279" s="102" t="s">
        <v>25555</v>
      </c>
      <c r="E279" s="102" t="s">
        <v>29661</v>
      </c>
      <c r="F279" s="102" t="s">
        <v>91</v>
      </c>
      <c r="G279" s="102" t="s">
        <v>29661</v>
      </c>
      <c r="H279" s="102" t="s">
        <v>29695</v>
      </c>
      <c r="I279" s="102" t="s">
        <v>1</v>
      </c>
      <c r="J279" s="102" t="s">
        <v>29710</v>
      </c>
      <c r="K279" s="102" t="s">
        <v>264</v>
      </c>
      <c r="L279" s="102" t="s">
        <v>25606</v>
      </c>
      <c r="M279" s="102" t="s">
        <v>26662</v>
      </c>
      <c r="N279" s="102">
        <v>975.8</v>
      </c>
      <c r="S279" t="str">
        <f t="shared" si="18"/>
        <v>95-014-09-58</v>
      </c>
      <c r="T279" s="129" t="s">
        <v>28395</v>
      </c>
      <c r="U279" s="112">
        <v>2</v>
      </c>
    </row>
    <row r="280" spans="1:21" x14ac:dyDescent="0.2">
      <c r="A280" s="102" t="s">
        <v>29614</v>
      </c>
      <c r="B280" s="102" t="s">
        <v>29656</v>
      </c>
      <c r="C280" s="102" t="s">
        <v>31</v>
      </c>
      <c r="D280" s="102" t="s">
        <v>25555</v>
      </c>
      <c r="E280" s="102" t="s">
        <v>29661</v>
      </c>
      <c r="F280" s="102" t="s">
        <v>91</v>
      </c>
      <c r="G280" s="102" t="s">
        <v>29661</v>
      </c>
      <c r="H280" s="102" t="s">
        <v>29695</v>
      </c>
      <c r="I280" s="102" t="s">
        <v>1</v>
      </c>
      <c r="J280" s="102" t="s">
        <v>29710</v>
      </c>
      <c r="K280" s="102" t="s">
        <v>264</v>
      </c>
      <c r="L280" s="102" t="s">
        <v>25606</v>
      </c>
      <c r="M280" s="102" t="s">
        <v>26662</v>
      </c>
      <c r="N280" s="102">
        <v>975.8</v>
      </c>
      <c r="S280" t="str">
        <f t="shared" si="18"/>
        <v>95-014-09-59</v>
      </c>
      <c r="T280" s="129" t="s">
        <v>28349</v>
      </c>
      <c r="U280" s="112">
        <v>4</v>
      </c>
    </row>
    <row r="281" spans="1:21" x14ac:dyDescent="0.2">
      <c r="A281" s="102" t="s">
        <v>29614</v>
      </c>
      <c r="B281" s="102" t="s">
        <v>29656</v>
      </c>
      <c r="C281" s="102" t="s">
        <v>31</v>
      </c>
      <c r="D281" s="102" t="s">
        <v>25555</v>
      </c>
      <c r="E281" s="102" t="s">
        <v>29661</v>
      </c>
      <c r="F281" s="102" t="s">
        <v>91</v>
      </c>
      <c r="G281" s="102" t="s">
        <v>29661</v>
      </c>
      <c r="H281" s="102" t="s">
        <v>29695</v>
      </c>
      <c r="I281" s="102" t="s">
        <v>1</v>
      </c>
      <c r="J281" s="102" t="s">
        <v>29710</v>
      </c>
      <c r="K281" s="102" t="s">
        <v>264</v>
      </c>
      <c r="L281" s="102" t="s">
        <v>25606</v>
      </c>
      <c r="M281" s="102" t="s">
        <v>26662</v>
      </c>
      <c r="N281" s="102">
        <v>975.8</v>
      </c>
      <c r="S281" t="str">
        <f t="shared" si="18"/>
        <v>95-014-09-60</v>
      </c>
      <c r="T281" s="129" t="s">
        <v>28272</v>
      </c>
      <c r="U281" s="112">
        <v>2</v>
      </c>
    </row>
    <row r="282" spans="1:21" x14ac:dyDescent="0.2">
      <c r="A282" s="102" t="s">
        <v>29614</v>
      </c>
      <c r="B282" s="102" t="s">
        <v>29656</v>
      </c>
      <c r="C282" s="102" t="s">
        <v>31</v>
      </c>
      <c r="D282" s="102" t="s">
        <v>25555</v>
      </c>
      <c r="E282" s="102" t="s">
        <v>29661</v>
      </c>
      <c r="F282" s="102" t="s">
        <v>91</v>
      </c>
      <c r="G282" s="102" t="s">
        <v>29661</v>
      </c>
      <c r="H282" s="102" t="s">
        <v>29695</v>
      </c>
      <c r="I282" s="102" t="s">
        <v>1</v>
      </c>
      <c r="J282" s="102" t="s">
        <v>29710</v>
      </c>
      <c r="K282" s="102" t="s">
        <v>264</v>
      </c>
      <c r="L282" s="102" t="s">
        <v>25606</v>
      </c>
      <c r="M282" s="102" t="s">
        <v>26662</v>
      </c>
      <c r="N282" s="102">
        <v>975.8</v>
      </c>
      <c r="S282" t="str">
        <f t="shared" si="18"/>
        <v>95-014-09-61</v>
      </c>
      <c r="T282" s="129" t="s">
        <v>28354</v>
      </c>
      <c r="U282" s="112">
        <v>1</v>
      </c>
    </row>
    <row r="283" spans="1:21" x14ac:dyDescent="0.2">
      <c r="A283" s="102" t="s">
        <v>29614</v>
      </c>
      <c r="B283" s="102" t="s">
        <v>29656</v>
      </c>
      <c r="C283" s="102" t="s">
        <v>31</v>
      </c>
      <c r="D283" s="102" t="s">
        <v>25555</v>
      </c>
      <c r="E283" s="102" t="s">
        <v>29661</v>
      </c>
      <c r="F283" s="102" t="s">
        <v>91</v>
      </c>
      <c r="G283" s="102" t="s">
        <v>29661</v>
      </c>
      <c r="H283" s="102" t="s">
        <v>29695</v>
      </c>
      <c r="I283" s="102" t="s">
        <v>1</v>
      </c>
      <c r="J283" s="102" t="s">
        <v>29710</v>
      </c>
      <c r="K283" s="102" t="s">
        <v>264</v>
      </c>
      <c r="L283" s="102" t="s">
        <v>25606</v>
      </c>
      <c r="M283" s="102" t="s">
        <v>26662</v>
      </c>
      <c r="N283" s="102">
        <v>975.8</v>
      </c>
      <c r="S283" t="str">
        <f t="shared" si="18"/>
        <v>95-014-09-62</v>
      </c>
      <c r="T283" s="129" t="s">
        <v>28236</v>
      </c>
      <c r="U283" s="112">
        <v>1</v>
      </c>
    </row>
    <row r="284" spans="1:21" x14ac:dyDescent="0.2">
      <c r="A284" s="102" t="s">
        <v>29615</v>
      </c>
      <c r="B284" s="102" t="s">
        <v>29649</v>
      </c>
      <c r="C284" s="102" t="s">
        <v>46</v>
      </c>
      <c r="D284" s="102" t="s">
        <v>47</v>
      </c>
      <c r="E284" s="102" t="s">
        <v>29661</v>
      </c>
      <c r="F284" s="102" t="s">
        <v>91</v>
      </c>
      <c r="G284" s="102" t="s">
        <v>29661</v>
      </c>
      <c r="H284" s="102" t="s">
        <v>29696</v>
      </c>
      <c r="I284" s="102" t="s">
        <v>29697</v>
      </c>
      <c r="J284" s="102" t="s">
        <v>29710</v>
      </c>
      <c r="K284" s="102" t="s">
        <v>264</v>
      </c>
      <c r="L284" s="102" t="s">
        <v>25606</v>
      </c>
      <c r="M284" s="102" t="s">
        <v>26662</v>
      </c>
      <c r="N284" s="102">
        <v>975.8</v>
      </c>
      <c r="S284" t="str">
        <f t="shared" si="18"/>
        <v>95-001-69-57</v>
      </c>
      <c r="T284" s="129" t="s">
        <v>28353</v>
      </c>
      <c r="U284" s="112">
        <v>1</v>
      </c>
    </row>
    <row r="285" spans="1:21" x14ac:dyDescent="0.2">
      <c r="A285" s="102" t="s">
        <v>29615</v>
      </c>
      <c r="B285" s="102" t="s">
        <v>29649</v>
      </c>
      <c r="C285" s="102" t="s">
        <v>46</v>
      </c>
      <c r="D285" s="102" t="s">
        <v>47</v>
      </c>
      <c r="E285" s="102" t="s">
        <v>29661</v>
      </c>
      <c r="F285" s="102" t="s">
        <v>91</v>
      </c>
      <c r="G285" s="102" t="s">
        <v>29661</v>
      </c>
      <c r="H285" s="102" t="s">
        <v>29696</v>
      </c>
      <c r="I285" s="102" t="s">
        <v>29697</v>
      </c>
      <c r="J285" s="102" t="s">
        <v>29710</v>
      </c>
      <c r="K285" s="102" t="s">
        <v>264</v>
      </c>
      <c r="L285" s="102" t="s">
        <v>25606</v>
      </c>
      <c r="M285" s="102" t="s">
        <v>26662</v>
      </c>
      <c r="N285" s="102">
        <v>975.8</v>
      </c>
      <c r="S285" t="str">
        <f t="shared" si="18"/>
        <v>95-001-69-58</v>
      </c>
      <c r="T285" s="129" t="s">
        <v>28395</v>
      </c>
      <c r="U285" s="112">
        <v>1</v>
      </c>
    </row>
    <row r="286" spans="1:21" x14ac:dyDescent="0.2">
      <c r="A286" s="102" t="s">
        <v>29615</v>
      </c>
      <c r="B286" s="102" t="s">
        <v>29649</v>
      </c>
      <c r="C286" s="102" t="s">
        <v>46</v>
      </c>
      <c r="D286" s="102" t="s">
        <v>47</v>
      </c>
      <c r="E286" s="102" t="s">
        <v>29661</v>
      </c>
      <c r="F286" s="102" t="s">
        <v>91</v>
      </c>
      <c r="G286" s="102" t="s">
        <v>29661</v>
      </c>
      <c r="H286" s="102" t="s">
        <v>29696</v>
      </c>
      <c r="I286" s="102" t="s">
        <v>29697</v>
      </c>
      <c r="J286" s="102" t="s">
        <v>29710</v>
      </c>
      <c r="K286" s="102" t="s">
        <v>264</v>
      </c>
      <c r="L286" s="102" t="s">
        <v>25606</v>
      </c>
      <c r="M286" s="102" t="s">
        <v>26662</v>
      </c>
      <c r="N286" s="102">
        <v>975.8</v>
      </c>
      <c r="S286" t="str">
        <f t="shared" si="18"/>
        <v>95-001-69-59</v>
      </c>
      <c r="T286" s="129" t="s">
        <v>28349</v>
      </c>
      <c r="U286" s="112">
        <v>2</v>
      </c>
    </row>
    <row r="287" spans="1:21" x14ac:dyDescent="0.2">
      <c r="A287" s="102" t="s">
        <v>29615</v>
      </c>
      <c r="B287" s="102" t="s">
        <v>29649</v>
      </c>
      <c r="C287" s="102" t="s">
        <v>46</v>
      </c>
      <c r="D287" s="102" t="s">
        <v>47</v>
      </c>
      <c r="E287" s="102" t="s">
        <v>29661</v>
      </c>
      <c r="F287" s="102" t="s">
        <v>91</v>
      </c>
      <c r="G287" s="102" t="s">
        <v>29661</v>
      </c>
      <c r="H287" s="102" t="s">
        <v>29696</v>
      </c>
      <c r="I287" s="102" t="s">
        <v>29697</v>
      </c>
      <c r="J287" s="102" t="s">
        <v>29710</v>
      </c>
      <c r="K287" s="102" t="s">
        <v>264</v>
      </c>
      <c r="L287" s="102" t="s">
        <v>25606</v>
      </c>
      <c r="M287" s="102" t="s">
        <v>26662</v>
      </c>
      <c r="N287" s="102">
        <v>975.8</v>
      </c>
      <c r="S287" t="str">
        <f t="shared" si="18"/>
        <v>95-001-69-60</v>
      </c>
      <c r="T287" s="129" t="s">
        <v>28272</v>
      </c>
      <c r="U287" s="112">
        <v>1</v>
      </c>
    </row>
    <row r="288" spans="1:21" x14ac:dyDescent="0.2">
      <c r="A288" s="102" t="s">
        <v>29615</v>
      </c>
      <c r="B288" s="102" t="s">
        <v>29649</v>
      </c>
      <c r="C288" s="102" t="s">
        <v>46</v>
      </c>
      <c r="D288" s="102" t="s">
        <v>47</v>
      </c>
      <c r="E288" s="102" t="s">
        <v>29661</v>
      </c>
      <c r="F288" s="102" t="s">
        <v>91</v>
      </c>
      <c r="G288" s="102" t="s">
        <v>29661</v>
      </c>
      <c r="H288" s="102" t="s">
        <v>29696</v>
      </c>
      <c r="I288" s="102" t="s">
        <v>29697</v>
      </c>
      <c r="J288" s="102" t="s">
        <v>29710</v>
      </c>
      <c r="K288" s="102" t="s">
        <v>264</v>
      </c>
      <c r="L288" s="102" t="s">
        <v>25606</v>
      </c>
      <c r="M288" s="102" t="s">
        <v>26662</v>
      </c>
      <c r="N288" s="102">
        <v>975.8</v>
      </c>
      <c r="S288" t="str">
        <f t="shared" si="18"/>
        <v>95-001-69-61</v>
      </c>
      <c r="T288" s="129" t="s">
        <v>28354</v>
      </c>
      <c r="U288" s="112">
        <v>1</v>
      </c>
    </row>
    <row r="289" spans="1:21" x14ac:dyDescent="0.2">
      <c r="A289" s="102" t="s">
        <v>29615</v>
      </c>
      <c r="B289" s="102" t="s">
        <v>29649</v>
      </c>
      <c r="C289" s="102" t="s">
        <v>46</v>
      </c>
      <c r="D289" s="102" t="s">
        <v>47</v>
      </c>
      <c r="E289" s="102" t="s">
        <v>29661</v>
      </c>
      <c r="F289" s="102" t="s">
        <v>91</v>
      </c>
      <c r="G289" s="102" t="s">
        <v>29661</v>
      </c>
      <c r="H289" s="102" t="s">
        <v>29696</v>
      </c>
      <c r="I289" s="102" t="s">
        <v>29697</v>
      </c>
      <c r="J289" s="102" t="s">
        <v>29710</v>
      </c>
      <c r="K289" s="102" t="s">
        <v>264</v>
      </c>
      <c r="L289" s="102" t="s">
        <v>25606</v>
      </c>
      <c r="M289" s="102" t="s">
        <v>26662</v>
      </c>
      <c r="N289" s="102">
        <v>975.8</v>
      </c>
      <c r="S289" t="str">
        <f t="shared" si="18"/>
        <v>95-001-69-62</v>
      </c>
      <c r="T289" s="129" t="s">
        <v>28236</v>
      </c>
      <c r="U289" s="112">
        <v>1</v>
      </c>
    </row>
    <row r="290" spans="1:21" x14ac:dyDescent="0.2">
      <c r="A290" s="102" t="s">
        <v>29616</v>
      </c>
      <c r="B290" s="102" t="s">
        <v>29645</v>
      </c>
      <c r="C290" s="102" t="s">
        <v>31</v>
      </c>
      <c r="D290" s="102" t="s">
        <v>39</v>
      </c>
      <c r="E290" s="102" t="s">
        <v>29661</v>
      </c>
      <c r="F290" s="102" t="s">
        <v>91</v>
      </c>
      <c r="G290" s="102" t="s">
        <v>29661</v>
      </c>
      <c r="H290" s="102" t="s">
        <v>29696</v>
      </c>
      <c r="I290" s="102" t="s">
        <v>29697</v>
      </c>
      <c r="J290" s="102" t="s">
        <v>29710</v>
      </c>
      <c r="K290" s="102" t="s">
        <v>264</v>
      </c>
      <c r="L290" s="102" t="s">
        <v>25606</v>
      </c>
      <c r="M290" s="102" t="s">
        <v>26662</v>
      </c>
      <c r="N290" s="102">
        <v>975.8</v>
      </c>
      <c r="S290" t="str">
        <f t="shared" si="18"/>
        <v>95-008-69-57</v>
      </c>
      <c r="T290" s="129" t="s">
        <v>28353</v>
      </c>
      <c r="U290" s="112">
        <v>1</v>
      </c>
    </row>
    <row r="291" spans="1:21" x14ac:dyDescent="0.2">
      <c r="A291" s="102" t="s">
        <v>29616</v>
      </c>
      <c r="B291" s="102" t="s">
        <v>29645</v>
      </c>
      <c r="C291" s="102" t="s">
        <v>31</v>
      </c>
      <c r="D291" s="102" t="s">
        <v>39</v>
      </c>
      <c r="E291" s="102" t="s">
        <v>29661</v>
      </c>
      <c r="F291" s="102" t="s">
        <v>91</v>
      </c>
      <c r="G291" s="102" t="s">
        <v>29661</v>
      </c>
      <c r="H291" s="102" t="s">
        <v>29696</v>
      </c>
      <c r="I291" s="102" t="s">
        <v>29697</v>
      </c>
      <c r="J291" s="102" t="s">
        <v>29710</v>
      </c>
      <c r="K291" s="102" t="s">
        <v>264</v>
      </c>
      <c r="L291" s="102" t="s">
        <v>25606</v>
      </c>
      <c r="M291" s="102" t="s">
        <v>26662</v>
      </c>
      <c r="N291" s="102">
        <v>975.8</v>
      </c>
      <c r="S291" t="str">
        <f t="shared" si="18"/>
        <v>95-008-69-58</v>
      </c>
      <c r="T291" s="129" t="s">
        <v>28395</v>
      </c>
      <c r="U291" s="112">
        <v>2</v>
      </c>
    </row>
    <row r="292" spans="1:21" x14ac:dyDescent="0.2">
      <c r="A292" s="102" t="s">
        <v>29616</v>
      </c>
      <c r="B292" s="102" t="s">
        <v>29645</v>
      </c>
      <c r="C292" s="102" t="s">
        <v>31</v>
      </c>
      <c r="D292" s="102" t="s">
        <v>39</v>
      </c>
      <c r="E292" s="102" t="s">
        <v>29661</v>
      </c>
      <c r="F292" s="102" t="s">
        <v>91</v>
      </c>
      <c r="G292" s="102" t="s">
        <v>29661</v>
      </c>
      <c r="H292" s="102" t="s">
        <v>29696</v>
      </c>
      <c r="I292" s="102" t="s">
        <v>29697</v>
      </c>
      <c r="J292" s="102" t="s">
        <v>29710</v>
      </c>
      <c r="K292" s="102" t="s">
        <v>264</v>
      </c>
      <c r="L292" s="102" t="s">
        <v>25606</v>
      </c>
      <c r="M292" s="102" t="s">
        <v>26662</v>
      </c>
      <c r="N292" s="102">
        <v>975.8</v>
      </c>
      <c r="S292" t="str">
        <f t="shared" si="18"/>
        <v>95-008-69-59</v>
      </c>
      <c r="T292" s="129" t="s">
        <v>28349</v>
      </c>
      <c r="U292" s="112">
        <v>3</v>
      </c>
    </row>
    <row r="293" spans="1:21" x14ac:dyDescent="0.2">
      <c r="A293" s="102" t="s">
        <v>29616</v>
      </c>
      <c r="B293" s="102" t="s">
        <v>29645</v>
      </c>
      <c r="C293" s="102" t="s">
        <v>31</v>
      </c>
      <c r="D293" s="102" t="s">
        <v>39</v>
      </c>
      <c r="E293" s="102" t="s">
        <v>29661</v>
      </c>
      <c r="F293" s="102" t="s">
        <v>91</v>
      </c>
      <c r="G293" s="102" t="s">
        <v>29661</v>
      </c>
      <c r="H293" s="102" t="s">
        <v>29696</v>
      </c>
      <c r="I293" s="102" t="s">
        <v>29697</v>
      </c>
      <c r="J293" s="102" t="s">
        <v>29710</v>
      </c>
      <c r="K293" s="102" t="s">
        <v>264</v>
      </c>
      <c r="L293" s="102" t="s">
        <v>25606</v>
      </c>
      <c r="M293" s="102" t="s">
        <v>26662</v>
      </c>
      <c r="N293" s="102">
        <v>975.8</v>
      </c>
      <c r="S293" t="str">
        <f t="shared" si="18"/>
        <v>95-008-69-60</v>
      </c>
      <c r="T293" s="129" t="s">
        <v>28272</v>
      </c>
      <c r="U293" s="112">
        <v>2</v>
      </c>
    </row>
    <row r="294" spans="1:21" x14ac:dyDescent="0.2">
      <c r="A294" s="102" t="s">
        <v>29616</v>
      </c>
      <c r="B294" s="102" t="s">
        <v>29645</v>
      </c>
      <c r="C294" s="102" t="s">
        <v>31</v>
      </c>
      <c r="D294" s="102" t="s">
        <v>39</v>
      </c>
      <c r="E294" s="102" t="s">
        <v>29661</v>
      </c>
      <c r="F294" s="102" t="s">
        <v>91</v>
      </c>
      <c r="G294" s="102" t="s">
        <v>29661</v>
      </c>
      <c r="H294" s="102" t="s">
        <v>29696</v>
      </c>
      <c r="I294" s="102" t="s">
        <v>29697</v>
      </c>
      <c r="J294" s="102" t="s">
        <v>29710</v>
      </c>
      <c r="K294" s="102" t="s">
        <v>264</v>
      </c>
      <c r="L294" s="102" t="s">
        <v>25606</v>
      </c>
      <c r="M294" s="102" t="s">
        <v>26662</v>
      </c>
      <c r="N294" s="102">
        <v>975.8</v>
      </c>
      <c r="S294" t="str">
        <f t="shared" si="18"/>
        <v>95-008-69-61</v>
      </c>
      <c r="T294" s="129" t="s">
        <v>28354</v>
      </c>
      <c r="U294" s="112">
        <v>1</v>
      </c>
    </row>
    <row r="295" spans="1:21" x14ac:dyDescent="0.2">
      <c r="A295" s="102" t="s">
        <v>29616</v>
      </c>
      <c r="B295" s="102" t="s">
        <v>29645</v>
      </c>
      <c r="C295" s="102" t="s">
        <v>31</v>
      </c>
      <c r="D295" s="102" t="s">
        <v>39</v>
      </c>
      <c r="E295" s="102" t="s">
        <v>29661</v>
      </c>
      <c r="F295" s="102" t="s">
        <v>91</v>
      </c>
      <c r="G295" s="102" t="s">
        <v>29661</v>
      </c>
      <c r="H295" s="102" t="s">
        <v>29696</v>
      </c>
      <c r="I295" s="102" t="s">
        <v>29697</v>
      </c>
      <c r="J295" s="102" t="s">
        <v>29710</v>
      </c>
      <c r="K295" s="102" t="s">
        <v>264</v>
      </c>
      <c r="L295" s="102" t="s">
        <v>25606</v>
      </c>
      <c r="M295" s="102" t="s">
        <v>26662</v>
      </c>
      <c r="N295" s="102">
        <v>975.8</v>
      </c>
      <c r="S295" t="str">
        <f t="shared" si="18"/>
        <v>95-008-69-62</v>
      </c>
      <c r="T295" s="129" t="s">
        <v>28236</v>
      </c>
      <c r="U295" s="112">
        <v>1</v>
      </c>
    </row>
    <row r="296" spans="1:21" x14ac:dyDescent="0.2">
      <c r="A296" s="102" t="s">
        <v>29617</v>
      </c>
      <c r="B296" s="102" t="s">
        <v>29647</v>
      </c>
      <c r="C296" s="102" t="s">
        <v>31</v>
      </c>
      <c r="D296" s="102" t="s">
        <v>25558</v>
      </c>
      <c r="E296" s="102" t="s">
        <v>29661</v>
      </c>
      <c r="F296" s="102" t="s">
        <v>91</v>
      </c>
      <c r="G296" s="102" t="s">
        <v>29661</v>
      </c>
      <c r="H296" s="102" t="s">
        <v>29696</v>
      </c>
      <c r="I296" s="102" t="s">
        <v>29697</v>
      </c>
      <c r="J296" s="102" t="s">
        <v>29710</v>
      </c>
      <c r="K296" s="102" t="s">
        <v>264</v>
      </c>
      <c r="L296" s="102" t="s">
        <v>25606</v>
      </c>
      <c r="M296" s="102" t="s">
        <v>26662</v>
      </c>
      <c r="N296" s="102">
        <v>975.8</v>
      </c>
      <c r="S296" t="str">
        <f t="shared" ref="S296:S308" si="19">A296&amp;"-"&amp;T296</f>
        <v>95-010-69-57</v>
      </c>
      <c r="T296" s="129" t="s">
        <v>28353</v>
      </c>
      <c r="U296" s="112">
        <v>1</v>
      </c>
    </row>
    <row r="297" spans="1:21" x14ac:dyDescent="0.2">
      <c r="A297" s="102" t="s">
        <v>29617</v>
      </c>
      <c r="B297" s="102" t="s">
        <v>29647</v>
      </c>
      <c r="C297" s="102" t="s">
        <v>31</v>
      </c>
      <c r="D297" s="102" t="s">
        <v>25558</v>
      </c>
      <c r="E297" s="102" t="s">
        <v>29661</v>
      </c>
      <c r="F297" s="102" t="s">
        <v>91</v>
      </c>
      <c r="G297" s="102" t="s">
        <v>29661</v>
      </c>
      <c r="H297" s="102" t="s">
        <v>29696</v>
      </c>
      <c r="I297" s="102" t="s">
        <v>29697</v>
      </c>
      <c r="J297" s="102" t="s">
        <v>29710</v>
      </c>
      <c r="K297" s="102" t="s">
        <v>264</v>
      </c>
      <c r="L297" s="102" t="s">
        <v>25606</v>
      </c>
      <c r="M297" s="102" t="s">
        <v>26662</v>
      </c>
      <c r="N297" s="102">
        <v>975.8</v>
      </c>
      <c r="S297" t="str">
        <f t="shared" si="19"/>
        <v>95-010-69-58</v>
      </c>
      <c r="T297" s="129" t="s">
        <v>28395</v>
      </c>
      <c r="U297" s="112">
        <v>1</v>
      </c>
    </row>
    <row r="298" spans="1:21" x14ac:dyDescent="0.2">
      <c r="A298" s="102" t="s">
        <v>29617</v>
      </c>
      <c r="B298" s="102" t="s">
        <v>29647</v>
      </c>
      <c r="C298" s="102" t="s">
        <v>31</v>
      </c>
      <c r="D298" s="102" t="s">
        <v>25558</v>
      </c>
      <c r="E298" s="102" t="s">
        <v>29661</v>
      </c>
      <c r="F298" s="102" t="s">
        <v>91</v>
      </c>
      <c r="G298" s="102" t="s">
        <v>29661</v>
      </c>
      <c r="H298" s="102" t="s">
        <v>29696</v>
      </c>
      <c r="I298" s="102" t="s">
        <v>29697</v>
      </c>
      <c r="J298" s="102" t="s">
        <v>29710</v>
      </c>
      <c r="K298" s="102" t="s">
        <v>264</v>
      </c>
      <c r="L298" s="102" t="s">
        <v>25606</v>
      </c>
      <c r="M298" s="102" t="s">
        <v>26662</v>
      </c>
      <c r="N298" s="102">
        <v>975.8</v>
      </c>
      <c r="S298" t="str">
        <f t="shared" si="19"/>
        <v>95-010-69-59</v>
      </c>
      <c r="T298" s="129" t="s">
        <v>28349</v>
      </c>
      <c r="U298" s="112">
        <v>2</v>
      </c>
    </row>
    <row r="299" spans="1:21" x14ac:dyDescent="0.2">
      <c r="A299" s="102" t="s">
        <v>29617</v>
      </c>
      <c r="B299" s="102" t="s">
        <v>29647</v>
      </c>
      <c r="C299" s="102" t="s">
        <v>31</v>
      </c>
      <c r="D299" s="102" t="s">
        <v>25558</v>
      </c>
      <c r="E299" s="102" t="s">
        <v>29661</v>
      </c>
      <c r="F299" s="102" t="s">
        <v>91</v>
      </c>
      <c r="G299" s="102" t="s">
        <v>29661</v>
      </c>
      <c r="H299" s="102" t="s">
        <v>29696</v>
      </c>
      <c r="I299" s="102" t="s">
        <v>29697</v>
      </c>
      <c r="J299" s="102" t="s">
        <v>29710</v>
      </c>
      <c r="K299" s="102" t="s">
        <v>264</v>
      </c>
      <c r="L299" s="102" t="s">
        <v>25606</v>
      </c>
      <c r="M299" s="102" t="s">
        <v>26662</v>
      </c>
      <c r="N299" s="102">
        <v>975.8</v>
      </c>
      <c r="S299" t="str">
        <f t="shared" si="19"/>
        <v>95-010-69-60</v>
      </c>
      <c r="T299" s="129" t="s">
        <v>28272</v>
      </c>
      <c r="U299" s="112">
        <v>1</v>
      </c>
    </row>
    <row r="300" spans="1:21" x14ac:dyDescent="0.2">
      <c r="A300" s="102" t="s">
        <v>29617</v>
      </c>
      <c r="B300" s="102" t="s">
        <v>29647</v>
      </c>
      <c r="C300" s="102" t="s">
        <v>31</v>
      </c>
      <c r="D300" s="102" t="s">
        <v>25558</v>
      </c>
      <c r="E300" s="102" t="s">
        <v>29661</v>
      </c>
      <c r="F300" s="102" t="s">
        <v>91</v>
      </c>
      <c r="G300" s="102" t="s">
        <v>29661</v>
      </c>
      <c r="H300" s="102" t="s">
        <v>29696</v>
      </c>
      <c r="I300" s="102" t="s">
        <v>29697</v>
      </c>
      <c r="J300" s="102" t="s">
        <v>29710</v>
      </c>
      <c r="K300" s="102" t="s">
        <v>264</v>
      </c>
      <c r="L300" s="102" t="s">
        <v>25606</v>
      </c>
      <c r="M300" s="102" t="s">
        <v>26662</v>
      </c>
      <c r="N300" s="102">
        <v>975.8</v>
      </c>
      <c r="S300" t="str">
        <f t="shared" si="19"/>
        <v>95-010-69-61</v>
      </c>
      <c r="T300" s="129" t="s">
        <v>28354</v>
      </c>
      <c r="U300" s="112">
        <v>1</v>
      </c>
    </row>
    <row r="301" spans="1:21" x14ac:dyDescent="0.2">
      <c r="A301" s="102" t="s">
        <v>29617</v>
      </c>
      <c r="B301" s="102" t="s">
        <v>29647</v>
      </c>
      <c r="C301" s="102" t="s">
        <v>31</v>
      </c>
      <c r="D301" s="102" t="s">
        <v>25558</v>
      </c>
      <c r="E301" s="102" t="s">
        <v>29661</v>
      </c>
      <c r="F301" s="102" t="s">
        <v>91</v>
      </c>
      <c r="G301" s="102" t="s">
        <v>29661</v>
      </c>
      <c r="H301" s="102" t="s">
        <v>29696</v>
      </c>
      <c r="I301" s="102" t="s">
        <v>29697</v>
      </c>
      <c r="J301" s="102" t="s">
        <v>29710</v>
      </c>
      <c r="K301" s="102" t="s">
        <v>264</v>
      </c>
      <c r="L301" s="102" t="s">
        <v>25606</v>
      </c>
      <c r="M301" s="102" t="s">
        <v>26662</v>
      </c>
      <c r="N301" s="102">
        <v>975.8</v>
      </c>
      <c r="S301" t="str">
        <f t="shared" si="19"/>
        <v>95-010-69-62</v>
      </c>
      <c r="T301" s="129" t="s">
        <v>28236</v>
      </c>
      <c r="U301" s="112">
        <v>1</v>
      </c>
    </row>
    <row r="302" spans="1:21" x14ac:dyDescent="0.2">
      <c r="A302" s="102" t="s">
        <v>29618</v>
      </c>
      <c r="B302" s="102" t="s">
        <v>29652</v>
      </c>
      <c r="C302" s="102" t="s">
        <v>31</v>
      </c>
      <c r="D302" s="102" t="s">
        <v>39</v>
      </c>
      <c r="E302" s="102" t="s">
        <v>29661</v>
      </c>
      <c r="F302" s="102" t="s">
        <v>91</v>
      </c>
      <c r="G302" s="102" t="s">
        <v>29661</v>
      </c>
      <c r="H302" s="102" t="s">
        <v>29698</v>
      </c>
      <c r="I302" s="102" t="s">
        <v>41</v>
      </c>
      <c r="J302" s="102" t="s">
        <v>29710</v>
      </c>
      <c r="K302" s="102" t="s">
        <v>264</v>
      </c>
      <c r="L302" s="102" t="s">
        <v>25606</v>
      </c>
      <c r="M302" s="102" t="s">
        <v>26662</v>
      </c>
      <c r="N302" s="102">
        <v>975.8</v>
      </c>
      <c r="S302" t="str">
        <f t="shared" si="19"/>
        <v>95-003-89-57</v>
      </c>
      <c r="T302" s="129" t="s">
        <v>28353</v>
      </c>
      <c r="U302" s="112">
        <v>2</v>
      </c>
    </row>
    <row r="303" spans="1:21" x14ac:dyDescent="0.2">
      <c r="A303" s="102" t="s">
        <v>29618</v>
      </c>
      <c r="B303" s="102" t="s">
        <v>29652</v>
      </c>
      <c r="C303" s="102" t="s">
        <v>31</v>
      </c>
      <c r="D303" s="102" t="s">
        <v>39</v>
      </c>
      <c r="E303" s="102" t="s">
        <v>29661</v>
      </c>
      <c r="F303" s="102" t="s">
        <v>91</v>
      </c>
      <c r="G303" s="102" t="s">
        <v>29661</v>
      </c>
      <c r="H303" s="102" t="s">
        <v>29698</v>
      </c>
      <c r="I303" s="102" t="s">
        <v>41</v>
      </c>
      <c r="J303" s="102" t="s">
        <v>29710</v>
      </c>
      <c r="K303" s="102" t="s">
        <v>264</v>
      </c>
      <c r="L303" s="102" t="s">
        <v>25606</v>
      </c>
      <c r="M303" s="102" t="s">
        <v>26662</v>
      </c>
      <c r="N303" s="102">
        <v>975.8</v>
      </c>
      <c r="S303" t="str">
        <f t="shared" si="19"/>
        <v>95-003-89-58</v>
      </c>
      <c r="T303" s="129" t="s">
        <v>28395</v>
      </c>
      <c r="U303" s="112">
        <v>3</v>
      </c>
    </row>
    <row r="304" spans="1:21" x14ac:dyDescent="0.2">
      <c r="A304" s="102" t="s">
        <v>29618</v>
      </c>
      <c r="B304" s="102" t="s">
        <v>29652</v>
      </c>
      <c r="C304" s="102" t="s">
        <v>31</v>
      </c>
      <c r="D304" s="102" t="s">
        <v>39</v>
      </c>
      <c r="E304" s="102" t="s">
        <v>29661</v>
      </c>
      <c r="F304" s="102" t="s">
        <v>91</v>
      </c>
      <c r="G304" s="102" t="s">
        <v>29661</v>
      </c>
      <c r="H304" s="102" t="s">
        <v>29698</v>
      </c>
      <c r="I304" s="102" t="s">
        <v>41</v>
      </c>
      <c r="J304" s="102" t="s">
        <v>29710</v>
      </c>
      <c r="K304" s="102" t="s">
        <v>264</v>
      </c>
      <c r="L304" s="102" t="s">
        <v>25606</v>
      </c>
      <c r="M304" s="102" t="s">
        <v>26662</v>
      </c>
      <c r="N304" s="102">
        <v>975.8</v>
      </c>
      <c r="S304" t="str">
        <f t="shared" si="19"/>
        <v>95-003-89-59</v>
      </c>
      <c r="T304" s="129" t="s">
        <v>28349</v>
      </c>
      <c r="U304" s="112">
        <v>4</v>
      </c>
    </row>
    <row r="305" spans="1:21" x14ac:dyDescent="0.2">
      <c r="A305" s="102" t="s">
        <v>29618</v>
      </c>
      <c r="B305" s="102" t="s">
        <v>29652</v>
      </c>
      <c r="C305" s="102" t="s">
        <v>31</v>
      </c>
      <c r="D305" s="102" t="s">
        <v>39</v>
      </c>
      <c r="E305" s="102" t="s">
        <v>29661</v>
      </c>
      <c r="F305" s="102" t="s">
        <v>91</v>
      </c>
      <c r="G305" s="102" t="s">
        <v>29661</v>
      </c>
      <c r="H305" s="102" t="s">
        <v>29698</v>
      </c>
      <c r="I305" s="102" t="s">
        <v>41</v>
      </c>
      <c r="J305" s="102" t="s">
        <v>29710</v>
      </c>
      <c r="K305" s="102" t="s">
        <v>264</v>
      </c>
      <c r="L305" s="102" t="s">
        <v>25606</v>
      </c>
      <c r="M305" s="102" t="s">
        <v>26662</v>
      </c>
      <c r="N305" s="102">
        <v>975.8</v>
      </c>
      <c r="S305" t="str">
        <f t="shared" si="19"/>
        <v>95-003-89-60</v>
      </c>
      <c r="T305" s="129" t="s">
        <v>28272</v>
      </c>
      <c r="U305" s="112">
        <v>3</v>
      </c>
    </row>
    <row r="306" spans="1:21" x14ac:dyDescent="0.2">
      <c r="A306" s="102" t="s">
        <v>29618</v>
      </c>
      <c r="B306" s="102" t="s">
        <v>29652</v>
      </c>
      <c r="C306" s="102" t="s">
        <v>31</v>
      </c>
      <c r="D306" s="102" t="s">
        <v>39</v>
      </c>
      <c r="E306" s="102" t="s">
        <v>29661</v>
      </c>
      <c r="F306" s="102" t="s">
        <v>91</v>
      </c>
      <c r="G306" s="102" t="s">
        <v>29661</v>
      </c>
      <c r="H306" s="102" t="s">
        <v>29698</v>
      </c>
      <c r="I306" s="102" t="s">
        <v>41</v>
      </c>
      <c r="J306" s="102" t="s">
        <v>29710</v>
      </c>
      <c r="K306" s="102" t="s">
        <v>264</v>
      </c>
      <c r="L306" s="102" t="s">
        <v>25606</v>
      </c>
      <c r="M306" s="102" t="s">
        <v>26662</v>
      </c>
      <c r="N306" s="102">
        <v>975.8</v>
      </c>
      <c r="S306" t="str">
        <f t="shared" si="19"/>
        <v>95-003-89-61</v>
      </c>
      <c r="T306" s="129" t="s">
        <v>28354</v>
      </c>
      <c r="U306" s="112">
        <v>1</v>
      </c>
    </row>
    <row r="307" spans="1:21" x14ac:dyDescent="0.2">
      <c r="A307" s="102" t="s">
        <v>29619</v>
      </c>
      <c r="B307" s="102" t="s">
        <v>29654</v>
      </c>
      <c r="C307" s="102" t="s">
        <v>31</v>
      </c>
      <c r="D307" s="102" t="s">
        <v>39</v>
      </c>
      <c r="E307" s="102" t="s">
        <v>29661</v>
      </c>
      <c r="F307" s="102" t="s">
        <v>91</v>
      </c>
      <c r="G307" s="102" t="s">
        <v>29661</v>
      </c>
      <c r="H307" s="102" t="s">
        <v>29698</v>
      </c>
      <c r="I307" s="102" t="s">
        <v>41</v>
      </c>
      <c r="J307" s="102" t="s">
        <v>29710</v>
      </c>
      <c r="K307" s="102" t="s">
        <v>264</v>
      </c>
      <c r="L307" s="102" t="s">
        <v>25606</v>
      </c>
      <c r="M307" s="102" t="s">
        <v>26662</v>
      </c>
      <c r="N307" s="102">
        <v>975.8</v>
      </c>
      <c r="S307" t="str">
        <f t="shared" si="19"/>
        <v>95-002-89-57</v>
      </c>
      <c r="T307" s="129" t="s">
        <v>28353</v>
      </c>
      <c r="U307" s="112">
        <v>2</v>
      </c>
    </row>
    <row r="308" spans="1:21" x14ac:dyDescent="0.2">
      <c r="A308" s="102" t="s">
        <v>29619</v>
      </c>
      <c r="B308" s="102" t="s">
        <v>29654</v>
      </c>
      <c r="C308" s="102" t="s">
        <v>31</v>
      </c>
      <c r="D308" s="102" t="s">
        <v>39</v>
      </c>
      <c r="E308" s="102" t="s">
        <v>29661</v>
      </c>
      <c r="F308" s="102" t="s">
        <v>91</v>
      </c>
      <c r="G308" s="102" t="s">
        <v>29661</v>
      </c>
      <c r="H308" s="102" t="s">
        <v>29698</v>
      </c>
      <c r="I308" s="102" t="s">
        <v>41</v>
      </c>
      <c r="J308" s="102" t="s">
        <v>29710</v>
      </c>
      <c r="K308" s="102" t="s">
        <v>264</v>
      </c>
      <c r="L308" s="102" t="s">
        <v>25606</v>
      </c>
      <c r="M308" s="102" t="s">
        <v>26662</v>
      </c>
      <c r="N308" s="102">
        <v>975.8</v>
      </c>
      <c r="S308" t="str">
        <f t="shared" si="19"/>
        <v>95-002-89-59</v>
      </c>
      <c r="T308" s="129" t="s">
        <v>28349</v>
      </c>
      <c r="U308" s="112">
        <v>5</v>
      </c>
    </row>
    <row r="309" spans="1:21" x14ac:dyDescent="0.2">
      <c r="A309" s="102" t="s">
        <v>29619</v>
      </c>
      <c r="B309" s="102" t="s">
        <v>29654</v>
      </c>
      <c r="C309" s="102" t="s">
        <v>31</v>
      </c>
      <c r="D309" s="102" t="s">
        <v>39</v>
      </c>
      <c r="E309" s="102" t="s">
        <v>29661</v>
      </c>
      <c r="F309" s="102" t="s">
        <v>91</v>
      </c>
      <c r="G309" s="102" t="s">
        <v>29661</v>
      </c>
      <c r="H309" s="102" t="s">
        <v>29698</v>
      </c>
      <c r="I309" s="102" t="s">
        <v>41</v>
      </c>
      <c r="J309" s="102" t="s">
        <v>29710</v>
      </c>
      <c r="K309" s="102" t="s">
        <v>264</v>
      </c>
      <c r="L309" s="102" t="s">
        <v>25606</v>
      </c>
      <c r="M309" s="102" t="s">
        <v>26662</v>
      </c>
      <c r="N309" s="102">
        <v>975.8</v>
      </c>
      <c r="S309" t="str">
        <f t="shared" ref="S309:S322" si="20">A309&amp;"-"&amp;T309</f>
        <v>95-002-89-60</v>
      </c>
      <c r="T309" s="129" t="s">
        <v>28272</v>
      </c>
      <c r="U309" s="112">
        <v>5</v>
      </c>
    </row>
    <row r="310" spans="1:21" x14ac:dyDescent="0.2">
      <c r="A310" s="102" t="s">
        <v>29619</v>
      </c>
      <c r="B310" s="102" t="s">
        <v>29654</v>
      </c>
      <c r="C310" s="102" t="s">
        <v>31</v>
      </c>
      <c r="D310" s="102" t="s">
        <v>39</v>
      </c>
      <c r="E310" s="102" t="s">
        <v>29661</v>
      </c>
      <c r="F310" s="102" t="s">
        <v>91</v>
      </c>
      <c r="G310" s="102" t="s">
        <v>29661</v>
      </c>
      <c r="H310" s="102" t="s">
        <v>29698</v>
      </c>
      <c r="I310" s="102" t="s">
        <v>41</v>
      </c>
      <c r="J310" s="102" t="s">
        <v>29710</v>
      </c>
      <c r="K310" s="102" t="s">
        <v>264</v>
      </c>
      <c r="L310" s="102" t="s">
        <v>25606</v>
      </c>
      <c r="M310" s="102" t="s">
        <v>26662</v>
      </c>
      <c r="N310" s="102">
        <v>975.8</v>
      </c>
      <c r="S310" t="str">
        <f t="shared" si="20"/>
        <v>95-002-89-61</v>
      </c>
      <c r="T310" s="129" t="s">
        <v>28354</v>
      </c>
      <c r="U310" s="112">
        <v>2</v>
      </c>
    </row>
    <row r="311" spans="1:21" x14ac:dyDescent="0.2">
      <c r="A311" s="102" t="s">
        <v>29619</v>
      </c>
      <c r="B311" s="102" t="s">
        <v>29654</v>
      </c>
      <c r="C311" s="102" t="s">
        <v>31</v>
      </c>
      <c r="D311" s="102" t="s">
        <v>39</v>
      </c>
      <c r="E311" s="102" t="s">
        <v>29661</v>
      </c>
      <c r="F311" s="102" t="s">
        <v>91</v>
      </c>
      <c r="G311" s="102" t="s">
        <v>29661</v>
      </c>
      <c r="H311" s="102" t="s">
        <v>29698</v>
      </c>
      <c r="I311" s="102" t="s">
        <v>41</v>
      </c>
      <c r="J311" s="102" t="s">
        <v>29710</v>
      </c>
      <c r="K311" s="102" t="s">
        <v>264</v>
      </c>
      <c r="L311" s="102" t="s">
        <v>25606</v>
      </c>
      <c r="M311" s="102" t="s">
        <v>26662</v>
      </c>
      <c r="N311" s="102">
        <v>975.8</v>
      </c>
      <c r="S311" t="str">
        <f t="shared" si="20"/>
        <v>95-002-89-62</v>
      </c>
      <c r="T311" s="129" t="s">
        <v>28236</v>
      </c>
      <c r="U311" s="112">
        <v>1</v>
      </c>
    </row>
    <row r="312" spans="1:21" x14ac:dyDescent="0.2">
      <c r="A312" s="102" t="s">
        <v>29620</v>
      </c>
      <c r="B312" s="102" t="s">
        <v>29655</v>
      </c>
      <c r="C312" s="102" t="s">
        <v>31</v>
      </c>
      <c r="D312" s="102" t="s">
        <v>25556</v>
      </c>
      <c r="E312" s="102" t="s">
        <v>29661</v>
      </c>
      <c r="F312" s="102" t="s">
        <v>91</v>
      </c>
      <c r="G312" s="102" t="s">
        <v>29661</v>
      </c>
      <c r="H312" s="102" t="s">
        <v>29698</v>
      </c>
      <c r="I312" s="102" t="s">
        <v>41</v>
      </c>
      <c r="J312" s="102" t="s">
        <v>29710</v>
      </c>
      <c r="K312" s="102" t="s">
        <v>264</v>
      </c>
      <c r="L312" s="102" t="s">
        <v>25606</v>
      </c>
      <c r="M312" s="102" t="s">
        <v>26662</v>
      </c>
      <c r="N312" s="102">
        <v>975.8</v>
      </c>
      <c r="S312" t="str">
        <f t="shared" si="20"/>
        <v>95-012-89-57</v>
      </c>
      <c r="T312" s="129" t="s">
        <v>28353</v>
      </c>
      <c r="U312" s="112">
        <v>1</v>
      </c>
    </row>
    <row r="313" spans="1:21" x14ac:dyDescent="0.2">
      <c r="A313" s="102" t="s">
        <v>29620</v>
      </c>
      <c r="B313" s="102" t="s">
        <v>29655</v>
      </c>
      <c r="C313" s="102" t="s">
        <v>31</v>
      </c>
      <c r="D313" s="102" t="s">
        <v>25556</v>
      </c>
      <c r="E313" s="102" t="s">
        <v>29661</v>
      </c>
      <c r="F313" s="102" t="s">
        <v>91</v>
      </c>
      <c r="G313" s="102" t="s">
        <v>29661</v>
      </c>
      <c r="H313" s="102" t="s">
        <v>29698</v>
      </c>
      <c r="I313" s="102" t="s">
        <v>41</v>
      </c>
      <c r="J313" s="102" t="s">
        <v>29710</v>
      </c>
      <c r="K313" s="102" t="s">
        <v>264</v>
      </c>
      <c r="L313" s="102" t="s">
        <v>25606</v>
      </c>
      <c r="M313" s="102" t="s">
        <v>26662</v>
      </c>
      <c r="N313" s="102">
        <v>975.8</v>
      </c>
      <c r="S313" t="str">
        <f t="shared" si="20"/>
        <v>95-012-89-59</v>
      </c>
      <c r="T313" s="129" t="s">
        <v>28349</v>
      </c>
      <c r="U313" s="112">
        <v>3</v>
      </c>
    </row>
    <row r="314" spans="1:21" x14ac:dyDescent="0.2">
      <c r="A314" s="102" t="s">
        <v>29620</v>
      </c>
      <c r="B314" s="102" t="s">
        <v>29655</v>
      </c>
      <c r="C314" s="102" t="s">
        <v>31</v>
      </c>
      <c r="D314" s="102" t="s">
        <v>25556</v>
      </c>
      <c r="E314" s="102" t="s">
        <v>29661</v>
      </c>
      <c r="F314" s="102" t="s">
        <v>91</v>
      </c>
      <c r="G314" s="102" t="s">
        <v>29661</v>
      </c>
      <c r="H314" s="102" t="s">
        <v>29698</v>
      </c>
      <c r="I314" s="102" t="s">
        <v>41</v>
      </c>
      <c r="J314" s="102" t="s">
        <v>29710</v>
      </c>
      <c r="K314" s="102" t="s">
        <v>264</v>
      </c>
      <c r="L314" s="102" t="s">
        <v>25606</v>
      </c>
      <c r="M314" s="102" t="s">
        <v>26662</v>
      </c>
      <c r="N314" s="102">
        <v>975.8</v>
      </c>
      <c r="S314" t="str">
        <f t="shared" si="20"/>
        <v>95-012-89-60</v>
      </c>
      <c r="T314" s="129" t="s">
        <v>28272</v>
      </c>
      <c r="U314" s="112">
        <v>3</v>
      </c>
    </row>
    <row r="315" spans="1:21" x14ac:dyDescent="0.2">
      <c r="A315" s="102" t="s">
        <v>29620</v>
      </c>
      <c r="B315" s="102" t="s">
        <v>29655</v>
      </c>
      <c r="C315" s="102" t="s">
        <v>31</v>
      </c>
      <c r="D315" s="102" t="s">
        <v>25556</v>
      </c>
      <c r="E315" s="102" t="s">
        <v>29661</v>
      </c>
      <c r="F315" s="102" t="s">
        <v>91</v>
      </c>
      <c r="G315" s="102" t="s">
        <v>29661</v>
      </c>
      <c r="H315" s="102" t="s">
        <v>29698</v>
      </c>
      <c r="I315" s="102" t="s">
        <v>41</v>
      </c>
      <c r="J315" s="102" t="s">
        <v>29710</v>
      </c>
      <c r="K315" s="102" t="s">
        <v>264</v>
      </c>
      <c r="L315" s="102" t="s">
        <v>25606</v>
      </c>
      <c r="M315" s="102" t="s">
        <v>26662</v>
      </c>
      <c r="N315" s="102">
        <v>975.8</v>
      </c>
      <c r="S315" t="str">
        <f t="shared" si="20"/>
        <v>95-012-89-61</v>
      </c>
      <c r="T315" s="129" t="s">
        <v>28354</v>
      </c>
      <c r="U315" s="112">
        <v>2</v>
      </c>
    </row>
    <row r="316" spans="1:21" x14ac:dyDescent="0.2">
      <c r="A316" s="102" t="s">
        <v>29621</v>
      </c>
      <c r="B316" s="102" t="s">
        <v>29645</v>
      </c>
      <c r="C316" s="102" t="s">
        <v>31</v>
      </c>
      <c r="D316" s="102" t="s">
        <v>39</v>
      </c>
      <c r="E316" s="102" t="s">
        <v>29661</v>
      </c>
      <c r="F316" s="102" t="s">
        <v>91</v>
      </c>
      <c r="G316" s="102" t="s">
        <v>29661</v>
      </c>
      <c r="H316" s="102" t="s">
        <v>29698</v>
      </c>
      <c r="I316" s="102" t="s">
        <v>41</v>
      </c>
      <c r="J316" s="102" t="s">
        <v>29710</v>
      </c>
      <c r="K316" s="102" t="s">
        <v>264</v>
      </c>
      <c r="L316" s="102" t="s">
        <v>25606</v>
      </c>
      <c r="M316" s="102" t="s">
        <v>26662</v>
      </c>
      <c r="N316" s="102">
        <v>975.8</v>
      </c>
      <c r="S316" t="str">
        <f t="shared" si="20"/>
        <v>95-008-89-56</v>
      </c>
      <c r="T316" s="129" t="s">
        <v>28269</v>
      </c>
      <c r="U316" s="112">
        <v>10</v>
      </c>
    </row>
    <row r="317" spans="1:21" x14ac:dyDescent="0.2">
      <c r="A317" s="102" t="s">
        <v>29621</v>
      </c>
      <c r="B317" s="102" t="s">
        <v>29645</v>
      </c>
      <c r="C317" s="102" t="s">
        <v>31</v>
      </c>
      <c r="D317" s="102" t="s">
        <v>39</v>
      </c>
      <c r="E317" s="102" t="s">
        <v>29661</v>
      </c>
      <c r="F317" s="102" t="s">
        <v>91</v>
      </c>
      <c r="G317" s="102" t="s">
        <v>29661</v>
      </c>
      <c r="H317" s="102" t="s">
        <v>29698</v>
      </c>
      <c r="I317" s="102" t="s">
        <v>41</v>
      </c>
      <c r="J317" s="102" t="s">
        <v>29710</v>
      </c>
      <c r="K317" s="102" t="s">
        <v>264</v>
      </c>
      <c r="L317" s="102" t="s">
        <v>25606</v>
      </c>
      <c r="M317" s="102" t="s">
        <v>26662</v>
      </c>
      <c r="N317" s="102">
        <v>975.8</v>
      </c>
      <c r="S317" t="str">
        <f t="shared" si="20"/>
        <v>95-008-89-57</v>
      </c>
      <c r="T317" s="129" t="s">
        <v>28353</v>
      </c>
      <c r="U317" s="112">
        <v>20</v>
      </c>
    </row>
    <row r="318" spans="1:21" x14ac:dyDescent="0.2">
      <c r="A318" s="102" t="s">
        <v>29621</v>
      </c>
      <c r="B318" s="102" t="s">
        <v>29645</v>
      </c>
      <c r="C318" s="102" t="s">
        <v>31</v>
      </c>
      <c r="D318" s="102" t="s">
        <v>39</v>
      </c>
      <c r="E318" s="102" t="s">
        <v>29661</v>
      </c>
      <c r="F318" s="102" t="s">
        <v>91</v>
      </c>
      <c r="G318" s="102" t="s">
        <v>29661</v>
      </c>
      <c r="H318" s="102" t="s">
        <v>29698</v>
      </c>
      <c r="I318" s="102" t="s">
        <v>41</v>
      </c>
      <c r="J318" s="102" t="s">
        <v>29710</v>
      </c>
      <c r="K318" s="102" t="s">
        <v>264</v>
      </c>
      <c r="L318" s="102" t="s">
        <v>25606</v>
      </c>
      <c r="M318" s="102" t="s">
        <v>26662</v>
      </c>
      <c r="N318" s="102">
        <v>975.8</v>
      </c>
      <c r="S318" t="str">
        <f t="shared" si="20"/>
        <v>95-008-89-58</v>
      </c>
      <c r="T318" s="129" t="s">
        <v>28395</v>
      </c>
      <c r="U318" s="112">
        <v>30</v>
      </c>
    </row>
    <row r="319" spans="1:21" x14ac:dyDescent="0.2">
      <c r="A319" s="102" t="s">
        <v>29621</v>
      </c>
      <c r="B319" s="102" t="s">
        <v>29645</v>
      </c>
      <c r="C319" s="102" t="s">
        <v>31</v>
      </c>
      <c r="D319" s="102" t="s">
        <v>39</v>
      </c>
      <c r="E319" s="102" t="s">
        <v>29661</v>
      </c>
      <c r="F319" s="102" t="s">
        <v>91</v>
      </c>
      <c r="G319" s="102" t="s">
        <v>29661</v>
      </c>
      <c r="H319" s="102" t="s">
        <v>29698</v>
      </c>
      <c r="I319" s="102" t="s">
        <v>41</v>
      </c>
      <c r="J319" s="102" t="s">
        <v>29710</v>
      </c>
      <c r="K319" s="102" t="s">
        <v>264</v>
      </c>
      <c r="L319" s="102" t="s">
        <v>25606</v>
      </c>
      <c r="M319" s="102" t="s">
        <v>26662</v>
      </c>
      <c r="N319" s="102">
        <v>975.8</v>
      </c>
      <c r="S319" t="str">
        <f t="shared" si="20"/>
        <v>95-008-89-59</v>
      </c>
      <c r="T319" s="129" t="s">
        <v>28349</v>
      </c>
      <c r="U319" s="112">
        <v>36</v>
      </c>
    </row>
    <row r="320" spans="1:21" x14ac:dyDescent="0.2">
      <c r="A320" s="102" t="s">
        <v>29621</v>
      </c>
      <c r="B320" s="102" t="s">
        <v>29645</v>
      </c>
      <c r="C320" s="102" t="s">
        <v>31</v>
      </c>
      <c r="D320" s="102" t="s">
        <v>39</v>
      </c>
      <c r="E320" s="102" t="s">
        <v>29661</v>
      </c>
      <c r="F320" s="102" t="s">
        <v>91</v>
      </c>
      <c r="G320" s="102" t="s">
        <v>29661</v>
      </c>
      <c r="H320" s="102" t="s">
        <v>29698</v>
      </c>
      <c r="I320" s="102" t="s">
        <v>41</v>
      </c>
      <c r="J320" s="102" t="s">
        <v>29710</v>
      </c>
      <c r="K320" s="102" t="s">
        <v>264</v>
      </c>
      <c r="L320" s="102" t="s">
        <v>25606</v>
      </c>
      <c r="M320" s="102" t="s">
        <v>26662</v>
      </c>
      <c r="N320" s="102">
        <v>975.8</v>
      </c>
      <c r="S320" t="str">
        <f t="shared" si="20"/>
        <v>95-008-89-60</v>
      </c>
      <c r="T320" s="129" t="s">
        <v>28272</v>
      </c>
      <c r="U320" s="112">
        <v>30</v>
      </c>
    </row>
    <row r="321" spans="1:21" x14ac:dyDescent="0.2">
      <c r="A321" s="102" t="s">
        <v>29621</v>
      </c>
      <c r="B321" s="102" t="s">
        <v>29645</v>
      </c>
      <c r="C321" s="102" t="s">
        <v>31</v>
      </c>
      <c r="D321" s="102" t="s">
        <v>39</v>
      </c>
      <c r="E321" s="102" t="s">
        <v>29661</v>
      </c>
      <c r="F321" s="102" t="s">
        <v>91</v>
      </c>
      <c r="G321" s="102" t="s">
        <v>29661</v>
      </c>
      <c r="H321" s="102" t="s">
        <v>29698</v>
      </c>
      <c r="I321" s="102" t="s">
        <v>41</v>
      </c>
      <c r="J321" s="102" t="s">
        <v>29710</v>
      </c>
      <c r="K321" s="102" t="s">
        <v>264</v>
      </c>
      <c r="L321" s="102" t="s">
        <v>25606</v>
      </c>
      <c r="M321" s="102" t="s">
        <v>26662</v>
      </c>
      <c r="N321" s="102">
        <v>975.8</v>
      </c>
      <c r="S321" t="str">
        <f t="shared" si="20"/>
        <v>95-008-89-61</v>
      </c>
      <c r="T321" s="129" t="s">
        <v>28354</v>
      </c>
      <c r="U321" s="112">
        <v>16</v>
      </c>
    </row>
    <row r="322" spans="1:21" x14ac:dyDescent="0.2">
      <c r="A322" s="102" t="s">
        <v>29621</v>
      </c>
      <c r="B322" s="102" t="s">
        <v>29645</v>
      </c>
      <c r="C322" s="102" t="s">
        <v>31</v>
      </c>
      <c r="D322" s="102" t="s">
        <v>39</v>
      </c>
      <c r="E322" s="102" t="s">
        <v>29661</v>
      </c>
      <c r="F322" s="102" t="s">
        <v>91</v>
      </c>
      <c r="G322" s="102" t="s">
        <v>29661</v>
      </c>
      <c r="H322" s="102" t="s">
        <v>29698</v>
      </c>
      <c r="I322" s="102" t="s">
        <v>41</v>
      </c>
      <c r="J322" s="102" t="s">
        <v>29710</v>
      </c>
      <c r="K322" s="102" t="s">
        <v>264</v>
      </c>
      <c r="L322" s="102" t="s">
        <v>25606</v>
      </c>
      <c r="M322" s="102" t="s">
        <v>26662</v>
      </c>
      <c r="N322" s="102">
        <v>975.8</v>
      </c>
      <c r="S322" t="str">
        <f t="shared" si="20"/>
        <v>95-008-89-62</v>
      </c>
      <c r="T322" s="129" t="s">
        <v>28236</v>
      </c>
      <c r="U322" s="112">
        <v>9</v>
      </c>
    </row>
    <row r="323" spans="1:21" x14ac:dyDescent="0.2">
      <c r="A323" s="102" t="s">
        <v>29622</v>
      </c>
      <c r="B323" s="102" t="s">
        <v>29649</v>
      </c>
      <c r="C323" s="102" t="s">
        <v>46</v>
      </c>
      <c r="D323" s="102" t="s">
        <v>47</v>
      </c>
      <c r="E323" s="102" t="s">
        <v>29661</v>
      </c>
      <c r="F323" s="102" t="s">
        <v>91</v>
      </c>
      <c r="G323" s="102" t="s">
        <v>29661</v>
      </c>
      <c r="H323" s="102" t="s">
        <v>29698</v>
      </c>
      <c r="I323" s="102" t="s">
        <v>41</v>
      </c>
      <c r="J323" s="102" t="s">
        <v>29710</v>
      </c>
      <c r="K323" s="102" t="s">
        <v>264</v>
      </c>
      <c r="L323" s="102" t="s">
        <v>25606</v>
      </c>
      <c r="M323" s="102" t="s">
        <v>26662</v>
      </c>
      <c r="N323" s="102">
        <v>975.8</v>
      </c>
      <c r="S323" t="str">
        <f t="shared" ref="S323:S339" si="21">A323&amp;"-"&amp;T323</f>
        <v>95-001-89-56</v>
      </c>
      <c r="T323" s="129" t="s">
        <v>28269</v>
      </c>
      <c r="U323" s="112">
        <v>2</v>
      </c>
    </row>
    <row r="324" spans="1:21" x14ac:dyDescent="0.2">
      <c r="A324" s="102" t="s">
        <v>29622</v>
      </c>
      <c r="B324" s="102" t="s">
        <v>29649</v>
      </c>
      <c r="C324" s="102" t="s">
        <v>46</v>
      </c>
      <c r="D324" s="102" t="s">
        <v>47</v>
      </c>
      <c r="E324" s="102" t="s">
        <v>29661</v>
      </c>
      <c r="F324" s="102" t="s">
        <v>91</v>
      </c>
      <c r="G324" s="102" t="s">
        <v>29661</v>
      </c>
      <c r="H324" s="102" t="s">
        <v>29698</v>
      </c>
      <c r="I324" s="102" t="s">
        <v>41</v>
      </c>
      <c r="J324" s="102" t="s">
        <v>29710</v>
      </c>
      <c r="K324" s="102" t="s">
        <v>264</v>
      </c>
      <c r="L324" s="102" t="s">
        <v>25606</v>
      </c>
      <c r="M324" s="102" t="s">
        <v>26662</v>
      </c>
      <c r="N324" s="102">
        <v>975.8</v>
      </c>
      <c r="S324" t="str">
        <f t="shared" si="21"/>
        <v>95-001-89-57</v>
      </c>
      <c r="T324" s="129" t="s">
        <v>28353</v>
      </c>
      <c r="U324" s="112">
        <v>4</v>
      </c>
    </row>
    <row r="325" spans="1:21" x14ac:dyDescent="0.2">
      <c r="A325" s="102" t="s">
        <v>29622</v>
      </c>
      <c r="B325" s="102" t="s">
        <v>29649</v>
      </c>
      <c r="C325" s="102" t="s">
        <v>46</v>
      </c>
      <c r="D325" s="102" t="s">
        <v>47</v>
      </c>
      <c r="E325" s="102" t="s">
        <v>29661</v>
      </c>
      <c r="F325" s="102" t="s">
        <v>91</v>
      </c>
      <c r="G325" s="102" t="s">
        <v>29661</v>
      </c>
      <c r="H325" s="102" t="s">
        <v>29698</v>
      </c>
      <c r="I325" s="102" t="s">
        <v>41</v>
      </c>
      <c r="J325" s="102" t="s">
        <v>29710</v>
      </c>
      <c r="K325" s="102" t="s">
        <v>264</v>
      </c>
      <c r="L325" s="102" t="s">
        <v>25606</v>
      </c>
      <c r="M325" s="102" t="s">
        <v>26662</v>
      </c>
      <c r="N325" s="102">
        <v>975.8</v>
      </c>
      <c r="S325" t="str">
        <f t="shared" si="21"/>
        <v>95-001-89-58</v>
      </c>
      <c r="T325" s="129" t="s">
        <v>28395</v>
      </c>
      <c r="U325" s="112">
        <v>6</v>
      </c>
    </row>
    <row r="326" spans="1:21" x14ac:dyDescent="0.2">
      <c r="A326" s="102" t="s">
        <v>29622</v>
      </c>
      <c r="B326" s="102" t="s">
        <v>29649</v>
      </c>
      <c r="C326" s="102" t="s">
        <v>46</v>
      </c>
      <c r="D326" s="102" t="s">
        <v>47</v>
      </c>
      <c r="E326" s="102" t="s">
        <v>29661</v>
      </c>
      <c r="F326" s="102" t="s">
        <v>91</v>
      </c>
      <c r="G326" s="102" t="s">
        <v>29661</v>
      </c>
      <c r="H326" s="102" t="s">
        <v>29698</v>
      </c>
      <c r="I326" s="102" t="s">
        <v>41</v>
      </c>
      <c r="J326" s="102" t="s">
        <v>29710</v>
      </c>
      <c r="K326" s="102" t="s">
        <v>264</v>
      </c>
      <c r="L326" s="102" t="s">
        <v>25606</v>
      </c>
      <c r="M326" s="102" t="s">
        <v>26662</v>
      </c>
      <c r="N326" s="102">
        <v>975.8</v>
      </c>
      <c r="S326" t="str">
        <f t="shared" si="21"/>
        <v>95-001-89-59</v>
      </c>
      <c r="T326" s="129" t="s">
        <v>28349</v>
      </c>
      <c r="U326" s="112">
        <v>9</v>
      </c>
    </row>
    <row r="327" spans="1:21" x14ac:dyDescent="0.2">
      <c r="A327" s="102" t="s">
        <v>29622</v>
      </c>
      <c r="B327" s="102" t="s">
        <v>29649</v>
      </c>
      <c r="C327" s="102" t="s">
        <v>46</v>
      </c>
      <c r="D327" s="102" t="s">
        <v>47</v>
      </c>
      <c r="E327" s="102" t="s">
        <v>29661</v>
      </c>
      <c r="F327" s="102" t="s">
        <v>91</v>
      </c>
      <c r="G327" s="102" t="s">
        <v>29661</v>
      </c>
      <c r="H327" s="102" t="s">
        <v>29698</v>
      </c>
      <c r="I327" s="102" t="s">
        <v>41</v>
      </c>
      <c r="J327" s="102" t="s">
        <v>29710</v>
      </c>
      <c r="K327" s="102" t="s">
        <v>264</v>
      </c>
      <c r="L327" s="102" t="s">
        <v>25606</v>
      </c>
      <c r="M327" s="102" t="s">
        <v>26662</v>
      </c>
      <c r="N327" s="102">
        <v>975.8</v>
      </c>
      <c r="S327" t="str">
        <f t="shared" si="21"/>
        <v>95-001-89-60</v>
      </c>
      <c r="T327" s="129" t="s">
        <v>28272</v>
      </c>
      <c r="U327" s="112">
        <v>6</v>
      </c>
    </row>
    <row r="328" spans="1:21" x14ac:dyDescent="0.2">
      <c r="A328" s="102" t="s">
        <v>29622</v>
      </c>
      <c r="B328" s="102" t="s">
        <v>29649</v>
      </c>
      <c r="C328" s="102" t="s">
        <v>46</v>
      </c>
      <c r="D328" s="102" t="s">
        <v>47</v>
      </c>
      <c r="E328" s="102" t="s">
        <v>29661</v>
      </c>
      <c r="F328" s="102" t="s">
        <v>91</v>
      </c>
      <c r="G328" s="102" t="s">
        <v>29661</v>
      </c>
      <c r="H328" s="102" t="s">
        <v>29698</v>
      </c>
      <c r="I328" s="102" t="s">
        <v>41</v>
      </c>
      <c r="J328" s="102" t="s">
        <v>29710</v>
      </c>
      <c r="K328" s="102" t="s">
        <v>264</v>
      </c>
      <c r="L328" s="102" t="s">
        <v>25606</v>
      </c>
      <c r="M328" s="102" t="s">
        <v>26662</v>
      </c>
      <c r="N328" s="102">
        <v>975.8</v>
      </c>
      <c r="S328" t="str">
        <f t="shared" si="21"/>
        <v>95-001-89-61</v>
      </c>
      <c r="T328" s="129" t="s">
        <v>28354</v>
      </c>
      <c r="U328" s="112">
        <v>4</v>
      </c>
    </row>
    <row r="329" spans="1:21" x14ac:dyDescent="0.2">
      <c r="A329" s="102" t="s">
        <v>29622</v>
      </c>
      <c r="B329" s="102" t="s">
        <v>29649</v>
      </c>
      <c r="C329" s="102" t="s">
        <v>46</v>
      </c>
      <c r="D329" s="102" t="s">
        <v>47</v>
      </c>
      <c r="E329" s="102" t="s">
        <v>29661</v>
      </c>
      <c r="F329" s="102" t="s">
        <v>91</v>
      </c>
      <c r="G329" s="102" t="s">
        <v>29661</v>
      </c>
      <c r="H329" s="102" t="s">
        <v>29698</v>
      </c>
      <c r="I329" s="102" t="s">
        <v>41</v>
      </c>
      <c r="J329" s="102" t="s">
        <v>29710</v>
      </c>
      <c r="K329" s="102" t="s">
        <v>264</v>
      </c>
      <c r="L329" s="102" t="s">
        <v>25606</v>
      </c>
      <c r="M329" s="102" t="s">
        <v>26662</v>
      </c>
      <c r="N329" s="102">
        <v>975.8</v>
      </c>
      <c r="S329" t="str">
        <f t="shared" si="21"/>
        <v>95-001-89-62</v>
      </c>
      <c r="T329" s="129" t="s">
        <v>28236</v>
      </c>
      <c r="U329" s="112">
        <v>2</v>
      </c>
    </row>
    <row r="330" spans="1:21" x14ac:dyDescent="0.2">
      <c r="A330" s="102" t="s">
        <v>29623</v>
      </c>
      <c r="B330" s="102" t="s">
        <v>29657</v>
      </c>
      <c r="C330" s="102" t="s">
        <v>198</v>
      </c>
      <c r="D330" s="102" t="s">
        <v>199</v>
      </c>
      <c r="E330" s="102" t="s">
        <v>29661</v>
      </c>
      <c r="F330" s="102" t="s">
        <v>91</v>
      </c>
      <c r="G330" s="102" t="s">
        <v>29661</v>
      </c>
      <c r="H330" s="102" t="s">
        <v>29698</v>
      </c>
      <c r="I330" s="102" t="s">
        <v>41</v>
      </c>
      <c r="J330" s="102" t="s">
        <v>29710</v>
      </c>
      <c r="K330" s="102" t="s">
        <v>264</v>
      </c>
      <c r="L330" s="102" t="s">
        <v>25606</v>
      </c>
      <c r="M330" s="102" t="s">
        <v>26662</v>
      </c>
      <c r="N330" s="102">
        <v>975.8</v>
      </c>
      <c r="S330" t="str">
        <f t="shared" si="21"/>
        <v>95-016-89-56</v>
      </c>
      <c r="T330" s="129" t="s">
        <v>28269</v>
      </c>
      <c r="U330" s="112">
        <v>1</v>
      </c>
    </row>
    <row r="331" spans="1:21" x14ac:dyDescent="0.2">
      <c r="A331" s="102" t="s">
        <v>29623</v>
      </c>
      <c r="B331" s="102" t="s">
        <v>29657</v>
      </c>
      <c r="C331" s="102" t="s">
        <v>198</v>
      </c>
      <c r="D331" s="102" t="s">
        <v>199</v>
      </c>
      <c r="E331" s="102" t="s">
        <v>29661</v>
      </c>
      <c r="F331" s="102" t="s">
        <v>91</v>
      </c>
      <c r="G331" s="102" t="s">
        <v>29661</v>
      </c>
      <c r="H331" s="102" t="s">
        <v>29698</v>
      </c>
      <c r="I331" s="102" t="s">
        <v>41</v>
      </c>
      <c r="J331" s="102" t="s">
        <v>29710</v>
      </c>
      <c r="K331" s="102" t="s">
        <v>264</v>
      </c>
      <c r="L331" s="102" t="s">
        <v>25606</v>
      </c>
      <c r="M331" s="102" t="s">
        <v>26662</v>
      </c>
      <c r="N331" s="102">
        <v>975.8</v>
      </c>
      <c r="S331" t="str">
        <f t="shared" si="21"/>
        <v>95-016-89-57</v>
      </c>
      <c r="T331" s="129" t="s">
        <v>28353</v>
      </c>
      <c r="U331" s="112">
        <v>3</v>
      </c>
    </row>
    <row r="332" spans="1:21" x14ac:dyDescent="0.2">
      <c r="A332" s="102" t="s">
        <v>29623</v>
      </c>
      <c r="B332" s="102" t="s">
        <v>29657</v>
      </c>
      <c r="C332" s="102" t="s">
        <v>198</v>
      </c>
      <c r="D332" s="102" t="s">
        <v>199</v>
      </c>
      <c r="E332" s="102" t="s">
        <v>29661</v>
      </c>
      <c r="F332" s="102" t="s">
        <v>91</v>
      </c>
      <c r="G332" s="102" t="s">
        <v>29661</v>
      </c>
      <c r="H332" s="102" t="s">
        <v>29698</v>
      </c>
      <c r="I332" s="102" t="s">
        <v>41</v>
      </c>
      <c r="J332" s="102" t="s">
        <v>29710</v>
      </c>
      <c r="K332" s="102" t="s">
        <v>264</v>
      </c>
      <c r="L332" s="102" t="s">
        <v>25606</v>
      </c>
      <c r="M332" s="102" t="s">
        <v>26662</v>
      </c>
      <c r="N332" s="102">
        <v>975.8</v>
      </c>
      <c r="S332" t="str">
        <f t="shared" si="21"/>
        <v>95-016-89-58</v>
      </c>
      <c r="T332" s="129" t="s">
        <v>28395</v>
      </c>
      <c r="U332" s="112">
        <v>5</v>
      </c>
    </row>
    <row r="333" spans="1:21" x14ac:dyDescent="0.2">
      <c r="A333" s="102" t="s">
        <v>29623</v>
      </c>
      <c r="B333" s="102" t="s">
        <v>29657</v>
      </c>
      <c r="C333" s="102" t="s">
        <v>198</v>
      </c>
      <c r="D333" s="102" t="s">
        <v>199</v>
      </c>
      <c r="E333" s="102" t="s">
        <v>29661</v>
      </c>
      <c r="F333" s="102" t="s">
        <v>91</v>
      </c>
      <c r="G333" s="102" t="s">
        <v>29661</v>
      </c>
      <c r="H333" s="102" t="s">
        <v>29698</v>
      </c>
      <c r="I333" s="102" t="s">
        <v>41</v>
      </c>
      <c r="J333" s="102" t="s">
        <v>29710</v>
      </c>
      <c r="K333" s="102" t="s">
        <v>264</v>
      </c>
      <c r="L333" s="102" t="s">
        <v>25606</v>
      </c>
      <c r="M333" s="102" t="s">
        <v>26662</v>
      </c>
      <c r="N333" s="102">
        <v>975.8</v>
      </c>
      <c r="S333" t="str">
        <f t="shared" si="21"/>
        <v>95-016-89-59</v>
      </c>
      <c r="T333" s="129" t="s">
        <v>28349</v>
      </c>
      <c r="U333" s="112">
        <v>7</v>
      </c>
    </row>
    <row r="334" spans="1:21" x14ac:dyDescent="0.2">
      <c r="A334" s="102" t="s">
        <v>29623</v>
      </c>
      <c r="B334" s="102" t="s">
        <v>29657</v>
      </c>
      <c r="C334" s="102" t="s">
        <v>198</v>
      </c>
      <c r="D334" s="102" t="s">
        <v>199</v>
      </c>
      <c r="E334" s="102" t="s">
        <v>29661</v>
      </c>
      <c r="F334" s="102" t="s">
        <v>91</v>
      </c>
      <c r="G334" s="102" t="s">
        <v>29661</v>
      </c>
      <c r="H334" s="102" t="s">
        <v>29698</v>
      </c>
      <c r="I334" s="102" t="s">
        <v>41</v>
      </c>
      <c r="J334" s="102" t="s">
        <v>29710</v>
      </c>
      <c r="K334" s="102" t="s">
        <v>264</v>
      </c>
      <c r="L334" s="102" t="s">
        <v>25606</v>
      </c>
      <c r="M334" s="102" t="s">
        <v>26662</v>
      </c>
      <c r="N334" s="102">
        <v>975.8</v>
      </c>
      <c r="S334" t="str">
        <f t="shared" si="21"/>
        <v>95-016-89-60</v>
      </c>
      <c r="T334" s="129" t="s">
        <v>28272</v>
      </c>
      <c r="U334" s="112">
        <v>5</v>
      </c>
    </row>
    <row r="335" spans="1:21" x14ac:dyDescent="0.2">
      <c r="A335" s="102" t="s">
        <v>29623</v>
      </c>
      <c r="B335" s="102" t="s">
        <v>29657</v>
      </c>
      <c r="C335" s="102" t="s">
        <v>198</v>
      </c>
      <c r="D335" s="102" t="s">
        <v>199</v>
      </c>
      <c r="E335" s="102" t="s">
        <v>29661</v>
      </c>
      <c r="F335" s="102" t="s">
        <v>91</v>
      </c>
      <c r="G335" s="102" t="s">
        <v>29661</v>
      </c>
      <c r="H335" s="102" t="s">
        <v>29698</v>
      </c>
      <c r="I335" s="102" t="s">
        <v>41</v>
      </c>
      <c r="J335" s="102" t="s">
        <v>29710</v>
      </c>
      <c r="K335" s="102" t="s">
        <v>264</v>
      </c>
      <c r="L335" s="102" t="s">
        <v>25606</v>
      </c>
      <c r="M335" s="102" t="s">
        <v>26662</v>
      </c>
      <c r="N335" s="102">
        <v>975.8</v>
      </c>
      <c r="S335" t="str">
        <f t="shared" si="21"/>
        <v>95-016-89-61</v>
      </c>
      <c r="T335" s="129" t="s">
        <v>28354</v>
      </c>
      <c r="U335" s="112">
        <v>3</v>
      </c>
    </row>
    <row r="336" spans="1:21" x14ac:dyDescent="0.2">
      <c r="A336" s="102" t="s">
        <v>29624</v>
      </c>
      <c r="B336" s="102" t="s">
        <v>29648</v>
      </c>
      <c r="C336" s="102" t="s">
        <v>31</v>
      </c>
      <c r="D336" s="102" t="s">
        <v>37</v>
      </c>
      <c r="E336" s="102" t="s">
        <v>29661</v>
      </c>
      <c r="F336" s="102" t="s">
        <v>91</v>
      </c>
      <c r="G336" s="102" t="s">
        <v>29661</v>
      </c>
      <c r="H336" s="102" t="s">
        <v>29699</v>
      </c>
      <c r="I336" s="102" t="s">
        <v>28400</v>
      </c>
      <c r="J336" s="102" t="s">
        <v>29710</v>
      </c>
      <c r="K336" s="102" t="s">
        <v>264</v>
      </c>
      <c r="L336" s="102" t="s">
        <v>25606</v>
      </c>
      <c r="M336" s="102" t="s">
        <v>26662</v>
      </c>
      <c r="N336" s="102">
        <v>975.8</v>
      </c>
      <c r="S336" t="str">
        <f t="shared" si="21"/>
        <v>95-006-16-57</v>
      </c>
      <c r="T336" s="129" t="s">
        <v>28353</v>
      </c>
      <c r="U336" s="112">
        <v>2</v>
      </c>
    </row>
    <row r="337" spans="1:21" x14ac:dyDescent="0.2">
      <c r="A337" s="102" t="s">
        <v>29624</v>
      </c>
      <c r="B337" s="102" t="s">
        <v>29648</v>
      </c>
      <c r="C337" s="102" t="s">
        <v>31</v>
      </c>
      <c r="D337" s="102" t="s">
        <v>37</v>
      </c>
      <c r="E337" s="102" t="s">
        <v>29661</v>
      </c>
      <c r="F337" s="102" t="s">
        <v>91</v>
      </c>
      <c r="G337" s="102" t="s">
        <v>29661</v>
      </c>
      <c r="H337" s="102" t="s">
        <v>29699</v>
      </c>
      <c r="I337" s="102" t="s">
        <v>28400</v>
      </c>
      <c r="J337" s="102" t="s">
        <v>29710</v>
      </c>
      <c r="K337" s="102" t="s">
        <v>264</v>
      </c>
      <c r="L337" s="102" t="s">
        <v>25606</v>
      </c>
      <c r="M337" s="102" t="s">
        <v>26662</v>
      </c>
      <c r="N337" s="102">
        <v>975.8</v>
      </c>
      <c r="S337" t="str">
        <f t="shared" si="21"/>
        <v>95-006-16-58</v>
      </c>
      <c r="T337" s="129" t="s">
        <v>28395</v>
      </c>
      <c r="U337" s="112">
        <v>3</v>
      </c>
    </row>
    <row r="338" spans="1:21" x14ac:dyDescent="0.2">
      <c r="A338" s="102" t="s">
        <v>29624</v>
      </c>
      <c r="B338" s="102" t="s">
        <v>29648</v>
      </c>
      <c r="C338" s="102" t="s">
        <v>31</v>
      </c>
      <c r="D338" s="102" t="s">
        <v>37</v>
      </c>
      <c r="E338" s="102" t="s">
        <v>29661</v>
      </c>
      <c r="F338" s="102" t="s">
        <v>91</v>
      </c>
      <c r="G338" s="102" t="s">
        <v>29661</v>
      </c>
      <c r="H338" s="102" t="s">
        <v>29699</v>
      </c>
      <c r="I338" s="102" t="s">
        <v>28400</v>
      </c>
      <c r="J338" s="102" t="s">
        <v>29710</v>
      </c>
      <c r="K338" s="102" t="s">
        <v>264</v>
      </c>
      <c r="L338" s="102" t="s">
        <v>25606</v>
      </c>
      <c r="M338" s="102" t="s">
        <v>26662</v>
      </c>
      <c r="N338" s="102">
        <v>975.8</v>
      </c>
      <c r="S338" t="str">
        <f t="shared" si="21"/>
        <v>95-006-16-59</v>
      </c>
      <c r="T338" s="129" t="s">
        <v>28349</v>
      </c>
      <c r="U338" s="112">
        <v>4</v>
      </c>
    </row>
    <row r="339" spans="1:21" x14ac:dyDescent="0.2">
      <c r="A339" s="102" t="s">
        <v>29624</v>
      </c>
      <c r="B339" s="102" t="s">
        <v>29648</v>
      </c>
      <c r="C339" s="102" t="s">
        <v>31</v>
      </c>
      <c r="D339" s="102" t="s">
        <v>37</v>
      </c>
      <c r="E339" s="102" t="s">
        <v>29661</v>
      </c>
      <c r="F339" s="102" t="s">
        <v>91</v>
      </c>
      <c r="G339" s="102" t="s">
        <v>29661</v>
      </c>
      <c r="H339" s="102" t="s">
        <v>29699</v>
      </c>
      <c r="I339" s="102" t="s">
        <v>28400</v>
      </c>
      <c r="J339" s="102" t="s">
        <v>29710</v>
      </c>
      <c r="K339" s="102" t="s">
        <v>264</v>
      </c>
      <c r="L339" s="102" t="s">
        <v>25606</v>
      </c>
      <c r="M339" s="102" t="s">
        <v>26662</v>
      </c>
      <c r="N339" s="102">
        <v>975.8</v>
      </c>
      <c r="S339" t="str">
        <f t="shared" si="21"/>
        <v>95-006-16-60</v>
      </c>
      <c r="T339" s="129" t="s">
        <v>28272</v>
      </c>
      <c r="U339" s="112">
        <v>3</v>
      </c>
    </row>
    <row r="340" spans="1:21" x14ac:dyDescent="0.2">
      <c r="A340" s="102" t="s">
        <v>29625</v>
      </c>
      <c r="B340" s="102" t="s">
        <v>29649</v>
      </c>
      <c r="C340" s="102" t="s">
        <v>46</v>
      </c>
      <c r="D340" s="102" t="s">
        <v>47</v>
      </c>
      <c r="E340" s="102" t="s">
        <v>29661</v>
      </c>
      <c r="F340" s="102" t="s">
        <v>91</v>
      </c>
      <c r="G340" s="102" t="s">
        <v>29661</v>
      </c>
      <c r="H340" s="102" t="s">
        <v>29700</v>
      </c>
      <c r="I340" s="102" t="s">
        <v>23</v>
      </c>
      <c r="J340" s="102" t="s">
        <v>29710</v>
      </c>
      <c r="K340" s="102" t="s">
        <v>264</v>
      </c>
      <c r="L340" s="102" t="s">
        <v>25606</v>
      </c>
      <c r="M340" s="102" t="s">
        <v>26662</v>
      </c>
      <c r="N340" s="102">
        <v>975.8</v>
      </c>
      <c r="S340" t="str">
        <f t="shared" ref="S340:S354" si="22">A340&amp;"-"&amp;T340</f>
        <v>95-001-16-56</v>
      </c>
      <c r="T340" s="129" t="s">
        <v>28269</v>
      </c>
      <c r="U340" s="112">
        <v>2</v>
      </c>
    </row>
    <row r="341" spans="1:21" x14ac:dyDescent="0.2">
      <c r="A341" s="102" t="s">
        <v>29625</v>
      </c>
      <c r="B341" s="102" t="s">
        <v>29649</v>
      </c>
      <c r="C341" s="102" t="s">
        <v>46</v>
      </c>
      <c r="D341" s="102" t="s">
        <v>47</v>
      </c>
      <c r="E341" s="102" t="s">
        <v>29661</v>
      </c>
      <c r="F341" s="102" t="s">
        <v>91</v>
      </c>
      <c r="G341" s="102" t="s">
        <v>29661</v>
      </c>
      <c r="H341" s="102" t="s">
        <v>29700</v>
      </c>
      <c r="I341" s="102" t="s">
        <v>23</v>
      </c>
      <c r="J341" s="102" t="s">
        <v>29710</v>
      </c>
      <c r="K341" s="102" t="s">
        <v>264</v>
      </c>
      <c r="L341" s="102" t="s">
        <v>25606</v>
      </c>
      <c r="M341" s="102" t="s">
        <v>26662</v>
      </c>
      <c r="N341" s="102">
        <v>975.8</v>
      </c>
      <c r="S341" t="str">
        <f t="shared" si="22"/>
        <v>95-001-16-57</v>
      </c>
      <c r="T341" s="129" t="s">
        <v>28353</v>
      </c>
      <c r="U341" s="112">
        <v>4</v>
      </c>
    </row>
    <row r="342" spans="1:21" x14ac:dyDescent="0.2">
      <c r="A342" s="102" t="s">
        <v>29625</v>
      </c>
      <c r="B342" s="102" t="s">
        <v>29649</v>
      </c>
      <c r="C342" s="102" t="s">
        <v>46</v>
      </c>
      <c r="D342" s="102" t="s">
        <v>47</v>
      </c>
      <c r="E342" s="102" t="s">
        <v>29661</v>
      </c>
      <c r="F342" s="102" t="s">
        <v>91</v>
      </c>
      <c r="G342" s="102" t="s">
        <v>29661</v>
      </c>
      <c r="H342" s="102" t="s">
        <v>29700</v>
      </c>
      <c r="I342" s="102" t="s">
        <v>23</v>
      </c>
      <c r="J342" s="102" t="s">
        <v>29710</v>
      </c>
      <c r="K342" s="102" t="s">
        <v>264</v>
      </c>
      <c r="L342" s="102" t="s">
        <v>25606</v>
      </c>
      <c r="M342" s="102" t="s">
        <v>26662</v>
      </c>
      <c r="N342" s="102">
        <v>975.8</v>
      </c>
      <c r="S342" t="str">
        <f t="shared" si="22"/>
        <v>95-001-16-58</v>
      </c>
      <c r="T342" s="129" t="s">
        <v>28395</v>
      </c>
      <c r="U342" s="112">
        <v>6</v>
      </c>
    </row>
    <row r="343" spans="1:21" x14ac:dyDescent="0.2">
      <c r="A343" s="102" t="s">
        <v>29625</v>
      </c>
      <c r="B343" s="102" t="s">
        <v>29649</v>
      </c>
      <c r="C343" s="102" t="s">
        <v>46</v>
      </c>
      <c r="D343" s="102" t="s">
        <v>47</v>
      </c>
      <c r="E343" s="102" t="s">
        <v>29661</v>
      </c>
      <c r="F343" s="102" t="s">
        <v>91</v>
      </c>
      <c r="G343" s="102" t="s">
        <v>29661</v>
      </c>
      <c r="H343" s="102" t="s">
        <v>29700</v>
      </c>
      <c r="I343" s="102" t="s">
        <v>23</v>
      </c>
      <c r="J343" s="102" t="s">
        <v>29710</v>
      </c>
      <c r="K343" s="102" t="s">
        <v>264</v>
      </c>
      <c r="L343" s="102" t="s">
        <v>25606</v>
      </c>
      <c r="M343" s="102" t="s">
        <v>26662</v>
      </c>
      <c r="N343" s="102">
        <v>975.8</v>
      </c>
      <c r="S343" t="str">
        <f t="shared" si="22"/>
        <v>95-001-16-59</v>
      </c>
      <c r="T343" s="129" t="s">
        <v>28349</v>
      </c>
      <c r="U343" s="112">
        <v>9</v>
      </c>
    </row>
    <row r="344" spans="1:21" x14ac:dyDescent="0.2">
      <c r="A344" s="102" t="s">
        <v>29625</v>
      </c>
      <c r="B344" s="102" t="s">
        <v>29649</v>
      </c>
      <c r="C344" s="102" t="s">
        <v>46</v>
      </c>
      <c r="D344" s="102" t="s">
        <v>47</v>
      </c>
      <c r="E344" s="102" t="s">
        <v>29661</v>
      </c>
      <c r="F344" s="102" t="s">
        <v>91</v>
      </c>
      <c r="G344" s="102" t="s">
        <v>29661</v>
      </c>
      <c r="H344" s="102" t="s">
        <v>29700</v>
      </c>
      <c r="I344" s="102" t="s">
        <v>23</v>
      </c>
      <c r="J344" s="102" t="s">
        <v>29710</v>
      </c>
      <c r="K344" s="102" t="s">
        <v>264</v>
      </c>
      <c r="L344" s="102" t="s">
        <v>25606</v>
      </c>
      <c r="M344" s="102" t="s">
        <v>26662</v>
      </c>
      <c r="N344" s="102">
        <v>975.8</v>
      </c>
      <c r="S344" t="str">
        <f t="shared" si="22"/>
        <v>95-001-16-60</v>
      </c>
      <c r="T344" s="129" t="s">
        <v>28272</v>
      </c>
      <c r="U344" s="112">
        <v>6</v>
      </c>
    </row>
    <row r="345" spans="1:21" x14ac:dyDescent="0.2">
      <c r="A345" s="102" t="s">
        <v>29625</v>
      </c>
      <c r="B345" s="102" t="s">
        <v>29649</v>
      </c>
      <c r="C345" s="102" t="s">
        <v>46</v>
      </c>
      <c r="D345" s="102" t="s">
        <v>47</v>
      </c>
      <c r="E345" s="102" t="s">
        <v>29661</v>
      </c>
      <c r="F345" s="102" t="s">
        <v>91</v>
      </c>
      <c r="G345" s="102" t="s">
        <v>29661</v>
      </c>
      <c r="H345" s="102" t="s">
        <v>29700</v>
      </c>
      <c r="I345" s="102" t="s">
        <v>23</v>
      </c>
      <c r="J345" s="102" t="s">
        <v>29710</v>
      </c>
      <c r="K345" s="102" t="s">
        <v>264</v>
      </c>
      <c r="L345" s="102" t="s">
        <v>25606</v>
      </c>
      <c r="M345" s="102" t="s">
        <v>26662</v>
      </c>
      <c r="N345" s="102">
        <v>975.8</v>
      </c>
      <c r="S345" t="str">
        <f t="shared" si="22"/>
        <v>95-001-16-61</v>
      </c>
      <c r="T345" s="129" t="s">
        <v>28354</v>
      </c>
      <c r="U345" s="112">
        <v>4</v>
      </c>
    </row>
    <row r="346" spans="1:21" x14ac:dyDescent="0.2">
      <c r="A346" s="102" t="s">
        <v>29625</v>
      </c>
      <c r="B346" s="102" t="s">
        <v>29649</v>
      </c>
      <c r="C346" s="102" t="s">
        <v>46</v>
      </c>
      <c r="D346" s="102" t="s">
        <v>47</v>
      </c>
      <c r="E346" s="102" t="s">
        <v>29661</v>
      </c>
      <c r="F346" s="102" t="s">
        <v>91</v>
      </c>
      <c r="G346" s="102" t="s">
        <v>29661</v>
      </c>
      <c r="H346" s="102" t="s">
        <v>29700</v>
      </c>
      <c r="I346" s="102" t="s">
        <v>23</v>
      </c>
      <c r="J346" s="102" t="s">
        <v>29710</v>
      </c>
      <c r="K346" s="102" t="s">
        <v>264</v>
      </c>
      <c r="L346" s="102" t="s">
        <v>25606</v>
      </c>
      <c r="M346" s="102" t="s">
        <v>26662</v>
      </c>
      <c r="N346" s="102">
        <v>975.8</v>
      </c>
      <c r="S346" t="str">
        <f t="shared" si="22"/>
        <v>95-001-16-62</v>
      </c>
      <c r="T346" s="129" t="s">
        <v>28236</v>
      </c>
      <c r="U346" s="112">
        <v>2</v>
      </c>
    </row>
    <row r="347" spans="1:21" x14ac:dyDescent="0.2">
      <c r="A347" s="102" t="s">
        <v>29626</v>
      </c>
      <c r="B347" s="102" t="s">
        <v>29659</v>
      </c>
      <c r="C347" s="102" t="s">
        <v>46</v>
      </c>
      <c r="D347" s="102" t="s">
        <v>47</v>
      </c>
      <c r="E347" s="102" t="s">
        <v>29661</v>
      </c>
      <c r="F347" s="102" t="s">
        <v>91</v>
      </c>
      <c r="G347" s="102" t="s">
        <v>29661</v>
      </c>
      <c r="H347" s="102" t="s">
        <v>29700</v>
      </c>
      <c r="I347" s="102" t="s">
        <v>23</v>
      </c>
      <c r="J347" s="102" t="s">
        <v>29710</v>
      </c>
      <c r="K347" s="102" t="s">
        <v>264</v>
      </c>
      <c r="L347" s="102" t="s">
        <v>25606</v>
      </c>
      <c r="M347" s="102" t="s">
        <v>26662</v>
      </c>
      <c r="N347" s="102">
        <v>975.8</v>
      </c>
      <c r="S347" t="str">
        <f t="shared" si="22"/>
        <v>95-013-16-57</v>
      </c>
      <c r="T347" s="129" t="s">
        <v>28353</v>
      </c>
      <c r="U347" s="112">
        <v>2</v>
      </c>
    </row>
    <row r="348" spans="1:21" x14ac:dyDescent="0.2">
      <c r="A348" s="102" t="s">
        <v>29626</v>
      </c>
      <c r="B348" s="102" t="s">
        <v>29659</v>
      </c>
      <c r="C348" s="102" t="s">
        <v>46</v>
      </c>
      <c r="D348" s="102" t="s">
        <v>47</v>
      </c>
      <c r="E348" s="102" t="s">
        <v>29661</v>
      </c>
      <c r="F348" s="102" t="s">
        <v>91</v>
      </c>
      <c r="G348" s="102" t="s">
        <v>29661</v>
      </c>
      <c r="H348" s="102" t="s">
        <v>29700</v>
      </c>
      <c r="I348" s="102" t="s">
        <v>23</v>
      </c>
      <c r="J348" s="102" t="s">
        <v>29710</v>
      </c>
      <c r="K348" s="102" t="s">
        <v>264</v>
      </c>
      <c r="L348" s="102" t="s">
        <v>25606</v>
      </c>
      <c r="M348" s="102" t="s">
        <v>26662</v>
      </c>
      <c r="N348" s="102">
        <v>975.8</v>
      </c>
      <c r="S348" t="str">
        <f t="shared" si="22"/>
        <v>95-013-16-58</v>
      </c>
      <c r="T348" s="129" t="s">
        <v>28395</v>
      </c>
      <c r="U348" s="112">
        <v>4</v>
      </c>
    </row>
    <row r="349" spans="1:21" x14ac:dyDescent="0.2">
      <c r="A349" s="102" t="s">
        <v>29626</v>
      </c>
      <c r="B349" s="102" t="s">
        <v>29659</v>
      </c>
      <c r="C349" s="102" t="s">
        <v>46</v>
      </c>
      <c r="D349" s="102" t="s">
        <v>47</v>
      </c>
      <c r="E349" s="102" t="s">
        <v>29661</v>
      </c>
      <c r="F349" s="102" t="s">
        <v>91</v>
      </c>
      <c r="G349" s="102" t="s">
        <v>29661</v>
      </c>
      <c r="H349" s="102" t="s">
        <v>29700</v>
      </c>
      <c r="I349" s="102" t="s">
        <v>23</v>
      </c>
      <c r="J349" s="102" t="s">
        <v>29710</v>
      </c>
      <c r="K349" s="102" t="s">
        <v>264</v>
      </c>
      <c r="L349" s="102" t="s">
        <v>25606</v>
      </c>
      <c r="M349" s="102" t="s">
        <v>26662</v>
      </c>
      <c r="N349" s="102">
        <v>975.8</v>
      </c>
      <c r="S349" t="str">
        <f t="shared" si="22"/>
        <v>95-013-16-59</v>
      </c>
      <c r="T349" s="129" t="s">
        <v>28349</v>
      </c>
      <c r="U349" s="112">
        <v>5</v>
      </c>
    </row>
    <row r="350" spans="1:21" x14ac:dyDescent="0.2">
      <c r="A350" s="102" t="s">
        <v>29626</v>
      </c>
      <c r="B350" s="102" t="s">
        <v>29659</v>
      </c>
      <c r="C350" s="102" t="s">
        <v>46</v>
      </c>
      <c r="D350" s="102" t="s">
        <v>47</v>
      </c>
      <c r="E350" s="102" t="s">
        <v>29661</v>
      </c>
      <c r="F350" s="102" t="s">
        <v>91</v>
      </c>
      <c r="G350" s="102" t="s">
        <v>29661</v>
      </c>
      <c r="H350" s="102" t="s">
        <v>29700</v>
      </c>
      <c r="I350" s="102" t="s">
        <v>23</v>
      </c>
      <c r="J350" s="102" t="s">
        <v>29710</v>
      </c>
      <c r="K350" s="102" t="s">
        <v>264</v>
      </c>
      <c r="L350" s="102" t="s">
        <v>25606</v>
      </c>
      <c r="M350" s="102" t="s">
        <v>26662</v>
      </c>
      <c r="N350" s="102">
        <v>975.8</v>
      </c>
      <c r="S350" t="str">
        <f t="shared" si="22"/>
        <v>95-013-16-60</v>
      </c>
      <c r="T350" s="129" t="s">
        <v>28272</v>
      </c>
      <c r="U350" s="112">
        <v>4</v>
      </c>
    </row>
    <row r="351" spans="1:21" x14ac:dyDescent="0.2">
      <c r="A351" s="102" t="s">
        <v>29627</v>
      </c>
      <c r="B351" s="102" t="s">
        <v>29657</v>
      </c>
      <c r="C351" s="102" t="s">
        <v>198</v>
      </c>
      <c r="D351" s="102" t="s">
        <v>199</v>
      </c>
      <c r="E351" s="102" t="s">
        <v>29661</v>
      </c>
      <c r="F351" s="102" t="s">
        <v>91</v>
      </c>
      <c r="G351" s="102" t="s">
        <v>29661</v>
      </c>
      <c r="H351" s="102" t="s">
        <v>29700</v>
      </c>
      <c r="I351" s="102" t="s">
        <v>23</v>
      </c>
      <c r="J351" s="102" t="s">
        <v>29710</v>
      </c>
      <c r="K351" s="102" t="s">
        <v>264</v>
      </c>
      <c r="L351" s="102" t="s">
        <v>25606</v>
      </c>
      <c r="M351" s="102" t="s">
        <v>26662</v>
      </c>
      <c r="N351" s="102">
        <v>975.8</v>
      </c>
      <c r="S351" t="str">
        <f t="shared" si="22"/>
        <v>95-016-16-56</v>
      </c>
      <c r="T351" s="129" t="s">
        <v>28269</v>
      </c>
      <c r="U351" s="112">
        <v>2</v>
      </c>
    </row>
    <row r="352" spans="1:21" x14ac:dyDescent="0.2">
      <c r="A352" s="102" t="s">
        <v>29627</v>
      </c>
      <c r="B352" s="102" t="s">
        <v>29657</v>
      </c>
      <c r="C352" s="102" t="s">
        <v>198</v>
      </c>
      <c r="D352" s="102" t="s">
        <v>199</v>
      </c>
      <c r="E352" s="102" t="s">
        <v>29661</v>
      </c>
      <c r="F352" s="102" t="s">
        <v>91</v>
      </c>
      <c r="G352" s="102" t="s">
        <v>29661</v>
      </c>
      <c r="H352" s="102" t="s">
        <v>29700</v>
      </c>
      <c r="I352" s="102" t="s">
        <v>23</v>
      </c>
      <c r="J352" s="102" t="s">
        <v>29710</v>
      </c>
      <c r="K352" s="102" t="s">
        <v>264</v>
      </c>
      <c r="L352" s="102" t="s">
        <v>25606</v>
      </c>
      <c r="M352" s="102" t="s">
        <v>26662</v>
      </c>
      <c r="N352" s="102">
        <v>975.8</v>
      </c>
      <c r="S352" t="str">
        <f t="shared" si="22"/>
        <v>95-016-16-57</v>
      </c>
      <c r="T352" s="129" t="s">
        <v>28353</v>
      </c>
      <c r="U352" s="112">
        <v>3</v>
      </c>
    </row>
    <row r="353" spans="1:21" x14ac:dyDescent="0.2">
      <c r="A353" s="102" t="s">
        <v>29627</v>
      </c>
      <c r="B353" s="102" t="s">
        <v>29657</v>
      </c>
      <c r="C353" s="102" t="s">
        <v>198</v>
      </c>
      <c r="D353" s="102" t="s">
        <v>199</v>
      </c>
      <c r="E353" s="102" t="s">
        <v>29661</v>
      </c>
      <c r="F353" s="102" t="s">
        <v>91</v>
      </c>
      <c r="G353" s="102" t="s">
        <v>29661</v>
      </c>
      <c r="H353" s="102" t="s">
        <v>29700</v>
      </c>
      <c r="I353" s="102" t="s">
        <v>23</v>
      </c>
      <c r="J353" s="102" t="s">
        <v>29710</v>
      </c>
      <c r="K353" s="102" t="s">
        <v>264</v>
      </c>
      <c r="L353" s="102" t="s">
        <v>25606</v>
      </c>
      <c r="M353" s="102" t="s">
        <v>26662</v>
      </c>
      <c r="N353" s="102">
        <v>975.8</v>
      </c>
      <c r="S353" t="str">
        <f t="shared" si="22"/>
        <v>95-016-16-58</v>
      </c>
      <c r="T353" s="129" t="s">
        <v>28395</v>
      </c>
      <c r="U353" s="112">
        <v>6</v>
      </c>
    </row>
    <row r="354" spans="1:21" x14ac:dyDescent="0.2">
      <c r="A354" s="102" t="s">
        <v>29627</v>
      </c>
      <c r="B354" s="102" t="s">
        <v>29657</v>
      </c>
      <c r="C354" s="102" t="s">
        <v>198</v>
      </c>
      <c r="D354" s="102" t="s">
        <v>199</v>
      </c>
      <c r="E354" s="102" t="s">
        <v>29661</v>
      </c>
      <c r="F354" s="102" t="s">
        <v>91</v>
      </c>
      <c r="G354" s="102" t="s">
        <v>29661</v>
      </c>
      <c r="H354" s="102" t="s">
        <v>29700</v>
      </c>
      <c r="I354" s="102" t="s">
        <v>23</v>
      </c>
      <c r="J354" s="102" t="s">
        <v>29710</v>
      </c>
      <c r="K354" s="102" t="s">
        <v>264</v>
      </c>
      <c r="L354" s="102" t="s">
        <v>25606</v>
      </c>
      <c r="M354" s="102" t="s">
        <v>26662</v>
      </c>
      <c r="N354" s="102">
        <v>975.8</v>
      </c>
      <c r="S354" t="str">
        <f t="shared" si="22"/>
        <v>95-016-16-59</v>
      </c>
      <c r="T354" s="129" t="s">
        <v>28349</v>
      </c>
      <c r="U354" s="112">
        <v>6</v>
      </c>
    </row>
    <row r="355" spans="1:21" x14ac:dyDescent="0.2">
      <c r="A355" s="102" t="s">
        <v>29627</v>
      </c>
      <c r="B355" s="102" t="s">
        <v>29657</v>
      </c>
      <c r="C355" s="102" t="s">
        <v>198</v>
      </c>
      <c r="D355" s="102" t="s">
        <v>199</v>
      </c>
      <c r="E355" s="102" t="s">
        <v>29661</v>
      </c>
      <c r="F355" s="102" t="s">
        <v>91</v>
      </c>
      <c r="G355" s="102" t="s">
        <v>29661</v>
      </c>
      <c r="H355" s="102" t="s">
        <v>29700</v>
      </c>
      <c r="I355" s="102" t="s">
        <v>23</v>
      </c>
      <c r="J355" s="102" t="s">
        <v>29710</v>
      </c>
      <c r="K355" s="102" t="s">
        <v>264</v>
      </c>
      <c r="L355" s="102" t="s">
        <v>25606</v>
      </c>
      <c r="M355" s="102" t="s">
        <v>26662</v>
      </c>
      <c r="N355" s="102">
        <v>975.8</v>
      </c>
      <c r="S355" t="str">
        <f t="shared" ref="S355:S371" si="23">A355&amp;"-"&amp;T355</f>
        <v>95-016-16-60</v>
      </c>
      <c r="T355" s="129" t="s">
        <v>28272</v>
      </c>
      <c r="U355" s="112">
        <v>5</v>
      </c>
    </row>
    <row r="356" spans="1:21" x14ac:dyDescent="0.2">
      <c r="A356" s="102" t="s">
        <v>29627</v>
      </c>
      <c r="B356" s="102" t="s">
        <v>29657</v>
      </c>
      <c r="C356" s="102" t="s">
        <v>198</v>
      </c>
      <c r="D356" s="102" t="s">
        <v>199</v>
      </c>
      <c r="E356" s="102" t="s">
        <v>29661</v>
      </c>
      <c r="F356" s="102" t="s">
        <v>91</v>
      </c>
      <c r="G356" s="102" t="s">
        <v>29661</v>
      </c>
      <c r="H356" s="102" t="s">
        <v>29700</v>
      </c>
      <c r="I356" s="102" t="s">
        <v>23</v>
      </c>
      <c r="J356" s="102" t="s">
        <v>29710</v>
      </c>
      <c r="K356" s="102" t="s">
        <v>264</v>
      </c>
      <c r="L356" s="102" t="s">
        <v>25606</v>
      </c>
      <c r="M356" s="102" t="s">
        <v>26662</v>
      </c>
      <c r="N356" s="102">
        <v>975.8</v>
      </c>
      <c r="S356" t="str">
        <f t="shared" si="23"/>
        <v>95-016-16-61</v>
      </c>
      <c r="T356" s="129" t="s">
        <v>28354</v>
      </c>
      <c r="U356" s="112">
        <v>2</v>
      </c>
    </row>
    <row r="357" spans="1:21" x14ac:dyDescent="0.2">
      <c r="A357" s="102" t="s">
        <v>29627</v>
      </c>
      <c r="B357" s="102" t="s">
        <v>29657</v>
      </c>
      <c r="C357" s="102" t="s">
        <v>198</v>
      </c>
      <c r="D357" s="102" t="s">
        <v>199</v>
      </c>
      <c r="E357" s="102" t="s">
        <v>29661</v>
      </c>
      <c r="F357" s="102" t="s">
        <v>91</v>
      </c>
      <c r="G357" s="102" t="s">
        <v>29661</v>
      </c>
      <c r="H357" s="102" t="s">
        <v>29700</v>
      </c>
      <c r="I357" s="102" t="s">
        <v>23</v>
      </c>
      <c r="J357" s="102" t="s">
        <v>29710</v>
      </c>
      <c r="K357" s="102" t="s">
        <v>264</v>
      </c>
      <c r="L357" s="102" t="s">
        <v>25606</v>
      </c>
      <c r="M357" s="102" t="s">
        <v>26662</v>
      </c>
      <c r="N357" s="102">
        <v>975.8</v>
      </c>
      <c r="S357" t="str">
        <f t="shared" si="23"/>
        <v>95-016-16-62</v>
      </c>
      <c r="T357" s="129" t="s">
        <v>28236</v>
      </c>
      <c r="U357" s="112">
        <v>1</v>
      </c>
    </row>
    <row r="358" spans="1:21" x14ac:dyDescent="0.2">
      <c r="A358" s="102" t="s">
        <v>29628</v>
      </c>
      <c r="B358" s="102" t="s">
        <v>29646</v>
      </c>
      <c r="C358" s="102" t="s">
        <v>31</v>
      </c>
      <c r="D358" s="102" t="s">
        <v>39</v>
      </c>
      <c r="E358" s="102" t="s">
        <v>29661</v>
      </c>
      <c r="F358" s="102" t="s">
        <v>91</v>
      </c>
      <c r="G358" s="102" t="s">
        <v>29661</v>
      </c>
      <c r="H358" s="102" t="s">
        <v>29701</v>
      </c>
      <c r="I358" s="102" t="s">
        <v>1</v>
      </c>
      <c r="J358" s="102" t="s">
        <v>29710</v>
      </c>
      <c r="K358" s="102" t="s">
        <v>264</v>
      </c>
      <c r="L358" s="102" t="s">
        <v>25606</v>
      </c>
      <c r="M358" s="102" t="s">
        <v>26662</v>
      </c>
      <c r="N358" s="102">
        <v>975.8</v>
      </c>
      <c r="S358" t="str">
        <f t="shared" si="23"/>
        <v>95-004-09-56</v>
      </c>
      <c r="T358" s="129" t="s">
        <v>28269</v>
      </c>
      <c r="U358" s="112">
        <v>5</v>
      </c>
    </row>
    <row r="359" spans="1:21" x14ac:dyDescent="0.2">
      <c r="A359" s="102" t="s">
        <v>29628</v>
      </c>
      <c r="B359" s="102" t="s">
        <v>29646</v>
      </c>
      <c r="C359" s="102" t="s">
        <v>31</v>
      </c>
      <c r="D359" s="102" t="s">
        <v>39</v>
      </c>
      <c r="E359" s="102" t="s">
        <v>29661</v>
      </c>
      <c r="F359" s="102" t="s">
        <v>91</v>
      </c>
      <c r="G359" s="102" t="s">
        <v>29661</v>
      </c>
      <c r="H359" s="102" t="s">
        <v>29701</v>
      </c>
      <c r="I359" s="102" t="s">
        <v>1</v>
      </c>
      <c r="J359" s="102" t="s">
        <v>29710</v>
      </c>
      <c r="K359" s="102" t="s">
        <v>264</v>
      </c>
      <c r="L359" s="102" t="s">
        <v>25606</v>
      </c>
      <c r="M359" s="102" t="s">
        <v>26662</v>
      </c>
      <c r="N359" s="102">
        <v>975.8</v>
      </c>
      <c r="S359" t="str">
        <f t="shared" si="23"/>
        <v>95-004-09-57</v>
      </c>
      <c r="T359" s="129" t="s">
        <v>28353</v>
      </c>
      <c r="U359" s="112">
        <v>10</v>
      </c>
    </row>
    <row r="360" spans="1:21" x14ac:dyDescent="0.2">
      <c r="A360" s="102" t="s">
        <v>29628</v>
      </c>
      <c r="B360" s="102" t="s">
        <v>29646</v>
      </c>
      <c r="C360" s="102" t="s">
        <v>31</v>
      </c>
      <c r="D360" s="102" t="s">
        <v>39</v>
      </c>
      <c r="E360" s="102" t="s">
        <v>29661</v>
      </c>
      <c r="F360" s="102" t="s">
        <v>91</v>
      </c>
      <c r="G360" s="102" t="s">
        <v>29661</v>
      </c>
      <c r="H360" s="102" t="s">
        <v>29701</v>
      </c>
      <c r="I360" s="102" t="s">
        <v>1</v>
      </c>
      <c r="J360" s="102" t="s">
        <v>29710</v>
      </c>
      <c r="K360" s="102" t="s">
        <v>264</v>
      </c>
      <c r="L360" s="102" t="s">
        <v>25606</v>
      </c>
      <c r="M360" s="102" t="s">
        <v>26662</v>
      </c>
      <c r="N360" s="102">
        <v>975.8</v>
      </c>
      <c r="S360" t="str">
        <f t="shared" si="23"/>
        <v>95-004-09-58</v>
      </c>
      <c r="T360" s="129" t="s">
        <v>28395</v>
      </c>
      <c r="U360" s="112">
        <v>15</v>
      </c>
    </row>
    <row r="361" spans="1:21" x14ac:dyDescent="0.2">
      <c r="A361" s="102" t="s">
        <v>29628</v>
      </c>
      <c r="B361" s="102" t="s">
        <v>29646</v>
      </c>
      <c r="C361" s="102" t="s">
        <v>31</v>
      </c>
      <c r="D361" s="102" t="s">
        <v>39</v>
      </c>
      <c r="E361" s="102" t="s">
        <v>29661</v>
      </c>
      <c r="F361" s="102" t="s">
        <v>91</v>
      </c>
      <c r="G361" s="102" t="s">
        <v>29661</v>
      </c>
      <c r="H361" s="102" t="s">
        <v>29701</v>
      </c>
      <c r="I361" s="102" t="s">
        <v>1</v>
      </c>
      <c r="J361" s="102" t="s">
        <v>29710</v>
      </c>
      <c r="K361" s="102" t="s">
        <v>264</v>
      </c>
      <c r="L361" s="102" t="s">
        <v>25606</v>
      </c>
      <c r="M361" s="102" t="s">
        <v>26662</v>
      </c>
      <c r="N361" s="102">
        <v>975.8</v>
      </c>
      <c r="S361" t="str">
        <f t="shared" si="23"/>
        <v>95-004-09-59</v>
      </c>
      <c r="T361" s="129" t="s">
        <v>28349</v>
      </c>
      <c r="U361" s="112">
        <v>20</v>
      </c>
    </row>
    <row r="362" spans="1:21" x14ac:dyDescent="0.2">
      <c r="A362" s="102" t="s">
        <v>29628</v>
      </c>
      <c r="B362" s="102" t="s">
        <v>29646</v>
      </c>
      <c r="C362" s="102" t="s">
        <v>31</v>
      </c>
      <c r="D362" s="102" t="s">
        <v>39</v>
      </c>
      <c r="E362" s="102" t="s">
        <v>29661</v>
      </c>
      <c r="F362" s="102" t="s">
        <v>91</v>
      </c>
      <c r="G362" s="102" t="s">
        <v>29661</v>
      </c>
      <c r="H362" s="102" t="s">
        <v>29701</v>
      </c>
      <c r="I362" s="102" t="s">
        <v>1</v>
      </c>
      <c r="J362" s="102" t="s">
        <v>29710</v>
      </c>
      <c r="K362" s="102" t="s">
        <v>264</v>
      </c>
      <c r="L362" s="102" t="s">
        <v>25606</v>
      </c>
      <c r="M362" s="102" t="s">
        <v>26662</v>
      </c>
      <c r="N362" s="102">
        <v>975.8</v>
      </c>
      <c r="S362" t="str">
        <f t="shared" si="23"/>
        <v>95-004-09-60</v>
      </c>
      <c r="T362" s="129" t="s">
        <v>28272</v>
      </c>
      <c r="U362" s="112">
        <v>15</v>
      </c>
    </row>
    <row r="363" spans="1:21" x14ac:dyDescent="0.2">
      <c r="A363" s="102" t="s">
        <v>29628</v>
      </c>
      <c r="B363" s="102" t="s">
        <v>29646</v>
      </c>
      <c r="C363" s="102" t="s">
        <v>31</v>
      </c>
      <c r="D363" s="102" t="s">
        <v>39</v>
      </c>
      <c r="E363" s="102" t="s">
        <v>29661</v>
      </c>
      <c r="F363" s="102" t="s">
        <v>91</v>
      </c>
      <c r="G363" s="102" t="s">
        <v>29661</v>
      </c>
      <c r="H363" s="102" t="s">
        <v>29701</v>
      </c>
      <c r="I363" s="102" t="s">
        <v>1</v>
      </c>
      <c r="J363" s="102" t="s">
        <v>29710</v>
      </c>
      <c r="K363" s="102" t="s">
        <v>264</v>
      </c>
      <c r="L363" s="102" t="s">
        <v>25606</v>
      </c>
      <c r="M363" s="102" t="s">
        <v>26662</v>
      </c>
      <c r="N363" s="102">
        <v>975.8</v>
      </c>
      <c r="S363" t="str">
        <f t="shared" si="23"/>
        <v>95-004-09-61</v>
      </c>
      <c r="T363" s="129" t="s">
        <v>28354</v>
      </c>
      <c r="U363" s="112">
        <v>10</v>
      </c>
    </row>
    <row r="364" spans="1:21" x14ac:dyDescent="0.2">
      <c r="A364" s="102" t="s">
        <v>29628</v>
      </c>
      <c r="B364" s="102" t="s">
        <v>29646</v>
      </c>
      <c r="C364" s="102" t="s">
        <v>31</v>
      </c>
      <c r="D364" s="102" t="s">
        <v>39</v>
      </c>
      <c r="E364" s="102" t="s">
        <v>29661</v>
      </c>
      <c r="F364" s="102" t="s">
        <v>91</v>
      </c>
      <c r="G364" s="102" t="s">
        <v>29661</v>
      </c>
      <c r="H364" s="102" t="s">
        <v>29701</v>
      </c>
      <c r="I364" s="102" t="s">
        <v>1</v>
      </c>
      <c r="J364" s="102" t="s">
        <v>29710</v>
      </c>
      <c r="K364" s="102" t="s">
        <v>264</v>
      </c>
      <c r="L364" s="102" t="s">
        <v>25606</v>
      </c>
      <c r="M364" s="102" t="s">
        <v>26662</v>
      </c>
      <c r="N364" s="102">
        <v>975.8</v>
      </c>
      <c r="S364" t="str">
        <f t="shared" si="23"/>
        <v>95-004-09-62</v>
      </c>
      <c r="T364" s="129" t="s">
        <v>28236</v>
      </c>
      <c r="U364" s="112">
        <v>5</v>
      </c>
    </row>
    <row r="365" spans="1:21" x14ac:dyDescent="0.2">
      <c r="A365" s="102" t="s">
        <v>29629</v>
      </c>
      <c r="B365" s="102" t="s">
        <v>29658</v>
      </c>
      <c r="C365" s="102" t="s">
        <v>31</v>
      </c>
      <c r="D365" s="102" t="s">
        <v>25558</v>
      </c>
      <c r="E365" s="102" t="s">
        <v>29661</v>
      </c>
      <c r="F365" s="102" t="s">
        <v>91</v>
      </c>
      <c r="G365" s="102" t="s">
        <v>29661</v>
      </c>
      <c r="H365" s="102" t="s">
        <v>29701</v>
      </c>
      <c r="I365" s="102" t="s">
        <v>1</v>
      </c>
      <c r="J365" s="102" t="s">
        <v>29710</v>
      </c>
      <c r="K365" s="102" t="s">
        <v>264</v>
      </c>
      <c r="L365" s="102" t="s">
        <v>25606</v>
      </c>
      <c r="M365" s="102" t="s">
        <v>26662</v>
      </c>
      <c r="N365" s="102">
        <v>975.8</v>
      </c>
      <c r="S365" t="str">
        <f t="shared" si="23"/>
        <v>95-009-09-56</v>
      </c>
      <c r="T365" s="129" t="s">
        <v>28269</v>
      </c>
      <c r="U365" s="112">
        <v>1</v>
      </c>
    </row>
    <row r="366" spans="1:21" x14ac:dyDescent="0.2">
      <c r="A366" s="102" t="s">
        <v>29629</v>
      </c>
      <c r="B366" s="102" t="s">
        <v>29658</v>
      </c>
      <c r="C366" s="102" t="s">
        <v>31</v>
      </c>
      <c r="D366" s="102" t="s">
        <v>25558</v>
      </c>
      <c r="E366" s="102" t="s">
        <v>29661</v>
      </c>
      <c r="F366" s="102" t="s">
        <v>91</v>
      </c>
      <c r="G366" s="102" t="s">
        <v>29661</v>
      </c>
      <c r="H366" s="102" t="s">
        <v>29701</v>
      </c>
      <c r="I366" s="102" t="s">
        <v>1</v>
      </c>
      <c r="J366" s="102" t="s">
        <v>29710</v>
      </c>
      <c r="K366" s="102" t="s">
        <v>264</v>
      </c>
      <c r="L366" s="102" t="s">
        <v>25606</v>
      </c>
      <c r="M366" s="102" t="s">
        <v>26662</v>
      </c>
      <c r="N366" s="102">
        <v>975.8</v>
      </c>
      <c r="S366" t="str">
        <f t="shared" si="23"/>
        <v>95-009-09-57</v>
      </c>
      <c r="T366" s="129" t="s">
        <v>28353</v>
      </c>
      <c r="U366" s="112">
        <v>2</v>
      </c>
    </row>
    <row r="367" spans="1:21" x14ac:dyDescent="0.2">
      <c r="A367" s="102" t="s">
        <v>29629</v>
      </c>
      <c r="B367" s="102" t="s">
        <v>29658</v>
      </c>
      <c r="C367" s="102" t="s">
        <v>31</v>
      </c>
      <c r="D367" s="102" t="s">
        <v>25558</v>
      </c>
      <c r="E367" s="102" t="s">
        <v>29661</v>
      </c>
      <c r="F367" s="102" t="s">
        <v>91</v>
      </c>
      <c r="G367" s="102" t="s">
        <v>29661</v>
      </c>
      <c r="H367" s="102" t="s">
        <v>29701</v>
      </c>
      <c r="I367" s="102" t="s">
        <v>1</v>
      </c>
      <c r="J367" s="102" t="s">
        <v>29710</v>
      </c>
      <c r="K367" s="102" t="s">
        <v>264</v>
      </c>
      <c r="L367" s="102" t="s">
        <v>25606</v>
      </c>
      <c r="M367" s="102" t="s">
        <v>26662</v>
      </c>
      <c r="N367" s="102">
        <v>975.8</v>
      </c>
      <c r="S367" t="str">
        <f t="shared" si="23"/>
        <v>95-009-09-58</v>
      </c>
      <c r="T367" s="129" t="s">
        <v>28395</v>
      </c>
      <c r="U367" s="112">
        <v>3</v>
      </c>
    </row>
    <row r="368" spans="1:21" x14ac:dyDescent="0.2">
      <c r="A368" s="102" t="s">
        <v>29629</v>
      </c>
      <c r="B368" s="102" t="s">
        <v>29658</v>
      </c>
      <c r="C368" s="102" t="s">
        <v>31</v>
      </c>
      <c r="D368" s="102" t="s">
        <v>25558</v>
      </c>
      <c r="E368" s="102" t="s">
        <v>29661</v>
      </c>
      <c r="F368" s="102" t="s">
        <v>91</v>
      </c>
      <c r="G368" s="102" t="s">
        <v>29661</v>
      </c>
      <c r="H368" s="102" t="s">
        <v>29701</v>
      </c>
      <c r="I368" s="102" t="s">
        <v>1</v>
      </c>
      <c r="J368" s="102" t="s">
        <v>29710</v>
      </c>
      <c r="K368" s="102" t="s">
        <v>264</v>
      </c>
      <c r="L368" s="102" t="s">
        <v>25606</v>
      </c>
      <c r="M368" s="102" t="s">
        <v>26662</v>
      </c>
      <c r="N368" s="102">
        <v>975.8</v>
      </c>
      <c r="S368" t="str">
        <f t="shared" si="23"/>
        <v>95-009-09-59</v>
      </c>
      <c r="T368" s="129" t="s">
        <v>28349</v>
      </c>
      <c r="U368" s="112">
        <v>4</v>
      </c>
    </row>
    <row r="369" spans="1:21" x14ac:dyDescent="0.2">
      <c r="A369" s="102" t="s">
        <v>29629</v>
      </c>
      <c r="B369" s="102" t="s">
        <v>29658</v>
      </c>
      <c r="C369" s="102" t="s">
        <v>31</v>
      </c>
      <c r="D369" s="102" t="s">
        <v>25558</v>
      </c>
      <c r="E369" s="102" t="s">
        <v>29661</v>
      </c>
      <c r="F369" s="102" t="s">
        <v>91</v>
      </c>
      <c r="G369" s="102" t="s">
        <v>29661</v>
      </c>
      <c r="H369" s="102" t="s">
        <v>29701</v>
      </c>
      <c r="I369" s="102" t="s">
        <v>1</v>
      </c>
      <c r="J369" s="102" t="s">
        <v>29710</v>
      </c>
      <c r="K369" s="102" t="s">
        <v>264</v>
      </c>
      <c r="L369" s="102" t="s">
        <v>25606</v>
      </c>
      <c r="M369" s="102" t="s">
        <v>26662</v>
      </c>
      <c r="N369" s="102">
        <v>975.8</v>
      </c>
      <c r="S369" t="str">
        <f t="shared" si="23"/>
        <v>95-009-09-60</v>
      </c>
      <c r="T369" s="129" t="s">
        <v>28272</v>
      </c>
      <c r="U369" s="112">
        <v>3</v>
      </c>
    </row>
    <row r="370" spans="1:21" x14ac:dyDescent="0.2">
      <c r="A370" s="102" t="s">
        <v>29629</v>
      </c>
      <c r="B370" s="102" t="s">
        <v>29658</v>
      </c>
      <c r="C370" s="102" t="s">
        <v>31</v>
      </c>
      <c r="D370" s="102" t="s">
        <v>25558</v>
      </c>
      <c r="E370" s="102" t="s">
        <v>29661</v>
      </c>
      <c r="F370" s="102" t="s">
        <v>91</v>
      </c>
      <c r="G370" s="102" t="s">
        <v>29661</v>
      </c>
      <c r="H370" s="102" t="s">
        <v>29701</v>
      </c>
      <c r="I370" s="102" t="s">
        <v>1</v>
      </c>
      <c r="J370" s="102" t="s">
        <v>29710</v>
      </c>
      <c r="K370" s="102" t="s">
        <v>264</v>
      </c>
      <c r="L370" s="102" t="s">
        <v>25606</v>
      </c>
      <c r="M370" s="102" t="s">
        <v>26662</v>
      </c>
      <c r="N370" s="102">
        <v>975.8</v>
      </c>
      <c r="S370" t="str">
        <f t="shared" si="23"/>
        <v>95-009-09-61</v>
      </c>
      <c r="T370" s="129" t="s">
        <v>28354</v>
      </c>
      <c r="U370" s="112">
        <v>2</v>
      </c>
    </row>
    <row r="371" spans="1:21" x14ac:dyDescent="0.2">
      <c r="A371" s="102" t="s">
        <v>29629</v>
      </c>
      <c r="B371" s="102" t="s">
        <v>29658</v>
      </c>
      <c r="C371" s="102" t="s">
        <v>31</v>
      </c>
      <c r="D371" s="102" t="s">
        <v>25558</v>
      </c>
      <c r="E371" s="102" t="s">
        <v>29661</v>
      </c>
      <c r="F371" s="102" t="s">
        <v>91</v>
      </c>
      <c r="G371" s="102" t="s">
        <v>29661</v>
      </c>
      <c r="H371" s="102" t="s">
        <v>29701</v>
      </c>
      <c r="I371" s="102" t="s">
        <v>1</v>
      </c>
      <c r="J371" s="102" t="s">
        <v>29710</v>
      </c>
      <c r="K371" s="102" t="s">
        <v>264</v>
      </c>
      <c r="L371" s="102" t="s">
        <v>25606</v>
      </c>
      <c r="M371" s="102" t="s">
        <v>26662</v>
      </c>
      <c r="N371" s="102">
        <v>975.8</v>
      </c>
      <c r="S371" t="str">
        <f t="shared" si="23"/>
        <v>95-009-09-62</v>
      </c>
      <c r="T371" s="129" t="s">
        <v>28236</v>
      </c>
      <c r="U371" s="112">
        <v>1</v>
      </c>
    </row>
    <row r="372" spans="1:21" x14ac:dyDescent="0.2">
      <c r="A372" s="102" t="s">
        <v>29630</v>
      </c>
      <c r="B372" s="102" t="s">
        <v>29655</v>
      </c>
      <c r="C372" s="102" t="s">
        <v>31</v>
      </c>
      <c r="D372" s="102" t="s">
        <v>25556</v>
      </c>
      <c r="E372" s="102" t="s">
        <v>29661</v>
      </c>
      <c r="F372" s="102" t="s">
        <v>91</v>
      </c>
      <c r="G372" s="102" t="s">
        <v>29661</v>
      </c>
      <c r="H372" s="102" t="s">
        <v>29701</v>
      </c>
      <c r="I372" s="102" t="s">
        <v>1</v>
      </c>
      <c r="J372" s="102" t="s">
        <v>29710</v>
      </c>
      <c r="K372" s="102" t="s">
        <v>264</v>
      </c>
      <c r="L372" s="102" t="s">
        <v>25606</v>
      </c>
      <c r="M372" s="102" t="s">
        <v>26662</v>
      </c>
      <c r="N372" s="102">
        <v>975.8</v>
      </c>
      <c r="S372" t="str">
        <f t="shared" ref="S372:S390" si="24">A372&amp;"-"&amp;T372</f>
        <v>95-012-09-56</v>
      </c>
      <c r="T372" s="129" t="s">
        <v>28269</v>
      </c>
      <c r="U372" s="112">
        <v>2</v>
      </c>
    </row>
    <row r="373" spans="1:21" x14ac:dyDescent="0.2">
      <c r="A373" s="102" t="s">
        <v>29630</v>
      </c>
      <c r="B373" s="102" t="s">
        <v>29655</v>
      </c>
      <c r="C373" s="102" t="s">
        <v>31</v>
      </c>
      <c r="D373" s="102" t="s">
        <v>25556</v>
      </c>
      <c r="E373" s="102" t="s">
        <v>29661</v>
      </c>
      <c r="F373" s="102" t="s">
        <v>91</v>
      </c>
      <c r="G373" s="102" t="s">
        <v>29661</v>
      </c>
      <c r="H373" s="102" t="s">
        <v>29701</v>
      </c>
      <c r="I373" s="102" t="s">
        <v>1</v>
      </c>
      <c r="J373" s="102" t="s">
        <v>29710</v>
      </c>
      <c r="K373" s="102" t="s">
        <v>264</v>
      </c>
      <c r="L373" s="102" t="s">
        <v>25606</v>
      </c>
      <c r="M373" s="102" t="s">
        <v>26662</v>
      </c>
      <c r="N373" s="102">
        <v>975.8</v>
      </c>
      <c r="S373" t="str">
        <f t="shared" si="24"/>
        <v>95-012-09-57</v>
      </c>
      <c r="T373" s="129" t="s">
        <v>28353</v>
      </c>
      <c r="U373" s="112">
        <v>4</v>
      </c>
    </row>
    <row r="374" spans="1:21" x14ac:dyDescent="0.2">
      <c r="A374" s="102" t="s">
        <v>29630</v>
      </c>
      <c r="B374" s="102" t="s">
        <v>29655</v>
      </c>
      <c r="C374" s="102" t="s">
        <v>31</v>
      </c>
      <c r="D374" s="102" t="s">
        <v>25556</v>
      </c>
      <c r="E374" s="102" t="s">
        <v>29661</v>
      </c>
      <c r="F374" s="102" t="s">
        <v>91</v>
      </c>
      <c r="G374" s="102" t="s">
        <v>29661</v>
      </c>
      <c r="H374" s="102" t="s">
        <v>29701</v>
      </c>
      <c r="I374" s="102" t="s">
        <v>1</v>
      </c>
      <c r="J374" s="102" t="s">
        <v>29710</v>
      </c>
      <c r="K374" s="102" t="s">
        <v>264</v>
      </c>
      <c r="L374" s="102" t="s">
        <v>25606</v>
      </c>
      <c r="M374" s="102" t="s">
        <v>26662</v>
      </c>
      <c r="N374" s="102">
        <v>975.8</v>
      </c>
      <c r="S374" t="str">
        <f t="shared" si="24"/>
        <v>95-012-09-58</v>
      </c>
      <c r="T374" s="129" t="s">
        <v>28395</v>
      </c>
      <c r="U374" s="112">
        <v>5</v>
      </c>
    </row>
    <row r="375" spans="1:21" x14ac:dyDescent="0.2">
      <c r="A375" s="102" t="s">
        <v>29630</v>
      </c>
      <c r="B375" s="102" t="s">
        <v>29655</v>
      </c>
      <c r="C375" s="102" t="s">
        <v>31</v>
      </c>
      <c r="D375" s="102" t="s">
        <v>25556</v>
      </c>
      <c r="E375" s="102" t="s">
        <v>29661</v>
      </c>
      <c r="F375" s="102" t="s">
        <v>91</v>
      </c>
      <c r="G375" s="102" t="s">
        <v>29661</v>
      </c>
      <c r="H375" s="102" t="s">
        <v>29701</v>
      </c>
      <c r="I375" s="102" t="s">
        <v>1</v>
      </c>
      <c r="J375" s="102" t="s">
        <v>29710</v>
      </c>
      <c r="K375" s="102" t="s">
        <v>264</v>
      </c>
      <c r="L375" s="102" t="s">
        <v>25606</v>
      </c>
      <c r="M375" s="102" t="s">
        <v>26662</v>
      </c>
      <c r="N375" s="102">
        <v>975.8</v>
      </c>
      <c r="S375" t="str">
        <f t="shared" si="24"/>
        <v>95-012-09-59</v>
      </c>
      <c r="T375" s="129" t="s">
        <v>28349</v>
      </c>
      <c r="U375" s="112">
        <v>8</v>
      </c>
    </row>
    <row r="376" spans="1:21" x14ac:dyDescent="0.2">
      <c r="A376" s="102" t="s">
        <v>29630</v>
      </c>
      <c r="B376" s="102" t="s">
        <v>29655</v>
      </c>
      <c r="C376" s="102" t="s">
        <v>31</v>
      </c>
      <c r="D376" s="102" t="s">
        <v>25556</v>
      </c>
      <c r="E376" s="102" t="s">
        <v>29661</v>
      </c>
      <c r="F376" s="102" t="s">
        <v>91</v>
      </c>
      <c r="G376" s="102" t="s">
        <v>29661</v>
      </c>
      <c r="H376" s="102" t="s">
        <v>29701</v>
      </c>
      <c r="I376" s="102" t="s">
        <v>1</v>
      </c>
      <c r="J376" s="102" t="s">
        <v>29710</v>
      </c>
      <c r="K376" s="102" t="s">
        <v>264</v>
      </c>
      <c r="L376" s="102" t="s">
        <v>25606</v>
      </c>
      <c r="M376" s="102" t="s">
        <v>26662</v>
      </c>
      <c r="N376" s="102">
        <v>975.8</v>
      </c>
      <c r="S376" t="str">
        <f t="shared" si="24"/>
        <v>95-012-09-60</v>
      </c>
      <c r="T376" s="129" t="s">
        <v>28272</v>
      </c>
      <c r="U376" s="112">
        <v>5</v>
      </c>
    </row>
    <row r="377" spans="1:21" x14ac:dyDescent="0.2">
      <c r="A377" s="102" t="s">
        <v>29630</v>
      </c>
      <c r="B377" s="102" t="s">
        <v>29655</v>
      </c>
      <c r="C377" s="102" t="s">
        <v>31</v>
      </c>
      <c r="D377" s="102" t="s">
        <v>25556</v>
      </c>
      <c r="E377" s="102" t="s">
        <v>29661</v>
      </c>
      <c r="F377" s="102" t="s">
        <v>91</v>
      </c>
      <c r="G377" s="102" t="s">
        <v>29661</v>
      </c>
      <c r="H377" s="102" t="s">
        <v>29701</v>
      </c>
      <c r="I377" s="102" t="s">
        <v>1</v>
      </c>
      <c r="J377" s="102" t="s">
        <v>29710</v>
      </c>
      <c r="K377" s="102" t="s">
        <v>264</v>
      </c>
      <c r="L377" s="102" t="s">
        <v>25606</v>
      </c>
      <c r="M377" s="102" t="s">
        <v>26662</v>
      </c>
      <c r="N377" s="102">
        <v>975.8</v>
      </c>
      <c r="S377" t="str">
        <f t="shared" si="24"/>
        <v>95-012-09-61</v>
      </c>
      <c r="T377" s="129" t="s">
        <v>28354</v>
      </c>
      <c r="U377" s="112">
        <v>4</v>
      </c>
    </row>
    <row r="378" spans="1:21" x14ac:dyDescent="0.2">
      <c r="A378" s="102" t="s">
        <v>29630</v>
      </c>
      <c r="B378" s="102" t="s">
        <v>29655</v>
      </c>
      <c r="C378" s="102" t="s">
        <v>31</v>
      </c>
      <c r="D378" s="102" t="s">
        <v>25556</v>
      </c>
      <c r="E378" s="102" t="s">
        <v>29661</v>
      </c>
      <c r="F378" s="102" t="s">
        <v>91</v>
      </c>
      <c r="G378" s="102" t="s">
        <v>29661</v>
      </c>
      <c r="H378" s="102" t="s">
        <v>29701</v>
      </c>
      <c r="I378" s="102" t="s">
        <v>1</v>
      </c>
      <c r="J378" s="102" t="s">
        <v>29710</v>
      </c>
      <c r="K378" s="102" t="s">
        <v>264</v>
      </c>
      <c r="L378" s="102" t="s">
        <v>25606</v>
      </c>
      <c r="M378" s="102" t="s">
        <v>26662</v>
      </c>
      <c r="N378" s="102">
        <v>975.8</v>
      </c>
      <c r="S378" t="str">
        <f t="shared" si="24"/>
        <v>95-012-09-62</v>
      </c>
      <c r="T378" s="129" t="s">
        <v>28236</v>
      </c>
      <c r="U378" s="112">
        <v>2</v>
      </c>
    </row>
    <row r="379" spans="1:21" x14ac:dyDescent="0.2">
      <c r="A379" s="102" t="s">
        <v>29631</v>
      </c>
      <c r="B379" s="102" t="s">
        <v>29645</v>
      </c>
      <c r="C379" s="102" t="s">
        <v>31</v>
      </c>
      <c r="D379" s="102" t="s">
        <v>39</v>
      </c>
      <c r="E379" s="102" t="s">
        <v>29661</v>
      </c>
      <c r="F379" s="102" t="s">
        <v>91</v>
      </c>
      <c r="G379" s="102" t="s">
        <v>29661</v>
      </c>
      <c r="H379" s="102" t="s">
        <v>29701</v>
      </c>
      <c r="I379" s="102" t="s">
        <v>1</v>
      </c>
      <c r="J379" s="102" t="s">
        <v>29710</v>
      </c>
      <c r="K379" s="102" t="s">
        <v>264</v>
      </c>
      <c r="L379" s="102" t="s">
        <v>25606</v>
      </c>
      <c r="M379" s="102" t="s">
        <v>26662</v>
      </c>
      <c r="N379" s="102">
        <v>975.8</v>
      </c>
      <c r="S379" t="str">
        <f t="shared" si="24"/>
        <v>95-008-09-56</v>
      </c>
      <c r="T379" s="129" t="s">
        <v>28269</v>
      </c>
      <c r="U379" s="112">
        <v>10</v>
      </c>
    </row>
    <row r="380" spans="1:21" x14ac:dyDescent="0.2">
      <c r="A380" s="102" t="s">
        <v>29631</v>
      </c>
      <c r="B380" s="102" t="s">
        <v>29645</v>
      </c>
      <c r="C380" s="102" t="s">
        <v>31</v>
      </c>
      <c r="D380" s="102" t="s">
        <v>39</v>
      </c>
      <c r="E380" s="102" t="s">
        <v>29661</v>
      </c>
      <c r="F380" s="102" t="s">
        <v>91</v>
      </c>
      <c r="G380" s="102" t="s">
        <v>29661</v>
      </c>
      <c r="H380" s="102" t="s">
        <v>29701</v>
      </c>
      <c r="I380" s="102" t="s">
        <v>1</v>
      </c>
      <c r="J380" s="102" t="s">
        <v>29710</v>
      </c>
      <c r="K380" s="102" t="s">
        <v>264</v>
      </c>
      <c r="L380" s="102" t="s">
        <v>25606</v>
      </c>
      <c r="M380" s="102" t="s">
        <v>26662</v>
      </c>
      <c r="N380" s="102">
        <v>975.8</v>
      </c>
      <c r="S380" t="str">
        <f t="shared" si="24"/>
        <v>95-008-09-57</v>
      </c>
      <c r="T380" s="129" t="s">
        <v>28353</v>
      </c>
      <c r="U380" s="112">
        <v>20</v>
      </c>
    </row>
    <row r="381" spans="1:21" x14ac:dyDescent="0.2">
      <c r="A381" s="102" t="s">
        <v>29631</v>
      </c>
      <c r="B381" s="102" t="s">
        <v>29645</v>
      </c>
      <c r="C381" s="102" t="s">
        <v>31</v>
      </c>
      <c r="D381" s="102" t="s">
        <v>39</v>
      </c>
      <c r="E381" s="102" t="s">
        <v>29661</v>
      </c>
      <c r="F381" s="102" t="s">
        <v>91</v>
      </c>
      <c r="G381" s="102" t="s">
        <v>29661</v>
      </c>
      <c r="H381" s="102" t="s">
        <v>29701</v>
      </c>
      <c r="I381" s="102" t="s">
        <v>1</v>
      </c>
      <c r="J381" s="102" t="s">
        <v>29710</v>
      </c>
      <c r="K381" s="102" t="s">
        <v>264</v>
      </c>
      <c r="L381" s="102" t="s">
        <v>25606</v>
      </c>
      <c r="M381" s="102" t="s">
        <v>26662</v>
      </c>
      <c r="N381" s="102">
        <v>975.8</v>
      </c>
      <c r="S381" t="str">
        <f t="shared" si="24"/>
        <v>95-008-09-58</v>
      </c>
      <c r="T381" s="129" t="s">
        <v>28395</v>
      </c>
      <c r="U381" s="112">
        <v>30</v>
      </c>
    </row>
    <row r="382" spans="1:21" x14ac:dyDescent="0.2">
      <c r="A382" s="102" t="s">
        <v>29631</v>
      </c>
      <c r="B382" s="102" t="s">
        <v>29645</v>
      </c>
      <c r="C382" s="102" t="s">
        <v>31</v>
      </c>
      <c r="D382" s="102" t="s">
        <v>39</v>
      </c>
      <c r="E382" s="102" t="s">
        <v>29661</v>
      </c>
      <c r="F382" s="102" t="s">
        <v>91</v>
      </c>
      <c r="G382" s="102" t="s">
        <v>29661</v>
      </c>
      <c r="H382" s="102" t="s">
        <v>29701</v>
      </c>
      <c r="I382" s="102" t="s">
        <v>1</v>
      </c>
      <c r="J382" s="102" t="s">
        <v>29710</v>
      </c>
      <c r="K382" s="102" t="s">
        <v>264</v>
      </c>
      <c r="L382" s="102" t="s">
        <v>25606</v>
      </c>
      <c r="M382" s="102" t="s">
        <v>26662</v>
      </c>
      <c r="N382" s="102">
        <v>975.8</v>
      </c>
      <c r="S382" t="str">
        <f t="shared" si="24"/>
        <v>95-008-09-59</v>
      </c>
      <c r="T382" s="129" t="s">
        <v>28349</v>
      </c>
      <c r="U382" s="112">
        <v>40</v>
      </c>
    </row>
    <row r="383" spans="1:21" x14ac:dyDescent="0.2">
      <c r="A383" s="102" t="s">
        <v>29631</v>
      </c>
      <c r="B383" s="102" t="s">
        <v>29645</v>
      </c>
      <c r="C383" s="102" t="s">
        <v>31</v>
      </c>
      <c r="D383" s="102" t="s">
        <v>39</v>
      </c>
      <c r="E383" s="102" t="s">
        <v>29661</v>
      </c>
      <c r="F383" s="102" t="s">
        <v>91</v>
      </c>
      <c r="G383" s="102" t="s">
        <v>29661</v>
      </c>
      <c r="H383" s="102" t="s">
        <v>29701</v>
      </c>
      <c r="I383" s="102" t="s">
        <v>1</v>
      </c>
      <c r="J383" s="102" t="s">
        <v>29710</v>
      </c>
      <c r="K383" s="102" t="s">
        <v>264</v>
      </c>
      <c r="L383" s="102" t="s">
        <v>25606</v>
      </c>
      <c r="M383" s="102" t="s">
        <v>26662</v>
      </c>
      <c r="N383" s="102">
        <v>975.8</v>
      </c>
      <c r="S383" t="str">
        <f t="shared" si="24"/>
        <v>95-008-09-60</v>
      </c>
      <c r="T383" s="129" t="s">
        <v>28272</v>
      </c>
      <c r="U383" s="112">
        <v>30</v>
      </c>
    </row>
    <row r="384" spans="1:21" x14ac:dyDescent="0.2">
      <c r="A384" s="102" t="s">
        <v>29631</v>
      </c>
      <c r="B384" s="102" t="s">
        <v>29645</v>
      </c>
      <c r="C384" s="102" t="s">
        <v>31</v>
      </c>
      <c r="D384" s="102" t="s">
        <v>39</v>
      </c>
      <c r="E384" s="102" t="s">
        <v>29661</v>
      </c>
      <c r="F384" s="102" t="s">
        <v>91</v>
      </c>
      <c r="G384" s="102" t="s">
        <v>29661</v>
      </c>
      <c r="H384" s="102" t="s">
        <v>29701</v>
      </c>
      <c r="I384" s="102" t="s">
        <v>1</v>
      </c>
      <c r="J384" s="102" t="s">
        <v>29710</v>
      </c>
      <c r="K384" s="102" t="s">
        <v>264</v>
      </c>
      <c r="L384" s="102" t="s">
        <v>25606</v>
      </c>
      <c r="M384" s="102" t="s">
        <v>26662</v>
      </c>
      <c r="N384" s="102">
        <v>975.8</v>
      </c>
      <c r="S384" t="str">
        <f t="shared" si="24"/>
        <v>95-008-09-61</v>
      </c>
      <c r="T384" s="129" t="s">
        <v>28354</v>
      </c>
      <c r="U384" s="112">
        <v>15</v>
      </c>
    </row>
    <row r="385" spans="1:21" x14ac:dyDescent="0.2">
      <c r="A385" s="102" t="s">
        <v>29631</v>
      </c>
      <c r="B385" s="102" t="s">
        <v>29645</v>
      </c>
      <c r="C385" s="102" t="s">
        <v>31</v>
      </c>
      <c r="D385" s="102" t="s">
        <v>39</v>
      </c>
      <c r="E385" s="102" t="s">
        <v>29661</v>
      </c>
      <c r="F385" s="102" t="s">
        <v>91</v>
      </c>
      <c r="G385" s="102" t="s">
        <v>29661</v>
      </c>
      <c r="H385" s="102" t="s">
        <v>29701</v>
      </c>
      <c r="I385" s="102" t="s">
        <v>1</v>
      </c>
      <c r="J385" s="102" t="s">
        <v>29710</v>
      </c>
      <c r="K385" s="102" t="s">
        <v>264</v>
      </c>
      <c r="L385" s="102" t="s">
        <v>25606</v>
      </c>
      <c r="M385" s="102" t="s">
        <v>26662</v>
      </c>
      <c r="N385" s="102">
        <v>975.8</v>
      </c>
      <c r="S385" t="str">
        <f t="shared" si="24"/>
        <v>95-008-09-62</v>
      </c>
      <c r="T385" s="129" t="s">
        <v>28236</v>
      </c>
      <c r="U385" s="112">
        <v>2</v>
      </c>
    </row>
    <row r="386" spans="1:21" x14ac:dyDescent="0.2">
      <c r="A386" s="102" t="s">
        <v>29632</v>
      </c>
      <c r="B386" s="102" t="s">
        <v>29649</v>
      </c>
      <c r="C386" s="102" t="s">
        <v>46</v>
      </c>
      <c r="D386" s="102" t="s">
        <v>47</v>
      </c>
      <c r="E386" s="102" t="s">
        <v>29661</v>
      </c>
      <c r="F386" s="102" t="s">
        <v>91</v>
      </c>
      <c r="G386" s="102" t="s">
        <v>29661</v>
      </c>
      <c r="H386" s="102" t="s">
        <v>29701</v>
      </c>
      <c r="I386" s="102" t="s">
        <v>1</v>
      </c>
      <c r="J386" s="102" t="s">
        <v>29710</v>
      </c>
      <c r="K386" s="102" t="s">
        <v>264</v>
      </c>
      <c r="L386" s="102" t="s">
        <v>25606</v>
      </c>
      <c r="M386" s="102" t="s">
        <v>26662</v>
      </c>
      <c r="N386" s="102">
        <v>975.8</v>
      </c>
      <c r="S386" t="str">
        <f t="shared" si="24"/>
        <v>95-001-09-56</v>
      </c>
      <c r="T386" s="129" t="s">
        <v>28269</v>
      </c>
      <c r="U386" s="112">
        <v>2</v>
      </c>
    </row>
    <row r="387" spans="1:21" x14ac:dyDescent="0.2">
      <c r="A387" s="102" t="s">
        <v>29632</v>
      </c>
      <c r="B387" s="102" t="s">
        <v>29649</v>
      </c>
      <c r="C387" s="102" t="s">
        <v>46</v>
      </c>
      <c r="D387" s="102" t="s">
        <v>47</v>
      </c>
      <c r="E387" s="102" t="s">
        <v>29661</v>
      </c>
      <c r="F387" s="102" t="s">
        <v>91</v>
      </c>
      <c r="G387" s="102" t="s">
        <v>29661</v>
      </c>
      <c r="H387" s="102" t="s">
        <v>29701</v>
      </c>
      <c r="I387" s="102" t="s">
        <v>1</v>
      </c>
      <c r="J387" s="102" t="s">
        <v>29710</v>
      </c>
      <c r="K387" s="102" t="s">
        <v>264</v>
      </c>
      <c r="L387" s="102" t="s">
        <v>25606</v>
      </c>
      <c r="M387" s="102" t="s">
        <v>26662</v>
      </c>
      <c r="N387" s="102">
        <v>975.8</v>
      </c>
      <c r="S387" t="str">
        <f t="shared" si="24"/>
        <v>95-001-09-57</v>
      </c>
      <c r="T387" s="129" t="s">
        <v>28353</v>
      </c>
      <c r="U387" s="112">
        <v>5</v>
      </c>
    </row>
    <row r="388" spans="1:21" x14ac:dyDescent="0.2">
      <c r="A388" s="102" t="s">
        <v>29632</v>
      </c>
      <c r="B388" s="102" t="s">
        <v>29649</v>
      </c>
      <c r="C388" s="102" t="s">
        <v>46</v>
      </c>
      <c r="D388" s="102" t="s">
        <v>47</v>
      </c>
      <c r="E388" s="102" t="s">
        <v>29661</v>
      </c>
      <c r="F388" s="102" t="s">
        <v>91</v>
      </c>
      <c r="G388" s="102" t="s">
        <v>29661</v>
      </c>
      <c r="H388" s="102" t="s">
        <v>29701</v>
      </c>
      <c r="I388" s="102" t="s">
        <v>1</v>
      </c>
      <c r="J388" s="102" t="s">
        <v>29710</v>
      </c>
      <c r="K388" s="102" t="s">
        <v>264</v>
      </c>
      <c r="L388" s="102" t="s">
        <v>25606</v>
      </c>
      <c r="M388" s="102" t="s">
        <v>26662</v>
      </c>
      <c r="N388" s="102">
        <v>975.8</v>
      </c>
      <c r="S388" t="str">
        <f t="shared" si="24"/>
        <v>95-001-09-58</v>
      </c>
      <c r="T388" s="129" t="s">
        <v>28395</v>
      </c>
      <c r="U388" s="112">
        <v>7</v>
      </c>
    </row>
    <row r="389" spans="1:21" x14ac:dyDescent="0.2">
      <c r="A389" s="102" t="s">
        <v>29632</v>
      </c>
      <c r="B389" s="102" t="s">
        <v>29649</v>
      </c>
      <c r="C389" s="102" t="s">
        <v>46</v>
      </c>
      <c r="D389" s="102" t="s">
        <v>47</v>
      </c>
      <c r="E389" s="102" t="s">
        <v>29661</v>
      </c>
      <c r="F389" s="102" t="s">
        <v>91</v>
      </c>
      <c r="G389" s="102" t="s">
        <v>29661</v>
      </c>
      <c r="H389" s="102" t="s">
        <v>29701</v>
      </c>
      <c r="I389" s="102" t="s">
        <v>1</v>
      </c>
      <c r="J389" s="102" t="s">
        <v>29710</v>
      </c>
      <c r="K389" s="102" t="s">
        <v>264</v>
      </c>
      <c r="L389" s="102" t="s">
        <v>25606</v>
      </c>
      <c r="M389" s="102" t="s">
        <v>26662</v>
      </c>
      <c r="N389" s="102">
        <v>975.8</v>
      </c>
      <c r="S389" t="str">
        <f t="shared" si="24"/>
        <v>95-001-09-59</v>
      </c>
      <c r="T389" s="129" t="s">
        <v>28349</v>
      </c>
      <c r="U389" s="112">
        <v>11</v>
      </c>
    </row>
    <row r="390" spans="1:21" x14ac:dyDescent="0.2">
      <c r="A390" s="102" t="s">
        <v>29632</v>
      </c>
      <c r="B390" s="102" t="s">
        <v>29649</v>
      </c>
      <c r="C390" s="102" t="s">
        <v>46</v>
      </c>
      <c r="D390" s="102" t="s">
        <v>47</v>
      </c>
      <c r="E390" s="102" t="s">
        <v>29661</v>
      </c>
      <c r="F390" s="102" t="s">
        <v>91</v>
      </c>
      <c r="G390" s="102" t="s">
        <v>29661</v>
      </c>
      <c r="H390" s="102" t="s">
        <v>29701</v>
      </c>
      <c r="I390" s="102" t="s">
        <v>1</v>
      </c>
      <c r="J390" s="102" t="s">
        <v>29710</v>
      </c>
      <c r="K390" s="102" t="s">
        <v>264</v>
      </c>
      <c r="L390" s="102" t="s">
        <v>25606</v>
      </c>
      <c r="M390" s="102" t="s">
        <v>26662</v>
      </c>
      <c r="N390" s="102">
        <v>975.8</v>
      </c>
      <c r="S390" t="str">
        <f t="shared" si="24"/>
        <v>95-001-09-60</v>
      </c>
      <c r="T390" s="129" t="s">
        <v>28272</v>
      </c>
      <c r="U390" s="112">
        <v>7</v>
      </c>
    </row>
    <row r="391" spans="1:21" x14ac:dyDescent="0.2">
      <c r="A391" s="102" t="s">
        <v>29633</v>
      </c>
      <c r="B391" s="102" t="s">
        <v>29656</v>
      </c>
      <c r="C391" s="102" t="s">
        <v>31</v>
      </c>
      <c r="D391" s="102" t="s">
        <v>25555</v>
      </c>
      <c r="E391" s="102" t="s">
        <v>29661</v>
      </c>
      <c r="F391" s="102" t="s">
        <v>91</v>
      </c>
      <c r="G391" s="102" t="s">
        <v>29661</v>
      </c>
      <c r="H391" s="102" t="s">
        <v>29701</v>
      </c>
      <c r="I391" s="102" t="s">
        <v>28351</v>
      </c>
      <c r="J391" s="102" t="s">
        <v>29710</v>
      </c>
      <c r="K391" s="102" t="s">
        <v>264</v>
      </c>
      <c r="L391" s="102" t="s">
        <v>25606</v>
      </c>
      <c r="M391" s="102" t="s">
        <v>26662</v>
      </c>
      <c r="N391" s="102">
        <v>975.8</v>
      </c>
      <c r="S391" t="str">
        <f t="shared" ref="S391:S402" si="25">A391&amp;"-"&amp;T391</f>
        <v>95-014-48-57</v>
      </c>
      <c r="T391" s="129" t="s">
        <v>28353</v>
      </c>
      <c r="U391" s="112">
        <v>2</v>
      </c>
    </row>
    <row r="392" spans="1:21" x14ac:dyDescent="0.2">
      <c r="A392" s="102" t="s">
        <v>29633</v>
      </c>
      <c r="B392" s="102" t="s">
        <v>29656</v>
      </c>
      <c r="C392" s="102" t="s">
        <v>31</v>
      </c>
      <c r="D392" s="102" t="s">
        <v>25555</v>
      </c>
      <c r="E392" s="102" t="s">
        <v>29661</v>
      </c>
      <c r="F392" s="102" t="s">
        <v>91</v>
      </c>
      <c r="G392" s="102" t="s">
        <v>29661</v>
      </c>
      <c r="H392" s="102" t="s">
        <v>29701</v>
      </c>
      <c r="I392" s="102" t="s">
        <v>28351</v>
      </c>
      <c r="J392" s="102" t="s">
        <v>29710</v>
      </c>
      <c r="K392" s="102" t="s">
        <v>264</v>
      </c>
      <c r="L392" s="102" t="s">
        <v>25606</v>
      </c>
      <c r="M392" s="102" t="s">
        <v>26662</v>
      </c>
      <c r="N392" s="102">
        <v>975.8</v>
      </c>
      <c r="S392" t="str">
        <f t="shared" si="25"/>
        <v>95-014-48-58</v>
      </c>
      <c r="T392" s="129" t="s">
        <v>28395</v>
      </c>
      <c r="U392" s="112">
        <v>4</v>
      </c>
    </row>
    <row r="393" spans="1:21" x14ac:dyDescent="0.2">
      <c r="A393" s="102" t="s">
        <v>29633</v>
      </c>
      <c r="B393" s="102" t="s">
        <v>29656</v>
      </c>
      <c r="C393" s="102" t="s">
        <v>31</v>
      </c>
      <c r="D393" s="102" t="s">
        <v>25555</v>
      </c>
      <c r="E393" s="102" t="s">
        <v>29661</v>
      </c>
      <c r="F393" s="102" t="s">
        <v>91</v>
      </c>
      <c r="G393" s="102" t="s">
        <v>29661</v>
      </c>
      <c r="H393" s="102" t="s">
        <v>29701</v>
      </c>
      <c r="I393" s="102" t="s">
        <v>28351</v>
      </c>
      <c r="J393" s="102" t="s">
        <v>29710</v>
      </c>
      <c r="K393" s="102" t="s">
        <v>264</v>
      </c>
      <c r="L393" s="102" t="s">
        <v>25606</v>
      </c>
      <c r="M393" s="102" t="s">
        <v>26662</v>
      </c>
      <c r="N393" s="102">
        <v>975.8</v>
      </c>
      <c r="S393" t="str">
        <f t="shared" si="25"/>
        <v>95-014-48-59</v>
      </c>
      <c r="T393" s="129" t="s">
        <v>28349</v>
      </c>
      <c r="U393" s="112">
        <v>6</v>
      </c>
    </row>
    <row r="394" spans="1:21" x14ac:dyDescent="0.2">
      <c r="A394" s="102" t="s">
        <v>29634</v>
      </c>
      <c r="B394" s="102" t="s">
        <v>29660</v>
      </c>
      <c r="C394" s="102" t="s">
        <v>46</v>
      </c>
      <c r="D394" s="102" t="s">
        <v>47</v>
      </c>
      <c r="E394" s="102" t="s">
        <v>29661</v>
      </c>
      <c r="F394" s="102" t="s">
        <v>91</v>
      </c>
      <c r="G394" s="102" t="s">
        <v>29661</v>
      </c>
      <c r="H394" s="102" t="s">
        <v>29701</v>
      </c>
      <c r="I394" s="102" t="s">
        <v>1</v>
      </c>
      <c r="J394" s="102" t="s">
        <v>29710</v>
      </c>
      <c r="K394" s="102" t="s">
        <v>264</v>
      </c>
      <c r="L394" s="102" t="s">
        <v>25606</v>
      </c>
      <c r="M394" s="102" t="s">
        <v>26662</v>
      </c>
      <c r="N394" s="102">
        <v>975.8</v>
      </c>
      <c r="S394" t="str">
        <f t="shared" si="25"/>
        <v>95-015-09-57</v>
      </c>
      <c r="T394" s="129" t="s">
        <v>28353</v>
      </c>
      <c r="U394" s="112">
        <v>2</v>
      </c>
    </row>
    <row r="395" spans="1:21" x14ac:dyDescent="0.2">
      <c r="A395" s="102" t="s">
        <v>29634</v>
      </c>
      <c r="B395" s="102" t="s">
        <v>29660</v>
      </c>
      <c r="C395" s="102" t="s">
        <v>46</v>
      </c>
      <c r="D395" s="102" t="s">
        <v>47</v>
      </c>
      <c r="E395" s="102" t="s">
        <v>29661</v>
      </c>
      <c r="F395" s="102" t="s">
        <v>91</v>
      </c>
      <c r="G395" s="102" t="s">
        <v>29661</v>
      </c>
      <c r="H395" s="102" t="s">
        <v>29701</v>
      </c>
      <c r="I395" s="102" t="s">
        <v>1</v>
      </c>
      <c r="J395" s="102" t="s">
        <v>29710</v>
      </c>
      <c r="K395" s="102" t="s">
        <v>264</v>
      </c>
      <c r="L395" s="102" t="s">
        <v>25606</v>
      </c>
      <c r="M395" s="102" t="s">
        <v>26662</v>
      </c>
      <c r="N395" s="102">
        <v>975.8</v>
      </c>
      <c r="S395" t="str">
        <f t="shared" si="25"/>
        <v>95-015-09-58</v>
      </c>
      <c r="T395" s="129" t="s">
        <v>28395</v>
      </c>
      <c r="U395" s="112">
        <v>4</v>
      </c>
    </row>
    <row r="396" spans="1:21" x14ac:dyDescent="0.2">
      <c r="A396" s="102" t="s">
        <v>29634</v>
      </c>
      <c r="B396" s="102" t="s">
        <v>29660</v>
      </c>
      <c r="C396" s="102" t="s">
        <v>46</v>
      </c>
      <c r="D396" s="102" t="s">
        <v>47</v>
      </c>
      <c r="E396" s="102" t="s">
        <v>29661</v>
      </c>
      <c r="F396" s="102" t="s">
        <v>91</v>
      </c>
      <c r="G396" s="102" t="s">
        <v>29661</v>
      </c>
      <c r="H396" s="102" t="s">
        <v>29701</v>
      </c>
      <c r="I396" s="102" t="s">
        <v>1</v>
      </c>
      <c r="J396" s="102" t="s">
        <v>29710</v>
      </c>
      <c r="K396" s="102" t="s">
        <v>264</v>
      </c>
      <c r="L396" s="102" t="s">
        <v>25606</v>
      </c>
      <c r="M396" s="102" t="s">
        <v>26662</v>
      </c>
      <c r="N396" s="102">
        <v>975.8</v>
      </c>
      <c r="S396" t="str">
        <f t="shared" si="25"/>
        <v>95-015-09-59</v>
      </c>
      <c r="T396" s="129" t="s">
        <v>28349</v>
      </c>
      <c r="U396" s="112">
        <v>5</v>
      </c>
    </row>
    <row r="397" spans="1:21" x14ac:dyDescent="0.2">
      <c r="A397" s="102" t="s">
        <v>29634</v>
      </c>
      <c r="B397" s="102" t="s">
        <v>29660</v>
      </c>
      <c r="C397" s="102" t="s">
        <v>46</v>
      </c>
      <c r="D397" s="102" t="s">
        <v>47</v>
      </c>
      <c r="E397" s="102" t="s">
        <v>29661</v>
      </c>
      <c r="F397" s="102" t="s">
        <v>91</v>
      </c>
      <c r="G397" s="102" t="s">
        <v>29661</v>
      </c>
      <c r="H397" s="102" t="s">
        <v>29701</v>
      </c>
      <c r="I397" s="102" t="s">
        <v>1</v>
      </c>
      <c r="J397" s="102" t="s">
        <v>29710</v>
      </c>
      <c r="K397" s="102" t="s">
        <v>264</v>
      </c>
      <c r="L397" s="102" t="s">
        <v>25606</v>
      </c>
      <c r="M397" s="102" t="s">
        <v>26662</v>
      </c>
      <c r="N397" s="102">
        <v>975.8</v>
      </c>
      <c r="S397" t="str">
        <f t="shared" si="25"/>
        <v>95-015-09-60</v>
      </c>
      <c r="T397" s="129" t="s">
        <v>28272</v>
      </c>
      <c r="U397" s="112">
        <v>4</v>
      </c>
    </row>
    <row r="398" spans="1:21" x14ac:dyDescent="0.2">
      <c r="A398" s="102" t="s">
        <v>29634</v>
      </c>
      <c r="B398" s="102" t="s">
        <v>29660</v>
      </c>
      <c r="C398" s="102" t="s">
        <v>46</v>
      </c>
      <c r="D398" s="102" t="s">
        <v>47</v>
      </c>
      <c r="E398" s="102" t="s">
        <v>29661</v>
      </c>
      <c r="F398" s="102" t="s">
        <v>91</v>
      </c>
      <c r="G398" s="102" t="s">
        <v>29661</v>
      </c>
      <c r="H398" s="102" t="s">
        <v>29701</v>
      </c>
      <c r="I398" s="102" t="s">
        <v>1</v>
      </c>
      <c r="J398" s="102" t="s">
        <v>29710</v>
      </c>
      <c r="K398" s="102" t="s">
        <v>264</v>
      </c>
      <c r="L398" s="102" t="s">
        <v>25606</v>
      </c>
      <c r="M398" s="102" t="s">
        <v>26662</v>
      </c>
      <c r="N398" s="102">
        <v>975.8</v>
      </c>
      <c r="S398" t="str">
        <f t="shared" si="25"/>
        <v>95-015-09-61</v>
      </c>
      <c r="T398" s="129" t="s">
        <v>28354</v>
      </c>
      <c r="U398" s="112">
        <v>2</v>
      </c>
    </row>
    <row r="399" spans="1:21" x14ac:dyDescent="0.2">
      <c r="A399" s="102" t="s">
        <v>29635</v>
      </c>
      <c r="B399" s="102" t="s">
        <v>29657</v>
      </c>
      <c r="C399" s="102" t="s">
        <v>198</v>
      </c>
      <c r="D399" s="102" t="s">
        <v>199</v>
      </c>
      <c r="E399" s="102" t="s">
        <v>29661</v>
      </c>
      <c r="F399" s="102" t="s">
        <v>91</v>
      </c>
      <c r="G399" s="102" t="s">
        <v>29661</v>
      </c>
      <c r="H399" s="102" t="s">
        <v>29701</v>
      </c>
      <c r="I399" s="102" t="s">
        <v>1</v>
      </c>
      <c r="J399" s="102" t="s">
        <v>29710</v>
      </c>
      <c r="K399" s="102" t="s">
        <v>264</v>
      </c>
      <c r="L399" s="102" t="s">
        <v>25606</v>
      </c>
      <c r="M399" s="102" t="s">
        <v>26662</v>
      </c>
      <c r="N399" s="102">
        <v>975.8</v>
      </c>
      <c r="S399" t="str">
        <f t="shared" si="25"/>
        <v>95-016-09-56</v>
      </c>
      <c r="T399" s="129" t="s">
        <v>28269</v>
      </c>
      <c r="U399" s="112">
        <v>1</v>
      </c>
    </row>
    <row r="400" spans="1:21" x14ac:dyDescent="0.2">
      <c r="A400" s="102" t="s">
        <v>29635</v>
      </c>
      <c r="B400" s="102" t="s">
        <v>29657</v>
      </c>
      <c r="C400" s="102" t="s">
        <v>198</v>
      </c>
      <c r="D400" s="102" t="s">
        <v>199</v>
      </c>
      <c r="E400" s="102" t="s">
        <v>29661</v>
      </c>
      <c r="F400" s="102" t="s">
        <v>91</v>
      </c>
      <c r="G400" s="102" t="s">
        <v>29661</v>
      </c>
      <c r="H400" s="102" t="s">
        <v>29701</v>
      </c>
      <c r="I400" s="102" t="s">
        <v>1</v>
      </c>
      <c r="J400" s="102" t="s">
        <v>29710</v>
      </c>
      <c r="K400" s="102" t="s">
        <v>264</v>
      </c>
      <c r="L400" s="102" t="s">
        <v>25606</v>
      </c>
      <c r="M400" s="102" t="s">
        <v>26662</v>
      </c>
      <c r="N400" s="102">
        <v>975.8</v>
      </c>
      <c r="S400" t="str">
        <f t="shared" si="25"/>
        <v>95-016-09-57</v>
      </c>
      <c r="T400" s="129" t="s">
        <v>28353</v>
      </c>
      <c r="U400" s="112">
        <v>1</v>
      </c>
    </row>
    <row r="401" spans="1:21" x14ac:dyDescent="0.2">
      <c r="A401" s="102" t="s">
        <v>29635</v>
      </c>
      <c r="B401" s="102" t="s">
        <v>29657</v>
      </c>
      <c r="C401" s="102" t="s">
        <v>198</v>
      </c>
      <c r="D401" s="102" t="s">
        <v>199</v>
      </c>
      <c r="E401" s="102" t="s">
        <v>29661</v>
      </c>
      <c r="F401" s="102" t="s">
        <v>91</v>
      </c>
      <c r="G401" s="102" t="s">
        <v>29661</v>
      </c>
      <c r="H401" s="102" t="s">
        <v>29701</v>
      </c>
      <c r="I401" s="102" t="s">
        <v>1</v>
      </c>
      <c r="J401" s="102" t="s">
        <v>29710</v>
      </c>
      <c r="K401" s="102" t="s">
        <v>264</v>
      </c>
      <c r="L401" s="102" t="s">
        <v>25606</v>
      </c>
      <c r="M401" s="102" t="s">
        <v>26662</v>
      </c>
      <c r="N401" s="102">
        <v>975.8</v>
      </c>
      <c r="S401" t="str">
        <f t="shared" si="25"/>
        <v>95-016-09-58</v>
      </c>
      <c r="T401" s="129" t="s">
        <v>28395</v>
      </c>
      <c r="U401" s="112">
        <v>1</v>
      </c>
    </row>
    <row r="402" spans="1:21" x14ac:dyDescent="0.2">
      <c r="A402" s="102" t="s">
        <v>29635</v>
      </c>
      <c r="B402" s="102" t="s">
        <v>29657</v>
      </c>
      <c r="C402" s="102" t="s">
        <v>198</v>
      </c>
      <c r="D402" s="102" t="s">
        <v>199</v>
      </c>
      <c r="E402" s="102" t="s">
        <v>29661</v>
      </c>
      <c r="F402" s="102" t="s">
        <v>91</v>
      </c>
      <c r="G402" s="102" t="s">
        <v>29661</v>
      </c>
      <c r="H402" s="102" t="s">
        <v>29701</v>
      </c>
      <c r="I402" s="102" t="s">
        <v>1</v>
      </c>
      <c r="J402" s="102" t="s">
        <v>29710</v>
      </c>
      <c r="K402" s="102" t="s">
        <v>264</v>
      </c>
      <c r="L402" s="102" t="s">
        <v>25606</v>
      </c>
      <c r="M402" s="102" t="s">
        <v>26662</v>
      </c>
      <c r="N402" s="102">
        <v>975.8</v>
      </c>
      <c r="S402" t="str">
        <f t="shared" si="25"/>
        <v>95-016-09-59</v>
      </c>
      <c r="T402" s="129" t="s">
        <v>28349</v>
      </c>
      <c r="U402" s="112">
        <v>2</v>
      </c>
    </row>
    <row r="403" spans="1:21" x14ac:dyDescent="0.2">
      <c r="A403" s="102" t="s">
        <v>29635</v>
      </c>
      <c r="B403" s="102" t="s">
        <v>29657</v>
      </c>
      <c r="C403" s="102" t="s">
        <v>198</v>
      </c>
      <c r="D403" s="102" t="s">
        <v>199</v>
      </c>
      <c r="E403" s="102" t="s">
        <v>29661</v>
      </c>
      <c r="F403" s="102" t="s">
        <v>91</v>
      </c>
      <c r="G403" s="102" t="s">
        <v>29661</v>
      </c>
      <c r="H403" s="102" t="s">
        <v>29701</v>
      </c>
      <c r="I403" s="102" t="s">
        <v>1</v>
      </c>
      <c r="J403" s="102" t="s">
        <v>29710</v>
      </c>
      <c r="K403" s="102" t="s">
        <v>264</v>
      </c>
      <c r="L403" s="102" t="s">
        <v>25606</v>
      </c>
      <c r="M403" s="102" t="s">
        <v>26662</v>
      </c>
      <c r="N403" s="102">
        <v>975.8</v>
      </c>
      <c r="S403" t="str">
        <f t="shared" ref="S403:S415" si="26">A403&amp;"-"&amp;T403</f>
        <v>95-016-09-61</v>
      </c>
      <c r="T403" s="129" t="s">
        <v>28354</v>
      </c>
      <c r="U403" s="112">
        <v>1</v>
      </c>
    </row>
    <row r="404" spans="1:21" x14ac:dyDescent="0.2">
      <c r="A404" s="102" t="s">
        <v>29636</v>
      </c>
      <c r="B404" s="102" t="s">
        <v>29649</v>
      </c>
      <c r="C404" s="102" t="s">
        <v>46</v>
      </c>
      <c r="D404" s="102" t="s">
        <v>47</v>
      </c>
      <c r="E404" s="102" t="s">
        <v>29661</v>
      </c>
      <c r="F404" s="102" t="s">
        <v>91</v>
      </c>
      <c r="G404" s="102" t="s">
        <v>29661</v>
      </c>
      <c r="H404" s="102" t="s">
        <v>29702</v>
      </c>
      <c r="I404" s="102" t="s">
        <v>29703</v>
      </c>
      <c r="J404" s="102" t="s">
        <v>29710</v>
      </c>
      <c r="K404" s="102" t="s">
        <v>264</v>
      </c>
      <c r="L404" s="102" t="s">
        <v>25606</v>
      </c>
      <c r="M404" s="102" t="s">
        <v>26662</v>
      </c>
      <c r="N404" s="102">
        <v>975.8</v>
      </c>
      <c r="S404" t="str">
        <f t="shared" si="26"/>
        <v>95-001-66-57</v>
      </c>
      <c r="T404" s="129" t="s">
        <v>28353</v>
      </c>
      <c r="U404" s="112">
        <v>1</v>
      </c>
    </row>
    <row r="405" spans="1:21" x14ac:dyDescent="0.2">
      <c r="A405" s="102" t="s">
        <v>29636</v>
      </c>
      <c r="B405" s="102" t="s">
        <v>29649</v>
      </c>
      <c r="C405" s="102" t="s">
        <v>46</v>
      </c>
      <c r="D405" s="102" t="s">
        <v>47</v>
      </c>
      <c r="E405" s="102" t="s">
        <v>29661</v>
      </c>
      <c r="F405" s="102" t="s">
        <v>91</v>
      </c>
      <c r="G405" s="102" t="s">
        <v>29661</v>
      </c>
      <c r="H405" s="102" t="s">
        <v>29702</v>
      </c>
      <c r="I405" s="102" t="s">
        <v>29703</v>
      </c>
      <c r="J405" s="102" t="s">
        <v>29710</v>
      </c>
      <c r="K405" s="102" t="s">
        <v>264</v>
      </c>
      <c r="L405" s="102" t="s">
        <v>25606</v>
      </c>
      <c r="M405" s="102" t="s">
        <v>26662</v>
      </c>
      <c r="N405" s="102">
        <v>975.8</v>
      </c>
      <c r="S405" t="str">
        <f t="shared" si="26"/>
        <v>95-001-66-58</v>
      </c>
      <c r="T405" s="129" t="s">
        <v>28395</v>
      </c>
      <c r="U405" s="112">
        <v>1</v>
      </c>
    </row>
    <row r="406" spans="1:21" x14ac:dyDescent="0.2">
      <c r="A406" s="102" t="s">
        <v>29636</v>
      </c>
      <c r="B406" s="102" t="s">
        <v>29649</v>
      </c>
      <c r="C406" s="102" t="s">
        <v>46</v>
      </c>
      <c r="D406" s="102" t="s">
        <v>47</v>
      </c>
      <c r="E406" s="102" t="s">
        <v>29661</v>
      </c>
      <c r="F406" s="102" t="s">
        <v>91</v>
      </c>
      <c r="G406" s="102" t="s">
        <v>29661</v>
      </c>
      <c r="H406" s="102" t="s">
        <v>29702</v>
      </c>
      <c r="I406" s="102" t="s">
        <v>29703</v>
      </c>
      <c r="J406" s="102" t="s">
        <v>29710</v>
      </c>
      <c r="K406" s="102" t="s">
        <v>264</v>
      </c>
      <c r="L406" s="102" t="s">
        <v>25606</v>
      </c>
      <c r="M406" s="102" t="s">
        <v>26662</v>
      </c>
      <c r="N406" s="102">
        <v>975.8</v>
      </c>
      <c r="S406" t="str">
        <f t="shared" si="26"/>
        <v>95-001-66-59</v>
      </c>
      <c r="T406" s="129" t="s">
        <v>28349</v>
      </c>
      <c r="U406" s="112">
        <v>2</v>
      </c>
    </row>
    <row r="407" spans="1:21" x14ac:dyDescent="0.2">
      <c r="A407" s="102" t="s">
        <v>29636</v>
      </c>
      <c r="B407" s="102" t="s">
        <v>29649</v>
      </c>
      <c r="C407" s="102" t="s">
        <v>46</v>
      </c>
      <c r="D407" s="102" t="s">
        <v>47</v>
      </c>
      <c r="E407" s="102" t="s">
        <v>29661</v>
      </c>
      <c r="F407" s="102" t="s">
        <v>91</v>
      </c>
      <c r="G407" s="102" t="s">
        <v>29661</v>
      </c>
      <c r="H407" s="102" t="s">
        <v>29702</v>
      </c>
      <c r="I407" s="102" t="s">
        <v>29703</v>
      </c>
      <c r="J407" s="102" t="s">
        <v>29710</v>
      </c>
      <c r="K407" s="102" t="s">
        <v>264</v>
      </c>
      <c r="L407" s="102" t="s">
        <v>25606</v>
      </c>
      <c r="M407" s="102" t="s">
        <v>26662</v>
      </c>
      <c r="N407" s="102">
        <v>975.8</v>
      </c>
      <c r="S407" t="str">
        <f t="shared" si="26"/>
        <v>95-001-66-60</v>
      </c>
      <c r="T407" s="129" t="s">
        <v>28272</v>
      </c>
      <c r="U407" s="112">
        <v>1</v>
      </c>
    </row>
    <row r="408" spans="1:21" x14ac:dyDescent="0.2">
      <c r="A408" s="102" t="s">
        <v>29636</v>
      </c>
      <c r="B408" s="102" t="s">
        <v>29649</v>
      </c>
      <c r="C408" s="102" t="s">
        <v>46</v>
      </c>
      <c r="D408" s="102" t="s">
        <v>47</v>
      </c>
      <c r="E408" s="102" t="s">
        <v>29661</v>
      </c>
      <c r="F408" s="102" t="s">
        <v>91</v>
      </c>
      <c r="G408" s="102" t="s">
        <v>29661</v>
      </c>
      <c r="H408" s="102" t="s">
        <v>29702</v>
      </c>
      <c r="I408" s="102" t="s">
        <v>29703</v>
      </c>
      <c r="J408" s="102" t="s">
        <v>29710</v>
      </c>
      <c r="K408" s="102" t="s">
        <v>264</v>
      </c>
      <c r="L408" s="102" t="s">
        <v>25606</v>
      </c>
      <c r="M408" s="102" t="s">
        <v>26662</v>
      </c>
      <c r="N408" s="102">
        <v>975.8</v>
      </c>
      <c r="S408" t="str">
        <f t="shared" si="26"/>
        <v>95-001-66-61</v>
      </c>
      <c r="T408" s="129" t="s">
        <v>28354</v>
      </c>
      <c r="U408" s="112">
        <v>1</v>
      </c>
    </row>
    <row r="409" spans="1:21" x14ac:dyDescent="0.2">
      <c r="A409" s="102" t="s">
        <v>29637</v>
      </c>
      <c r="B409" s="102" t="s">
        <v>29651</v>
      </c>
      <c r="C409" s="102" t="s">
        <v>31</v>
      </c>
      <c r="D409" s="102" t="s">
        <v>39</v>
      </c>
      <c r="E409" s="102" t="s">
        <v>29661</v>
      </c>
      <c r="F409" s="102" t="s">
        <v>91</v>
      </c>
      <c r="G409" s="102" t="s">
        <v>29661</v>
      </c>
      <c r="H409" s="102" t="s">
        <v>29702</v>
      </c>
      <c r="I409" s="102" t="s">
        <v>29703</v>
      </c>
      <c r="J409" s="102" t="s">
        <v>29710</v>
      </c>
      <c r="K409" s="102" t="s">
        <v>264</v>
      </c>
      <c r="L409" s="102" t="s">
        <v>25606</v>
      </c>
      <c r="M409" s="102" t="s">
        <v>26662</v>
      </c>
      <c r="N409" s="102">
        <v>975.8</v>
      </c>
      <c r="S409" t="str">
        <f t="shared" si="26"/>
        <v>95-007-66-56</v>
      </c>
      <c r="T409" s="129" t="s">
        <v>28269</v>
      </c>
      <c r="U409" s="112">
        <v>2</v>
      </c>
    </row>
    <row r="410" spans="1:21" x14ac:dyDescent="0.2">
      <c r="A410" s="102" t="s">
        <v>29637</v>
      </c>
      <c r="B410" s="102" t="s">
        <v>29651</v>
      </c>
      <c r="C410" s="102" t="s">
        <v>31</v>
      </c>
      <c r="D410" s="102" t="s">
        <v>39</v>
      </c>
      <c r="E410" s="102" t="s">
        <v>29661</v>
      </c>
      <c r="F410" s="102" t="s">
        <v>91</v>
      </c>
      <c r="G410" s="102" t="s">
        <v>29661</v>
      </c>
      <c r="H410" s="102" t="s">
        <v>29702</v>
      </c>
      <c r="I410" s="102" t="s">
        <v>29703</v>
      </c>
      <c r="J410" s="102" t="s">
        <v>29710</v>
      </c>
      <c r="K410" s="102" t="s">
        <v>264</v>
      </c>
      <c r="L410" s="102" t="s">
        <v>25606</v>
      </c>
      <c r="M410" s="102" t="s">
        <v>26662</v>
      </c>
      <c r="N410" s="102">
        <v>975.8</v>
      </c>
      <c r="S410" t="str">
        <f t="shared" si="26"/>
        <v>95-007-66-57</v>
      </c>
      <c r="T410" s="129" t="s">
        <v>28353</v>
      </c>
      <c r="U410" s="112">
        <v>4</v>
      </c>
    </row>
    <row r="411" spans="1:21" x14ac:dyDescent="0.2">
      <c r="A411" s="102" t="s">
        <v>29637</v>
      </c>
      <c r="B411" s="102" t="s">
        <v>29651</v>
      </c>
      <c r="C411" s="102" t="s">
        <v>31</v>
      </c>
      <c r="D411" s="102" t="s">
        <v>39</v>
      </c>
      <c r="E411" s="102" t="s">
        <v>29661</v>
      </c>
      <c r="F411" s="102" t="s">
        <v>91</v>
      </c>
      <c r="G411" s="102" t="s">
        <v>29661</v>
      </c>
      <c r="H411" s="102" t="s">
        <v>29702</v>
      </c>
      <c r="I411" s="102" t="s">
        <v>29703</v>
      </c>
      <c r="J411" s="102" t="s">
        <v>29710</v>
      </c>
      <c r="K411" s="102" t="s">
        <v>264</v>
      </c>
      <c r="L411" s="102" t="s">
        <v>25606</v>
      </c>
      <c r="M411" s="102" t="s">
        <v>26662</v>
      </c>
      <c r="N411" s="102">
        <v>975.8</v>
      </c>
      <c r="S411" t="str">
        <f t="shared" si="26"/>
        <v>95-007-66-58</v>
      </c>
      <c r="T411" s="129" t="s">
        <v>28395</v>
      </c>
      <c r="U411" s="112">
        <v>6</v>
      </c>
    </row>
    <row r="412" spans="1:21" x14ac:dyDescent="0.2">
      <c r="A412" s="102" t="s">
        <v>29637</v>
      </c>
      <c r="B412" s="102" t="s">
        <v>29651</v>
      </c>
      <c r="C412" s="102" t="s">
        <v>31</v>
      </c>
      <c r="D412" s="102" t="s">
        <v>39</v>
      </c>
      <c r="E412" s="102" t="s">
        <v>29661</v>
      </c>
      <c r="F412" s="102" t="s">
        <v>91</v>
      </c>
      <c r="G412" s="102" t="s">
        <v>29661</v>
      </c>
      <c r="H412" s="102" t="s">
        <v>29702</v>
      </c>
      <c r="I412" s="102" t="s">
        <v>29703</v>
      </c>
      <c r="J412" s="102" t="s">
        <v>29710</v>
      </c>
      <c r="K412" s="102" t="s">
        <v>264</v>
      </c>
      <c r="L412" s="102" t="s">
        <v>25606</v>
      </c>
      <c r="M412" s="102" t="s">
        <v>26662</v>
      </c>
      <c r="N412" s="102">
        <v>975.8</v>
      </c>
      <c r="S412" t="str">
        <f t="shared" si="26"/>
        <v>95-007-66-59</v>
      </c>
      <c r="T412" s="129" t="s">
        <v>28349</v>
      </c>
      <c r="U412" s="112">
        <v>8</v>
      </c>
    </row>
    <row r="413" spans="1:21" x14ac:dyDescent="0.2">
      <c r="A413" s="102" t="s">
        <v>29637</v>
      </c>
      <c r="B413" s="102" t="s">
        <v>29651</v>
      </c>
      <c r="C413" s="102" t="s">
        <v>31</v>
      </c>
      <c r="D413" s="102" t="s">
        <v>39</v>
      </c>
      <c r="E413" s="102" t="s">
        <v>29661</v>
      </c>
      <c r="F413" s="102" t="s">
        <v>91</v>
      </c>
      <c r="G413" s="102" t="s">
        <v>29661</v>
      </c>
      <c r="H413" s="102" t="s">
        <v>29702</v>
      </c>
      <c r="I413" s="102" t="s">
        <v>29703</v>
      </c>
      <c r="J413" s="102" t="s">
        <v>29710</v>
      </c>
      <c r="K413" s="102" t="s">
        <v>264</v>
      </c>
      <c r="L413" s="102" t="s">
        <v>25606</v>
      </c>
      <c r="M413" s="102" t="s">
        <v>26662</v>
      </c>
      <c r="N413" s="102">
        <v>975.8</v>
      </c>
      <c r="S413" t="str">
        <f t="shared" si="26"/>
        <v>95-007-66-60</v>
      </c>
      <c r="T413" s="129" t="s">
        <v>28272</v>
      </c>
      <c r="U413" s="112">
        <v>6</v>
      </c>
    </row>
    <row r="414" spans="1:21" x14ac:dyDescent="0.2">
      <c r="A414" s="102" t="s">
        <v>29637</v>
      </c>
      <c r="B414" s="102" t="s">
        <v>29651</v>
      </c>
      <c r="C414" s="102" t="s">
        <v>31</v>
      </c>
      <c r="D414" s="102" t="s">
        <v>39</v>
      </c>
      <c r="E414" s="102" t="s">
        <v>29661</v>
      </c>
      <c r="F414" s="102" t="s">
        <v>91</v>
      </c>
      <c r="G414" s="102" t="s">
        <v>29661</v>
      </c>
      <c r="H414" s="102" t="s">
        <v>29702</v>
      </c>
      <c r="I414" s="102" t="s">
        <v>29703</v>
      </c>
      <c r="J414" s="102" t="s">
        <v>29710</v>
      </c>
      <c r="K414" s="102" t="s">
        <v>264</v>
      </c>
      <c r="L414" s="102" t="s">
        <v>25606</v>
      </c>
      <c r="M414" s="102" t="s">
        <v>26662</v>
      </c>
      <c r="N414" s="102">
        <v>975.8</v>
      </c>
      <c r="S414" t="str">
        <f t="shared" si="26"/>
        <v>95-007-66-61</v>
      </c>
      <c r="T414" s="129" t="s">
        <v>28354</v>
      </c>
      <c r="U414" s="112">
        <v>4</v>
      </c>
    </row>
    <row r="415" spans="1:21" x14ac:dyDescent="0.2">
      <c r="A415" s="102" t="s">
        <v>29637</v>
      </c>
      <c r="B415" s="102" t="s">
        <v>29651</v>
      </c>
      <c r="C415" s="102" t="s">
        <v>31</v>
      </c>
      <c r="D415" s="102" t="s">
        <v>39</v>
      </c>
      <c r="E415" s="102" t="s">
        <v>29661</v>
      </c>
      <c r="F415" s="102" t="s">
        <v>91</v>
      </c>
      <c r="G415" s="102" t="s">
        <v>29661</v>
      </c>
      <c r="H415" s="102" t="s">
        <v>29702</v>
      </c>
      <c r="I415" s="102" t="s">
        <v>29703</v>
      </c>
      <c r="J415" s="102" t="s">
        <v>29710</v>
      </c>
      <c r="K415" s="102" t="s">
        <v>264</v>
      </c>
      <c r="L415" s="102" t="s">
        <v>25606</v>
      </c>
      <c r="M415" s="102" t="s">
        <v>26662</v>
      </c>
      <c r="N415" s="102">
        <v>975.8</v>
      </c>
      <c r="S415" t="str">
        <f t="shared" si="26"/>
        <v>95-007-66-62</v>
      </c>
      <c r="T415" s="129" t="s">
        <v>28236</v>
      </c>
      <c r="U415" s="112">
        <v>1</v>
      </c>
    </row>
    <row r="416" spans="1:21" x14ac:dyDescent="0.2">
      <c r="A416" s="102" t="s">
        <v>29638</v>
      </c>
      <c r="B416" s="102" t="s">
        <v>29646</v>
      </c>
      <c r="C416" s="102" t="s">
        <v>31</v>
      </c>
      <c r="D416" s="102" t="s">
        <v>39</v>
      </c>
      <c r="E416" s="102" t="s">
        <v>29661</v>
      </c>
      <c r="F416" s="102" t="s">
        <v>91</v>
      </c>
      <c r="G416" s="102" t="s">
        <v>29661</v>
      </c>
      <c r="H416" s="102" t="s">
        <v>29704</v>
      </c>
      <c r="I416" s="102" t="s">
        <v>28351</v>
      </c>
      <c r="J416" s="102" t="s">
        <v>29710</v>
      </c>
      <c r="K416" s="102" t="s">
        <v>264</v>
      </c>
      <c r="L416" s="102" t="s">
        <v>25606</v>
      </c>
      <c r="M416" s="102" t="s">
        <v>26662</v>
      </c>
      <c r="N416" s="102">
        <v>975.8</v>
      </c>
      <c r="S416" t="str">
        <f t="shared" ref="S416:S433" si="27">A416&amp;"-"&amp;T416</f>
        <v>95-004-48-56</v>
      </c>
      <c r="T416" s="129" t="s">
        <v>28269</v>
      </c>
      <c r="U416" s="112">
        <v>1</v>
      </c>
    </row>
    <row r="417" spans="1:21" x14ac:dyDescent="0.2">
      <c r="A417" s="102" t="s">
        <v>29638</v>
      </c>
      <c r="B417" s="102" t="s">
        <v>29646</v>
      </c>
      <c r="C417" s="102" t="s">
        <v>31</v>
      </c>
      <c r="D417" s="102" t="s">
        <v>39</v>
      </c>
      <c r="E417" s="102" t="s">
        <v>29661</v>
      </c>
      <c r="F417" s="102" t="s">
        <v>91</v>
      </c>
      <c r="G417" s="102" t="s">
        <v>29661</v>
      </c>
      <c r="H417" s="102" t="s">
        <v>29704</v>
      </c>
      <c r="I417" s="102" t="s">
        <v>28351</v>
      </c>
      <c r="J417" s="102" t="s">
        <v>29710</v>
      </c>
      <c r="K417" s="102" t="s">
        <v>264</v>
      </c>
      <c r="L417" s="102" t="s">
        <v>25606</v>
      </c>
      <c r="M417" s="102" t="s">
        <v>26662</v>
      </c>
      <c r="N417" s="102">
        <v>975.8</v>
      </c>
      <c r="S417" t="str">
        <f t="shared" si="27"/>
        <v>95-004-48-57</v>
      </c>
      <c r="T417" s="129" t="s">
        <v>28353</v>
      </c>
      <c r="U417" s="112">
        <v>3</v>
      </c>
    </row>
    <row r="418" spans="1:21" x14ac:dyDescent="0.2">
      <c r="A418" s="102" t="s">
        <v>29638</v>
      </c>
      <c r="B418" s="102" t="s">
        <v>29646</v>
      </c>
      <c r="C418" s="102" t="s">
        <v>31</v>
      </c>
      <c r="D418" s="102" t="s">
        <v>39</v>
      </c>
      <c r="E418" s="102" t="s">
        <v>29661</v>
      </c>
      <c r="F418" s="102" t="s">
        <v>91</v>
      </c>
      <c r="G418" s="102" t="s">
        <v>29661</v>
      </c>
      <c r="H418" s="102" t="s">
        <v>29704</v>
      </c>
      <c r="I418" s="102" t="s">
        <v>28351</v>
      </c>
      <c r="J418" s="102" t="s">
        <v>29710</v>
      </c>
      <c r="K418" s="102" t="s">
        <v>264</v>
      </c>
      <c r="L418" s="102" t="s">
        <v>25606</v>
      </c>
      <c r="M418" s="102" t="s">
        <v>26662</v>
      </c>
      <c r="N418" s="102">
        <v>975.8</v>
      </c>
      <c r="S418" t="str">
        <f t="shared" si="27"/>
        <v>95-004-48-58</v>
      </c>
      <c r="T418" s="129" t="s">
        <v>28395</v>
      </c>
      <c r="U418" s="112">
        <v>4</v>
      </c>
    </row>
    <row r="419" spans="1:21" x14ac:dyDescent="0.2">
      <c r="A419" s="102" t="s">
        <v>29638</v>
      </c>
      <c r="B419" s="102" t="s">
        <v>29646</v>
      </c>
      <c r="C419" s="102" t="s">
        <v>31</v>
      </c>
      <c r="D419" s="102" t="s">
        <v>39</v>
      </c>
      <c r="E419" s="102" t="s">
        <v>29661</v>
      </c>
      <c r="F419" s="102" t="s">
        <v>91</v>
      </c>
      <c r="G419" s="102" t="s">
        <v>29661</v>
      </c>
      <c r="H419" s="102" t="s">
        <v>29704</v>
      </c>
      <c r="I419" s="102" t="s">
        <v>28351</v>
      </c>
      <c r="J419" s="102" t="s">
        <v>29710</v>
      </c>
      <c r="K419" s="102" t="s">
        <v>264</v>
      </c>
      <c r="L419" s="102" t="s">
        <v>25606</v>
      </c>
      <c r="M419" s="102" t="s">
        <v>26662</v>
      </c>
      <c r="N419" s="102">
        <v>975.8</v>
      </c>
      <c r="S419" t="str">
        <f t="shared" si="27"/>
        <v>95-004-48-59</v>
      </c>
      <c r="T419" s="129" t="s">
        <v>28349</v>
      </c>
      <c r="U419" s="112">
        <v>6</v>
      </c>
    </row>
    <row r="420" spans="1:21" x14ac:dyDescent="0.2">
      <c r="A420" s="102" t="s">
        <v>29638</v>
      </c>
      <c r="B420" s="102" t="s">
        <v>29646</v>
      </c>
      <c r="C420" s="102" t="s">
        <v>31</v>
      </c>
      <c r="D420" s="102" t="s">
        <v>39</v>
      </c>
      <c r="E420" s="102" t="s">
        <v>29661</v>
      </c>
      <c r="F420" s="102" t="s">
        <v>91</v>
      </c>
      <c r="G420" s="102" t="s">
        <v>29661</v>
      </c>
      <c r="H420" s="102" t="s">
        <v>29704</v>
      </c>
      <c r="I420" s="102" t="s">
        <v>28351</v>
      </c>
      <c r="J420" s="102" t="s">
        <v>29710</v>
      </c>
      <c r="K420" s="102" t="s">
        <v>264</v>
      </c>
      <c r="L420" s="102" t="s">
        <v>25606</v>
      </c>
      <c r="M420" s="102" t="s">
        <v>26662</v>
      </c>
      <c r="N420" s="102">
        <v>975.8</v>
      </c>
      <c r="S420" t="str">
        <f t="shared" si="27"/>
        <v>95-004-48-60</v>
      </c>
      <c r="T420" s="129" t="s">
        <v>28272</v>
      </c>
      <c r="U420" s="112">
        <v>4</v>
      </c>
    </row>
    <row r="421" spans="1:21" x14ac:dyDescent="0.2">
      <c r="A421" s="102" t="s">
        <v>29638</v>
      </c>
      <c r="B421" s="102" t="s">
        <v>29646</v>
      </c>
      <c r="C421" s="102" t="s">
        <v>31</v>
      </c>
      <c r="D421" s="102" t="s">
        <v>39</v>
      </c>
      <c r="E421" s="102" t="s">
        <v>29661</v>
      </c>
      <c r="F421" s="102" t="s">
        <v>91</v>
      </c>
      <c r="G421" s="102" t="s">
        <v>29661</v>
      </c>
      <c r="H421" s="102" t="s">
        <v>29704</v>
      </c>
      <c r="I421" s="102" t="s">
        <v>28351</v>
      </c>
      <c r="J421" s="102" t="s">
        <v>29710</v>
      </c>
      <c r="K421" s="102" t="s">
        <v>264</v>
      </c>
      <c r="L421" s="102" t="s">
        <v>25606</v>
      </c>
      <c r="M421" s="102" t="s">
        <v>26662</v>
      </c>
      <c r="N421" s="102">
        <v>975.8</v>
      </c>
      <c r="S421" t="str">
        <f t="shared" si="27"/>
        <v>95-004-48-61</v>
      </c>
      <c r="T421" s="129" t="s">
        <v>28354</v>
      </c>
      <c r="U421" s="112">
        <v>3</v>
      </c>
    </row>
    <row r="422" spans="1:21" x14ac:dyDescent="0.2">
      <c r="A422" s="102" t="s">
        <v>29638</v>
      </c>
      <c r="B422" s="102" t="s">
        <v>29646</v>
      </c>
      <c r="C422" s="102" t="s">
        <v>31</v>
      </c>
      <c r="D422" s="102" t="s">
        <v>39</v>
      </c>
      <c r="E422" s="102" t="s">
        <v>29661</v>
      </c>
      <c r="F422" s="102" t="s">
        <v>91</v>
      </c>
      <c r="G422" s="102" t="s">
        <v>29661</v>
      </c>
      <c r="H422" s="102" t="s">
        <v>29704</v>
      </c>
      <c r="I422" s="102" t="s">
        <v>28351</v>
      </c>
      <c r="J422" s="102" t="s">
        <v>29710</v>
      </c>
      <c r="K422" s="102" t="s">
        <v>264</v>
      </c>
      <c r="L422" s="102" t="s">
        <v>25606</v>
      </c>
      <c r="M422" s="102" t="s">
        <v>26662</v>
      </c>
      <c r="N422" s="102">
        <v>975.8</v>
      </c>
      <c r="S422" t="str">
        <f t="shared" si="27"/>
        <v>95-004-48-62</v>
      </c>
      <c r="T422" s="129" t="s">
        <v>28236</v>
      </c>
      <c r="U422" s="112">
        <v>2</v>
      </c>
    </row>
    <row r="423" spans="1:21" x14ac:dyDescent="0.2">
      <c r="A423" s="102" t="s">
        <v>29639</v>
      </c>
      <c r="B423" s="102" t="s">
        <v>29647</v>
      </c>
      <c r="C423" s="102" t="s">
        <v>31</v>
      </c>
      <c r="D423" s="102" t="s">
        <v>25558</v>
      </c>
      <c r="E423" s="102" t="s">
        <v>29661</v>
      </c>
      <c r="F423" s="102" t="s">
        <v>91</v>
      </c>
      <c r="G423" s="102" t="s">
        <v>29661</v>
      </c>
      <c r="H423" s="102" t="s">
        <v>29704</v>
      </c>
      <c r="I423" s="102" t="s">
        <v>1</v>
      </c>
      <c r="J423" s="102" t="s">
        <v>29710</v>
      </c>
      <c r="K423" s="102" t="s">
        <v>264</v>
      </c>
      <c r="L423" s="102" t="s">
        <v>25606</v>
      </c>
      <c r="M423" s="102" t="s">
        <v>26662</v>
      </c>
      <c r="N423" s="102">
        <v>975.8</v>
      </c>
      <c r="S423" t="str">
        <f t="shared" si="27"/>
        <v>95-010-09-57</v>
      </c>
      <c r="T423" s="129" t="s">
        <v>28353</v>
      </c>
      <c r="U423" s="112">
        <v>1</v>
      </c>
    </row>
    <row r="424" spans="1:21" x14ac:dyDescent="0.2">
      <c r="A424" s="102" t="s">
        <v>29639</v>
      </c>
      <c r="B424" s="102" t="s">
        <v>29647</v>
      </c>
      <c r="C424" s="102" t="s">
        <v>31</v>
      </c>
      <c r="D424" s="102" t="s">
        <v>25558</v>
      </c>
      <c r="E424" s="102" t="s">
        <v>29661</v>
      </c>
      <c r="F424" s="102" t="s">
        <v>91</v>
      </c>
      <c r="G424" s="102" t="s">
        <v>29661</v>
      </c>
      <c r="H424" s="102" t="s">
        <v>29704</v>
      </c>
      <c r="I424" s="102" t="s">
        <v>1</v>
      </c>
      <c r="J424" s="102" t="s">
        <v>29710</v>
      </c>
      <c r="K424" s="102" t="s">
        <v>264</v>
      </c>
      <c r="L424" s="102" t="s">
        <v>25606</v>
      </c>
      <c r="M424" s="102" t="s">
        <v>26662</v>
      </c>
      <c r="N424" s="102">
        <v>975.8</v>
      </c>
      <c r="S424" t="str">
        <f t="shared" si="27"/>
        <v>95-010-09-58</v>
      </c>
      <c r="T424" s="129" t="s">
        <v>28395</v>
      </c>
      <c r="U424" s="112">
        <v>1</v>
      </c>
    </row>
    <row r="425" spans="1:21" x14ac:dyDescent="0.2">
      <c r="A425" s="102" t="s">
        <v>29639</v>
      </c>
      <c r="B425" s="102" t="s">
        <v>29647</v>
      </c>
      <c r="C425" s="102" t="s">
        <v>31</v>
      </c>
      <c r="D425" s="102" t="s">
        <v>25558</v>
      </c>
      <c r="E425" s="102" t="s">
        <v>29661</v>
      </c>
      <c r="F425" s="102" t="s">
        <v>91</v>
      </c>
      <c r="G425" s="102" t="s">
        <v>29661</v>
      </c>
      <c r="H425" s="102" t="s">
        <v>29704</v>
      </c>
      <c r="I425" s="102" t="s">
        <v>1</v>
      </c>
      <c r="J425" s="102" t="s">
        <v>29710</v>
      </c>
      <c r="K425" s="102" t="s">
        <v>264</v>
      </c>
      <c r="L425" s="102" t="s">
        <v>25606</v>
      </c>
      <c r="M425" s="102" t="s">
        <v>26662</v>
      </c>
      <c r="N425" s="102">
        <v>975.8</v>
      </c>
      <c r="S425" t="str">
        <f t="shared" si="27"/>
        <v>95-010-09-59</v>
      </c>
      <c r="T425" s="129" t="s">
        <v>28349</v>
      </c>
      <c r="U425" s="112">
        <v>2</v>
      </c>
    </row>
    <row r="426" spans="1:21" x14ac:dyDescent="0.2">
      <c r="A426" s="102" t="s">
        <v>29639</v>
      </c>
      <c r="B426" s="102" t="s">
        <v>29647</v>
      </c>
      <c r="C426" s="102" t="s">
        <v>31</v>
      </c>
      <c r="D426" s="102" t="s">
        <v>25558</v>
      </c>
      <c r="E426" s="102" t="s">
        <v>29661</v>
      </c>
      <c r="F426" s="102" t="s">
        <v>91</v>
      </c>
      <c r="G426" s="102" t="s">
        <v>29661</v>
      </c>
      <c r="H426" s="102" t="s">
        <v>29704</v>
      </c>
      <c r="I426" s="102" t="s">
        <v>1</v>
      </c>
      <c r="J426" s="102" t="s">
        <v>29710</v>
      </c>
      <c r="K426" s="102" t="s">
        <v>264</v>
      </c>
      <c r="L426" s="102" t="s">
        <v>25606</v>
      </c>
      <c r="M426" s="102" t="s">
        <v>26662</v>
      </c>
      <c r="N426" s="102">
        <v>975.8</v>
      </c>
      <c r="S426" t="str">
        <f t="shared" si="27"/>
        <v>95-010-09-60</v>
      </c>
      <c r="T426" s="129" t="s">
        <v>28272</v>
      </c>
      <c r="U426" s="112">
        <v>1</v>
      </c>
    </row>
    <row r="427" spans="1:21" x14ac:dyDescent="0.2">
      <c r="A427" s="102" t="s">
        <v>29639</v>
      </c>
      <c r="B427" s="102" t="s">
        <v>29647</v>
      </c>
      <c r="C427" s="102" t="s">
        <v>31</v>
      </c>
      <c r="D427" s="102" t="s">
        <v>25558</v>
      </c>
      <c r="E427" s="102" t="s">
        <v>29661</v>
      </c>
      <c r="F427" s="102" t="s">
        <v>91</v>
      </c>
      <c r="G427" s="102" t="s">
        <v>29661</v>
      </c>
      <c r="H427" s="102" t="s">
        <v>29704</v>
      </c>
      <c r="I427" s="102" t="s">
        <v>1</v>
      </c>
      <c r="J427" s="102" t="s">
        <v>29710</v>
      </c>
      <c r="K427" s="102" t="s">
        <v>264</v>
      </c>
      <c r="L427" s="102" t="s">
        <v>25606</v>
      </c>
      <c r="M427" s="102" t="s">
        <v>26662</v>
      </c>
      <c r="N427" s="102">
        <v>975.8</v>
      </c>
      <c r="S427" t="str">
        <f t="shared" si="27"/>
        <v>95-010-09-61</v>
      </c>
      <c r="T427" s="129" t="s">
        <v>28354</v>
      </c>
      <c r="U427" s="112">
        <v>1</v>
      </c>
    </row>
    <row r="428" spans="1:21" x14ac:dyDescent="0.2">
      <c r="A428" s="102" t="s">
        <v>29639</v>
      </c>
      <c r="B428" s="102" t="s">
        <v>29647</v>
      </c>
      <c r="C428" s="102" t="s">
        <v>31</v>
      </c>
      <c r="D428" s="102" t="s">
        <v>25558</v>
      </c>
      <c r="E428" s="102" t="s">
        <v>29661</v>
      </c>
      <c r="F428" s="102" t="s">
        <v>91</v>
      </c>
      <c r="G428" s="102" t="s">
        <v>29661</v>
      </c>
      <c r="H428" s="102" t="s">
        <v>29704</v>
      </c>
      <c r="I428" s="102" t="s">
        <v>1</v>
      </c>
      <c r="J428" s="102" t="s">
        <v>29710</v>
      </c>
      <c r="K428" s="102" t="s">
        <v>264</v>
      </c>
      <c r="L428" s="102" t="s">
        <v>25606</v>
      </c>
      <c r="M428" s="102" t="s">
        <v>26662</v>
      </c>
      <c r="N428" s="102">
        <v>975.8</v>
      </c>
      <c r="S428" t="str">
        <f t="shared" si="27"/>
        <v>95-010-09-62</v>
      </c>
      <c r="T428" s="129" t="s">
        <v>28236</v>
      </c>
      <c r="U428" s="112">
        <v>1</v>
      </c>
    </row>
    <row r="429" spans="1:21" x14ac:dyDescent="0.2">
      <c r="A429" s="102" t="s">
        <v>29640</v>
      </c>
      <c r="B429" s="102" t="s">
        <v>29650</v>
      </c>
      <c r="C429" s="102" t="s">
        <v>31</v>
      </c>
      <c r="D429" s="102" t="s">
        <v>39</v>
      </c>
      <c r="E429" s="102" t="s">
        <v>29661</v>
      </c>
      <c r="F429" s="102" t="s">
        <v>91</v>
      </c>
      <c r="G429" s="102" t="s">
        <v>29661</v>
      </c>
      <c r="H429" s="102" t="s">
        <v>29705</v>
      </c>
      <c r="I429" s="102" t="s">
        <v>25518</v>
      </c>
      <c r="J429" s="102" t="s">
        <v>29710</v>
      </c>
      <c r="K429" s="102" t="s">
        <v>264</v>
      </c>
      <c r="L429" s="102" t="s">
        <v>25606</v>
      </c>
      <c r="M429" s="102" t="s">
        <v>26662</v>
      </c>
      <c r="N429" s="102">
        <v>975.8</v>
      </c>
      <c r="S429" t="str">
        <f t="shared" si="27"/>
        <v>95-005-86-56</v>
      </c>
      <c r="T429" s="129" t="s">
        <v>28269</v>
      </c>
      <c r="U429" s="112">
        <v>1</v>
      </c>
    </row>
    <row r="430" spans="1:21" x14ac:dyDescent="0.2">
      <c r="A430" s="102" t="s">
        <v>29640</v>
      </c>
      <c r="B430" s="102" t="s">
        <v>29650</v>
      </c>
      <c r="C430" s="102" t="s">
        <v>31</v>
      </c>
      <c r="D430" s="102" t="s">
        <v>39</v>
      </c>
      <c r="E430" s="102" t="s">
        <v>29661</v>
      </c>
      <c r="F430" s="102" t="s">
        <v>91</v>
      </c>
      <c r="G430" s="102" t="s">
        <v>29661</v>
      </c>
      <c r="H430" s="102" t="s">
        <v>29705</v>
      </c>
      <c r="I430" s="102" t="s">
        <v>25518</v>
      </c>
      <c r="J430" s="102" t="s">
        <v>29710</v>
      </c>
      <c r="K430" s="102" t="s">
        <v>264</v>
      </c>
      <c r="L430" s="102" t="s">
        <v>25606</v>
      </c>
      <c r="M430" s="102" t="s">
        <v>26662</v>
      </c>
      <c r="N430" s="102">
        <v>975.8</v>
      </c>
      <c r="S430" t="str">
        <f t="shared" si="27"/>
        <v>95-005-86-57</v>
      </c>
      <c r="T430" s="129" t="s">
        <v>28353</v>
      </c>
      <c r="U430" s="112">
        <v>3</v>
      </c>
    </row>
    <row r="431" spans="1:21" x14ac:dyDescent="0.2">
      <c r="A431" s="102" t="s">
        <v>29640</v>
      </c>
      <c r="B431" s="102" t="s">
        <v>29650</v>
      </c>
      <c r="C431" s="102" t="s">
        <v>31</v>
      </c>
      <c r="D431" s="102" t="s">
        <v>39</v>
      </c>
      <c r="E431" s="102" t="s">
        <v>29661</v>
      </c>
      <c r="F431" s="102" t="s">
        <v>91</v>
      </c>
      <c r="G431" s="102" t="s">
        <v>29661</v>
      </c>
      <c r="H431" s="102" t="s">
        <v>29705</v>
      </c>
      <c r="I431" s="102" t="s">
        <v>25518</v>
      </c>
      <c r="J431" s="102" t="s">
        <v>29710</v>
      </c>
      <c r="K431" s="102" t="s">
        <v>264</v>
      </c>
      <c r="L431" s="102" t="s">
        <v>25606</v>
      </c>
      <c r="M431" s="102" t="s">
        <v>26662</v>
      </c>
      <c r="N431" s="102">
        <v>975.8</v>
      </c>
      <c r="S431" t="str">
        <f t="shared" si="27"/>
        <v>95-005-86-58</v>
      </c>
      <c r="T431" s="129" t="s">
        <v>28395</v>
      </c>
      <c r="U431" s="112">
        <v>5</v>
      </c>
    </row>
    <row r="432" spans="1:21" x14ac:dyDescent="0.2">
      <c r="A432" s="102" t="s">
        <v>29640</v>
      </c>
      <c r="B432" s="102" t="s">
        <v>29650</v>
      </c>
      <c r="C432" s="102" t="s">
        <v>31</v>
      </c>
      <c r="D432" s="102" t="s">
        <v>39</v>
      </c>
      <c r="E432" s="102" t="s">
        <v>29661</v>
      </c>
      <c r="F432" s="102" t="s">
        <v>91</v>
      </c>
      <c r="G432" s="102" t="s">
        <v>29661</v>
      </c>
      <c r="H432" s="102" t="s">
        <v>29705</v>
      </c>
      <c r="I432" s="102" t="s">
        <v>25518</v>
      </c>
      <c r="J432" s="102" t="s">
        <v>29710</v>
      </c>
      <c r="K432" s="102" t="s">
        <v>264</v>
      </c>
      <c r="L432" s="102" t="s">
        <v>25606</v>
      </c>
      <c r="M432" s="102" t="s">
        <v>26662</v>
      </c>
      <c r="N432" s="102">
        <v>975.8</v>
      </c>
      <c r="S432" t="str">
        <f t="shared" si="27"/>
        <v>95-005-86-59</v>
      </c>
      <c r="T432" s="129" t="s">
        <v>28349</v>
      </c>
      <c r="U432" s="112">
        <v>7</v>
      </c>
    </row>
    <row r="433" spans="1:21" x14ac:dyDescent="0.2">
      <c r="A433" s="102" t="s">
        <v>29640</v>
      </c>
      <c r="B433" s="102" t="s">
        <v>29650</v>
      </c>
      <c r="C433" s="102" t="s">
        <v>31</v>
      </c>
      <c r="D433" s="102" t="s">
        <v>39</v>
      </c>
      <c r="E433" s="102" t="s">
        <v>29661</v>
      </c>
      <c r="F433" s="102" t="s">
        <v>91</v>
      </c>
      <c r="G433" s="102" t="s">
        <v>29661</v>
      </c>
      <c r="H433" s="102" t="s">
        <v>29705</v>
      </c>
      <c r="I433" s="102" t="s">
        <v>25518</v>
      </c>
      <c r="J433" s="102" t="s">
        <v>29710</v>
      </c>
      <c r="K433" s="102" t="s">
        <v>264</v>
      </c>
      <c r="L433" s="102" t="s">
        <v>25606</v>
      </c>
      <c r="M433" s="102" t="s">
        <v>26662</v>
      </c>
      <c r="N433" s="102">
        <v>975.8</v>
      </c>
      <c r="S433" t="str">
        <f t="shared" si="27"/>
        <v>95-005-86-60</v>
      </c>
      <c r="T433" s="129" t="s">
        <v>28272</v>
      </c>
      <c r="U433" s="112">
        <v>5</v>
      </c>
    </row>
    <row r="434" spans="1:21" x14ac:dyDescent="0.2">
      <c r="A434" s="102" t="s">
        <v>29641</v>
      </c>
      <c r="B434" s="102" t="s">
        <v>29647</v>
      </c>
      <c r="C434" s="102" t="s">
        <v>31</v>
      </c>
      <c r="D434" s="102" t="s">
        <v>25558</v>
      </c>
      <c r="E434" s="102" t="s">
        <v>29661</v>
      </c>
      <c r="F434" s="102" t="s">
        <v>91</v>
      </c>
      <c r="G434" s="102" t="s">
        <v>29661</v>
      </c>
      <c r="H434" s="102" t="s">
        <v>29706</v>
      </c>
      <c r="I434" s="102" t="s">
        <v>29707</v>
      </c>
      <c r="J434" s="102" t="s">
        <v>29710</v>
      </c>
      <c r="K434" s="102" t="s">
        <v>264</v>
      </c>
      <c r="L434" s="102" t="s">
        <v>25606</v>
      </c>
      <c r="M434" s="102" t="s">
        <v>26662</v>
      </c>
      <c r="N434" s="102">
        <v>975.8</v>
      </c>
      <c r="S434" t="str">
        <f t="shared" ref="S434:S448" si="28">A434&amp;"-"&amp;T434</f>
        <v>95-010-67-57</v>
      </c>
      <c r="T434" s="129" t="s">
        <v>28353</v>
      </c>
      <c r="U434" s="112">
        <v>1</v>
      </c>
    </row>
    <row r="435" spans="1:21" x14ac:dyDescent="0.2">
      <c r="A435" s="102" t="s">
        <v>29641</v>
      </c>
      <c r="B435" s="102" t="s">
        <v>29647</v>
      </c>
      <c r="C435" s="102" t="s">
        <v>31</v>
      </c>
      <c r="D435" s="102" t="s">
        <v>25558</v>
      </c>
      <c r="E435" s="102" t="s">
        <v>29661</v>
      </c>
      <c r="F435" s="102" t="s">
        <v>91</v>
      </c>
      <c r="G435" s="102" t="s">
        <v>29661</v>
      </c>
      <c r="H435" s="102" t="s">
        <v>29706</v>
      </c>
      <c r="I435" s="102" t="s">
        <v>29707</v>
      </c>
      <c r="J435" s="102" t="s">
        <v>29710</v>
      </c>
      <c r="K435" s="102" t="s">
        <v>264</v>
      </c>
      <c r="L435" s="102" t="s">
        <v>25606</v>
      </c>
      <c r="M435" s="102" t="s">
        <v>26662</v>
      </c>
      <c r="N435" s="102">
        <v>975.8</v>
      </c>
      <c r="S435" t="str">
        <f t="shared" si="28"/>
        <v>95-010-67-58</v>
      </c>
      <c r="T435" s="129" t="s">
        <v>28395</v>
      </c>
      <c r="U435" s="112">
        <v>2</v>
      </c>
    </row>
    <row r="436" spans="1:21" x14ac:dyDescent="0.2">
      <c r="A436" s="102" t="s">
        <v>29641</v>
      </c>
      <c r="B436" s="102" t="s">
        <v>29647</v>
      </c>
      <c r="C436" s="102" t="s">
        <v>31</v>
      </c>
      <c r="D436" s="102" t="s">
        <v>25558</v>
      </c>
      <c r="E436" s="102" t="s">
        <v>29661</v>
      </c>
      <c r="F436" s="102" t="s">
        <v>91</v>
      </c>
      <c r="G436" s="102" t="s">
        <v>29661</v>
      </c>
      <c r="H436" s="102" t="s">
        <v>29706</v>
      </c>
      <c r="I436" s="102" t="s">
        <v>29707</v>
      </c>
      <c r="J436" s="102" t="s">
        <v>29710</v>
      </c>
      <c r="K436" s="102" t="s">
        <v>264</v>
      </c>
      <c r="L436" s="102" t="s">
        <v>25606</v>
      </c>
      <c r="M436" s="102" t="s">
        <v>26662</v>
      </c>
      <c r="N436" s="102">
        <v>975.8</v>
      </c>
      <c r="S436" t="str">
        <f t="shared" si="28"/>
        <v>95-010-67-59</v>
      </c>
      <c r="T436" s="129" t="s">
        <v>28349</v>
      </c>
      <c r="U436" s="112">
        <v>3</v>
      </c>
    </row>
    <row r="437" spans="1:21" x14ac:dyDescent="0.2">
      <c r="A437" s="102" t="s">
        <v>29641</v>
      </c>
      <c r="B437" s="102" t="s">
        <v>29647</v>
      </c>
      <c r="C437" s="102" t="s">
        <v>31</v>
      </c>
      <c r="D437" s="102" t="s">
        <v>25558</v>
      </c>
      <c r="E437" s="102" t="s">
        <v>29661</v>
      </c>
      <c r="F437" s="102" t="s">
        <v>91</v>
      </c>
      <c r="G437" s="102" t="s">
        <v>29661</v>
      </c>
      <c r="H437" s="102" t="s">
        <v>29706</v>
      </c>
      <c r="I437" s="102" t="s">
        <v>29707</v>
      </c>
      <c r="J437" s="102" t="s">
        <v>29710</v>
      </c>
      <c r="K437" s="102" t="s">
        <v>264</v>
      </c>
      <c r="L437" s="102" t="s">
        <v>25606</v>
      </c>
      <c r="M437" s="102" t="s">
        <v>26662</v>
      </c>
      <c r="N437" s="102">
        <v>975.8</v>
      </c>
      <c r="S437" t="str">
        <f t="shared" si="28"/>
        <v>95-010-67-60</v>
      </c>
      <c r="T437" s="129" t="s">
        <v>28272</v>
      </c>
      <c r="U437" s="112">
        <v>2</v>
      </c>
    </row>
    <row r="438" spans="1:21" x14ac:dyDescent="0.2">
      <c r="A438" s="102" t="s">
        <v>29641</v>
      </c>
      <c r="B438" s="102" t="s">
        <v>29647</v>
      </c>
      <c r="C438" s="102" t="s">
        <v>31</v>
      </c>
      <c r="D438" s="102" t="s">
        <v>25558</v>
      </c>
      <c r="E438" s="102" t="s">
        <v>29661</v>
      </c>
      <c r="F438" s="102" t="s">
        <v>91</v>
      </c>
      <c r="G438" s="102" t="s">
        <v>29661</v>
      </c>
      <c r="H438" s="102" t="s">
        <v>29706</v>
      </c>
      <c r="I438" s="102" t="s">
        <v>29707</v>
      </c>
      <c r="J438" s="102" t="s">
        <v>29710</v>
      </c>
      <c r="K438" s="102" t="s">
        <v>264</v>
      </c>
      <c r="L438" s="102" t="s">
        <v>25606</v>
      </c>
      <c r="M438" s="102" t="s">
        <v>26662</v>
      </c>
      <c r="N438" s="102">
        <v>975.8</v>
      </c>
      <c r="S438" t="str">
        <f t="shared" si="28"/>
        <v>95-010-67-61</v>
      </c>
      <c r="T438" s="129" t="s">
        <v>28354</v>
      </c>
      <c r="U438" s="112">
        <v>1</v>
      </c>
    </row>
    <row r="439" spans="1:21" x14ac:dyDescent="0.2">
      <c r="A439" s="102" t="s">
        <v>29641</v>
      </c>
      <c r="B439" s="102" t="s">
        <v>29647</v>
      </c>
      <c r="C439" s="102" t="s">
        <v>31</v>
      </c>
      <c r="D439" s="102" t="s">
        <v>25558</v>
      </c>
      <c r="E439" s="102" t="s">
        <v>29661</v>
      </c>
      <c r="F439" s="102" t="s">
        <v>91</v>
      </c>
      <c r="G439" s="102" t="s">
        <v>29661</v>
      </c>
      <c r="H439" s="102" t="s">
        <v>29706</v>
      </c>
      <c r="I439" s="102" t="s">
        <v>29707</v>
      </c>
      <c r="J439" s="102" t="s">
        <v>29710</v>
      </c>
      <c r="K439" s="102" t="s">
        <v>264</v>
      </c>
      <c r="L439" s="102" t="s">
        <v>25606</v>
      </c>
      <c r="M439" s="102" t="s">
        <v>26662</v>
      </c>
      <c r="N439" s="102">
        <v>975.8</v>
      </c>
      <c r="S439" t="str">
        <f t="shared" si="28"/>
        <v>95-010-67-62</v>
      </c>
      <c r="T439" s="129" t="s">
        <v>28236</v>
      </c>
      <c r="U439" s="112">
        <v>1</v>
      </c>
    </row>
    <row r="440" spans="1:21" x14ac:dyDescent="0.2">
      <c r="A440" s="102" t="s">
        <v>29642</v>
      </c>
      <c r="B440" s="102" t="s">
        <v>29648</v>
      </c>
      <c r="C440" s="102" t="s">
        <v>31</v>
      </c>
      <c r="D440" s="102" t="s">
        <v>37</v>
      </c>
      <c r="E440" s="102" t="s">
        <v>29661</v>
      </c>
      <c r="F440" s="102" t="s">
        <v>91</v>
      </c>
      <c r="G440" s="102" t="s">
        <v>29661</v>
      </c>
      <c r="H440" s="102" t="s">
        <v>29708</v>
      </c>
      <c r="I440" s="102" t="s">
        <v>28411</v>
      </c>
      <c r="J440" s="102" t="s">
        <v>29710</v>
      </c>
      <c r="K440" s="102" t="s">
        <v>264</v>
      </c>
      <c r="L440" s="102" t="s">
        <v>25606</v>
      </c>
      <c r="M440" s="102" t="s">
        <v>26662</v>
      </c>
      <c r="N440" s="102">
        <v>975.8</v>
      </c>
      <c r="S440" t="str">
        <f t="shared" si="28"/>
        <v>95-006-04-57</v>
      </c>
      <c r="T440" s="129" t="s">
        <v>28353</v>
      </c>
      <c r="U440" s="112">
        <v>1</v>
      </c>
    </row>
    <row r="441" spans="1:21" x14ac:dyDescent="0.2">
      <c r="A441" s="102" t="s">
        <v>29642</v>
      </c>
      <c r="B441" s="102" t="s">
        <v>29648</v>
      </c>
      <c r="C441" s="102" t="s">
        <v>31</v>
      </c>
      <c r="D441" s="102" t="s">
        <v>37</v>
      </c>
      <c r="E441" s="102" t="s">
        <v>29661</v>
      </c>
      <c r="F441" s="102" t="s">
        <v>91</v>
      </c>
      <c r="G441" s="102" t="s">
        <v>29661</v>
      </c>
      <c r="H441" s="102" t="s">
        <v>29708</v>
      </c>
      <c r="I441" s="102" t="s">
        <v>28411</v>
      </c>
      <c r="J441" s="102" t="s">
        <v>29710</v>
      </c>
      <c r="K441" s="102" t="s">
        <v>264</v>
      </c>
      <c r="L441" s="102" t="s">
        <v>25606</v>
      </c>
      <c r="M441" s="102" t="s">
        <v>26662</v>
      </c>
      <c r="N441" s="102">
        <v>975.8</v>
      </c>
      <c r="S441" t="str">
        <f t="shared" si="28"/>
        <v>95-006-04-58</v>
      </c>
      <c r="T441" s="129" t="s">
        <v>28395</v>
      </c>
      <c r="U441" s="112">
        <v>2</v>
      </c>
    </row>
    <row r="442" spans="1:21" x14ac:dyDescent="0.2">
      <c r="A442" s="102" t="s">
        <v>29642</v>
      </c>
      <c r="B442" s="102" t="s">
        <v>29648</v>
      </c>
      <c r="C442" s="102" t="s">
        <v>31</v>
      </c>
      <c r="D442" s="102" t="s">
        <v>37</v>
      </c>
      <c r="E442" s="102" t="s">
        <v>29661</v>
      </c>
      <c r="F442" s="102" t="s">
        <v>91</v>
      </c>
      <c r="G442" s="102" t="s">
        <v>29661</v>
      </c>
      <c r="H442" s="102" t="s">
        <v>29708</v>
      </c>
      <c r="I442" s="102" t="s">
        <v>28411</v>
      </c>
      <c r="J442" s="102" t="s">
        <v>29710</v>
      </c>
      <c r="K442" s="102" t="s">
        <v>264</v>
      </c>
      <c r="L442" s="102" t="s">
        <v>25606</v>
      </c>
      <c r="M442" s="102" t="s">
        <v>26662</v>
      </c>
      <c r="N442" s="102">
        <v>975.8</v>
      </c>
      <c r="S442" t="str">
        <f t="shared" si="28"/>
        <v>95-006-04-59</v>
      </c>
      <c r="T442" s="129" t="s">
        <v>28349</v>
      </c>
      <c r="U442" s="112">
        <v>3</v>
      </c>
    </row>
    <row r="443" spans="1:21" x14ac:dyDescent="0.2">
      <c r="A443" s="102" t="s">
        <v>29642</v>
      </c>
      <c r="B443" s="102" t="s">
        <v>29648</v>
      </c>
      <c r="C443" s="102" t="s">
        <v>31</v>
      </c>
      <c r="D443" s="102" t="s">
        <v>37</v>
      </c>
      <c r="E443" s="102" t="s">
        <v>29661</v>
      </c>
      <c r="F443" s="102" t="s">
        <v>91</v>
      </c>
      <c r="G443" s="102" t="s">
        <v>29661</v>
      </c>
      <c r="H443" s="102" t="s">
        <v>29708</v>
      </c>
      <c r="I443" s="102" t="s">
        <v>28411</v>
      </c>
      <c r="J443" s="102" t="s">
        <v>29710</v>
      </c>
      <c r="K443" s="102" t="s">
        <v>264</v>
      </c>
      <c r="L443" s="102" t="s">
        <v>25606</v>
      </c>
      <c r="M443" s="102" t="s">
        <v>26662</v>
      </c>
      <c r="N443" s="102">
        <v>975.8</v>
      </c>
      <c r="S443" t="str">
        <f t="shared" si="28"/>
        <v>95-006-04-60</v>
      </c>
      <c r="T443" s="129" t="s">
        <v>28272</v>
      </c>
      <c r="U443" s="112">
        <v>2</v>
      </c>
    </row>
    <row r="444" spans="1:21" x14ac:dyDescent="0.2">
      <c r="A444" s="102" t="s">
        <v>29642</v>
      </c>
      <c r="B444" s="102" t="s">
        <v>29648</v>
      </c>
      <c r="C444" s="102" t="s">
        <v>31</v>
      </c>
      <c r="D444" s="102" t="s">
        <v>37</v>
      </c>
      <c r="E444" s="102" t="s">
        <v>29661</v>
      </c>
      <c r="F444" s="102" t="s">
        <v>91</v>
      </c>
      <c r="G444" s="102" t="s">
        <v>29661</v>
      </c>
      <c r="H444" s="102" t="s">
        <v>29708</v>
      </c>
      <c r="I444" s="102" t="s">
        <v>28411</v>
      </c>
      <c r="J444" s="102" t="s">
        <v>29710</v>
      </c>
      <c r="K444" s="102" t="s">
        <v>264</v>
      </c>
      <c r="L444" s="102" t="s">
        <v>25606</v>
      </c>
      <c r="M444" s="102" t="s">
        <v>26662</v>
      </c>
      <c r="N444" s="102">
        <v>975.8</v>
      </c>
      <c r="S444" t="str">
        <f t="shared" si="28"/>
        <v>95-006-04-61</v>
      </c>
      <c r="T444" s="129" t="s">
        <v>28354</v>
      </c>
      <c r="U444" s="112">
        <v>1</v>
      </c>
    </row>
    <row r="445" spans="1:21" x14ac:dyDescent="0.2">
      <c r="A445" s="102" t="s">
        <v>29642</v>
      </c>
      <c r="B445" s="102" t="s">
        <v>29648</v>
      </c>
      <c r="C445" s="102" t="s">
        <v>31</v>
      </c>
      <c r="D445" s="102" t="s">
        <v>37</v>
      </c>
      <c r="E445" s="102" t="s">
        <v>29661</v>
      </c>
      <c r="F445" s="102" t="s">
        <v>91</v>
      </c>
      <c r="G445" s="102" t="s">
        <v>29661</v>
      </c>
      <c r="H445" s="102" t="s">
        <v>29708</v>
      </c>
      <c r="I445" s="102" t="s">
        <v>28411</v>
      </c>
      <c r="J445" s="102" t="s">
        <v>29710</v>
      </c>
      <c r="K445" s="102" t="s">
        <v>264</v>
      </c>
      <c r="L445" s="102" t="s">
        <v>25606</v>
      </c>
      <c r="M445" s="102" t="s">
        <v>26662</v>
      </c>
      <c r="N445" s="102">
        <v>975.8</v>
      </c>
      <c r="S445" t="str">
        <f t="shared" si="28"/>
        <v>95-006-04-62</v>
      </c>
      <c r="T445" s="129" t="s">
        <v>28236</v>
      </c>
      <c r="U445" s="112">
        <v>1</v>
      </c>
    </row>
    <row r="446" spans="1:21" x14ac:dyDescent="0.2">
      <c r="A446" s="102" t="s">
        <v>29643</v>
      </c>
      <c r="B446" s="102" t="s">
        <v>29645</v>
      </c>
      <c r="C446" s="102" t="s">
        <v>31</v>
      </c>
      <c r="D446" s="102" t="s">
        <v>39</v>
      </c>
      <c r="E446" s="102" t="s">
        <v>29661</v>
      </c>
      <c r="F446" s="102" t="s">
        <v>91</v>
      </c>
      <c r="G446" s="102" t="s">
        <v>29661</v>
      </c>
      <c r="H446" s="102" t="s">
        <v>29708</v>
      </c>
      <c r="I446" s="102" t="s">
        <v>28411</v>
      </c>
      <c r="J446" s="102" t="s">
        <v>29710</v>
      </c>
      <c r="K446" s="102" t="s">
        <v>264</v>
      </c>
      <c r="L446" s="102" t="s">
        <v>25606</v>
      </c>
      <c r="M446" s="102" t="s">
        <v>26662</v>
      </c>
      <c r="N446" s="102">
        <v>975.8</v>
      </c>
      <c r="S446" t="str">
        <f t="shared" si="28"/>
        <v>95-008-04-57</v>
      </c>
      <c r="T446" s="129" t="s">
        <v>28353</v>
      </c>
      <c r="U446" s="112">
        <v>1</v>
      </c>
    </row>
    <row r="447" spans="1:21" x14ac:dyDescent="0.2">
      <c r="A447" s="102" t="s">
        <v>29643</v>
      </c>
      <c r="B447" s="102" t="s">
        <v>29645</v>
      </c>
      <c r="C447" s="102" t="s">
        <v>31</v>
      </c>
      <c r="D447" s="102" t="s">
        <v>39</v>
      </c>
      <c r="E447" s="102" t="s">
        <v>29661</v>
      </c>
      <c r="F447" s="102" t="s">
        <v>91</v>
      </c>
      <c r="G447" s="102" t="s">
        <v>29661</v>
      </c>
      <c r="H447" s="102" t="s">
        <v>29708</v>
      </c>
      <c r="I447" s="102" t="s">
        <v>28411</v>
      </c>
      <c r="J447" s="102" t="s">
        <v>29710</v>
      </c>
      <c r="K447" s="102" t="s">
        <v>264</v>
      </c>
      <c r="L447" s="102" t="s">
        <v>25606</v>
      </c>
      <c r="M447" s="102" t="s">
        <v>26662</v>
      </c>
      <c r="N447" s="102">
        <v>975.8</v>
      </c>
      <c r="S447" t="str">
        <f t="shared" si="28"/>
        <v>95-008-04-58</v>
      </c>
      <c r="T447" s="129" t="s">
        <v>28395</v>
      </c>
      <c r="U447" s="112">
        <v>2</v>
      </c>
    </row>
    <row r="448" spans="1:21" x14ac:dyDescent="0.2">
      <c r="A448" s="102" t="s">
        <v>29643</v>
      </c>
      <c r="B448" s="102" t="s">
        <v>29645</v>
      </c>
      <c r="C448" s="102" t="s">
        <v>31</v>
      </c>
      <c r="D448" s="102" t="s">
        <v>39</v>
      </c>
      <c r="E448" s="102" t="s">
        <v>29661</v>
      </c>
      <c r="F448" s="102" t="s">
        <v>91</v>
      </c>
      <c r="G448" s="102" t="s">
        <v>29661</v>
      </c>
      <c r="H448" s="102" t="s">
        <v>29708</v>
      </c>
      <c r="I448" s="102" t="s">
        <v>28411</v>
      </c>
      <c r="J448" s="102" t="s">
        <v>29710</v>
      </c>
      <c r="K448" s="102" t="s">
        <v>264</v>
      </c>
      <c r="L448" s="102" t="s">
        <v>25606</v>
      </c>
      <c r="M448" s="102" t="s">
        <v>26662</v>
      </c>
      <c r="N448" s="102">
        <v>975.8</v>
      </c>
      <c r="S448" t="str">
        <f t="shared" si="28"/>
        <v>95-008-04-59</v>
      </c>
      <c r="T448" s="129" t="s">
        <v>28349</v>
      </c>
      <c r="U448" s="112">
        <v>3</v>
      </c>
    </row>
    <row r="449" spans="1:21" x14ac:dyDescent="0.2">
      <c r="A449" s="102" t="s">
        <v>29643</v>
      </c>
      <c r="B449" s="102" t="s">
        <v>29645</v>
      </c>
      <c r="C449" s="102" t="s">
        <v>31</v>
      </c>
      <c r="D449" s="102" t="s">
        <v>39</v>
      </c>
      <c r="E449" s="102" t="s">
        <v>29661</v>
      </c>
      <c r="F449" s="102" t="s">
        <v>91</v>
      </c>
      <c r="G449" s="102" t="s">
        <v>29661</v>
      </c>
      <c r="H449" s="102" t="s">
        <v>29708</v>
      </c>
      <c r="I449" s="102" t="s">
        <v>28411</v>
      </c>
      <c r="J449" s="102" t="s">
        <v>29710</v>
      </c>
      <c r="K449" s="102" t="s">
        <v>264</v>
      </c>
      <c r="L449" s="102" t="s">
        <v>25606</v>
      </c>
      <c r="M449" s="102" t="s">
        <v>26662</v>
      </c>
      <c r="N449" s="102">
        <v>975.8</v>
      </c>
      <c r="S449" t="str">
        <f t="shared" ref="S449:S456" si="29">A449&amp;"-"&amp;T449</f>
        <v>95-008-04-60</v>
      </c>
      <c r="T449" s="129" t="s">
        <v>28272</v>
      </c>
      <c r="U449" s="112">
        <v>2</v>
      </c>
    </row>
    <row r="450" spans="1:21" x14ac:dyDescent="0.2">
      <c r="A450" s="102" t="s">
        <v>29643</v>
      </c>
      <c r="B450" s="102" t="s">
        <v>29645</v>
      </c>
      <c r="C450" s="102" t="s">
        <v>31</v>
      </c>
      <c r="D450" s="102" t="s">
        <v>39</v>
      </c>
      <c r="E450" s="102" t="s">
        <v>29661</v>
      </c>
      <c r="F450" s="102" t="s">
        <v>91</v>
      </c>
      <c r="G450" s="102" t="s">
        <v>29661</v>
      </c>
      <c r="H450" s="102" t="s">
        <v>29708</v>
      </c>
      <c r="I450" s="102" t="s">
        <v>28411</v>
      </c>
      <c r="J450" s="102" t="s">
        <v>29710</v>
      </c>
      <c r="K450" s="102" t="s">
        <v>264</v>
      </c>
      <c r="L450" s="102" t="s">
        <v>25606</v>
      </c>
      <c r="M450" s="102" t="s">
        <v>26662</v>
      </c>
      <c r="N450" s="102">
        <v>975.8</v>
      </c>
      <c r="S450" t="str">
        <f t="shared" si="29"/>
        <v>95-008-04-61</v>
      </c>
      <c r="T450" s="129" t="s">
        <v>28354</v>
      </c>
      <c r="U450" s="112">
        <v>1</v>
      </c>
    </row>
    <row r="451" spans="1:21" x14ac:dyDescent="0.2">
      <c r="A451" s="102" t="s">
        <v>29644</v>
      </c>
      <c r="B451" s="102" t="s">
        <v>29645</v>
      </c>
      <c r="C451" s="102" t="s">
        <v>31</v>
      </c>
      <c r="D451" s="102" t="s">
        <v>39</v>
      </c>
      <c r="E451" s="102" t="s">
        <v>29661</v>
      </c>
      <c r="F451" s="102" t="s">
        <v>91</v>
      </c>
      <c r="G451" s="102" t="s">
        <v>29661</v>
      </c>
      <c r="H451" s="102">
        <v>79</v>
      </c>
      <c r="I451" s="102" t="s">
        <v>29709</v>
      </c>
      <c r="J451" s="102" t="s">
        <v>29710</v>
      </c>
      <c r="K451" s="102" t="s">
        <v>264</v>
      </c>
      <c r="L451" s="102" t="s">
        <v>25606</v>
      </c>
      <c r="M451" s="102" t="s">
        <v>26662</v>
      </c>
      <c r="N451" s="102">
        <v>975.8</v>
      </c>
      <c r="S451" t="str">
        <f t="shared" si="29"/>
        <v>95-008-68-57</v>
      </c>
      <c r="T451" s="129" t="s">
        <v>28353</v>
      </c>
      <c r="U451" s="112">
        <v>3</v>
      </c>
    </row>
    <row r="452" spans="1:21" x14ac:dyDescent="0.2">
      <c r="A452" s="102" t="s">
        <v>29644</v>
      </c>
      <c r="B452" s="102" t="s">
        <v>29645</v>
      </c>
      <c r="C452" s="102" t="s">
        <v>31</v>
      </c>
      <c r="D452" s="102" t="s">
        <v>39</v>
      </c>
      <c r="E452" s="102" t="s">
        <v>29661</v>
      </c>
      <c r="F452" s="102" t="s">
        <v>91</v>
      </c>
      <c r="G452" s="102" t="s">
        <v>29661</v>
      </c>
      <c r="H452" s="102">
        <v>79</v>
      </c>
      <c r="I452" s="102" t="s">
        <v>29709</v>
      </c>
      <c r="J452" s="102" t="s">
        <v>29710</v>
      </c>
      <c r="K452" s="102" t="s">
        <v>264</v>
      </c>
      <c r="L452" s="102" t="s">
        <v>25606</v>
      </c>
      <c r="M452" s="102" t="s">
        <v>26662</v>
      </c>
      <c r="N452" s="102">
        <v>975.8</v>
      </c>
      <c r="S452" t="str">
        <f t="shared" si="29"/>
        <v>95-008-68-58</v>
      </c>
      <c r="T452" s="129" t="s">
        <v>28395</v>
      </c>
      <c r="U452" s="112">
        <v>5</v>
      </c>
    </row>
    <row r="453" spans="1:21" x14ac:dyDescent="0.2">
      <c r="A453" s="102" t="s">
        <v>29644</v>
      </c>
      <c r="B453" s="102" t="s">
        <v>29645</v>
      </c>
      <c r="C453" s="102" t="s">
        <v>31</v>
      </c>
      <c r="D453" s="102" t="s">
        <v>39</v>
      </c>
      <c r="E453" s="102" t="s">
        <v>29661</v>
      </c>
      <c r="F453" s="102" t="s">
        <v>91</v>
      </c>
      <c r="G453" s="102" t="s">
        <v>29661</v>
      </c>
      <c r="H453" s="102">
        <v>79</v>
      </c>
      <c r="I453" s="102" t="s">
        <v>29709</v>
      </c>
      <c r="J453" s="102" t="s">
        <v>29710</v>
      </c>
      <c r="K453" s="102" t="s">
        <v>264</v>
      </c>
      <c r="L453" s="102" t="s">
        <v>25606</v>
      </c>
      <c r="M453" s="102" t="s">
        <v>26662</v>
      </c>
      <c r="N453" s="102">
        <v>975.8</v>
      </c>
      <c r="S453" t="str">
        <f t="shared" si="29"/>
        <v>95-008-68-59</v>
      </c>
      <c r="T453" s="129" t="s">
        <v>28349</v>
      </c>
      <c r="U453" s="112">
        <v>7</v>
      </c>
    </row>
    <row r="454" spans="1:21" x14ac:dyDescent="0.2">
      <c r="A454" s="102" t="s">
        <v>29644</v>
      </c>
      <c r="B454" s="102" t="s">
        <v>29645</v>
      </c>
      <c r="C454" s="102" t="s">
        <v>31</v>
      </c>
      <c r="D454" s="102" t="s">
        <v>39</v>
      </c>
      <c r="E454" s="102" t="s">
        <v>29661</v>
      </c>
      <c r="F454" s="102" t="s">
        <v>91</v>
      </c>
      <c r="G454" s="102" t="s">
        <v>29661</v>
      </c>
      <c r="H454" s="102">
        <v>79</v>
      </c>
      <c r="I454" s="102" t="s">
        <v>29709</v>
      </c>
      <c r="J454" s="102" t="s">
        <v>29710</v>
      </c>
      <c r="K454" s="102" t="s">
        <v>264</v>
      </c>
      <c r="L454" s="102" t="s">
        <v>25606</v>
      </c>
      <c r="M454" s="102" t="s">
        <v>26662</v>
      </c>
      <c r="N454" s="102">
        <v>975.8</v>
      </c>
      <c r="S454" t="str">
        <f t="shared" si="29"/>
        <v>95-008-68-60</v>
      </c>
      <c r="T454" s="129" t="s">
        <v>28272</v>
      </c>
      <c r="U454" s="112">
        <v>5</v>
      </c>
    </row>
    <row r="455" spans="1:21" x14ac:dyDescent="0.2">
      <c r="A455" s="102" t="s">
        <v>29644</v>
      </c>
      <c r="B455" s="102" t="s">
        <v>29645</v>
      </c>
      <c r="C455" s="102" t="s">
        <v>31</v>
      </c>
      <c r="D455" s="102" t="s">
        <v>39</v>
      </c>
      <c r="E455" s="102" t="s">
        <v>29661</v>
      </c>
      <c r="F455" s="102" t="s">
        <v>91</v>
      </c>
      <c r="G455" s="102" t="s">
        <v>29661</v>
      </c>
      <c r="H455" s="102">
        <v>79</v>
      </c>
      <c r="I455" s="102" t="s">
        <v>29709</v>
      </c>
      <c r="J455" s="102" t="s">
        <v>29710</v>
      </c>
      <c r="K455" s="102" t="s">
        <v>264</v>
      </c>
      <c r="L455" s="102" t="s">
        <v>25606</v>
      </c>
      <c r="M455" s="102" t="s">
        <v>26662</v>
      </c>
      <c r="N455" s="102">
        <v>975.8</v>
      </c>
      <c r="S455" t="str">
        <f t="shared" si="29"/>
        <v>95-008-68-61</v>
      </c>
      <c r="T455" s="129" t="s">
        <v>28354</v>
      </c>
      <c r="U455" s="112">
        <v>3</v>
      </c>
    </row>
    <row r="456" spans="1:21" x14ac:dyDescent="0.2">
      <c r="A456" s="102" t="s">
        <v>29644</v>
      </c>
      <c r="B456" s="102" t="s">
        <v>29645</v>
      </c>
      <c r="C456" s="102" t="s">
        <v>31</v>
      </c>
      <c r="D456" s="102" t="s">
        <v>39</v>
      </c>
      <c r="E456" s="102" t="s">
        <v>29661</v>
      </c>
      <c r="F456" s="102" t="s">
        <v>91</v>
      </c>
      <c r="G456" s="102" t="s">
        <v>29661</v>
      </c>
      <c r="H456" s="102">
        <v>79</v>
      </c>
      <c r="I456" s="102" t="s">
        <v>29709</v>
      </c>
      <c r="J456" s="102" t="s">
        <v>29710</v>
      </c>
      <c r="K456" s="102" t="s">
        <v>264</v>
      </c>
      <c r="L456" s="102" t="s">
        <v>25606</v>
      </c>
      <c r="M456" s="102" t="s">
        <v>26662</v>
      </c>
      <c r="N456" s="102">
        <v>975.8</v>
      </c>
      <c r="S456" t="str">
        <f t="shared" si="29"/>
        <v>95-008-68-62</v>
      </c>
      <c r="T456" s="129" t="s">
        <v>28236</v>
      </c>
      <c r="U456" s="112">
        <v>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workbookViewId="0">
      <selection activeCell="C3" sqref="C3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FREDRIKSON</v>
      </c>
      <c r="C2" s="67" t="str">
        <f>_xlfn.LET(_xlpm.Letter,LEFT(ADDRESS(1,COLUMN(Строчный!S1),4,1,)),"Строчный!"&amp;_xlpm.Letter&amp;"1:"&amp;_xlpm.Letter&amp;COUNTA(Строчный!S:S))</f>
        <v>Строчный!S1:S456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">
        <v>28413</v>
      </c>
    </row>
    <row r="24" spans="1:1" x14ac:dyDescent="0.2">
      <c r="A24" s="67" t="s">
        <v>28415</v>
      </c>
    </row>
    <row r="25" spans="1:1" x14ac:dyDescent="0.2">
      <c r="A25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2022-03-25T14:01:11Z</dcterms:modified>
</cp:coreProperties>
</file>