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B91BB3D3-233D-45D6-8FF2-9ECEFE6A4A0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M3" i="1"/>
  <c r="M74" i="1" l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M19" i="1"/>
  <c r="L19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M5" i="1"/>
  <c r="L5" i="1"/>
  <c r="M4" i="1"/>
  <c r="L4" i="1"/>
</calcChain>
</file>

<file path=xl/sharedStrings.xml><?xml version="1.0" encoding="utf-8"?>
<sst xmlns="http://schemas.openxmlformats.org/spreadsheetml/2006/main" count="97" uniqueCount="90">
  <si>
    <t>Фото товара</t>
  </si>
  <si>
    <t>Наименование товара</t>
  </si>
  <si>
    <t>Цена, руб.</t>
  </si>
  <si>
    <t>р. 56</t>
  </si>
  <si>
    <t>р. 57</t>
  </si>
  <si>
    <t>р. 58</t>
  </si>
  <si>
    <t>р. 59</t>
  </si>
  <si>
    <t>р. 60</t>
  </si>
  <si>
    <t>р. 61</t>
  </si>
  <si>
    <t>р. 62</t>
  </si>
  <si>
    <t>Кол-во по модели, шт</t>
  </si>
  <si>
    <t>Сумма по модели, руб.</t>
  </si>
  <si>
    <t>Модель 3243/1-624/91-631/90 Картуз м.</t>
  </si>
  <si>
    <t>Модель 3401-624/91 Берет м.</t>
  </si>
  <si>
    <t>Модель 3215-624/91 Бейсболка</t>
  </si>
  <si>
    <t>Модель 3215-625/20 Бейсболка м.</t>
  </si>
  <si>
    <t>Модель 3215-630/23 Бейсболка м.</t>
  </si>
  <si>
    <t>Модель 3215-641/76 Бейсболка м.</t>
  </si>
  <si>
    <t>Модель 3215-644/74 Бейсболка м.</t>
  </si>
  <si>
    <t>Модель 3216-625/20 Бейсболка м.</t>
  </si>
  <si>
    <t>Модель 3265-624/91 Бейсболка м.</t>
  </si>
  <si>
    <t>Модель 3265-630/23 Бейсболка м.</t>
  </si>
  <si>
    <t>Модель 3265-637/70 Бейсболка м.</t>
  </si>
  <si>
    <t>Модель 3265-641/76 Бейсболка м.</t>
  </si>
  <si>
    <t>Модель 3265-678/76 Бейсболка м.</t>
  </si>
  <si>
    <t>Модель 3276-624/91 Бейсболка м.</t>
  </si>
  <si>
    <t>Модель 3160-667/57 Кепка м.</t>
  </si>
  <si>
    <t>Модель 3030-630/23 Кепка м.</t>
  </si>
  <si>
    <t>Модель 3030-641/76 Кепка м.</t>
  </si>
  <si>
    <t>Модель 3035-624/91 Кепка м.</t>
  </si>
  <si>
    <t>Модель 3035-637/70 Кепка м.</t>
  </si>
  <si>
    <t>Модель 3035-641/76 Кепка м.</t>
  </si>
  <si>
    <t>Модель 3035-644/74 Кепка м.</t>
  </si>
  <si>
    <t>Модель 3080-640/77 Кепка м.</t>
  </si>
  <si>
    <t>Модель 3080-641/76 Кепка м.</t>
  </si>
  <si>
    <t>Модель 3080-642/79 Кепка м.</t>
  </si>
  <si>
    <t>Модель 3101-624/91 Кепка м.</t>
  </si>
  <si>
    <t>Модель 3101-637/70 Кепка м.</t>
  </si>
  <si>
    <t>Модель 3101-644/74 Кепка м.</t>
  </si>
  <si>
    <t>Модель 3101-667/57 Кепка м.</t>
  </si>
  <si>
    <t>Модель 3109-622/22 Кепка м.</t>
  </si>
  <si>
    <t>Модель 3109-637/70 Кепка м.</t>
  </si>
  <si>
    <t>Модель 3109-667/57 Кепка м.</t>
  </si>
  <si>
    <t>Модель 3142-624/91 Кепка м.</t>
  </si>
  <si>
    <t>Модель 3142-630/23 Кепка м.</t>
  </si>
  <si>
    <t>Модель 3142-641/76 Кепка м.</t>
  </si>
  <si>
    <t>Модель 3155-624/91 Кепка м.</t>
  </si>
  <si>
    <t>Модель 3190-624/91 Кепка м.</t>
  </si>
  <si>
    <t>Модель 3190-630/23 Кепка м.</t>
  </si>
  <si>
    <t>Модель 3190-640/77 Кепка м.</t>
  </si>
  <si>
    <t>Модель 3190-699/78 Кепка м.</t>
  </si>
  <si>
    <t>Модель 3243-624/91 Картуз м.</t>
  </si>
  <si>
    <t>Модель 3243-624/91-631/90 Картуз м.</t>
  </si>
  <si>
    <t>Модель 3243-641/76 Картуз м.</t>
  </si>
  <si>
    <t>Модель 3122-624/91 Кепка м.</t>
  </si>
  <si>
    <t>Модель 3125-637/70 Кепка м.</t>
  </si>
  <si>
    <t>Модель 3125-641/76 Кепка м.</t>
  </si>
  <si>
    <t>Модель 3125-667/57 Кепка м.</t>
  </si>
  <si>
    <t>Модель 3125-686/51 Кепка м.</t>
  </si>
  <si>
    <t>Модель 3125-699/78 Кепка м.</t>
  </si>
  <si>
    <t>Модель 3260-686/51 Бейсболка м.</t>
  </si>
  <si>
    <t>Модель 3887-622/22 Шарф м.</t>
  </si>
  <si>
    <t>Модель 3887-624/91 Шарф м.</t>
  </si>
  <si>
    <t>Модель 3887-625/20 Шарф м.</t>
  </si>
  <si>
    <t>Модель 3887-630/23 Шарф м.</t>
  </si>
  <si>
    <t>Модель 3887-637/70 Шарф м.</t>
  </si>
  <si>
    <t>Модель 3887-640/77 Шарф м.</t>
  </si>
  <si>
    <t>Модель 3887-641/20 Шарф м.</t>
  </si>
  <si>
    <t>Модель 3887-641/76 Шарф м.</t>
  </si>
  <si>
    <t>Модель 3887-642/70 Шарф м.</t>
  </si>
  <si>
    <t>Модель 3887-642/79 Шарф м.</t>
  </si>
  <si>
    <t>Модель 3887-644/74 Шарф м.</t>
  </si>
  <si>
    <t>Модель 3887-676/76 Шарф м.</t>
  </si>
  <si>
    <t>Модель 3887-678/76 Шарф м.</t>
  </si>
  <si>
    <t>Модель 3887-699/49 Шарф м.</t>
  </si>
  <si>
    <t>Модель 3887-699/78 Шарф м.</t>
  </si>
  <si>
    <t>Модель 3147-640/77 Кепка м.</t>
  </si>
  <si>
    <t>Модель 3147-642/70 Кепка м.</t>
  </si>
  <si>
    <t>Модель 3363-622/22 Шляпа м.</t>
  </si>
  <si>
    <t>Модель 3363-624/91 Шляпа</t>
  </si>
  <si>
    <t>Модель 3363-625/20 Шляпа м.</t>
  </si>
  <si>
    <t>Модель 3363-630/23 Шляпа м.</t>
  </si>
  <si>
    <t>Модель 3363-632/23 Шляпа м.</t>
  </si>
  <si>
    <t>Модель 3363-641/76 Шляпа м.</t>
  </si>
  <si>
    <t>3243-1-624-631-91</t>
  </si>
  <si>
    <t>3401-624-90</t>
  </si>
  <si>
    <t>3101-667-77</t>
  </si>
  <si>
    <t>3190-699-51</t>
  </si>
  <si>
    <t>3260-686-55</t>
  </si>
  <si>
    <t>ImgName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</si>
</sst>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₽&quot;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1" xfId="0" applyBorder="1"/>
    <xf numFmtId="0" fontId="1" fillId="0" borderId="1" xfId="0" applyFont="1" applyBorder="1"/>
    <xf numFmtId="164" fontId="0" fillId="0" borderId="1" xfId="0" applyNumberFormat="1" applyBorder="1"/>
    <xf numFmtId="164" fontId="0" fillId="0" borderId="0" xfId="0" applyNumberFormat="1"/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 wrapText="1"/>
    </xf>
    <xf numFmtId="164" fontId="0" fillId="2" borderId="3" xfId="0" applyNumberForma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1"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0</xdr:col>
      <xdr:colOff>1778000</xdr:colOff>
      <xdr:row>4</xdr:row>
      <xdr:rowOff>1803400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2B26A84D-9EE0-46C4-8F4C-AB6FF2C27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7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25400</xdr:rowOff>
    </xdr:from>
    <xdr:to>
      <xdr:col>0</xdr:col>
      <xdr:colOff>1778000</xdr:colOff>
      <xdr:row>5</xdr:row>
      <xdr:rowOff>1803400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F0280D5A-3DAC-4438-82B8-0044E57E1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6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25400</xdr:rowOff>
    </xdr:from>
    <xdr:to>
      <xdr:col>0</xdr:col>
      <xdr:colOff>1778000</xdr:colOff>
      <xdr:row>6</xdr:row>
      <xdr:rowOff>1803400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8676AEC0-366B-4947-857A-C122D7A46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45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25400</xdr:rowOff>
    </xdr:from>
    <xdr:to>
      <xdr:col>0</xdr:col>
      <xdr:colOff>1778000</xdr:colOff>
      <xdr:row>7</xdr:row>
      <xdr:rowOff>1803400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758DB250-DACD-45B0-8A56-46CF1B249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73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25400</xdr:rowOff>
    </xdr:from>
    <xdr:to>
      <xdr:col>0</xdr:col>
      <xdr:colOff>1778000</xdr:colOff>
      <xdr:row>8</xdr:row>
      <xdr:rowOff>1803400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64F5EB0-C4CC-4508-9861-9E2B35FDB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02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25400</xdr:rowOff>
    </xdr:from>
    <xdr:to>
      <xdr:col>0</xdr:col>
      <xdr:colOff>1778000</xdr:colOff>
      <xdr:row>11</xdr:row>
      <xdr:rowOff>1803400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CDB85F9C-62CB-4637-8366-6EB726C6C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50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25400</xdr:rowOff>
    </xdr:from>
    <xdr:to>
      <xdr:col>0</xdr:col>
      <xdr:colOff>1778000</xdr:colOff>
      <xdr:row>12</xdr:row>
      <xdr:rowOff>1803400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8490F606-4838-4EC9-BD61-C959AA8F9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79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25400</xdr:rowOff>
    </xdr:from>
    <xdr:to>
      <xdr:col>0</xdr:col>
      <xdr:colOff>1778000</xdr:colOff>
      <xdr:row>15</xdr:row>
      <xdr:rowOff>1803400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68BAFB14-99AE-49DD-8485-A7B18E468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627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25400</xdr:rowOff>
    </xdr:from>
    <xdr:to>
      <xdr:col>0</xdr:col>
      <xdr:colOff>1778000</xdr:colOff>
      <xdr:row>16</xdr:row>
      <xdr:rowOff>1803400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ECE2E703-5089-4938-857E-8AFBA5208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6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25400</xdr:rowOff>
    </xdr:from>
    <xdr:to>
      <xdr:col>0</xdr:col>
      <xdr:colOff>1778000</xdr:colOff>
      <xdr:row>17</xdr:row>
      <xdr:rowOff>1803400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1CCE88C2-72D9-4AE4-A7F9-A4E34FBB7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285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25400</xdr:rowOff>
    </xdr:from>
    <xdr:to>
      <xdr:col>0</xdr:col>
      <xdr:colOff>1778000</xdr:colOff>
      <xdr:row>18</xdr:row>
      <xdr:rowOff>1803400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1ED707F7-76A1-4F95-A5FC-90118672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114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25400</xdr:rowOff>
    </xdr:from>
    <xdr:to>
      <xdr:col>0</xdr:col>
      <xdr:colOff>1778000</xdr:colOff>
      <xdr:row>19</xdr:row>
      <xdr:rowOff>1803400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4834B9C2-9415-423B-8414-EC018B9F3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942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25400</xdr:rowOff>
    </xdr:from>
    <xdr:to>
      <xdr:col>0</xdr:col>
      <xdr:colOff>1778000</xdr:colOff>
      <xdr:row>21</xdr:row>
      <xdr:rowOff>1803400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7CF09C45-0947-4532-B369-69BEB4CF3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62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25400</xdr:rowOff>
    </xdr:from>
    <xdr:to>
      <xdr:col>0</xdr:col>
      <xdr:colOff>1778000</xdr:colOff>
      <xdr:row>23</xdr:row>
      <xdr:rowOff>1803400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D84CC05E-84BD-41ED-8FCC-E68D6EBC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81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25400</xdr:rowOff>
    </xdr:from>
    <xdr:to>
      <xdr:col>0</xdr:col>
      <xdr:colOff>1778000</xdr:colOff>
      <xdr:row>24</xdr:row>
      <xdr:rowOff>1803400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710C0BE7-DC04-4D41-BE53-093056B79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810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25400</xdr:rowOff>
    </xdr:from>
    <xdr:to>
      <xdr:col>0</xdr:col>
      <xdr:colOff>1778000</xdr:colOff>
      <xdr:row>25</xdr:row>
      <xdr:rowOff>1803400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F21E7CDE-9501-44D9-A0D9-DCC17F144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639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1778000</xdr:colOff>
      <xdr:row>26</xdr:row>
      <xdr:rowOff>1803400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DD8BA4C0-5996-47DA-80A8-F3FB4F852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467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25400</xdr:rowOff>
    </xdr:from>
    <xdr:to>
      <xdr:col>0</xdr:col>
      <xdr:colOff>1778000</xdr:colOff>
      <xdr:row>27</xdr:row>
      <xdr:rowOff>1803400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AE381630-C5BF-4701-A8A0-418D80BC8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6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25400</xdr:rowOff>
    </xdr:from>
    <xdr:to>
      <xdr:col>0</xdr:col>
      <xdr:colOff>1778000</xdr:colOff>
      <xdr:row>28</xdr:row>
      <xdr:rowOff>1803400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A1AC5D52-1024-447E-9377-3F92DE0B8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25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25400</xdr:rowOff>
    </xdr:from>
    <xdr:to>
      <xdr:col>0</xdr:col>
      <xdr:colOff>1778000</xdr:colOff>
      <xdr:row>34</xdr:row>
      <xdr:rowOff>1803400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9DE6B816-1E21-472A-8E0D-474FD3F44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06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25400</xdr:rowOff>
    </xdr:from>
    <xdr:to>
      <xdr:col>0</xdr:col>
      <xdr:colOff>1778000</xdr:colOff>
      <xdr:row>35</xdr:row>
      <xdr:rowOff>1803400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F7578992-ECCF-46EB-B842-D761D881A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35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25400</xdr:rowOff>
    </xdr:from>
    <xdr:to>
      <xdr:col>0</xdr:col>
      <xdr:colOff>1778000</xdr:colOff>
      <xdr:row>36</xdr:row>
      <xdr:rowOff>1803400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0B8685AA-067C-4FC1-86D4-AEAC754E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5643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25400</xdr:rowOff>
    </xdr:from>
    <xdr:to>
      <xdr:col>0</xdr:col>
      <xdr:colOff>1778000</xdr:colOff>
      <xdr:row>37</xdr:row>
      <xdr:rowOff>1803400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37FFA719-3DCF-4AB0-B6E2-A6F7EB103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393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25400</xdr:rowOff>
    </xdr:from>
    <xdr:to>
      <xdr:col>0</xdr:col>
      <xdr:colOff>1778000</xdr:colOff>
      <xdr:row>38</xdr:row>
      <xdr:rowOff>1803400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F266F768-CAF7-43FA-B094-3D15C207D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221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25400</xdr:rowOff>
    </xdr:from>
    <xdr:to>
      <xdr:col>0</xdr:col>
      <xdr:colOff>1778000</xdr:colOff>
      <xdr:row>41</xdr:row>
      <xdr:rowOff>1803400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7AD000CA-D5D1-45FD-89A7-B682342E5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070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25400</xdr:rowOff>
    </xdr:from>
    <xdr:to>
      <xdr:col>0</xdr:col>
      <xdr:colOff>1778000</xdr:colOff>
      <xdr:row>42</xdr:row>
      <xdr:rowOff>1803400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76D9A742-235A-4E9F-974A-93C97371E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89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25400</xdr:rowOff>
    </xdr:from>
    <xdr:to>
      <xdr:col>0</xdr:col>
      <xdr:colOff>1778000</xdr:colOff>
      <xdr:row>43</xdr:row>
      <xdr:rowOff>1803400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DE17C9D0-0B67-4E38-ADD2-01A92CEBC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727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25400</xdr:rowOff>
    </xdr:from>
    <xdr:to>
      <xdr:col>0</xdr:col>
      <xdr:colOff>1778000</xdr:colOff>
      <xdr:row>44</xdr:row>
      <xdr:rowOff>1803400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B391DFEE-D74D-400A-A713-02A12C0DD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556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25400</xdr:rowOff>
    </xdr:from>
    <xdr:to>
      <xdr:col>0</xdr:col>
      <xdr:colOff>1778000</xdr:colOff>
      <xdr:row>45</xdr:row>
      <xdr:rowOff>1803400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FA3134C7-ADA3-4DE4-800F-8BB705811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385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25400</xdr:rowOff>
    </xdr:from>
    <xdr:to>
      <xdr:col>0</xdr:col>
      <xdr:colOff>1778000</xdr:colOff>
      <xdr:row>47</xdr:row>
      <xdr:rowOff>1803400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ED4688B9-21D7-476D-A37B-8CB7C4A3B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404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25400</xdr:rowOff>
    </xdr:from>
    <xdr:to>
      <xdr:col>0</xdr:col>
      <xdr:colOff>1778000</xdr:colOff>
      <xdr:row>48</xdr:row>
      <xdr:rowOff>1803400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C3C8ECC8-AD57-4CAE-89FB-EE5787925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2333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25400</xdr:rowOff>
    </xdr:from>
    <xdr:to>
      <xdr:col>0</xdr:col>
      <xdr:colOff>1778000</xdr:colOff>
      <xdr:row>49</xdr:row>
      <xdr:rowOff>1803400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6DE5E2A2-FBBD-49E1-95CB-04A093A0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062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25400</xdr:rowOff>
    </xdr:from>
    <xdr:to>
      <xdr:col>0</xdr:col>
      <xdr:colOff>1778000</xdr:colOff>
      <xdr:row>66</xdr:row>
      <xdr:rowOff>1803400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2E881759-3CA1-4F1F-A430-DABDD5EBD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938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25400</xdr:rowOff>
    </xdr:from>
    <xdr:to>
      <xdr:col>0</xdr:col>
      <xdr:colOff>1778000</xdr:colOff>
      <xdr:row>67</xdr:row>
      <xdr:rowOff>1803400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2220D1E7-7C03-4E4F-ACA7-682385B9D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767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25400</xdr:rowOff>
    </xdr:from>
    <xdr:to>
      <xdr:col>0</xdr:col>
      <xdr:colOff>1778000</xdr:colOff>
      <xdr:row>69</xdr:row>
      <xdr:rowOff>1803400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9285235E-706F-4AEA-8CEC-6D60B8DEE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787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25400</xdr:rowOff>
    </xdr:from>
    <xdr:to>
      <xdr:col>0</xdr:col>
      <xdr:colOff>1778000</xdr:colOff>
      <xdr:row>70</xdr:row>
      <xdr:rowOff>1803400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61FDA8C9-5536-4E6C-AABF-2CFFC480F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615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25400</xdr:rowOff>
    </xdr:from>
    <xdr:to>
      <xdr:col>0</xdr:col>
      <xdr:colOff>1778000</xdr:colOff>
      <xdr:row>71</xdr:row>
      <xdr:rowOff>1803400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285106FF-E7D2-4E7A-BF42-41ABD797E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444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25400</xdr:rowOff>
    </xdr:from>
    <xdr:to>
      <xdr:col>0</xdr:col>
      <xdr:colOff>1778000</xdr:colOff>
      <xdr:row>72</xdr:row>
      <xdr:rowOff>1803400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83A37CC-6CBA-40AE-9178-15CDD0B37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273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2</xdr:row>
      <xdr:rowOff>24795</xdr:rowOff>
    </xdr:from>
    <xdr:to>
      <xdr:col>0</xdr:col>
      <xdr:colOff>1798638</xdr:colOff>
      <xdr:row>2</xdr:row>
      <xdr:rowOff>1289655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387647-B10D-41C8-A35A-A243648B4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405795"/>
          <a:ext cx="1778000" cy="126486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3</xdr:row>
      <xdr:rowOff>24163</xdr:rowOff>
    </xdr:from>
    <xdr:to>
      <xdr:col>0</xdr:col>
      <xdr:colOff>1798638</xdr:colOff>
      <xdr:row>3</xdr:row>
      <xdr:rowOff>1214087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D785BA1-6CA6-4231-BCCE-1B03E90E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1719613"/>
          <a:ext cx="1778000" cy="1189924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10</xdr:row>
      <xdr:rowOff>25400</xdr:rowOff>
    </xdr:from>
    <xdr:to>
      <xdr:col>0</xdr:col>
      <xdr:colOff>1798638</xdr:colOff>
      <xdr:row>10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2CB57C5-6A6D-4972-9DD1-7E007D4FF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12293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13</xdr:row>
      <xdr:rowOff>25400</xdr:rowOff>
    </xdr:from>
    <xdr:to>
      <xdr:col>0</xdr:col>
      <xdr:colOff>1798638</xdr:colOff>
      <xdr:row>13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182190C2-BBB3-4A00-8ABF-D16BF150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17780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29</xdr:row>
      <xdr:rowOff>24966</xdr:rowOff>
    </xdr:from>
    <xdr:to>
      <xdr:col>0</xdr:col>
      <xdr:colOff>1798638</xdr:colOff>
      <xdr:row>29</xdr:row>
      <xdr:rowOff>1194234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B32D00E-F678-4933-8179-10985BBF6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42125466"/>
          <a:ext cx="1778000" cy="1169268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39</xdr:row>
      <xdr:rowOff>25400</xdr:rowOff>
    </xdr:from>
    <xdr:to>
      <xdr:col>0</xdr:col>
      <xdr:colOff>1798638</xdr:colOff>
      <xdr:row>39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B1B8B59-6199-4E91-98A1-1A85663D2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53251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40</xdr:row>
      <xdr:rowOff>25400</xdr:rowOff>
    </xdr:from>
    <xdr:to>
      <xdr:col>0</xdr:col>
      <xdr:colOff>1798638</xdr:colOff>
      <xdr:row>40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D9FE0E2-EA56-4C16-842A-B561CD8F0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55079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50</xdr:row>
      <xdr:rowOff>25400</xdr:rowOff>
    </xdr:from>
    <xdr:to>
      <xdr:col>0</xdr:col>
      <xdr:colOff>1798638</xdr:colOff>
      <xdr:row>50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1C61CAA8-B0AD-4581-A476-23A32D0EF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71729600"/>
          <a:ext cx="1778000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U74"/>
  <sheetViews>
    <sheetView tabSelected="1" zoomScale="70" zoomScaleNormal="70" workbookViewId="0">
      <pane ySplit="2" topLeftCell="A6" activePane="bottomLeft" state="frozen"/>
      <selection pane="bottomLeft" activeCell="Y3" sqref="Y3"/>
    </sheetView>
  </sheetViews>
  <sheetFormatPr defaultRowHeight="15" outlineLevelCol="1" x14ac:dyDescent="0.25"/>
  <cols>
    <col min="1" max="1" width="27.28515625" customWidth="1"/>
    <col min="2" max="2" width="27.28515625" style="15" hidden="1" customWidth="1" outlineLevel="1"/>
    <col min="3" max="3" width="43.28515625" customWidth="1" collapsed="1"/>
    <col min="4" max="4" width="9.140625" style="5"/>
    <col min="5" max="11" width="5.7109375" customWidth="1"/>
    <col min="12" max="12" width="11.42578125" customWidth="1"/>
    <col min="13" max="13" width="11.85546875" style="5" customWidth="1"/>
    <col min="14" max="20" width="5.7109375" hidden="1" customWidth="1" outlineLevel="1"/>
    <col min="21" max="21" width="9.140625" collapsed="1"/>
  </cols>
  <sheetData>
    <row r="1" spans="1:20" x14ac:dyDescent="0.25">
      <c r="A1" s="11" t="s">
        <v>0</v>
      </c>
      <c r="B1" s="6"/>
      <c r="C1" s="11" t="s">
        <v>1</v>
      </c>
      <c r="D1" s="9" t="s">
        <v>2</v>
      </c>
      <c r="E1" s="8"/>
      <c r="F1" s="8"/>
      <c r="G1" s="8"/>
      <c r="H1" s="8"/>
      <c r="I1" s="8"/>
      <c r="J1" s="8"/>
      <c r="K1" s="8"/>
      <c r="L1" s="11" t="s">
        <v>10</v>
      </c>
      <c r="M1" s="9" t="s">
        <v>11</v>
      </c>
      <c r="N1" s="8"/>
      <c r="O1" s="8"/>
      <c r="P1" s="8"/>
      <c r="Q1" s="8"/>
      <c r="R1" s="8"/>
      <c r="S1" s="8"/>
      <c r="T1" s="8"/>
    </row>
    <row r="2" spans="1:20" x14ac:dyDescent="0.25">
      <c r="A2" s="12"/>
      <c r="B2" s="7" t="s">
        <v>89</v>
      </c>
      <c r="C2" s="12"/>
      <c r="D2" s="10"/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2"/>
      <c r="M2" s="10"/>
      <c r="N2" s="1" t="s">
        <v>3</v>
      </c>
      <c r="O2" s="1" t="s">
        <v>4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</row>
    <row r="3" spans="1:20" ht="103.7" customHeight="1" x14ac:dyDescent="0.25">
      <c r="A3" s="2"/>
      <c r="B3" s="14" t="s">
        <v>84</v>
      </c>
      <c r="C3" s="13" t="s">
        <v>12</v>
      </c>
      <c r="D3" s="4">
        <v>1190</v>
      </c>
      <c r="E3" s="2"/>
      <c r="F3" s="2"/>
      <c r="G3" s="2"/>
      <c r="H3" s="2"/>
      <c r="I3" s="2"/>
      <c r="J3" s="2"/>
      <c r="K3" s="2"/>
      <c r="L3" s="2">
        <f>SUM(E3:K3)</f>
        <v>0</v>
      </c>
      <c r="M3" s="4">
        <f>SUM(E3:K3)*D3</f>
        <v>0</v>
      </c>
      <c r="N3" s="2"/>
      <c r="O3" s="2">
        <v>2</v>
      </c>
      <c r="P3" s="2">
        <v>12</v>
      </c>
      <c r="Q3" s="2">
        <v>16</v>
      </c>
      <c r="R3" s="2">
        <v>7</v>
      </c>
      <c r="S3" s="2">
        <v>1</v>
      </c>
      <c r="T3" s="2"/>
    </row>
    <row r="4" spans="1:20" ht="97.7" customHeight="1" x14ac:dyDescent="0.25">
      <c r="A4" s="2"/>
      <c r="B4" s="14" t="s">
        <v>85</v>
      </c>
      <c r="C4" s="13" t="s">
        <v>13</v>
      </c>
      <c r="D4" s="4">
        <v>600</v>
      </c>
      <c r="E4" s="2"/>
      <c r="F4" s="2"/>
      <c r="G4" s="2"/>
      <c r="H4" s="2"/>
      <c r="I4" s="2"/>
      <c r="J4" s="2"/>
      <c r="K4" s="2"/>
      <c r="L4" s="2">
        <f t="shared" ref="L4:L34" si="0">SUM(E4:K4)</f>
        <v>0</v>
      </c>
      <c r="M4" s="4">
        <f t="shared" ref="M4:M34" si="1">SUM(E4:K4)*D4</f>
        <v>0</v>
      </c>
      <c r="N4" s="2">
        <v>21</v>
      </c>
      <c r="O4" s="2">
        <v>99</v>
      </c>
      <c r="P4" s="2">
        <v>104</v>
      </c>
      <c r="Q4" s="2">
        <v>108</v>
      </c>
      <c r="R4" s="2">
        <v>97</v>
      </c>
      <c r="S4" s="2">
        <v>58</v>
      </c>
      <c r="T4" s="2">
        <v>26</v>
      </c>
    </row>
    <row r="5" spans="1:20" ht="144" customHeight="1" x14ac:dyDescent="0.25">
      <c r="A5" s="2"/>
      <c r="B5" s="14"/>
      <c r="C5" s="3" t="s">
        <v>14</v>
      </c>
      <c r="D5" s="4">
        <v>1190</v>
      </c>
      <c r="E5" s="2"/>
      <c r="F5" s="2"/>
      <c r="G5" s="2"/>
      <c r="H5" s="2"/>
      <c r="I5" s="2"/>
      <c r="J5" s="2"/>
      <c r="K5" s="2"/>
      <c r="L5" s="2">
        <f t="shared" si="0"/>
        <v>0</v>
      </c>
      <c r="M5" s="4">
        <f t="shared" si="1"/>
        <v>0</v>
      </c>
      <c r="N5" s="2">
        <v>12</v>
      </c>
      <c r="O5" s="2">
        <v>38</v>
      </c>
      <c r="P5" s="2">
        <v>19</v>
      </c>
      <c r="Q5" s="2">
        <v>14</v>
      </c>
      <c r="R5" s="2">
        <v>12</v>
      </c>
      <c r="S5" s="2"/>
      <c r="T5" s="2"/>
    </row>
    <row r="6" spans="1:20" ht="144" customHeight="1" x14ac:dyDescent="0.25">
      <c r="A6" s="2"/>
      <c r="B6" s="14"/>
      <c r="C6" s="3" t="s">
        <v>15</v>
      </c>
      <c r="D6" s="4">
        <v>1190</v>
      </c>
      <c r="E6" s="2"/>
      <c r="F6" s="2"/>
      <c r="G6" s="2"/>
      <c r="H6" s="2"/>
      <c r="I6" s="2"/>
      <c r="J6" s="2"/>
      <c r="K6" s="2"/>
      <c r="L6" s="2">
        <f t="shared" si="0"/>
        <v>0</v>
      </c>
      <c r="M6" s="4">
        <f t="shared" si="1"/>
        <v>0</v>
      </c>
      <c r="N6" s="2">
        <v>5</v>
      </c>
      <c r="O6" s="2">
        <v>32</v>
      </c>
      <c r="P6" s="2">
        <v>39</v>
      </c>
      <c r="Q6" s="2">
        <v>40</v>
      </c>
      <c r="R6" s="2">
        <v>39</v>
      </c>
      <c r="S6" s="2">
        <v>11</v>
      </c>
      <c r="T6" s="2">
        <v>6</v>
      </c>
    </row>
    <row r="7" spans="1:20" ht="144" customHeight="1" x14ac:dyDescent="0.25">
      <c r="A7" s="2"/>
      <c r="B7" s="14"/>
      <c r="C7" s="3" t="s">
        <v>16</v>
      </c>
      <c r="D7" s="4">
        <v>1190</v>
      </c>
      <c r="E7" s="2"/>
      <c r="F7" s="2"/>
      <c r="G7" s="2"/>
      <c r="H7" s="2"/>
      <c r="I7" s="2"/>
      <c r="J7" s="2"/>
      <c r="K7" s="2"/>
      <c r="L7" s="2">
        <f t="shared" si="0"/>
        <v>0</v>
      </c>
      <c r="M7" s="4">
        <f t="shared" si="1"/>
        <v>0</v>
      </c>
      <c r="N7" s="2">
        <v>13</v>
      </c>
      <c r="O7" s="2">
        <v>43</v>
      </c>
      <c r="P7" s="2">
        <v>35</v>
      </c>
      <c r="Q7" s="2">
        <v>38</v>
      </c>
      <c r="R7" s="2">
        <v>45</v>
      </c>
      <c r="S7" s="2">
        <v>27</v>
      </c>
      <c r="T7" s="2">
        <v>7</v>
      </c>
    </row>
    <row r="8" spans="1:20" ht="144" customHeight="1" x14ac:dyDescent="0.25">
      <c r="A8" s="2"/>
      <c r="B8" s="14"/>
      <c r="C8" s="3" t="s">
        <v>17</v>
      </c>
      <c r="D8" s="4">
        <v>1190</v>
      </c>
      <c r="E8" s="2"/>
      <c r="F8" s="2"/>
      <c r="G8" s="2"/>
      <c r="H8" s="2"/>
      <c r="I8" s="2"/>
      <c r="J8" s="2"/>
      <c r="K8" s="2"/>
      <c r="L8" s="2">
        <f t="shared" si="0"/>
        <v>0</v>
      </c>
      <c r="M8" s="4">
        <f t="shared" si="1"/>
        <v>0</v>
      </c>
      <c r="N8" s="2">
        <v>31</v>
      </c>
      <c r="O8" s="2">
        <v>103</v>
      </c>
      <c r="P8" s="2">
        <v>96</v>
      </c>
      <c r="Q8" s="2">
        <v>92</v>
      </c>
      <c r="R8" s="2">
        <v>89</v>
      </c>
      <c r="S8" s="2">
        <v>5</v>
      </c>
      <c r="T8" s="2">
        <v>19</v>
      </c>
    </row>
    <row r="9" spans="1:20" ht="144" customHeight="1" x14ac:dyDescent="0.25">
      <c r="A9" s="2"/>
      <c r="B9" s="14"/>
      <c r="C9" s="3" t="s">
        <v>18</v>
      </c>
      <c r="D9" s="4">
        <v>1190</v>
      </c>
      <c r="E9" s="2"/>
      <c r="F9" s="2"/>
      <c r="G9" s="2"/>
      <c r="H9" s="2"/>
      <c r="I9" s="2"/>
      <c r="J9" s="2"/>
      <c r="K9" s="2"/>
      <c r="L9" s="2">
        <f t="shared" si="0"/>
        <v>0</v>
      </c>
      <c r="M9" s="4">
        <f t="shared" si="1"/>
        <v>0</v>
      </c>
      <c r="N9" s="2">
        <v>11</v>
      </c>
      <c r="O9" s="2">
        <v>42</v>
      </c>
      <c r="P9" s="2">
        <v>45</v>
      </c>
      <c r="Q9" s="2">
        <v>45</v>
      </c>
      <c r="R9" s="2">
        <v>50</v>
      </c>
      <c r="S9" s="2">
        <v>14</v>
      </c>
      <c r="T9" s="2">
        <v>8</v>
      </c>
    </row>
    <row r="10" spans="1:20" x14ac:dyDescent="0.25">
      <c r="A10" s="2"/>
      <c r="B10" s="14"/>
      <c r="C10" s="3" t="s">
        <v>19</v>
      </c>
      <c r="D10" s="4">
        <v>1190</v>
      </c>
      <c r="E10" s="2"/>
      <c r="F10" s="2"/>
      <c r="G10" s="2"/>
      <c r="H10" s="2"/>
      <c r="I10" s="2"/>
      <c r="J10" s="2"/>
      <c r="K10" s="2"/>
      <c r="L10" s="2">
        <f t="shared" si="0"/>
        <v>0</v>
      </c>
      <c r="M10" s="4">
        <f t="shared" si="1"/>
        <v>0</v>
      </c>
      <c r="N10" s="2">
        <v>21</v>
      </c>
      <c r="O10" s="2">
        <v>31</v>
      </c>
      <c r="P10" s="2"/>
      <c r="Q10" s="2">
        <v>31</v>
      </c>
      <c r="R10" s="2">
        <v>30</v>
      </c>
      <c r="S10" s="2"/>
      <c r="T10" s="2">
        <v>12</v>
      </c>
    </row>
    <row r="11" spans="1:20" ht="144" customHeight="1" x14ac:dyDescent="0.25">
      <c r="A11" s="2"/>
      <c r="B11" s="14"/>
      <c r="C11" s="3" t="s">
        <v>20</v>
      </c>
      <c r="D11" s="4">
        <v>1190</v>
      </c>
      <c r="E11" s="2"/>
      <c r="F11" s="2"/>
      <c r="G11" s="2"/>
      <c r="H11" s="2"/>
      <c r="I11" s="2"/>
      <c r="J11" s="2"/>
      <c r="K11" s="2"/>
      <c r="L11" s="2">
        <f t="shared" si="0"/>
        <v>0</v>
      </c>
      <c r="M11" s="4">
        <f t="shared" si="1"/>
        <v>0</v>
      </c>
      <c r="N11" s="2">
        <v>9</v>
      </c>
      <c r="O11" s="2">
        <v>25</v>
      </c>
      <c r="P11" s="2">
        <v>31</v>
      </c>
      <c r="Q11" s="2">
        <v>32</v>
      </c>
      <c r="R11" s="2">
        <v>32</v>
      </c>
      <c r="S11" s="2">
        <v>17</v>
      </c>
      <c r="T11" s="2">
        <v>10</v>
      </c>
    </row>
    <row r="12" spans="1:20" ht="144" customHeight="1" x14ac:dyDescent="0.25">
      <c r="A12" s="2"/>
      <c r="B12" s="14"/>
      <c r="C12" s="3" t="s">
        <v>21</v>
      </c>
      <c r="D12" s="4">
        <v>1190</v>
      </c>
      <c r="E12" s="2"/>
      <c r="F12" s="2"/>
      <c r="G12" s="2"/>
      <c r="H12" s="2"/>
      <c r="I12" s="2"/>
      <c r="J12" s="2"/>
      <c r="K12" s="2"/>
      <c r="L12" s="2">
        <f t="shared" si="0"/>
        <v>0</v>
      </c>
      <c r="M12" s="4">
        <f t="shared" si="1"/>
        <v>0</v>
      </c>
      <c r="N12" s="2">
        <v>1</v>
      </c>
      <c r="O12" s="2">
        <v>7</v>
      </c>
      <c r="P12" s="2">
        <v>3</v>
      </c>
      <c r="Q12" s="2">
        <v>9</v>
      </c>
      <c r="R12" s="2">
        <v>12</v>
      </c>
      <c r="S12" s="2"/>
      <c r="T12" s="2"/>
    </row>
    <row r="13" spans="1:20" ht="144" customHeight="1" x14ac:dyDescent="0.25">
      <c r="A13" s="2"/>
      <c r="B13" s="14"/>
      <c r="C13" s="3" t="s">
        <v>22</v>
      </c>
      <c r="D13" s="4">
        <v>1190</v>
      </c>
      <c r="E13" s="2"/>
      <c r="F13" s="2"/>
      <c r="G13" s="2"/>
      <c r="H13" s="2"/>
      <c r="I13" s="2"/>
      <c r="J13" s="2"/>
      <c r="K13" s="2"/>
      <c r="L13" s="2">
        <f t="shared" si="0"/>
        <v>0</v>
      </c>
      <c r="M13" s="4">
        <f t="shared" si="1"/>
        <v>0</v>
      </c>
      <c r="N13" s="2">
        <v>8</v>
      </c>
      <c r="O13" s="2">
        <v>26</v>
      </c>
      <c r="P13" s="2">
        <v>31</v>
      </c>
      <c r="Q13" s="2">
        <v>32</v>
      </c>
      <c r="R13" s="2">
        <v>20</v>
      </c>
      <c r="S13" s="2">
        <v>3</v>
      </c>
      <c r="T13" s="2">
        <v>5</v>
      </c>
    </row>
    <row r="14" spans="1:20" ht="144" customHeight="1" x14ac:dyDescent="0.25">
      <c r="A14" s="2"/>
      <c r="B14" s="14"/>
      <c r="C14" s="3" t="s">
        <v>23</v>
      </c>
      <c r="D14" s="4">
        <v>1190</v>
      </c>
      <c r="E14" s="2"/>
      <c r="F14" s="2"/>
      <c r="G14" s="2"/>
      <c r="H14" s="2"/>
      <c r="I14" s="2"/>
      <c r="J14" s="2"/>
      <c r="K14" s="2"/>
      <c r="L14" s="2">
        <f t="shared" si="0"/>
        <v>0</v>
      </c>
      <c r="M14" s="4">
        <f t="shared" si="1"/>
        <v>0</v>
      </c>
      <c r="N14" s="2">
        <v>4</v>
      </c>
      <c r="O14" s="2">
        <v>26</v>
      </c>
      <c r="P14" s="2">
        <v>35</v>
      </c>
      <c r="Q14" s="2">
        <v>34</v>
      </c>
      <c r="R14" s="2">
        <v>41</v>
      </c>
      <c r="S14" s="2">
        <v>12</v>
      </c>
      <c r="T14" s="2">
        <v>4</v>
      </c>
    </row>
    <row r="15" spans="1:20" x14ac:dyDescent="0.25">
      <c r="A15" s="2"/>
      <c r="B15" s="14"/>
      <c r="C15" s="3" t="s">
        <v>24</v>
      </c>
      <c r="D15" s="4">
        <v>1190</v>
      </c>
      <c r="E15" s="2"/>
      <c r="F15" s="2"/>
      <c r="G15" s="2"/>
      <c r="H15" s="2"/>
      <c r="I15" s="2"/>
      <c r="J15" s="2"/>
      <c r="K15" s="2"/>
      <c r="L15" s="2">
        <f t="shared" si="0"/>
        <v>0</v>
      </c>
      <c r="M15" s="4">
        <f t="shared" si="1"/>
        <v>0</v>
      </c>
      <c r="N15" s="2">
        <v>13</v>
      </c>
      <c r="O15" s="2">
        <v>30</v>
      </c>
      <c r="P15" s="2">
        <v>39</v>
      </c>
      <c r="Q15" s="2">
        <v>40</v>
      </c>
      <c r="R15" s="2">
        <v>43</v>
      </c>
      <c r="S15" s="2">
        <v>14</v>
      </c>
      <c r="T15" s="2">
        <v>8</v>
      </c>
    </row>
    <row r="16" spans="1:20" ht="144" customHeight="1" x14ac:dyDescent="0.25">
      <c r="A16" s="2"/>
      <c r="B16" s="14"/>
      <c r="C16" s="3" t="s">
        <v>25</v>
      </c>
      <c r="D16" s="4">
        <v>1190</v>
      </c>
      <c r="E16" s="2"/>
      <c r="F16" s="2"/>
      <c r="G16" s="2"/>
      <c r="H16" s="2"/>
      <c r="I16" s="2"/>
      <c r="J16" s="2"/>
      <c r="K16" s="2"/>
      <c r="L16" s="2">
        <f t="shared" si="0"/>
        <v>0</v>
      </c>
      <c r="M16" s="4">
        <f t="shared" si="1"/>
        <v>0</v>
      </c>
      <c r="N16" s="2">
        <v>19</v>
      </c>
      <c r="O16" s="2">
        <v>65</v>
      </c>
      <c r="P16" s="2">
        <v>70</v>
      </c>
      <c r="Q16" s="2">
        <v>75</v>
      </c>
      <c r="R16" s="2">
        <v>59</v>
      </c>
      <c r="S16" s="2">
        <v>25</v>
      </c>
      <c r="T16" s="2">
        <v>7</v>
      </c>
    </row>
    <row r="17" spans="1:20" ht="144" customHeight="1" x14ac:dyDescent="0.25">
      <c r="A17" s="2"/>
      <c r="B17" s="14"/>
      <c r="C17" s="3" t="s">
        <v>26</v>
      </c>
      <c r="D17" s="4">
        <v>1190</v>
      </c>
      <c r="E17" s="2"/>
      <c r="F17" s="2"/>
      <c r="G17" s="2"/>
      <c r="H17" s="2"/>
      <c r="I17" s="2"/>
      <c r="J17" s="2"/>
      <c r="K17" s="2"/>
      <c r="L17" s="2">
        <f t="shared" si="0"/>
        <v>0</v>
      </c>
      <c r="M17" s="4">
        <f t="shared" si="1"/>
        <v>0</v>
      </c>
      <c r="N17" s="2">
        <v>4</v>
      </c>
      <c r="O17" s="2">
        <v>23</v>
      </c>
      <c r="P17" s="2">
        <v>32</v>
      </c>
      <c r="Q17" s="2">
        <v>47</v>
      </c>
      <c r="R17" s="2">
        <v>39</v>
      </c>
      <c r="S17" s="2">
        <v>10</v>
      </c>
      <c r="T17" s="2">
        <v>5</v>
      </c>
    </row>
    <row r="18" spans="1:20" ht="144" customHeight="1" x14ac:dyDescent="0.25">
      <c r="A18" s="2"/>
      <c r="B18" s="14"/>
      <c r="C18" s="3" t="s">
        <v>27</v>
      </c>
      <c r="D18" s="4">
        <v>1190</v>
      </c>
      <c r="E18" s="2"/>
      <c r="F18" s="2"/>
      <c r="G18" s="2"/>
      <c r="H18" s="2"/>
      <c r="I18" s="2"/>
      <c r="J18" s="2"/>
      <c r="K18" s="2"/>
      <c r="L18" s="2">
        <f t="shared" si="0"/>
        <v>0</v>
      </c>
      <c r="M18" s="4">
        <f t="shared" si="1"/>
        <v>0</v>
      </c>
      <c r="N18" s="2"/>
      <c r="O18" s="2">
        <v>7</v>
      </c>
      <c r="P18" s="2">
        <v>3</v>
      </c>
      <c r="Q18" s="2">
        <v>8</v>
      </c>
      <c r="R18" s="2">
        <v>8</v>
      </c>
      <c r="S18" s="2">
        <v>10</v>
      </c>
      <c r="T18" s="2">
        <v>6</v>
      </c>
    </row>
    <row r="19" spans="1:20" ht="144" customHeight="1" x14ac:dyDescent="0.25">
      <c r="A19" s="2"/>
      <c r="B19" s="14"/>
      <c r="C19" s="3" t="s">
        <v>28</v>
      </c>
      <c r="D19" s="4">
        <v>1190</v>
      </c>
      <c r="E19" s="2"/>
      <c r="F19" s="2"/>
      <c r="G19" s="2"/>
      <c r="H19" s="2"/>
      <c r="I19" s="2"/>
      <c r="J19" s="2"/>
      <c r="K19" s="2"/>
      <c r="L19" s="2">
        <f t="shared" si="0"/>
        <v>0</v>
      </c>
      <c r="M19" s="4">
        <f t="shared" si="1"/>
        <v>0</v>
      </c>
      <c r="N19" s="2">
        <v>2</v>
      </c>
      <c r="O19" s="2">
        <v>13</v>
      </c>
      <c r="P19" s="2">
        <v>17</v>
      </c>
      <c r="Q19" s="2">
        <v>17</v>
      </c>
      <c r="R19" s="2">
        <v>9</v>
      </c>
      <c r="S19" s="2">
        <v>4</v>
      </c>
      <c r="T19" s="2">
        <v>4</v>
      </c>
    </row>
    <row r="20" spans="1:20" ht="144" customHeight="1" x14ac:dyDescent="0.25">
      <c r="A20" s="2"/>
      <c r="B20" s="14"/>
      <c r="C20" s="3" t="s">
        <v>29</v>
      </c>
      <c r="D20" s="4">
        <v>1190</v>
      </c>
      <c r="E20" s="2"/>
      <c r="F20" s="2"/>
      <c r="G20" s="2"/>
      <c r="H20" s="2"/>
      <c r="I20" s="2"/>
      <c r="J20" s="2"/>
      <c r="K20" s="2"/>
      <c r="L20" s="2">
        <f t="shared" si="0"/>
        <v>0</v>
      </c>
      <c r="M20" s="4">
        <f t="shared" si="1"/>
        <v>0</v>
      </c>
      <c r="N20" s="2">
        <v>2</v>
      </c>
      <c r="O20" s="2">
        <v>7</v>
      </c>
      <c r="P20" s="2">
        <v>2</v>
      </c>
      <c r="Q20" s="2"/>
      <c r="R20" s="2"/>
      <c r="S20" s="2">
        <v>1</v>
      </c>
      <c r="T20" s="2"/>
    </row>
    <row r="21" spans="1:20" x14ac:dyDescent="0.25">
      <c r="A21" s="2"/>
      <c r="B21" s="14"/>
      <c r="C21" s="3" t="s">
        <v>30</v>
      </c>
      <c r="D21" s="4">
        <v>1190</v>
      </c>
      <c r="E21" s="2"/>
      <c r="F21" s="2"/>
      <c r="G21" s="2"/>
      <c r="H21" s="2"/>
      <c r="I21" s="2"/>
      <c r="J21" s="2"/>
      <c r="K21" s="2"/>
      <c r="L21" s="2">
        <f t="shared" si="0"/>
        <v>0</v>
      </c>
      <c r="M21" s="4">
        <f t="shared" si="1"/>
        <v>0</v>
      </c>
      <c r="N21" s="2">
        <v>20</v>
      </c>
      <c r="O21" s="2">
        <v>37</v>
      </c>
      <c r="P21" s="2">
        <v>43</v>
      </c>
      <c r="Q21" s="2">
        <v>44</v>
      </c>
      <c r="R21" s="2">
        <v>32</v>
      </c>
      <c r="S21" s="2">
        <v>9</v>
      </c>
      <c r="T21" s="2">
        <v>5</v>
      </c>
    </row>
    <row r="22" spans="1:20" ht="144" customHeight="1" x14ac:dyDescent="0.25">
      <c r="A22" s="2"/>
      <c r="B22" s="14"/>
      <c r="C22" s="3" t="s">
        <v>31</v>
      </c>
      <c r="D22" s="4">
        <v>1190</v>
      </c>
      <c r="E22" s="2"/>
      <c r="F22" s="2"/>
      <c r="G22" s="2"/>
      <c r="H22" s="2"/>
      <c r="I22" s="2"/>
      <c r="J22" s="2"/>
      <c r="K22" s="2"/>
      <c r="L22" s="2">
        <f t="shared" si="0"/>
        <v>0</v>
      </c>
      <c r="M22" s="4">
        <f t="shared" si="1"/>
        <v>0</v>
      </c>
      <c r="N22" s="2">
        <v>20</v>
      </c>
      <c r="O22" s="2">
        <v>51</v>
      </c>
      <c r="P22" s="2">
        <v>49</v>
      </c>
      <c r="Q22" s="2">
        <v>44</v>
      </c>
      <c r="R22" s="2">
        <v>42</v>
      </c>
      <c r="S22" s="2">
        <v>15</v>
      </c>
      <c r="T22" s="2">
        <v>5</v>
      </c>
    </row>
    <row r="23" spans="1:20" x14ac:dyDescent="0.25">
      <c r="A23" s="2"/>
      <c r="B23" s="14"/>
      <c r="C23" s="3" t="s">
        <v>32</v>
      </c>
      <c r="D23" s="4">
        <v>1190</v>
      </c>
      <c r="E23" s="2"/>
      <c r="F23" s="2"/>
      <c r="G23" s="2"/>
      <c r="H23" s="2"/>
      <c r="I23" s="2"/>
      <c r="J23" s="2"/>
      <c r="K23" s="2"/>
      <c r="L23" s="2">
        <f t="shared" si="0"/>
        <v>0</v>
      </c>
      <c r="M23" s="4">
        <f t="shared" si="1"/>
        <v>0</v>
      </c>
      <c r="N23" s="2">
        <v>9</v>
      </c>
      <c r="O23" s="2">
        <v>12</v>
      </c>
      <c r="P23" s="2">
        <v>16</v>
      </c>
      <c r="Q23" s="2">
        <v>16</v>
      </c>
      <c r="R23" s="2">
        <v>3</v>
      </c>
      <c r="S23" s="2">
        <v>3</v>
      </c>
      <c r="T23" s="2">
        <v>3</v>
      </c>
    </row>
    <row r="24" spans="1:20" ht="144" customHeight="1" x14ac:dyDescent="0.25">
      <c r="A24" s="2"/>
      <c r="B24" s="14"/>
      <c r="C24" s="3" t="s">
        <v>33</v>
      </c>
      <c r="D24" s="4">
        <v>1190</v>
      </c>
      <c r="E24" s="2"/>
      <c r="F24" s="2"/>
      <c r="G24" s="2"/>
      <c r="H24" s="2"/>
      <c r="I24" s="2"/>
      <c r="J24" s="2"/>
      <c r="K24" s="2"/>
      <c r="L24" s="2">
        <f t="shared" si="0"/>
        <v>0</v>
      </c>
      <c r="M24" s="4">
        <f t="shared" si="1"/>
        <v>0</v>
      </c>
      <c r="N24" s="2"/>
      <c r="O24" s="2">
        <v>34</v>
      </c>
      <c r="P24" s="2"/>
      <c r="Q24" s="2">
        <v>37</v>
      </c>
      <c r="R24" s="2"/>
      <c r="S24" s="2"/>
      <c r="T24" s="2"/>
    </row>
    <row r="25" spans="1:20" ht="144" customHeight="1" x14ac:dyDescent="0.25">
      <c r="A25" s="2"/>
      <c r="B25" s="14"/>
      <c r="C25" s="3" t="s">
        <v>34</v>
      </c>
      <c r="D25" s="4">
        <v>1190</v>
      </c>
      <c r="E25" s="2"/>
      <c r="F25" s="2"/>
      <c r="G25" s="2"/>
      <c r="H25" s="2"/>
      <c r="I25" s="2"/>
      <c r="J25" s="2"/>
      <c r="K25" s="2"/>
      <c r="L25" s="2">
        <f t="shared" si="0"/>
        <v>0</v>
      </c>
      <c r="M25" s="4">
        <f t="shared" si="1"/>
        <v>0</v>
      </c>
      <c r="N25" s="2"/>
      <c r="O25" s="2">
        <v>7</v>
      </c>
      <c r="P25" s="2"/>
      <c r="Q25" s="2">
        <v>20</v>
      </c>
      <c r="R25" s="2"/>
      <c r="S25" s="2"/>
      <c r="T25" s="2"/>
    </row>
    <row r="26" spans="1:20" ht="144" customHeight="1" x14ac:dyDescent="0.25">
      <c r="A26" s="2"/>
      <c r="B26" s="14"/>
      <c r="C26" s="3" t="s">
        <v>35</v>
      </c>
      <c r="D26" s="4">
        <v>1190</v>
      </c>
      <c r="E26" s="2"/>
      <c r="F26" s="2"/>
      <c r="G26" s="2"/>
      <c r="H26" s="2"/>
      <c r="I26" s="2"/>
      <c r="J26" s="2"/>
      <c r="K26" s="2"/>
      <c r="L26" s="2">
        <f t="shared" si="0"/>
        <v>0</v>
      </c>
      <c r="M26" s="4">
        <f t="shared" si="1"/>
        <v>0</v>
      </c>
      <c r="N26" s="2"/>
      <c r="O26" s="2">
        <v>30</v>
      </c>
      <c r="P26" s="2"/>
      <c r="Q26" s="2">
        <v>36</v>
      </c>
      <c r="R26" s="2"/>
      <c r="S26" s="2"/>
      <c r="T26" s="2"/>
    </row>
    <row r="27" spans="1:20" ht="144" customHeight="1" x14ac:dyDescent="0.25">
      <c r="A27" s="2"/>
      <c r="B27" s="14"/>
      <c r="C27" s="3" t="s">
        <v>36</v>
      </c>
      <c r="D27" s="4">
        <v>1190</v>
      </c>
      <c r="E27" s="2"/>
      <c r="F27" s="2"/>
      <c r="G27" s="2"/>
      <c r="H27" s="2"/>
      <c r="I27" s="2"/>
      <c r="J27" s="2"/>
      <c r="K27" s="2"/>
      <c r="L27" s="2">
        <f t="shared" si="0"/>
        <v>0</v>
      </c>
      <c r="M27" s="4">
        <f t="shared" si="1"/>
        <v>0</v>
      </c>
      <c r="N27" s="2">
        <v>23</v>
      </c>
      <c r="O27" s="2">
        <v>67</v>
      </c>
      <c r="P27" s="2">
        <v>79</v>
      </c>
      <c r="Q27" s="2">
        <v>82</v>
      </c>
      <c r="R27" s="2">
        <v>70</v>
      </c>
      <c r="S27" s="2">
        <v>24</v>
      </c>
      <c r="T27" s="2">
        <v>6</v>
      </c>
    </row>
    <row r="28" spans="1:20" ht="144" customHeight="1" x14ac:dyDescent="0.25">
      <c r="A28" s="2"/>
      <c r="B28" s="14"/>
      <c r="C28" s="3" t="s">
        <v>37</v>
      </c>
      <c r="D28" s="4">
        <v>1190</v>
      </c>
      <c r="E28" s="2"/>
      <c r="F28" s="2"/>
      <c r="G28" s="2"/>
      <c r="H28" s="2"/>
      <c r="I28" s="2"/>
      <c r="J28" s="2"/>
      <c r="K28" s="2"/>
      <c r="L28" s="2">
        <f t="shared" si="0"/>
        <v>0</v>
      </c>
      <c r="M28" s="4">
        <f t="shared" si="1"/>
        <v>0</v>
      </c>
      <c r="N28" s="2">
        <v>18</v>
      </c>
      <c r="O28" s="2">
        <v>46</v>
      </c>
      <c r="P28" s="2">
        <v>46</v>
      </c>
      <c r="Q28" s="2">
        <v>48</v>
      </c>
      <c r="R28" s="2">
        <v>43</v>
      </c>
      <c r="S28" s="2">
        <v>1</v>
      </c>
      <c r="T28" s="2">
        <v>5</v>
      </c>
    </row>
    <row r="29" spans="1:20" ht="144" customHeight="1" x14ac:dyDescent="0.25">
      <c r="A29" s="2"/>
      <c r="B29" s="14"/>
      <c r="C29" s="3" t="s">
        <v>38</v>
      </c>
      <c r="D29" s="4">
        <v>1190</v>
      </c>
      <c r="E29" s="2"/>
      <c r="F29" s="2"/>
      <c r="G29" s="2"/>
      <c r="H29" s="2"/>
      <c r="I29" s="2"/>
      <c r="J29" s="2"/>
      <c r="K29" s="2"/>
      <c r="L29" s="2">
        <f t="shared" si="0"/>
        <v>0</v>
      </c>
      <c r="M29" s="4">
        <f t="shared" si="1"/>
        <v>0</v>
      </c>
      <c r="N29" s="2">
        <v>3</v>
      </c>
      <c r="O29" s="2">
        <v>10</v>
      </c>
      <c r="P29" s="2">
        <v>7</v>
      </c>
      <c r="Q29" s="2">
        <v>11</v>
      </c>
      <c r="R29" s="2">
        <v>16</v>
      </c>
      <c r="S29" s="2"/>
      <c r="T29" s="2">
        <v>1</v>
      </c>
    </row>
    <row r="30" spans="1:20" ht="96" customHeight="1" x14ac:dyDescent="0.25">
      <c r="A30" s="2"/>
      <c r="B30" s="14" t="s">
        <v>86</v>
      </c>
      <c r="C30" s="13" t="s">
        <v>39</v>
      </c>
      <c r="D30" s="4">
        <v>1190</v>
      </c>
      <c r="E30" s="2"/>
      <c r="F30" s="2"/>
      <c r="G30" s="2"/>
      <c r="H30" s="2"/>
      <c r="I30" s="2"/>
      <c r="J30" s="2"/>
      <c r="K30" s="2"/>
      <c r="L30" s="2">
        <f t="shared" si="0"/>
        <v>0</v>
      </c>
      <c r="M30" s="4">
        <f t="shared" si="1"/>
        <v>0</v>
      </c>
      <c r="N30" s="2">
        <v>11</v>
      </c>
      <c r="O30" s="2">
        <v>31</v>
      </c>
      <c r="P30" s="2">
        <v>34</v>
      </c>
      <c r="Q30" s="2">
        <v>35</v>
      </c>
      <c r="R30" s="2">
        <v>31</v>
      </c>
      <c r="S30" s="2">
        <v>12</v>
      </c>
      <c r="T30" s="2">
        <v>3</v>
      </c>
    </row>
    <row r="31" spans="1:20" x14ac:dyDescent="0.25">
      <c r="A31" s="2"/>
      <c r="B31" s="14"/>
      <c r="C31" s="3" t="s">
        <v>40</v>
      </c>
      <c r="D31" s="4">
        <v>1190</v>
      </c>
      <c r="E31" s="2"/>
      <c r="F31" s="2"/>
      <c r="G31" s="2"/>
      <c r="H31" s="2"/>
      <c r="I31" s="2"/>
      <c r="J31" s="2"/>
      <c r="K31" s="2"/>
      <c r="L31" s="2">
        <f t="shared" si="0"/>
        <v>0</v>
      </c>
      <c r="M31" s="4">
        <f t="shared" si="1"/>
        <v>0</v>
      </c>
      <c r="N31" s="2">
        <v>3</v>
      </c>
      <c r="O31" s="2">
        <v>20</v>
      </c>
      <c r="P31" s="2">
        <v>5</v>
      </c>
      <c r="Q31" s="2">
        <v>14</v>
      </c>
      <c r="R31" s="2">
        <v>34</v>
      </c>
      <c r="S31" s="2"/>
      <c r="T31" s="2"/>
    </row>
    <row r="32" spans="1:20" x14ac:dyDescent="0.25">
      <c r="A32" s="2"/>
      <c r="B32" s="14"/>
      <c r="C32" s="3" t="s">
        <v>41</v>
      </c>
      <c r="D32" s="4">
        <v>1190</v>
      </c>
      <c r="E32" s="2"/>
      <c r="F32" s="2"/>
      <c r="G32" s="2"/>
      <c r="H32" s="2"/>
      <c r="I32" s="2"/>
      <c r="J32" s="2"/>
      <c r="K32" s="2"/>
      <c r="L32" s="2">
        <f t="shared" si="0"/>
        <v>0</v>
      </c>
      <c r="M32" s="4">
        <f t="shared" si="1"/>
        <v>0</v>
      </c>
      <c r="N32" s="2">
        <v>37</v>
      </c>
      <c r="O32" s="2">
        <v>150</v>
      </c>
      <c r="P32" s="2">
        <v>165</v>
      </c>
      <c r="Q32" s="2">
        <v>167</v>
      </c>
      <c r="R32" s="2">
        <v>143</v>
      </c>
      <c r="S32" s="2">
        <v>51</v>
      </c>
      <c r="T32" s="2">
        <v>28</v>
      </c>
    </row>
    <row r="33" spans="1:20" x14ac:dyDescent="0.25">
      <c r="A33" s="2"/>
      <c r="B33" s="14"/>
      <c r="C33" s="3" t="s">
        <v>42</v>
      </c>
      <c r="D33" s="4">
        <v>1190</v>
      </c>
      <c r="E33" s="2"/>
      <c r="F33" s="2"/>
      <c r="G33" s="2"/>
      <c r="H33" s="2"/>
      <c r="I33" s="2"/>
      <c r="J33" s="2"/>
      <c r="K33" s="2"/>
      <c r="L33" s="2">
        <f t="shared" si="0"/>
        <v>0</v>
      </c>
      <c r="M33" s="4">
        <f t="shared" si="1"/>
        <v>0</v>
      </c>
      <c r="N33" s="2">
        <v>17</v>
      </c>
      <c r="O33" s="2">
        <v>49</v>
      </c>
      <c r="P33" s="2">
        <v>52</v>
      </c>
      <c r="Q33" s="2">
        <v>49</v>
      </c>
      <c r="R33" s="2">
        <v>49</v>
      </c>
      <c r="S33" s="2">
        <v>24</v>
      </c>
      <c r="T33" s="2">
        <v>8</v>
      </c>
    </row>
    <row r="34" spans="1:20" x14ac:dyDescent="0.25">
      <c r="A34" s="2"/>
      <c r="B34" s="14"/>
      <c r="C34" s="3" t="s">
        <v>43</v>
      </c>
      <c r="D34" s="4">
        <v>1190</v>
      </c>
      <c r="E34" s="2"/>
      <c r="F34" s="2"/>
      <c r="G34" s="2"/>
      <c r="H34" s="2"/>
      <c r="I34" s="2"/>
      <c r="J34" s="2"/>
      <c r="K34" s="2"/>
      <c r="L34" s="2">
        <f t="shared" si="0"/>
        <v>0</v>
      </c>
      <c r="M34" s="4">
        <f t="shared" si="1"/>
        <v>0</v>
      </c>
      <c r="N34" s="2">
        <v>15</v>
      </c>
      <c r="O34" s="2">
        <v>38</v>
      </c>
      <c r="P34" s="2">
        <v>50</v>
      </c>
      <c r="Q34" s="2">
        <v>44</v>
      </c>
      <c r="R34" s="2">
        <v>37</v>
      </c>
      <c r="S34" s="2">
        <v>15</v>
      </c>
      <c r="T34" s="2">
        <v>5</v>
      </c>
    </row>
    <row r="35" spans="1:20" ht="144" customHeight="1" x14ac:dyDescent="0.25">
      <c r="A35" s="2"/>
      <c r="B35" s="14"/>
      <c r="C35" s="3" t="s">
        <v>44</v>
      </c>
      <c r="D35" s="4">
        <v>1190</v>
      </c>
      <c r="E35" s="2"/>
      <c r="F35" s="2"/>
      <c r="G35" s="2"/>
      <c r="H35" s="2"/>
      <c r="I35" s="2"/>
      <c r="J35" s="2"/>
      <c r="K35" s="2"/>
      <c r="L35" s="2">
        <f t="shared" ref="L35:L66" si="2">SUM(E35:K35)</f>
        <v>0</v>
      </c>
      <c r="M35" s="4">
        <f t="shared" ref="M35:M66" si="3">SUM(E35:K35)*D35</f>
        <v>0</v>
      </c>
      <c r="N35" s="2"/>
      <c r="O35" s="2">
        <v>2</v>
      </c>
      <c r="P35" s="2">
        <v>1</v>
      </c>
      <c r="Q35" s="2">
        <v>4</v>
      </c>
      <c r="R35" s="2">
        <v>5</v>
      </c>
      <c r="S35" s="2">
        <v>5</v>
      </c>
      <c r="T35" s="2">
        <v>1</v>
      </c>
    </row>
    <row r="36" spans="1:20" ht="144" customHeight="1" x14ac:dyDescent="0.25">
      <c r="A36" s="2"/>
      <c r="B36" s="14"/>
      <c r="C36" s="3" t="s">
        <v>45</v>
      </c>
      <c r="D36" s="4">
        <v>1190</v>
      </c>
      <c r="E36" s="2"/>
      <c r="F36" s="2"/>
      <c r="G36" s="2"/>
      <c r="H36" s="2"/>
      <c r="I36" s="2"/>
      <c r="J36" s="2"/>
      <c r="K36" s="2"/>
      <c r="L36" s="2">
        <f t="shared" si="2"/>
        <v>0</v>
      </c>
      <c r="M36" s="4">
        <f t="shared" si="3"/>
        <v>0</v>
      </c>
      <c r="N36" s="2">
        <v>11</v>
      </c>
      <c r="O36" s="2">
        <v>24</v>
      </c>
      <c r="P36" s="2">
        <v>29</v>
      </c>
      <c r="Q36" s="2">
        <v>32</v>
      </c>
      <c r="R36" s="2">
        <v>29</v>
      </c>
      <c r="S36" s="2">
        <v>14</v>
      </c>
      <c r="T36" s="2">
        <v>4</v>
      </c>
    </row>
    <row r="37" spans="1:20" ht="144" customHeight="1" x14ac:dyDescent="0.25">
      <c r="A37" s="2"/>
      <c r="B37" s="14"/>
      <c r="C37" s="3" t="s">
        <v>46</v>
      </c>
      <c r="D37" s="4">
        <v>1190</v>
      </c>
      <c r="E37" s="2"/>
      <c r="F37" s="2"/>
      <c r="G37" s="2"/>
      <c r="H37" s="2"/>
      <c r="I37" s="2"/>
      <c r="J37" s="2"/>
      <c r="K37" s="2"/>
      <c r="L37" s="2">
        <f t="shared" si="2"/>
        <v>0</v>
      </c>
      <c r="M37" s="4">
        <f t="shared" si="3"/>
        <v>0</v>
      </c>
      <c r="N37" s="2">
        <v>4</v>
      </c>
      <c r="O37" s="2"/>
      <c r="P37" s="2"/>
      <c r="Q37" s="2"/>
      <c r="R37" s="2">
        <v>4</v>
      </c>
      <c r="S37" s="2"/>
      <c r="T37" s="2"/>
    </row>
    <row r="38" spans="1:20" ht="144" customHeight="1" x14ac:dyDescent="0.25">
      <c r="A38" s="2"/>
      <c r="B38" s="14"/>
      <c r="C38" s="3" t="s">
        <v>47</v>
      </c>
      <c r="D38" s="4">
        <v>1190</v>
      </c>
      <c r="E38" s="2"/>
      <c r="F38" s="2"/>
      <c r="G38" s="2"/>
      <c r="H38" s="2"/>
      <c r="I38" s="2"/>
      <c r="J38" s="2"/>
      <c r="K38" s="2"/>
      <c r="L38" s="2">
        <f t="shared" si="2"/>
        <v>0</v>
      </c>
      <c r="M38" s="4">
        <f t="shared" si="3"/>
        <v>0</v>
      </c>
      <c r="N38" s="2">
        <v>27</v>
      </c>
      <c r="O38" s="2">
        <v>61</v>
      </c>
      <c r="P38" s="2">
        <v>67</v>
      </c>
      <c r="Q38" s="2">
        <v>68</v>
      </c>
      <c r="R38" s="2">
        <v>84</v>
      </c>
      <c r="S38" s="2">
        <v>22</v>
      </c>
      <c r="T38" s="2">
        <v>2</v>
      </c>
    </row>
    <row r="39" spans="1:20" ht="144" customHeight="1" x14ac:dyDescent="0.25">
      <c r="A39" s="2"/>
      <c r="B39" s="14"/>
      <c r="C39" s="3" t="s">
        <v>48</v>
      </c>
      <c r="D39" s="4">
        <v>1190</v>
      </c>
      <c r="E39" s="2"/>
      <c r="F39" s="2"/>
      <c r="G39" s="2"/>
      <c r="H39" s="2"/>
      <c r="I39" s="2"/>
      <c r="J39" s="2"/>
      <c r="K39" s="2"/>
      <c r="L39" s="2">
        <f t="shared" si="2"/>
        <v>0</v>
      </c>
      <c r="M39" s="4">
        <f t="shared" si="3"/>
        <v>0</v>
      </c>
      <c r="N39" s="2">
        <v>19</v>
      </c>
      <c r="O39" s="2">
        <v>51</v>
      </c>
      <c r="P39" s="2">
        <v>41</v>
      </c>
      <c r="Q39" s="2">
        <v>40</v>
      </c>
      <c r="R39" s="2">
        <v>62</v>
      </c>
      <c r="S39" s="2">
        <v>19</v>
      </c>
      <c r="T39" s="2">
        <v>10</v>
      </c>
    </row>
    <row r="40" spans="1:20" ht="144" customHeight="1" x14ac:dyDescent="0.25">
      <c r="A40" s="2"/>
      <c r="B40" s="14"/>
      <c r="C40" s="3" t="s">
        <v>49</v>
      </c>
      <c r="D40" s="4">
        <v>1190</v>
      </c>
      <c r="E40" s="2"/>
      <c r="F40" s="2"/>
      <c r="G40" s="2"/>
      <c r="H40" s="2"/>
      <c r="I40" s="2"/>
      <c r="J40" s="2"/>
      <c r="K40" s="2"/>
      <c r="L40" s="2">
        <f t="shared" si="2"/>
        <v>0</v>
      </c>
      <c r="M40" s="4">
        <f t="shared" si="3"/>
        <v>0</v>
      </c>
      <c r="N40" s="2">
        <v>74</v>
      </c>
      <c r="O40" s="2">
        <v>192</v>
      </c>
      <c r="P40" s="2">
        <v>190</v>
      </c>
      <c r="Q40" s="2">
        <v>190</v>
      </c>
      <c r="R40" s="2">
        <v>190</v>
      </c>
      <c r="S40" s="2">
        <v>64</v>
      </c>
      <c r="T40" s="2">
        <v>29</v>
      </c>
    </row>
    <row r="41" spans="1:20" ht="144" customHeight="1" x14ac:dyDescent="0.25">
      <c r="A41" s="2"/>
      <c r="B41" s="14" t="s">
        <v>87</v>
      </c>
      <c r="C41" s="13" t="s">
        <v>50</v>
      </c>
      <c r="D41" s="4">
        <v>1190</v>
      </c>
      <c r="E41" s="2"/>
      <c r="F41" s="2"/>
      <c r="G41" s="2"/>
      <c r="H41" s="2"/>
      <c r="I41" s="2"/>
      <c r="J41" s="2"/>
      <c r="K41" s="2"/>
      <c r="L41" s="2">
        <f t="shared" si="2"/>
        <v>0</v>
      </c>
      <c r="M41" s="4">
        <f t="shared" si="3"/>
        <v>0</v>
      </c>
      <c r="N41" s="2">
        <v>7</v>
      </c>
      <c r="O41" s="2">
        <v>59</v>
      </c>
      <c r="P41" s="2">
        <v>51</v>
      </c>
      <c r="Q41" s="2">
        <v>54</v>
      </c>
      <c r="R41" s="2">
        <v>52</v>
      </c>
      <c r="S41" s="2"/>
      <c r="T41" s="2"/>
    </row>
    <row r="42" spans="1:20" ht="144" customHeight="1" x14ac:dyDescent="0.25">
      <c r="A42" s="2"/>
      <c r="B42" s="14"/>
      <c r="C42" s="3" t="s">
        <v>51</v>
      </c>
      <c r="D42" s="4">
        <v>1190</v>
      </c>
      <c r="E42" s="2"/>
      <c r="F42" s="2"/>
      <c r="G42" s="2"/>
      <c r="H42" s="2"/>
      <c r="I42" s="2"/>
      <c r="J42" s="2"/>
      <c r="K42" s="2"/>
      <c r="L42" s="2">
        <f t="shared" si="2"/>
        <v>0</v>
      </c>
      <c r="M42" s="4">
        <f t="shared" si="3"/>
        <v>0</v>
      </c>
      <c r="N42" s="2"/>
      <c r="O42" s="2">
        <v>5</v>
      </c>
      <c r="P42" s="2">
        <v>28</v>
      </c>
      <c r="Q42" s="2">
        <v>32</v>
      </c>
      <c r="R42" s="2"/>
      <c r="S42" s="2"/>
      <c r="T42" s="2"/>
    </row>
    <row r="43" spans="1:20" ht="144" customHeight="1" x14ac:dyDescent="0.25">
      <c r="A43" s="2"/>
      <c r="B43" s="14"/>
      <c r="C43" s="3" t="s">
        <v>52</v>
      </c>
      <c r="D43" s="4">
        <v>1190</v>
      </c>
      <c r="E43" s="2"/>
      <c r="F43" s="2"/>
      <c r="G43" s="2"/>
      <c r="H43" s="2"/>
      <c r="I43" s="2"/>
      <c r="J43" s="2"/>
      <c r="K43" s="2"/>
      <c r="L43" s="2">
        <f t="shared" si="2"/>
        <v>0</v>
      </c>
      <c r="M43" s="4">
        <f t="shared" si="3"/>
        <v>0</v>
      </c>
      <c r="N43" s="2">
        <v>1</v>
      </c>
      <c r="O43" s="2">
        <v>1</v>
      </c>
      <c r="P43" s="2">
        <v>21</v>
      </c>
      <c r="Q43" s="2">
        <v>29</v>
      </c>
      <c r="R43" s="2">
        <v>9</v>
      </c>
      <c r="S43" s="2">
        <v>4</v>
      </c>
      <c r="T43" s="2">
        <v>1</v>
      </c>
    </row>
    <row r="44" spans="1:20" ht="144" customHeight="1" x14ac:dyDescent="0.25">
      <c r="A44" s="2"/>
      <c r="B44" s="14"/>
      <c r="C44" s="3" t="s">
        <v>53</v>
      </c>
      <c r="D44" s="4">
        <v>1190</v>
      </c>
      <c r="E44" s="2"/>
      <c r="F44" s="2"/>
      <c r="G44" s="2"/>
      <c r="H44" s="2"/>
      <c r="I44" s="2"/>
      <c r="J44" s="2"/>
      <c r="K44" s="2"/>
      <c r="L44" s="2">
        <f t="shared" si="2"/>
        <v>0</v>
      </c>
      <c r="M44" s="4">
        <f t="shared" si="3"/>
        <v>0</v>
      </c>
      <c r="N44" s="2">
        <v>15</v>
      </c>
      <c r="O44" s="2">
        <v>13</v>
      </c>
      <c r="P44" s="2">
        <v>6</v>
      </c>
      <c r="Q44" s="2">
        <v>12</v>
      </c>
      <c r="R44" s="2">
        <v>1</v>
      </c>
      <c r="S44" s="2"/>
      <c r="T44" s="2">
        <v>5</v>
      </c>
    </row>
    <row r="45" spans="1:20" ht="144" customHeight="1" x14ac:dyDescent="0.25">
      <c r="A45" s="2"/>
      <c r="B45" s="14"/>
      <c r="C45" s="3" t="s">
        <v>54</v>
      </c>
      <c r="D45" s="4">
        <v>1190</v>
      </c>
      <c r="E45" s="2"/>
      <c r="F45" s="2"/>
      <c r="G45" s="2"/>
      <c r="H45" s="2"/>
      <c r="I45" s="2"/>
      <c r="J45" s="2"/>
      <c r="K45" s="2"/>
      <c r="L45" s="2">
        <f t="shared" si="2"/>
        <v>0</v>
      </c>
      <c r="M45" s="4">
        <f t="shared" si="3"/>
        <v>0</v>
      </c>
      <c r="N45" s="2">
        <v>4</v>
      </c>
      <c r="O45" s="2">
        <v>9</v>
      </c>
      <c r="P45" s="2">
        <v>23</v>
      </c>
      <c r="Q45" s="2">
        <v>24</v>
      </c>
      <c r="R45" s="2">
        <v>16</v>
      </c>
      <c r="S45" s="2">
        <v>8</v>
      </c>
      <c r="T45" s="2">
        <v>1</v>
      </c>
    </row>
    <row r="46" spans="1:20" ht="144" customHeight="1" x14ac:dyDescent="0.25">
      <c r="A46" s="2"/>
      <c r="B46" s="14"/>
      <c r="C46" s="3" t="s">
        <v>55</v>
      </c>
      <c r="D46" s="4">
        <v>1190</v>
      </c>
      <c r="E46" s="2"/>
      <c r="F46" s="2"/>
      <c r="G46" s="2"/>
      <c r="H46" s="2"/>
      <c r="I46" s="2"/>
      <c r="J46" s="2"/>
      <c r="K46" s="2"/>
      <c r="L46" s="2">
        <f t="shared" si="2"/>
        <v>0</v>
      </c>
      <c r="M46" s="4">
        <f t="shared" si="3"/>
        <v>0</v>
      </c>
      <c r="N46" s="2">
        <v>17</v>
      </c>
      <c r="O46" s="2">
        <v>62</v>
      </c>
      <c r="P46" s="2">
        <v>70</v>
      </c>
      <c r="Q46" s="2">
        <v>71</v>
      </c>
      <c r="R46" s="2">
        <v>65</v>
      </c>
      <c r="S46" s="2">
        <v>16</v>
      </c>
      <c r="T46" s="2">
        <v>11</v>
      </c>
    </row>
    <row r="47" spans="1:20" x14ac:dyDescent="0.25">
      <c r="A47" s="2"/>
      <c r="B47" s="14"/>
      <c r="C47" s="3" t="s">
        <v>56</v>
      </c>
      <c r="D47" s="4">
        <v>1190</v>
      </c>
      <c r="E47" s="2"/>
      <c r="F47" s="2"/>
      <c r="G47" s="2"/>
      <c r="H47" s="2"/>
      <c r="I47" s="2"/>
      <c r="J47" s="2"/>
      <c r="K47" s="2"/>
      <c r="L47" s="2">
        <f t="shared" si="2"/>
        <v>0</v>
      </c>
      <c r="M47" s="4">
        <f t="shared" si="3"/>
        <v>0</v>
      </c>
      <c r="N47" s="2">
        <v>19</v>
      </c>
      <c r="O47" s="2">
        <v>33</v>
      </c>
      <c r="P47" s="2">
        <v>24</v>
      </c>
      <c r="Q47" s="2">
        <v>28</v>
      </c>
      <c r="R47" s="2">
        <v>27</v>
      </c>
      <c r="S47" s="2"/>
      <c r="T47" s="2">
        <v>15</v>
      </c>
    </row>
    <row r="48" spans="1:20" ht="144" customHeight="1" x14ac:dyDescent="0.25">
      <c r="A48" s="2"/>
      <c r="B48" s="14"/>
      <c r="C48" s="3" t="s">
        <v>57</v>
      </c>
      <c r="D48" s="4">
        <v>1190</v>
      </c>
      <c r="E48" s="2"/>
      <c r="F48" s="2"/>
      <c r="G48" s="2"/>
      <c r="H48" s="2"/>
      <c r="I48" s="2"/>
      <c r="J48" s="2"/>
      <c r="K48" s="2"/>
      <c r="L48" s="2">
        <f t="shared" si="2"/>
        <v>0</v>
      </c>
      <c r="M48" s="4">
        <f t="shared" si="3"/>
        <v>0</v>
      </c>
      <c r="N48" s="2">
        <v>3</v>
      </c>
      <c r="O48" s="2">
        <v>18</v>
      </c>
      <c r="P48" s="2">
        <v>20</v>
      </c>
      <c r="Q48" s="2">
        <v>23</v>
      </c>
      <c r="R48" s="2">
        <v>28</v>
      </c>
      <c r="S48" s="2">
        <v>6</v>
      </c>
      <c r="T48" s="2">
        <v>4</v>
      </c>
    </row>
    <row r="49" spans="1:20" ht="144" customHeight="1" x14ac:dyDescent="0.25">
      <c r="A49" s="2"/>
      <c r="B49" s="14"/>
      <c r="C49" s="3" t="s">
        <v>58</v>
      </c>
      <c r="D49" s="4">
        <v>1190</v>
      </c>
      <c r="E49" s="2"/>
      <c r="F49" s="2"/>
      <c r="G49" s="2"/>
      <c r="H49" s="2"/>
      <c r="I49" s="2"/>
      <c r="J49" s="2"/>
      <c r="K49" s="2"/>
      <c r="L49" s="2">
        <f t="shared" si="2"/>
        <v>0</v>
      </c>
      <c r="M49" s="4">
        <f t="shared" si="3"/>
        <v>0</v>
      </c>
      <c r="N49" s="2">
        <v>6</v>
      </c>
      <c r="O49" s="2">
        <v>10</v>
      </c>
      <c r="P49" s="2">
        <v>17</v>
      </c>
      <c r="Q49" s="2">
        <v>19</v>
      </c>
      <c r="R49" s="2">
        <v>16</v>
      </c>
      <c r="S49" s="2"/>
      <c r="T49" s="2"/>
    </row>
    <row r="50" spans="1:20" ht="144" customHeight="1" x14ac:dyDescent="0.25">
      <c r="A50" s="2"/>
      <c r="B50" s="14"/>
      <c r="C50" s="3" t="s">
        <v>59</v>
      </c>
      <c r="D50" s="4">
        <v>1190</v>
      </c>
      <c r="E50" s="2"/>
      <c r="F50" s="2"/>
      <c r="G50" s="2"/>
      <c r="H50" s="2"/>
      <c r="I50" s="2"/>
      <c r="J50" s="2"/>
      <c r="K50" s="2"/>
      <c r="L50" s="2">
        <f t="shared" si="2"/>
        <v>0</v>
      </c>
      <c r="M50" s="4">
        <f t="shared" si="3"/>
        <v>0</v>
      </c>
      <c r="N50" s="2">
        <v>21</v>
      </c>
      <c r="O50" s="2">
        <v>11</v>
      </c>
      <c r="P50" s="2">
        <v>9</v>
      </c>
      <c r="Q50" s="2">
        <v>12</v>
      </c>
      <c r="R50" s="2">
        <v>10</v>
      </c>
      <c r="S50" s="2">
        <v>10</v>
      </c>
      <c r="T50" s="2">
        <v>13</v>
      </c>
    </row>
    <row r="51" spans="1:20" ht="144" customHeight="1" x14ac:dyDescent="0.25">
      <c r="A51" s="2"/>
      <c r="B51" s="14" t="s">
        <v>88</v>
      </c>
      <c r="C51" s="13" t="s">
        <v>60</v>
      </c>
      <c r="D51" s="4">
        <v>1190</v>
      </c>
      <c r="E51" s="2"/>
      <c r="F51" s="2"/>
      <c r="G51" s="2"/>
      <c r="H51" s="2"/>
      <c r="I51" s="2"/>
      <c r="J51" s="2"/>
      <c r="K51" s="2"/>
      <c r="L51" s="2">
        <f t="shared" si="2"/>
        <v>0</v>
      </c>
      <c r="M51" s="4">
        <f t="shared" si="3"/>
        <v>0</v>
      </c>
      <c r="N51" s="2">
        <v>8</v>
      </c>
      <c r="O51" s="2">
        <v>23</v>
      </c>
      <c r="P51" s="2">
        <v>29</v>
      </c>
      <c r="Q51" s="2">
        <v>26</v>
      </c>
      <c r="R51" s="2">
        <v>16</v>
      </c>
      <c r="S51" s="2">
        <v>9</v>
      </c>
      <c r="T51" s="2">
        <v>4</v>
      </c>
    </row>
    <row r="52" spans="1:20" x14ac:dyDescent="0.25">
      <c r="A52" s="2"/>
      <c r="B52" s="14"/>
      <c r="C52" s="3" t="s">
        <v>61</v>
      </c>
      <c r="D52" s="4">
        <v>680</v>
      </c>
      <c r="E52" s="2"/>
      <c r="F52" s="2"/>
      <c r="G52" s="2"/>
      <c r="H52" s="2"/>
      <c r="I52" s="2"/>
      <c r="J52" s="2"/>
      <c r="K52" s="2"/>
      <c r="L52" s="2">
        <f t="shared" si="2"/>
        <v>0</v>
      </c>
      <c r="M52" s="4">
        <f t="shared" si="3"/>
        <v>0</v>
      </c>
      <c r="N52" s="2"/>
      <c r="O52" s="2"/>
      <c r="P52" s="2">
        <v>2</v>
      </c>
      <c r="Q52" s="2"/>
      <c r="R52" s="2"/>
      <c r="S52" s="2"/>
      <c r="T52" s="2"/>
    </row>
    <row r="53" spans="1:20" x14ac:dyDescent="0.25">
      <c r="A53" s="2"/>
      <c r="B53" s="14"/>
      <c r="C53" s="3" t="s">
        <v>62</v>
      </c>
      <c r="D53" s="4">
        <v>680</v>
      </c>
      <c r="E53" s="2"/>
      <c r="F53" s="2"/>
      <c r="G53" s="2"/>
      <c r="H53" s="2"/>
      <c r="I53" s="2"/>
      <c r="J53" s="2"/>
      <c r="K53" s="2"/>
      <c r="L53" s="2">
        <f t="shared" si="2"/>
        <v>0</v>
      </c>
      <c r="M53" s="4">
        <f t="shared" si="3"/>
        <v>0</v>
      </c>
      <c r="N53" s="2"/>
      <c r="O53" s="2"/>
      <c r="P53" s="2">
        <v>64</v>
      </c>
      <c r="Q53" s="2"/>
      <c r="R53" s="2"/>
      <c r="S53" s="2"/>
      <c r="T53" s="2"/>
    </row>
    <row r="54" spans="1:20" x14ac:dyDescent="0.25">
      <c r="A54" s="2"/>
      <c r="B54" s="14"/>
      <c r="C54" s="3" t="s">
        <v>63</v>
      </c>
      <c r="D54" s="4">
        <v>680</v>
      </c>
      <c r="E54" s="2"/>
      <c r="F54" s="2"/>
      <c r="G54" s="2"/>
      <c r="H54" s="2"/>
      <c r="I54" s="2"/>
      <c r="J54" s="2"/>
      <c r="K54" s="2"/>
      <c r="L54" s="2">
        <f t="shared" si="2"/>
        <v>0</v>
      </c>
      <c r="M54" s="4">
        <f t="shared" si="3"/>
        <v>0</v>
      </c>
      <c r="N54" s="2"/>
      <c r="O54" s="2"/>
      <c r="P54" s="2">
        <v>121</v>
      </c>
      <c r="Q54" s="2"/>
      <c r="R54" s="2"/>
      <c r="S54" s="2"/>
      <c r="T54" s="2"/>
    </row>
    <row r="55" spans="1:20" x14ac:dyDescent="0.25">
      <c r="A55" s="2"/>
      <c r="B55" s="14"/>
      <c r="C55" s="3" t="s">
        <v>64</v>
      </c>
      <c r="D55" s="4">
        <v>680</v>
      </c>
      <c r="E55" s="2"/>
      <c r="F55" s="2"/>
      <c r="G55" s="2"/>
      <c r="H55" s="2"/>
      <c r="I55" s="2"/>
      <c r="J55" s="2"/>
      <c r="K55" s="2"/>
      <c r="L55" s="2">
        <f t="shared" si="2"/>
        <v>0</v>
      </c>
      <c r="M55" s="4">
        <f t="shared" si="3"/>
        <v>0</v>
      </c>
      <c r="N55" s="2"/>
      <c r="O55" s="2"/>
      <c r="P55" s="2">
        <v>1</v>
      </c>
      <c r="Q55" s="2"/>
      <c r="R55" s="2"/>
      <c r="S55" s="2"/>
      <c r="T55" s="2"/>
    </row>
    <row r="56" spans="1:20" x14ac:dyDescent="0.25">
      <c r="A56" s="2"/>
      <c r="B56" s="14"/>
      <c r="C56" s="3" t="s">
        <v>65</v>
      </c>
      <c r="D56" s="4">
        <v>680</v>
      </c>
      <c r="E56" s="2"/>
      <c r="F56" s="2"/>
      <c r="G56" s="2"/>
      <c r="H56" s="2"/>
      <c r="I56" s="2"/>
      <c r="J56" s="2"/>
      <c r="K56" s="2"/>
      <c r="L56" s="2">
        <f t="shared" si="2"/>
        <v>0</v>
      </c>
      <c r="M56" s="4">
        <f t="shared" si="3"/>
        <v>0</v>
      </c>
      <c r="N56" s="2"/>
      <c r="O56" s="2"/>
      <c r="P56" s="2">
        <v>24</v>
      </c>
      <c r="Q56" s="2"/>
      <c r="R56" s="2"/>
      <c r="S56" s="2"/>
      <c r="T56" s="2"/>
    </row>
    <row r="57" spans="1:20" x14ac:dyDescent="0.25">
      <c r="A57" s="2"/>
      <c r="B57" s="14"/>
      <c r="C57" s="3" t="s">
        <v>66</v>
      </c>
      <c r="D57" s="4">
        <v>680</v>
      </c>
      <c r="E57" s="2"/>
      <c r="F57" s="2"/>
      <c r="G57" s="2"/>
      <c r="H57" s="2"/>
      <c r="I57" s="2"/>
      <c r="J57" s="2"/>
      <c r="K57" s="2"/>
      <c r="L57" s="2">
        <f t="shared" si="2"/>
        <v>0</v>
      </c>
      <c r="M57" s="4">
        <f t="shared" si="3"/>
        <v>0</v>
      </c>
      <c r="N57" s="2"/>
      <c r="O57" s="2"/>
      <c r="P57" s="2">
        <v>58</v>
      </c>
      <c r="Q57" s="2"/>
      <c r="R57" s="2"/>
      <c r="S57" s="2"/>
      <c r="T57" s="2"/>
    </row>
    <row r="58" spans="1:20" x14ac:dyDescent="0.25">
      <c r="A58" s="2"/>
      <c r="B58" s="14"/>
      <c r="C58" s="3" t="s">
        <v>67</v>
      </c>
      <c r="D58" s="4">
        <v>680</v>
      </c>
      <c r="E58" s="2"/>
      <c r="F58" s="2"/>
      <c r="G58" s="2"/>
      <c r="H58" s="2"/>
      <c r="I58" s="2"/>
      <c r="J58" s="2"/>
      <c r="K58" s="2"/>
      <c r="L58" s="2">
        <f t="shared" si="2"/>
        <v>0</v>
      </c>
      <c r="M58" s="4">
        <f t="shared" si="3"/>
        <v>0</v>
      </c>
      <c r="N58" s="2"/>
      <c r="O58" s="2"/>
      <c r="P58" s="2">
        <v>15</v>
      </c>
      <c r="Q58" s="2"/>
      <c r="R58" s="2"/>
      <c r="S58" s="2"/>
      <c r="T58" s="2"/>
    </row>
    <row r="59" spans="1:20" x14ac:dyDescent="0.25">
      <c r="A59" s="2"/>
      <c r="B59" s="14"/>
      <c r="C59" s="3" t="s">
        <v>68</v>
      </c>
      <c r="D59" s="4">
        <v>680</v>
      </c>
      <c r="E59" s="2"/>
      <c r="F59" s="2"/>
      <c r="G59" s="2"/>
      <c r="H59" s="2"/>
      <c r="I59" s="2"/>
      <c r="J59" s="2"/>
      <c r="K59" s="2"/>
      <c r="L59" s="2">
        <f t="shared" si="2"/>
        <v>0</v>
      </c>
      <c r="M59" s="4">
        <f t="shared" si="3"/>
        <v>0</v>
      </c>
      <c r="N59" s="2"/>
      <c r="O59" s="2"/>
      <c r="P59" s="2">
        <v>66</v>
      </c>
      <c r="Q59" s="2"/>
      <c r="R59" s="2"/>
      <c r="S59" s="2"/>
      <c r="T59" s="2"/>
    </row>
    <row r="60" spans="1:20" x14ac:dyDescent="0.25">
      <c r="A60" s="2"/>
      <c r="B60" s="14"/>
      <c r="C60" s="3" t="s">
        <v>69</v>
      </c>
      <c r="D60" s="4">
        <v>680</v>
      </c>
      <c r="E60" s="2"/>
      <c r="F60" s="2"/>
      <c r="G60" s="2"/>
      <c r="H60" s="2"/>
      <c r="I60" s="2"/>
      <c r="J60" s="2"/>
      <c r="K60" s="2"/>
      <c r="L60" s="2">
        <f t="shared" si="2"/>
        <v>0</v>
      </c>
      <c r="M60" s="4">
        <f t="shared" si="3"/>
        <v>0</v>
      </c>
      <c r="N60" s="2"/>
      <c r="O60" s="2"/>
      <c r="P60" s="2">
        <v>26</v>
      </c>
      <c r="Q60" s="2"/>
      <c r="R60" s="2"/>
      <c r="S60" s="2"/>
      <c r="T60" s="2"/>
    </row>
    <row r="61" spans="1:20" x14ac:dyDescent="0.25">
      <c r="A61" s="2"/>
      <c r="B61" s="14"/>
      <c r="C61" s="3" t="s">
        <v>70</v>
      </c>
      <c r="D61" s="4">
        <v>680</v>
      </c>
      <c r="E61" s="2"/>
      <c r="F61" s="2"/>
      <c r="G61" s="2"/>
      <c r="H61" s="2"/>
      <c r="I61" s="2"/>
      <c r="J61" s="2"/>
      <c r="K61" s="2"/>
      <c r="L61" s="2">
        <f t="shared" si="2"/>
        <v>0</v>
      </c>
      <c r="M61" s="4">
        <f t="shared" si="3"/>
        <v>0</v>
      </c>
      <c r="N61" s="2"/>
      <c r="O61" s="2"/>
      <c r="P61" s="2">
        <v>15</v>
      </c>
      <c r="Q61" s="2"/>
      <c r="R61" s="2"/>
      <c r="S61" s="2"/>
      <c r="T61" s="2"/>
    </row>
    <row r="62" spans="1:20" x14ac:dyDescent="0.25">
      <c r="A62" s="2"/>
      <c r="B62" s="14"/>
      <c r="C62" s="3" t="s">
        <v>71</v>
      </c>
      <c r="D62" s="4">
        <v>680</v>
      </c>
      <c r="E62" s="2"/>
      <c r="F62" s="2"/>
      <c r="G62" s="2"/>
      <c r="H62" s="2"/>
      <c r="I62" s="2"/>
      <c r="J62" s="2"/>
      <c r="K62" s="2"/>
      <c r="L62" s="2">
        <f t="shared" si="2"/>
        <v>0</v>
      </c>
      <c r="M62" s="4">
        <f t="shared" si="3"/>
        <v>0</v>
      </c>
      <c r="N62" s="2"/>
      <c r="O62" s="2"/>
      <c r="P62" s="2">
        <v>87</v>
      </c>
      <c r="Q62" s="2"/>
      <c r="R62" s="2"/>
      <c r="S62" s="2"/>
      <c r="T62" s="2"/>
    </row>
    <row r="63" spans="1:20" x14ac:dyDescent="0.25">
      <c r="A63" s="2"/>
      <c r="B63" s="14"/>
      <c r="C63" s="3" t="s">
        <v>72</v>
      </c>
      <c r="D63" s="4">
        <v>680</v>
      </c>
      <c r="E63" s="2"/>
      <c r="F63" s="2"/>
      <c r="G63" s="2"/>
      <c r="H63" s="2"/>
      <c r="I63" s="2"/>
      <c r="J63" s="2"/>
      <c r="K63" s="2"/>
      <c r="L63" s="2">
        <f t="shared" si="2"/>
        <v>0</v>
      </c>
      <c r="M63" s="4">
        <f t="shared" si="3"/>
        <v>0</v>
      </c>
      <c r="N63" s="2"/>
      <c r="O63" s="2"/>
      <c r="P63" s="2">
        <v>172</v>
      </c>
      <c r="Q63" s="2"/>
      <c r="R63" s="2"/>
      <c r="S63" s="2"/>
      <c r="T63" s="2"/>
    </row>
    <row r="64" spans="1:20" x14ac:dyDescent="0.25">
      <c r="A64" s="2"/>
      <c r="B64" s="14"/>
      <c r="C64" s="3" t="s">
        <v>73</v>
      </c>
      <c r="D64" s="4">
        <v>680</v>
      </c>
      <c r="E64" s="2"/>
      <c r="F64" s="2"/>
      <c r="G64" s="2"/>
      <c r="H64" s="2"/>
      <c r="I64" s="2"/>
      <c r="J64" s="2"/>
      <c r="K64" s="2"/>
      <c r="L64" s="2">
        <f t="shared" si="2"/>
        <v>0</v>
      </c>
      <c r="M64" s="4">
        <f t="shared" si="3"/>
        <v>0</v>
      </c>
      <c r="N64" s="2"/>
      <c r="O64" s="2"/>
      <c r="P64" s="2">
        <v>59</v>
      </c>
      <c r="Q64" s="2"/>
      <c r="R64" s="2"/>
      <c r="S64" s="2"/>
      <c r="T64" s="2"/>
    </row>
    <row r="65" spans="1:20" x14ac:dyDescent="0.25">
      <c r="A65" s="2"/>
      <c r="B65" s="14"/>
      <c r="C65" s="3" t="s">
        <v>74</v>
      </c>
      <c r="D65" s="4">
        <v>680</v>
      </c>
      <c r="E65" s="2"/>
      <c r="F65" s="2"/>
      <c r="G65" s="2"/>
      <c r="H65" s="2"/>
      <c r="I65" s="2"/>
      <c r="J65" s="2"/>
      <c r="K65" s="2"/>
      <c r="L65" s="2">
        <f t="shared" si="2"/>
        <v>0</v>
      </c>
      <c r="M65" s="4">
        <f t="shared" si="3"/>
        <v>0</v>
      </c>
      <c r="N65" s="2"/>
      <c r="O65" s="2"/>
      <c r="P65" s="2">
        <v>1</v>
      </c>
      <c r="Q65" s="2"/>
      <c r="R65" s="2"/>
      <c r="S65" s="2"/>
      <c r="T65" s="2"/>
    </row>
    <row r="66" spans="1:20" x14ac:dyDescent="0.25">
      <c r="A66" s="2"/>
      <c r="B66" s="14"/>
      <c r="C66" s="3" t="s">
        <v>75</v>
      </c>
      <c r="D66" s="4">
        <v>680</v>
      </c>
      <c r="E66" s="2"/>
      <c r="F66" s="2"/>
      <c r="G66" s="2"/>
      <c r="H66" s="2"/>
      <c r="I66" s="2"/>
      <c r="J66" s="2"/>
      <c r="K66" s="2"/>
      <c r="L66" s="2">
        <f t="shared" si="2"/>
        <v>0</v>
      </c>
      <c r="M66" s="4">
        <f t="shared" si="3"/>
        <v>0</v>
      </c>
      <c r="N66" s="2"/>
      <c r="O66" s="2"/>
      <c r="P66" s="2">
        <v>12</v>
      </c>
      <c r="Q66" s="2"/>
      <c r="R66" s="2"/>
      <c r="S66" s="2"/>
      <c r="T66" s="2"/>
    </row>
    <row r="67" spans="1:20" ht="144" customHeight="1" x14ac:dyDescent="0.25">
      <c r="A67" s="2"/>
      <c r="B67" s="14"/>
      <c r="C67" s="3" t="s">
        <v>76</v>
      </c>
      <c r="D67" s="4">
        <v>1190</v>
      </c>
      <c r="E67" s="2"/>
      <c r="F67" s="2"/>
      <c r="G67" s="2"/>
      <c r="H67" s="2"/>
      <c r="I67" s="2"/>
      <c r="J67" s="2"/>
      <c r="K67" s="2"/>
      <c r="L67" s="2">
        <f t="shared" ref="L67:L74" si="4">SUM(E67:K67)</f>
        <v>0</v>
      </c>
      <c r="M67" s="4">
        <f t="shared" ref="M67:M74" si="5">SUM(E67:K67)*D67</f>
        <v>0</v>
      </c>
      <c r="N67" s="2">
        <v>2</v>
      </c>
      <c r="O67" s="2">
        <v>13</v>
      </c>
      <c r="P67" s="2">
        <v>18</v>
      </c>
      <c r="Q67" s="2">
        <v>18</v>
      </c>
      <c r="R67" s="2">
        <v>12</v>
      </c>
      <c r="S67" s="2">
        <v>4</v>
      </c>
      <c r="T67" s="2"/>
    </row>
    <row r="68" spans="1:20" ht="144" customHeight="1" x14ac:dyDescent="0.25">
      <c r="A68" s="2"/>
      <c r="B68" s="14"/>
      <c r="C68" s="3" t="s">
        <v>77</v>
      </c>
      <c r="D68" s="4">
        <v>1190</v>
      </c>
      <c r="E68" s="2"/>
      <c r="F68" s="2"/>
      <c r="G68" s="2"/>
      <c r="H68" s="2"/>
      <c r="I68" s="2"/>
      <c r="J68" s="2"/>
      <c r="K68" s="2"/>
      <c r="L68" s="2">
        <f t="shared" si="4"/>
        <v>0</v>
      </c>
      <c r="M68" s="4">
        <f t="shared" si="5"/>
        <v>0</v>
      </c>
      <c r="N68" s="2">
        <v>12</v>
      </c>
      <c r="O68" s="2">
        <v>25</v>
      </c>
      <c r="P68" s="2">
        <v>14</v>
      </c>
      <c r="Q68" s="2">
        <v>16</v>
      </c>
      <c r="R68" s="2">
        <v>19</v>
      </c>
      <c r="S68" s="2"/>
      <c r="T68" s="2"/>
    </row>
    <row r="69" spans="1:20" x14ac:dyDescent="0.25">
      <c r="A69" s="2"/>
      <c r="B69" s="14"/>
      <c r="C69" s="3" t="s">
        <v>78</v>
      </c>
      <c r="D69" s="4">
        <v>1190</v>
      </c>
      <c r="E69" s="2"/>
      <c r="F69" s="2"/>
      <c r="G69" s="2"/>
      <c r="H69" s="2"/>
      <c r="I69" s="2"/>
      <c r="J69" s="2"/>
      <c r="K69" s="2"/>
      <c r="L69" s="2">
        <f t="shared" si="4"/>
        <v>0</v>
      </c>
      <c r="M69" s="4">
        <f t="shared" si="5"/>
        <v>0</v>
      </c>
      <c r="N69" s="2">
        <v>10</v>
      </c>
      <c r="O69" s="2">
        <v>9</v>
      </c>
      <c r="P69" s="2"/>
      <c r="Q69" s="2">
        <v>2</v>
      </c>
      <c r="R69" s="2">
        <v>1</v>
      </c>
      <c r="S69" s="2">
        <v>11</v>
      </c>
      <c r="T69" s="2"/>
    </row>
    <row r="70" spans="1:20" ht="144" customHeight="1" x14ac:dyDescent="0.25">
      <c r="A70" s="2"/>
      <c r="B70" s="14"/>
      <c r="C70" s="3" t="s">
        <v>79</v>
      </c>
      <c r="D70" s="4">
        <v>1190</v>
      </c>
      <c r="E70" s="2"/>
      <c r="F70" s="2"/>
      <c r="G70" s="2"/>
      <c r="H70" s="2"/>
      <c r="I70" s="2"/>
      <c r="J70" s="2"/>
      <c r="K70" s="2"/>
      <c r="L70" s="2">
        <f t="shared" si="4"/>
        <v>0</v>
      </c>
      <c r="M70" s="4">
        <f t="shared" si="5"/>
        <v>0</v>
      </c>
      <c r="N70" s="2">
        <v>10</v>
      </c>
      <c r="O70" s="2">
        <v>11</v>
      </c>
      <c r="P70" s="2">
        <v>5</v>
      </c>
      <c r="Q70" s="2">
        <v>5</v>
      </c>
      <c r="R70" s="2"/>
      <c r="S70" s="2">
        <v>1</v>
      </c>
      <c r="T70" s="2">
        <v>8</v>
      </c>
    </row>
    <row r="71" spans="1:20" ht="144" customHeight="1" x14ac:dyDescent="0.25">
      <c r="A71" s="2"/>
      <c r="B71" s="14"/>
      <c r="C71" s="3" t="s">
        <v>80</v>
      </c>
      <c r="D71" s="4">
        <v>1190</v>
      </c>
      <c r="E71" s="2"/>
      <c r="F71" s="2"/>
      <c r="G71" s="2"/>
      <c r="H71" s="2"/>
      <c r="I71" s="2"/>
      <c r="J71" s="2"/>
      <c r="K71" s="2"/>
      <c r="L71" s="2">
        <f t="shared" si="4"/>
        <v>0</v>
      </c>
      <c r="M71" s="4">
        <f t="shared" si="5"/>
        <v>0</v>
      </c>
      <c r="N71" s="2">
        <v>2</v>
      </c>
      <c r="O71" s="2">
        <v>12</v>
      </c>
      <c r="P71" s="2">
        <v>13</v>
      </c>
      <c r="Q71" s="2">
        <v>14</v>
      </c>
      <c r="R71" s="2">
        <v>13</v>
      </c>
      <c r="S71" s="2">
        <v>6</v>
      </c>
      <c r="T71" s="2">
        <v>3</v>
      </c>
    </row>
    <row r="72" spans="1:20" ht="144" customHeight="1" x14ac:dyDescent="0.25">
      <c r="A72" s="2"/>
      <c r="B72" s="14"/>
      <c r="C72" s="3" t="s">
        <v>81</v>
      </c>
      <c r="D72" s="4">
        <v>1190</v>
      </c>
      <c r="E72" s="2"/>
      <c r="F72" s="2"/>
      <c r="G72" s="2"/>
      <c r="H72" s="2"/>
      <c r="I72" s="2"/>
      <c r="J72" s="2"/>
      <c r="K72" s="2"/>
      <c r="L72" s="2">
        <f t="shared" si="4"/>
        <v>0</v>
      </c>
      <c r="M72" s="4">
        <f t="shared" si="5"/>
        <v>0</v>
      </c>
      <c r="N72" s="2">
        <v>11</v>
      </c>
      <c r="O72" s="2">
        <v>28</v>
      </c>
      <c r="P72" s="2">
        <v>26</v>
      </c>
      <c r="Q72" s="2">
        <v>26</v>
      </c>
      <c r="R72" s="2">
        <v>22</v>
      </c>
      <c r="S72" s="2">
        <v>8</v>
      </c>
      <c r="T72" s="2">
        <v>1</v>
      </c>
    </row>
    <row r="73" spans="1:20" ht="144" customHeight="1" x14ac:dyDescent="0.25">
      <c r="A73" s="2"/>
      <c r="B73" s="14"/>
      <c r="C73" s="3" t="s">
        <v>82</v>
      </c>
      <c r="D73" s="4">
        <v>1190</v>
      </c>
      <c r="E73" s="2"/>
      <c r="F73" s="2"/>
      <c r="G73" s="2"/>
      <c r="H73" s="2"/>
      <c r="I73" s="2"/>
      <c r="J73" s="2"/>
      <c r="K73" s="2"/>
      <c r="L73" s="2">
        <f t="shared" si="4"/>
        <v>0</v>
      </c>
      <c r="M73" s="4">
        <f t="shared" si="5"/>
        <v>0</v>
      </c>
      <c r="N73" s="2">
        <v>8</v>
      </c>
      <c r="O73" s="2">
        <v>11</v>
      </c>
      <c r="P73" s="2">
        <v>6</v>
      </c>
      <c r="Q73" s="2">
        <v>5</v>
      </c>
      <c r="R73" s="2">
        <v>7</v>
      </c>
      <c r="S73" s="2">
        <v>6</v>
      </c>
      <c r="T73" s="2">
        <v>2</v>
      </c>
    </row>
    <row r="74" spans="1:20" x14ac:dyDescent="0.25">
      <c r="A74" s="2"/>
      <c r="B74" s="14"/>
      <c r="C74" s="3" t="s">
        <v>83</v>
      </c>
      <c r="D74" s="4">
        <v>1190</v>
      </c>
      <c r="E74" s="2"/>
      <c r="F74" s="2"/>
      <c r="G74" s="2"/>
      <c r="H74" s="2"/>
      <c r="I74" s="2"/>
      <c r="J74" s="2"/>
      <c r="K74" s="2"/>
      <c r="L74" s="2">
        <f t="shared" si="4"/>
        <v>0</v>
      </c>
      <c r="M74" s="4">
        <f t="shared" si="5"/>
        <v>0</v>
      </c>
      <c r="N74" s="2">
        <v>20</v>
      </c>
      <c r="O74" s="2">
        <v>34</v>
      </c>
      <c r="P74" s="2">
        <v>24</v>
      </c>
      <c r="Q74" s="2">
        <v>25</v>
      </c>
      <c r="R74" s="2">
        <v>24</v>
      </c>
      <c r="S74" s="2">
        <v>9</v>
      </c>
      <c r="T74" s="2">
        <v>10</v>
      </c>
    </row>
  </sheetData>
  <mergeCells count="7">
    <mergeCell ref="N1:T1"/>
    <mergeCell ref="M1:M2"/>
    <mergeCell ref="A1:A2"/>
    <mergeCell ref="C1:C2"/>
    <mergeCell ref="D1:D2"/>
    <mergeCell ref="E1:K1"/>
    <mergeCell ref="L1:L2"/>
  </mergeCells>
  <conditionalFormatting sqref="E3:K74">
    <cfRule type="expression" dxfId="0" priority="1">
      <formula>OR(E3&gt;N3,N3="")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BUH</cp:lastModifiedBy>
  <dcterms:created xsi:type="dcterms:W3CDTF">2022-03-11T14:52:47Z</dcterms:created>
  <dcterms:modified xsi:type="dcterms:W3CDTF">2022-03-14T08:15:35Z</dcterms:modified>
</cp:coreProperties>
</file>